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Special\"/>
    </mc:Choice>
  </mc:AlternateContent>
  <bookViews>
    <workbookView xWindow="0" yWindow="0" windowWidth="28800" windowHeight="12435" firstSheet="1" activeTab="1"/>
  </bookViews>
  <sheets>
    <sheet name="Train Runs" sheetId="1" state="hidden" r:id="rId1"/>
    <sheet name="Enforcements" sheetId="3" r:id="rId2"/>
    <sheet name="XING" sheetId="9" r:id="rId3"/>
    <sheet name="Missing Trips" sheetId="6" state="hidden" r:id="rId4"/>
    <sheet name="Enforcements_imported" sheetId="8" state="hidden" r:id="rId5"/>
    <sheet name="Trips&amp;Operators" sheetId="4" r:id="rId6"/>
    <sheet name="Variables" sheetId="5" r:id="rId7"/>
    <sheet name="Redmine List Values" sheetId="7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1" hidden="1">Enforcements!$A$6:$AB$59</definedName>
    <definedName name="_xlnm._FilterDatabase" localSheetId="4" hidden="1">Enforcements_imported!$A$1:$P$1654</definedName>
    <definedName name="_xlnm._FilterDatabase" localSheetId="3" hidden="1">'Missing Trips'!$B$2:$I$2</definedName>
    <definedName name="_xlnm._FilterDatabase" localSheetId="0" hidden="1">'Train Runs'!$A$12:$AG$224</definedName>
    <definedName name="_xlnm._FilterDatabase" localSheetId="5" hidden="1">'Trips&amp;Operators'!$A$1:$E$211</definedName>
    <definedName name="astrogrep_path" localSheetId="4">[1]Variables!$M$18</definedName>
    <definedName name="astrogrep_path">Variables!$M$18</definedName>
    <definedName name="Denver_Train_Runs_04122016" localSheetId="0">'Train Runs'!$A$12:$J$66</definedName>
    <definedName name="outputrefinedruntimes">Variables!$M$25</definedName>
    <definedName name="redm_api_key">[2]Constants!$B$4</definedName>
    <definedName name="redm_url">[2]Constants!$B$5</definedName>
    <definedName name="redmine_api">'Redmine List Values'!$I$1</definedName>
    <definedName name="redmine_assignee" localSheetId="4">'[3]Redmine List Values'!$I$5</definedName>
    <definedName name="redmine_assignee">'Redmine List Values'!$I$5</definedName>
    <definedName name="redmine_op_impact" localSheetId="4">'[3]Redmine List Values'!$I$6</definedName>
    <definedName name="redmine_op_impact">'Redmine List Values'!$I$6</definedName>
    <definedName name="redmine_priority" localSheetId="4">'[3]Redmine List Values'!$I$4</definedName>
    <definedName name="redmine_priority">'Redmine List Values'!$I$4</definedName>
    <definedName name="redmine_status" localSheetId="4">'[3]Redmine List Values'!$I$3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 localSheetId="4">[1]Variables!$M$19</definedName>
    <definedName name="search_path">Variables!$M$19</definedName>
    <definedName name="search_regexp" localSheetId="4">[1]Variables!$M$20</definedName>
    <definedName name="search_regexp">Variables!$M$20</definedName>
    <definedName name="utc_offset" localSheetId="4">[1]Variables!$M$23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47" i="3" l="1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6" i="3"/>
  <c r="AD15" i="3"/>
  <c r="AD8" i="3"/>
  <c r="AD7" i="3"/>
  <c r="P7" i="3" l="1"/>
  <c r="P46" i="3"/>
  <c r="P43" i="3"/>
  <c r="P38" i="3"/>
  <c r="P45" i="3"/>
  <c r="P30" i="3"/>
  <c r="P8" i="3"/>
  <c r="P44" i="3"/>
  <c r="P37" i="3"/>
  <c r="P16" i="3"/>
  <c r="P25" i="3"/>
  <c r="P9" i="3"/>
  <c r="P10" i="3"/>
  <c r="P11" i="3"/>
  <c r="P12" i="3"/>
  <c r="P13" i="3"/>
  <c r="P14" i="3"/>
  <c r="P42" i="3"/>
  <c r="P15" i="3"/>
  <c r="P18" i="3"/>
  <c r="P29" i="3"/>
  <c r="P41" i="3"/>
  <c r="P39" i="3"/>
  <c r="P47" i="3"/>
  <c r="P28" i="3"/>
  <c r="P31" i="3"/>
  <c r="P17" i="3"/>
  <c r="P34" i="3"/>
  <c r="P36" i="3"/>
  <c r="P20" i="3"/>
  <c r="P40" i="3"/>
  <c r="P26" i="3"/>
  <c r="P21" i="3"/>
  <c r="P33" i="3"/>
  <c r="P24" i="3"/>
  <c r="P35" i="3"/>
  <c r="P27" i="3"/>
  <c r="P19" i="3"/>
  <c r="P22" i="3"/>
  <c r="P23" i="3"/>
  <c r="P1654" i="8"/>
  <c r="O1654" i="8"/>
  <c r="O1653" i="8"/>
  <c r="P1653" i="8" s="1"/>
  <c r="P1652" i="8"/>
  <c r="O1652" i="8"/>
  <c r="O1651" i="8"/>
  <c r="P1651" i="8" s="1"/>
  <c r="P1650" i="8"/>
  <c r="O1650" i="8"/>
  <c r="O1649" i="8"/>
  <c r="P1649" i="8" s="1"/>
  <c r="P1648" i="8"/>
  <c r="O1648" i="8"/>
  <c r="O1647" i="8"/>
  <c r="P1647" i="8" s="1"/>
  <c r="P1646" i="8"/>
  <c r="O1646" i="8"/>
  <c r="O1645" i="8"/>
  <c r="P1645" i="8" s="1"/>
  <c r="P1644" i="8"/>
  <c r="O1644" i="8"/>
  <c r="O1643" i="8"/>
  <c r="P1643" i="8" s="1"/>
  <c r="P1642" i="8"/>
  <c r="O1642" i="8"/>
  <c r="O1641" i="8"/>
  <c r="P1641" i="8" s="1"/>
  <c r="P1640" i="8"/>
  <c r="O1640" i="8"/>
  <c r="O1639" i="8"/>
  <c r="P1639" i="8" s="1"/>
  <c r="P1638" i="8"/>
  <c r="O1638" i="8"/>
  <c r="O1637" i="8"/>
  <c r="P1637" i="8" s="1"/>
  <c r="P1636" i="8"/>
  <c r="O1636" i="8"/>
  <c r="O1635" i="8"/>
  <c r="P1635" i="8" s="1"/>
  <c r="P1634" i="8"/>
  <c r="O1634" i="8"/>
  <c r="O1633" i="8"/>
  <c r="P1633" i="8" s="1"/>
  <c r="P1632" i="8"/>
  <c r="O1632" i="8"/>
  <c r="O1631" i="8"/>
  <c r="P1631" i="8" s="1"/>
  <c r="P1630" i="8"/>
  <c r="O1630" i="8"/>
  <c r="O1629" i="8"/>
  <c r="P1629" i="8" s="1"/>
  <c r="P1628" i="8"/>
  <c r="O1628" i="8"/>
  <c r="O1627" i="8"/>
  <c r="P1627" i="8" s="1"/>
  <c r="P1626" i="8"/>
  <c r="O1626" i="8"/>
  <c r="O1625" i="8"/>
  <c r="P1625" i="8" s="1"/>
  <c r="P1624" i="8"/>
  <c r="O1624" i="8"/>
  <c r="O1623" i="8"/>
  <c r="P1623" i="8" s="1"/>
  <c r="P1622" i="8"/>
  <c r="O1622" i="8"/>
  <c r="O1621" i="8"/>
  <c r="P1621" i="8" s="1"/>
  <c r="P1620" i="8"/>
  <c r="O1620" i="8"/>
  <c r="O1619" i="8"/>
  <c r="P1619" i="8" s="1"/>
  <c r="P1618" i="8"/>
  <c r="O1618" i="8"/>
  <c r="O1617" i="8"/>
  <c r="P1617" i="8" s="1"/>
  <c r="P1616" i="8"/>
  <c r="O1616" i="8"/>
  <c r="O1615" i="8"/>
  <c r="P1615" i="8" s="1"/>
  <c r="P1614" i="8"/>
  <c r="O1614" i="8"/>
  <c r="O1613" i="8"/>
  <c r="P1613" i="8" s="1"/>
  <c r="P1612" i="8"/>
  <c r="O1612" i="8"/>
  <c r="O1611" i="8"/>
  <c r="P1611" i="8" s="1"/>
  <c r="P1610" i="8"/>
  <c r="O1610" i="8"/>
  <c r="O1609" i="8"/>
  <c r="P1609" i="8" s="1"/>
  <c r="P1608" i="8"/>
  <c r="O1608" i="8"/>
  <c r="O1607" i="8"/>
  <c r="P1607" i="8" s="1"/>
  <c r="P1606" i="8"/>
  <c r="O1606" i="8"/>
  <c r="O1605" i="8"/>
  <c r="P1605" i="8" s="1"/>
  <c r="P1604" i="8"/>
  <c r="O1604" i="8"/>
  <c r="O1603" i="8"/>
  <c r="P1603" i="8" s="1"/>
  <c r="P1602" i="8"/>
  <c r="O1602" i="8"/>
  <c r="O1601" i="8"/>
  <c r="P1601" i="8" s="1"/>
  <c r="P1600" i="8"/>
  <c r="O1600" i="8"/>
  <c r="O1599" i="8"/>
  <c r="P1599" i="8" s="1"/>
  <c r="P1598" i="8"/>
  <c r="O1598" i="8"/>
  <c r="O1597" i="8"/>
  <c r="P1597" i="8" s="1"/>
  <c r="P1596" i="8"/>
  <c r="O1596" i="8"/>
  <c r="O1595" i="8"/>
  <c r="P1595" i="8" s="1"/>
  <c r="P1594" i="8"/>
  <c r="O1594" i="8"/>
  <c r="O1593" i="8"/>
  <c r="P1593" i="8" s="1"/>
  <c r="P1592" i="8"/>
  <c r="O1592" i="8"/>
  <c r="O1591" i="8"/>
  <c r="P1591" i="8" s="1"/>
  <c r="P1590" i="8"/>
  <c r="O1590" i="8"/>
  <c r="O1589" i="8"/>
  <c r="P1589" i="8" s="1"/>
  <c r="P1588" i="8"/>
  <c r="O1588" i="8"/>
  <c r="O1587" i="8"/>
  <c r="P1587" i="8" s="1"/>
  <c r="P1586" i="8"/>
  <c r="O1586" i="8"/>
  <c r="O1585" i="8"/>
  <c r="P1585" i="8" s="1"/>
  <c r="P1584" i="8"/>
  <c r="O1584" i="8"/>
  <c r="O1583" i="8"/>
  <c r="P1583" i="8" s="1"/>
  <c r="P1582" i="8"/>
  <c r="O1582" i="8"/>
  <c r="O1581" i="8"/>
  <c r="P1581" i="8" s="1"/>
  <c r="P1580" i="8"/>
  <c r="O1580" i="8"/>
  <c r="O1579" i="8"/>
  <c r="P1579" i="8" s="1"/>
  <c r="P1578" i="8"/>
  <c r="O1578" i="8"/>
  <c r="O1577" i="8"/>
  <c r="P1577" i="8" s="1"/>
  <c r="P1576" i="8"/>
  <c r="O1576" i="8"/>
  <c r="O1575" i="8"/>
  <c r="P1575" i="8" s="1"/>
  <c r="P1574" i="8"/>
  <c r="O1574" i="8"/>
  <c r="O1573" i="8"/>
  <c r="P1573" i="8" s="1"/>
  <c r="P1572" i="8"/>
  <c r="O1572" i="8"/>
  <c r="O1571" i="8"/>
  <c r="P1571" i="8" s="1"/>
  <c r="P1570" i="8"/>
  <c r="O1570" i="8"/>
  <c r="O1569" i="8"/>
  <c r="P1569" i="8" s="1"/>
  <c r="P1568" i="8"/>
  <c r="O1568" i="8"/>
  <c r="O1567" i="8"/>
  <c r="P1567" i="8" s="1"/>
  <c r="P1566" i="8"/>
  <c r="O1566" i="8"/>
  <c r="O1565" i="8"/>
  <c r="P1565" i="8" s="1"/>
  <c r="P1564" i="8"/>
  <c r="O1564" i="8"/>
  <c r="O1563" i="8"/>
  <c r="P1563" i="8" s="1"/>
  <c r="P1562" i="8"/>
  <c r="O1562" i="8"/>
  <c r="O1561" i="8"/>
  <c r="P1561" i="8" s="1"/>
  <c r="P1560" i="8"/>
  <c r="O1560" i="8"/>
  <c r="O1559" i="8"/>
  <c r="P1559" i="8" s="1"/>
  <c r="P1558" i="8"/>
  <c r="O1558" i="8"/>
  <c r="O1557" i="8"/>
  <c r="P1557" i="8" s="1"/>
  <c r="P1556" i="8"/>
  <c r="O1556" i="8"/>
  <c r="O1555" i="8"/>
  <c r="P1555" i="8" s="1"/>
  <c r="P1554" i="8"/>
  <c r="O1554" i="8"/>
  <c r="O1553" i="8"/>
  <c r="P1553" i="8" s="1"/>
  <c r="P1552" i="8"/>
  <c r="O1552" i="8"/>
  <c r="O1551" i="8"/>
  <c r="P1551" i="8" s="1"/>
  <c r="P1550" i="8"/>
  <c r="O1550" i="8"/>
  <c r="O1549" i="8"/>
  <c r="P1549" i="8" s="1"/>
  <c r="P1548" i="8"/>
  <c r="O1548" i="8"/>
  <c r="O1547" i="8"/>
  <c r="P1547" i="8" s="1"/>
  <c r="P1546" i="8"/>
  <c r="O1546" i="8"/>
  <c r="O1545" i="8"/>
  <c r="P1545" i="8" s="1"/>
  <c r="P1544" i="8"/>
  <c r="O1544" i="8"/>
  <c r="O1543" i="8"/>
  <c r="P1543" i="8" s="1"/>
  <c r="P1542" i="8"/>
  <c r="O1542" i="8"/>
  <c r="O1541" i="8"/>
  <c r="P1541" i="8" s="1"/>
  <c r="P1540" i="8"/>
  <c r="O1540" i="8"/>
  <c r="O1539" i="8"/>
  <c r="P1539" i="8" s="1"/>
  <c r="P1538" i="8"/>
  <c r="O1538" i="8"/>
  <c r="O1537" i="8"/>
  <c r="P1537" i="8" s="1"/>
  <c r="P1536" i="8"/>
  <c r="O1536" i="8"/>
  <c r="O1535" i="8"/>
  <c r="P1535" i="8" s="1"/>
  <c r="P1534" i="8"/>
  <c r="O1534" i="8"/>
  <c r="O1533" i="8"/>
  <c r="P1533" i="8" s="1"/>
  <c r="P1532" i="8"/>
  <c r="O1532" i="8"/>
  <c r="O1531" i="8"/>
  <c r="P1531" i="8" s="1"/>
  <c r="P1530" i="8"/>
  <c r="O1530" i="8"/>
  <c r="O1529" i="8"/>
  <c r="P1529" i="8" s="1"/>
  <c r="P1528" i="8"/>
  <c r="O1528" i="8"/>
  <c r="O1527" i="8"/>
  <c r="P1527" i="8" s="1"/>
  <c r="P1526" i="8"/>
  <c r="O1526" i="8"/>
  <c r="O1525" i="8"/>
  <c r="P1525" i="8" s="1"/>
  <c r="P1524" i="8"/>
  <c r="O1524" i="8"/>
  <c r="O1523" i="8"/>
  <c r="P1523" i="8" s="1"/>
  <c r="P1522" i="8"/>
  <c r="O1522" i="8"/>
  <c r="O1521" i="8"/>
  <c r="P1521" i="8" s="1"/>
  <c r="P1520" i="8"/>
  <c r="O1520" i="8"/>
  <c r="O1519" i="8"/>
  <c r="P1519" i="8" s="1"/>
  <c r="P1518" i="8"/>
  <c r="O1518" i="8"/>
  <c r="O1517" i="8"/>
  <c r="P1517" i="8" s="1"/>
  <c r="P1516" i="8"/>
  <c r="O1516" i="8"/>
  <c r="O1515" i="8"/>
  <c r="P1515" i="8" s="1"/>
  <c r="P1514" i="8"/>
  <c r="O1514" i="8"/>
  <c r="O1513" i="8"/>
  <c r="P1513" i="8" s="1"/>
  <c r="P1512" i="8"/>
  <c r="O1512" i="8"/>
  <c r="O1511" i="8"/>
  <c r="P1511" i="8" s="1"/>
  <c r="P1510" i="8"/>
  <c r="O1510" i="8"/>
  <c r="O1509" i="8"/>
  <c r="P1509" i="8" s="1"/>
  <c r="P1508" i="8"/>
  <c r="O1508" i="8"/>
  <c r="O1507" i="8"/>
  <c r="P1507" i="8" s="1"/>
  <c r="P1506" i="8"/>
  <c r="O1506" i="8"/>
  <c r="O1505" i="8"/>
  <c r="P1505" i="8" s="1"/>
  <c r="P1504" i="8"/>
  <c r="O1504" i="8"/>
  <c r="O1503" i="8"/>
  <c r="P1503" i="8" s="1"/>
  <c r="P1502" i="8"/>
  <c r="O1502" i="8"/>
  <c r="O1501" i="8"/>
  <c r="P1501" i="8" s="1"/>
  <c r="P1500" i="8"/>
  <c r="O1500" i="8"/>
  <c r="O1499" i="8"/>
  <c r="P1499" i="8" s="1"/>
  <c r="P1498" i="8"/>
  <c r="O1498" i="8"/>
  <c r="O1497" i="8"/>
  <c r="P1497" i="8" s="1"/>
  <c r="P1496" i="8"/>
  <c r="O1496" i="8"/>
  <c r="O1495" i="8"/>
  <c r="P1495" i="8" s="1"/>
  <c r="P1494" i="8"/>
  <c r="O1494" i="8"/>
  <c r="O1493" i="8"/>
  <c r="P1493" i="8" s="1"/>
  <c r="P1492" i="8"/>
  <c r="O1492" i="8"/>
  <c r="O1491" i="8"/>
  <c r="P1491" i="8" s="1"/>
  <c r="P1490" i="8"/>
  <c r="O1490" i="8"/>
  <c r="O1489" i="8"/>
  <c r="P1489" i="8" s="1"/>
  <c r="P1488" i="8"/>
  <c r="O1488" i="8"/>
  <c r="O1487" i="8"/>
  <c r="P1487" i="8" s="1"/>
  <c r="P1486" i="8"/>
  <c r="O1486" i="8"/>
  <c r="O1485" i="8"/>
  <c r="P1485" i="8" s="1"/>
  <c r="P1484" i="8"/>
  <c r="O1484" i="8"/>
  <c r="O1483" i="8"/>
  <c r="P1483" i="8" s="1"/>
  <c r="P1482" i="8"/>
  <c r="O1482" i="8"/>
  <c r="O1481" i="8"/>
  <c r="P1481" i="8" s="1"/>
  <c r="P1480" i="8"/>
  <c r="O1480" i="8"/>
  <c r="O1479" i="8"/>
  <c r="P1479" i="8" s="1"/>
  <c r="P1478" i="8"/>
  <c r="O1478" i="8"/>
  <c r="O1477" i="8"/>
  <c r="P1477" i="8" s="1"/>
  <c r="P1476" i="8"/>
  <c r="O1476" i="8"/>
  <c r="O1475" i="8"/>
  <c r="P1475" i="8" s="1"/>
  <c r="P1474" i="8"/>
  <c r="O1474" i="8"/>
  <c r="O1473" i="8"/>
  <c r="P1473" i="8" s="1"/>
  <c r="P1472" i="8"/>
  <c r="O1472" i="8"/>
  <c r="O1471" i="8"/>
  <c r="P1471" i="8" s="1"/>
  <c r="P1470" i="8"/>
  <c r="O1470" i="8"/>
  <c r="O1469" i="8"/>
  <c r="P1469" i="8" s="1"/>
  <c r="P1468" i="8"/>
  <c r="O1468" i="8"/>
  <c r="O1467" i="8"/>
  <c r="P1467" i="8" s="1"/>
  <c r="P1466" i="8"/>
  <c r="O1466" i="8"/>
  <c r="O1465" i="8"/>
  <c r="P1465" i="8" s="1"/>
  <c r="P1464" i="8"/>
  <c r="O1464" i="8"/>
  <c r="O1463" i="8"/>
  <c r="P1463" i="8" s="1"/>
  <c r="P1462" i="8"/>
  <c r="O1462" i="8"/>
  <c r="O1461" i="8"/>
  <c r="P1461" i="8" s="1"/>
  <c r="P1460" i="8"/>
  <c r="O1460" i="8"/>
  <c r="O1459" i="8"/>
  <c r="P1459" i="8" s="1"/>
  <c r="P1458" i="8"/>
  <c r="O1458" i="8"/>
  <c r="O1457" i="8"/>
  <c r="P1457" i="8" s="1"/>
  <c r="P1456" i="8"/>
  <c r="O1456" i="8"/>
  <c r="O1455" i="8"/>
  <c r="P1455" i="8" s="1"/>
  <c r="P1454" i="8"/>
  <c r="O1454" i="8"/>
  <c r="O1453" i="8"/>
  <c r="P1453" i="8" s="1"/>
  <c r="P1452" i="8"/>
  <c r="O1452" i="8"/>
  <c r="O1451" i="8"/>
  <c r="P1451" i="8" s="1"/>
  <c r="P1450" i="8"/>
  <c r="O1450" i="8"/>
  <c r="O1449" i="8"/>
  <c r="P1449" i="8" s="1"/>
  <c r="P1448" i="8"/>
  <c r="O1448" i="8"/>
  <c r="O1447" i="8"/>
  <c r="P1447" i="8" s="1"/>
  <c r="P1446" i="8"/>
  <c r="O1446" i="8"/>
  <c r="O1445" i="8"/>
  <c r="P1445" i="8" s="1"/>
  <c r="P1444" i="8"/>
  <c r="O1444" i="8"/>
  <c r="O1443" i="8"/>
  <c r="P1443" i="8" s="1"/>
  <c r="P1442" i="8"/>
  <c r="O1442" i="8"/>
  <c r="O1441" i="8"/>
  <c r="P1441" i="8" s="1"/>
  <c r="P1440" i="8"/>
  <c r="O1440" i="8"/>
  <c r="O1439" i="8"/>
  <c r="P1439" i="8" s="1"/>
  <c r="P1438" i="8"/>
  <c r="O1438" i="8"/>
  <c r="O1437" i="8"/>
  <c r="P1437" i="8" s="1"/>
  <c r="P1436" i="8"/>
  <c r="O1436" i="8"/>
  <c r="O1435" i="8"/>
  <c r="P1435" i="8" s="1"/>
  <c r="P1434" i="8"/>
  <c r="O1434" i="8"/>
  <c r="O1433" i="8"/>
  <c r="P1433" i="8" s="1"/>
  <c r="P1432" i="8"/>
  <c r="O1432" i="8"/>
  <c r="O1431" i="8"/>
  <c r="P1431" i="8" s="1"/>
  <c r="P1430" i="8"/>
  <c r="O1430" i="8"/>
  <c r="O1429" i="8"/>
  <c r="P1429" i="8" s="1"/>
  <c r="P1428" i="8"/>
  <c r="O1428" i="8"/>
  <c r="O1427" i="8"/>
  <c r="P1427" i="8" s="1"/>
  <c r="P1426" i="8"/>
  <c r="O1426" i="8"/>
  <c r="O1425" i="8"/>
  <c r="P1425" i="8" s="1"/>
  <c r="P1424" i="8"/>
  <c r="O1424" i="8"/>
  <c r="O1423" i="8"/>
  <c r="P1423" i="8" s="1"/>
  <c r="P1422" i="8"/>
  <c r="O1422" i="8"/>
  <c r="O1421" i="8"/>
  <c r="P1421" i="8" s="1"/>
  <c r="P1420" i="8"/>
  <c r="O1420" i="8"/>
  <c r="O1419" i="8"/>
  <c r="P1419" i="8" s="1"/>
  <c r="P1418" i="8"/>
  <c r="O1418" i="8"/>
  <c r="O1417" i="8"/>
  <c r="P1417" i="8" s="1"/>
  <c r="P1416" i="8"/>
  <c r="O1416" i="8"/>
  <c r="O1415" i="8"/>
  <c r="P1415" i="8" s="1"/>
  <c r="P1414" i="8"/>
  <c r="O1414" i="8"/>
  <c r="O1413" i="8"/>
  <c r="P1413" i="8" s="1"/>
  <c r="P1412" i="8"/>
  <c r="O1412" i="8"/>
  <c r="O1411" i="8"/>
  <c r="P1411" i="8" s="1"/>
  <c r="P1410" i="8"/>
  <c r="O1410" i="8"/>
  <c r="O1409" i="8"/>
  <c r="P1409" i="8" s="1"/>
  <c r="P1408" i="8"/>
  <c r="O1408" i="8"/>
  <c r="O1407" i="8"/>
  <c r="P1407" i="8" s="1"/>
  <c r="P1406" i="8"/>
  <c r="O1406" i="8"/>
  <c r="O1405" i="8"/>
  <c r="P1405" i="8" s="1"/>
  <c r="P1404" i="8"/>
  <c r="O1404" i="8"/>
  <c r="O1403" i="8"/>
  <c r="P1403" i="8" s="1"/>
  <c r="P1402" i="8"/>
  <c r="O1402" i="8"/>
  <c r="O1401" i="8"/>
  <c r="P1401" i="8" s="1"/>
  <c r="P1400" i="8"/>
  <c r="O1400" i="8"/>
  <c r="O1399" i="8"/>
  <c r="P1399" i="8" s="1"/>
  <c r="P1398" i="8"/>
  <c r="O1398" i="8"/>
  <c r="O1397" i="8"/>
  <c r="P1397" i="8" s="1"/>
  <c r="P1396" i="8"/>
  <c r="O1396" i="8"/>
  <c r="O1395" i="8"/>
  <c r="P1395" i="8" s="1"/>
  <c r="P1394" i="8"/>
  <c r="O1394" i="8"/>
  <c r="O1393" i="8"/>
  <c r="P1393" i="8" s="1"/>
  <c r="P1392" i="8"/>
  <c r="O1392" i="8"/>
  <c r="O1391" i="8"/>
  <c r="P1391" i="8" s="1"/>
  <c r="P1390" i="8"/>
  <c r="O1390" i="8"/>
  <c r="O1389" i="8"/>
  <c r="P1389" i="8" s="1"/>
  <c r="P1388" i="8"/>
  <c r="O1388" i="8"/>
  <c r="O1387" i="8"/>
  <c r="P1387" i="8" s="1"/>
  <c r="P1386" i="8"/>
  <c r="O1386" i="8"/>
  <c r="O1385" i="8"/>
  <c r="P1385" i="8" s="1"/>
  <c r="P1384" i="8"/>
  <c r="O1384" i="8"/>
  <c r="O1383" i="8"/>
  <c r="P1383" i="8" s="1"/>
  <c r="P1382" i="8"/>
  <c r="O1382" i="8"/>
  <c r="O1381" i="8"/>
  <c r="P1381" i="8" s="1"/>
  <c r="P1380" i="8"/>
  <c r="O1380" i="8"/>
  <c r="O1379" i="8"/>
  <c r="P1379" i="8" s="1"/>
  <c r="P1378" i="8"/>
  <c r="O1378" i="8"/>
  <c r="O1377" i="8"/>
  <c r="P1377" i="8" s="1"/>
  <c r="P1376" i="8"/>
  <c r="O1376" i="8"/>
  <c r="O1375" i="8"/>
  <c r="P1375" i="8" s="1"/>
  <c r="P1374" i="8"/>
  <c r="O1374" i="8"/>
  <c r="O1373" i="8"/>
  <c r="P1373" i="8" s="1"/>
  <c r="P1372" i="8"/>
  <c r="O1372" i="8"/>
  <c r="O1371" i="8"/>
  <c r="P1371" i="8" s="1"/>
  <c r="P1370" i="8"/>
  <c r="O1370" i="8"/>
  <c r="O1369" i="8"/>
  <c r="P1369" i="8" s="1"/>
  <c r="P1368" i="8"/>
  <c r="O1368" i="8"/>
  <c r="O1367" i="8"/>
  <c r="P1367" i="8" s="1"/>
  <c r="P1366" i="8"/>
  <c r="O1366" i="8"/>
  <c r="O1365" i="8"/>
  <c r="P1365" i="8" s="1"/>
  <c r="P1364" i="8"/>
  <c r="O1364" i="8"/>
  <c r="O1363" i="8"/>
  <c r="P1363" i="8" s="1"/>
  <c r="P1362" i="8"/>
  <c r="O1362" i="8"/>
  <c r="O1361" i="8"/>
  <c r="P1361" i="8" s="1"/>
  <c r="P1360" i="8"/>
  <c r="O1360" i="8"/>
  <c r="O1359" i="8"/>
  <c r="P1359" i="8" s="1"/>
  <c r="P1358" i="8"/>
  <c r="O1358" i="8"/>
  <c r="O1357" i="8"/>
  <c r="P1357" i="8" s="1"/>
  <c r="P1356" i="8"/>
  <c r="O1356" i="8"/>
  <c r="O1355" i="8"/>
  <c r="P1355" i="8" s="1"/>
  <c r="P1354" i="8"/>
  <c r="O1354" i="8"/>
  <c r="O1353" i="8"/>
  <c r="P1353" i="8" s="1"/>
  <c r="P1352" i="8"/>
  <c r="O1352" i="8"/>
  <c r="O1351" i="8"/>
  <c r="P1351" i="8" s="1"/>
  <c r="P1350" i="8"/>
  <c r="O1350" i="8"/>
  <c r="O1349" i="8"/>
  <c r="P1349" i="8" s="1"/>
  <c r="P1348" i="8"/>
  <c r="O1348" i="8"/>
  <c r="O1347" i="8"/>
  <c r="P1347" i="8" s="1"/>
  <c r="P1346" i="8"/>
  <c r="O1346" i="8"/>
  <c r="O1345" i="8"/>
  <c r="P1345" i="8" s="1"/>
  <c r="P1344" i="8"/>
  <c r="O1344" i="8"/>
  <c r="O1343" i="8"/>
  <c r="P1343" i="8" s="1"/>
  <c r="P1342" i="8"/>
  <c r="O1342" i="8"/>
  <c r="O1341" i="8"/>
  <c r="P1341" i="8" s="1"/>
  <c r="P1340" i="8"/>
  <c r="O1340" i="8"/>
  <c r="O1339" i="8"/>
  <c r="P1339" i="8" s="1"/>
  <c r="P1338" i="8"/>
  <c r="O1338" i="8"/>
  <c r="O1337" i="8"/>
  <c r="P1337" i="8" s="1"/>
  <c r="P1336" i="8"/>
  <c r="O1336" i="8"/>
  <c r="O1335" i="8"/>
  <c r="P1335" i="8" s="1"/>
  <c r="P1334" i="8"/>
  <c r="O1334" i="8"/>
  <c r="O1333" i="8"/>
  <c r="P1333" i="8" s="1"/>
  <c r="P1332" i="8"/>
  <c r="O1332" i="8"/>
  <c r="O1331" i="8"/>
  <c r="P1331" i="8" s="1"/>
  <c r="P1330" i="8"/>
  <c r="O1330" i="8"/>
  <c r="O1329" i="8"/>
  <c r="P1329" i="8" s="1"/>
  <c r="P1328" i="8"/>
  <c r="O1328" i="8"/>
  <c r="O1327" i="8"/>
  <c r="P1327" i="8" s="1"/>
  <c r="P1326" i="8"/>
  <c r="O1326" i="8"/>
  <c r="O1325" i="8"/>
  <c r="P1325" i="8" s="1"/>
  <c r="P1324" i="8"/>
  <c r="O1324" i="8"/>
  <c r="O1323" i="8"/>
  <c r="P1323" i="8" s="1"/>
  <c r="P1322" i="8"/>
  <c r="O1322" i="8"/>
  <c r="O1321" i="8"/>
  <c r="P1321" i="8" s="1"/>
  <c r="P1320" i="8"/>
  <c r="O1320" i="8"/>
  <c r="O1319" i="8"/>
  <c r="P1319" i="8" s="1"/>
  <c r="P1318" i="8"/>
  <c r="O1318" i="8"/>
  <c r="O1317" i="8"/>
  <c r="P1317" i="8" s="1"/>
  <c r="P1316" i="8"/>
  <c r="O1316" i="8"/>
  <c r="O1315" i="8"/>
  <c r="P1315" i="8" s="1"/>
  <c r="P1314" i="8"/>
  <c r="O1314" i="8"/>
  <c r="O1313" i="8"/>
  <c r="P1313" i="8" s="1"/>
  <c r="P1312" i="8"/>
  <c r="O1312" i="8"/>
  <c r="O1311" i="8"/>
  <c r="P1311" i="8" s="1"/>
  <c r="P1310" i="8"/>
  <c r="O1310" i="8"/>
  <c r="O1309" i="8"/>
  <c r="P1309" i="8" s="1"/>
  <c r="P1308" i="8"/>
  <c r="O1308" i="8"/>
  <c r="O1307" i="8"/>
  <c r="P1307" i="8" s="1"/>
  <c r="P1306" i="8"/>
  <c r="O1306" i="8"/>
  <c r="O1305" i="8"/>
  <c r="P1305" i="8" s="1"/>
  <c r="P1304" i="8"/>
  <c r="O1304" i="8"/>
  <c r="O1303" i="8"/>
  <c r="P1303" i="8" s="1"/>
  <c r="P1302" i="8"/>
  <c r="O1302" i="8"/>
  <c r="O1301" i="8"/>
  <c r="P1301" i="8" s="1"/>
  <c r="P1300" i="8"/>
  <c r="O1300" i="8"/>
  <c r="O1299" i="8"/>
  <c r="P1299" i="8" s="1"/>
  <c r="P1298" i="8"/>
  <c r="O1298" i="8"/>
  <c r="O1297" i="8"/>
  <c r="P1297" i="8" s="1"/>
  <c r="P1296" i="8"/>
  <c r="O1296" i="8"/>
  <c r="O1295" i="8"/>
  <c r="P1295" i="8" s="1"/>
  <c r="P1294" i="8"/>
  <c r="O1294" i="8"/>
  <c r="O1293" i="8"/>
  <c r="P1293" i="8" s="1"/>
  <c r="P1292" i="8"/>
  <c r="O1292" i="8"/>
  <c r="O1291" i="8"/>
  <c r="P1291" i="8" s="1"/>
  <c r="P1290" i="8"/>
  <c r="O1290" i="8"/>
  <c r="O1289" i="8"/>
  <c r="P1289" i="8" s="1"/>
  <c r="P1288" i="8"/>
  <c r="O1288" i="8"/>
  <c r="O1287" i="8"/>
  <c r="P1287" i="8" s="1"/>
  <c r="P1286" i="8"/>
  <c r="O1286" i="8"/>
  <c r="O1285" i="8"/>
  <c r="P1285" i="8" s="1"/>
  <c r="P1284" i="8"/>
  <c r="O1284" i="8"/>
  <c r="O1283" i="8"/>
  <c r="P1283" i="8" s="1"/>
  <c r="P1282" i="8"/>
  <c r="O1282" i="8"/>
  <c r="O1281" i="8"/>
  <c r="P1281" i="8" s="1"/>
  <c r="P1280" i="8"/>
  <c r="O1280" i="8"/>
  <c r="O1279" i="8"/>
  <c r="P1279" i="8" s="1"/>
  <c r="P1278" i="8"/>
  <c r="O1278" i="8"/>
  <c r="W1277" i="8"/>
  <c r="W1276" i="8"/>
  <c r="W1275" i="8"/>
  <c r="W1274" i="8"/>
  <c r="W1273" i="8"/>
  <c r="W1272" i="8"/>
  <c r="W1271" i="8"/>
  <c r="W1270" i="8"/>
  <c r="W1269" i="8"/>
  <c r="W1268" i="8"/>
  <c r="W1267" i="8"/>
  <c r="W1266" i="8"/>
  <c r="W1265" i="8"/>
  <c r="W1264" i="8"/>
  <c r="W1263" i="8"/>
  <c r="W1262" i="8"/>
  <c r="W1261" i="8"/>
  <c r="W1260" i="8"/>
  <c r="W1259" i="8"/>
  <c r="W1258" i="8"/>
  <c r="W1257" i="8"/>
  <c r="W1256" i="8"/>
  <c r="W1255" i="8"/>
  <c r="W1254" i="8"/>
  <c r="W1253" i="8"/>
  <c r="W1252" i="8"/>
  <c r="W1251" i="8"/>
  <c r="W1250" i="8"/>
  <c r="W1249" i="8"/>
  <c r="W1248" i="8"/>
  <c r="W1247" i="8"/>
  <c r="W1246" i="8"/>
  <c r="W1245" i="8"/>
  <c r="W1244" i="8"/>
  <c r="W1243" i="8"/>
  <c r="W1242" i="8"/>
  <c r="W1241" i="8"/>
  <c r="W1240" i="8"/>
  <c r="W1239" i="8"/>
  <c r="W1238" i="8"/>
  <c r="W1237" i="8"/>
  <c r="W1236" i="8"/>
  <c r="W1235" i="8"/>
  <c r="W1234" i="8"/>
  <c r="W1233" i="8"/>
  <c r="W1232" i="8"/>
  <c r="W1231" i="8"/>
  <c r="W1230" i="8"/>
  <c r="W1229" i="8"/>
  <c r="W1228" i="8"/>
  <c r="W1227" i="8"/>
  <c r="W1226" i="8"/>
  <c r="W1225" i="8"/>
  <c r="W1224" i="8"/>
  <c r="W1223" i="8"/>
  <c r="W1222" i="8"/>
  <c r="W1221" i="8"/>
  <c r="W1220" i="8"/>
  <c r="W1219" i="8"/>
  <c r="W1218" i="8"/>
  <c r="W1217" i="8"/>
  <c r="W1216" i="8"/>
  <c r="W1215" i="8"/>
  <c r="W1214" i="8"/>
  <c r="W1213" i="8"/>
  <c r="W1212" i="8"/>
  <c r="W1211" i="8"/>
  <c r="W1210" i="8"/>
  <c r="W1209" i="8"/>
  <c r="W1208" i="8"/>
  <c r="W1207" i="8"/>
  <c r="W1206" i="8"/>
  <c r="W1205" i="8"/>
  <c r="W1204" i="8"/>
  <c r="W1203" i="8"/>
  <c r="W1202" i="8"/>
  <c r="W1201" i="8"/>
  <c r="W1200" i="8"/>
  <c r="W1199" i="8"/>
  <c r="W1198" i="8"/>
  <c r="W1197" i="8"/>
  <c r="W1196" i="8"/>
  <c r="W1195" i="8"/>
  <c r="W1194" i="8"/>
  <c r="W1193" i="8"/>
  <c r="W1192" i="8"/>
  <c r="W1191" i="8"/>
  <c r="W1190" i="8"/>
  <c r="W1189" i="8"/>
  <c r="W1188" i="8"/>
  <c r="W1187" i="8"/>
  <c r="W1186" i="8"/>
  <c r="W1185" i="8"/>
  <c r="W1184" i="8"/>
  <c r="W1183" i="8"/>
  <c r="W1182" i="8"/>
  <c r="W1181" i="8"/>
  <c r="W1180" i="8"/>
  <c r="W1179" i="8"/>
  <c r="W1178" i="8"/>
  <c r="W1177" i="8"/>
  <c r="W1176" i="8"/>
  <c r="W1175" i="8"/>
  <c r="W1174" i="8"/>
  <c r="W1173" i="8"/>
  <c r="W1172" i="8"/>
  <c r="W1171" i="8"/>
  <c r="W1170" i="8"/>
  <c r="W1169" i="8"/>
  <c r="W1168" i="8"/>
  <c r="W1167" i="8"/>
  <c r="W1166" i="8"/>
  <c r="W1165" i="8"/>
  <c r="W1164" i="8"/>
  <c r="W1163" i="8"/>
  <c r="W1162" i="8"/>
  <c r="W1161" i="8"/>
  <c r="W1160" i="8"/>
  <c r="W1159" i="8"/>
  <c r="W1158" i="8"/>
  <c r="W1157" i="8"/>
  <c r="W1156" i="8"/>
  <c r="W1155" i="8"/>
  <c r="W1154" i="8"/>
  <c r="W1153" i="8"/>
  <c r="W1152" i="8"/>
  <c r="W1151" i="8"/>
  <c r="W1150" i="8"/>
  <c r="W1149" i="8"/>
  <c r="W1148" i="8"/>
  <c r="W1147" i="8"/>
  <c r="W1146" i="8"/>
  <c r="W1145" i="8"/>
  <c r="W1144" i="8"/>
  <c r="W1143" i="8"/>
  <c r="W1142" i="8"/>
  <c r="W1141" i="8"/>
  <c r="W1140" i="8"/>
  <c r="W1139" i="8"/>
  <c r="W1138" i="8"/>
  <c r="W1137" i="8"/>
  <c r="W1136" i="8"/>
  <c r="W1135" i="8"/>
  <c r="W1134" i="8"/>
  <c r="W1133" i="8"/>
  <c r="W1132" i="8"/>
  <c r="W1131" i="8"/>
  <c r="W1130" i="8"/>
  <c r="W1129" i="8"/>
  <c r="W1128" i="8"/>
  <c r="W1127" i="8"/>
  <c r="W1126" i="8"/>
  <c r="W1125" i="8"/>
  <c r="W1124" i="8"/>
  <c r="W1123" i="8"/>
  <c r="W1122" i="8"/>
  <c r="W1121" i="8"/>
  <c r="W1120" i="8"/>
  <c r="W1119" i="8"/>
  <c r="W1118" i="8"/>
  <c r="W1117" i="8"/>
  <c r="W1116" i="8"/>
  <c r="W1115" i="8"/>
  <c r="W1114" i="8"/>
  <c r="W1113" i="8"/>
  <c r="W1112" i="8"/>
  <c r="W1111" i="8"/>
  <c r="W1110" i="8"/>
  <c r="W1109" i="8"/>
  <c r="W1108" i="8"/>
  <c r="W1107" i="8"/>
  <c r="W1106" i="8"/>
  <c r="W1105" i="8"/>
  <c r="W1104" i="8"/>
  <c r="W1103" i="8"/>
  <c r="W1102" i="8"/>
  <c r="W1101" i="8"/>
  <c r="W1100" i="8"/>
  <c r="W1099" i="8"/>
  <c r="W1098" i="8"/>
  <c r="W1097" i="8"/>
  <c r="W1096" i="8"/>
  <c r="W1095" i="8"/>
  <c r="W1094" i="8"/>
  <c r="W1093" i="8"/>
  <c r="W1092" i="8"/>
  <c r="W1091" i="8"/>
  <c r="W1090" i="8"/>
  <c r="W1089" i="8"/>
  <c r="W1088" i="8"/>
  <c r="W1087" i="8"/>
  <c r="W1086" i="8"/>
  <c r="W1085" i="8"/>
  <c r="W1084" i="8"/>
  <c r="W1083" i="8"/>
  <c r="W1082" i="8"/>
  <c r="W1081" i="8"/>
  <c r="W1080" i="8"/>
  <c r="W1079" i="8"/>
  <c r="W1078" i="8"/>
  <c r="W1077" i="8"/>
  <c r="W1076" i="8"/>
  <c r="W1075" i="8"/>
  <c r="W1074" i="8"/>
  <c r="W1073" i="8"/>
  <c r="W1072" i="8"/>
  <c r="W1071" i="8"/>
  <c r="W1070" i="8"/>
  <c r="W1069" i="8"/>
  <c r="W1068" i="8"/>
  <c r="W1067" i="8"/>
  <c r="W1066" i="8"/>
  <c r="W1065" i="8"/>
  <c r="W1064" i="8"/>
  <c r="W1063" i="8"/>
  <c r="W1062" i="8"/>
  <c r="W1061" i="8"/>
  <c r="W1060" i="8"/>
  <c r="W1059" i="8"/>
  <c r="W1058" i="8"/>
  <c r="W1057" i="8"/>
  <c r="W1056" i="8"/>
  <c r="W1055" i="8"/>
  <c r="W1054" i="8"/>
  <c r="W1053" i="8"/>
  <c r="W1052" i="8"/>
  <c r="W1051" i="8"/>
  <c r="W1050" i="8"/>
  <c r="W1049" i="8"/>
  <c r="W1048" i="8"/>
  <c r="W1047" i="8"/>
  <c r="W1046" i="8"/>
  <c r="W1045" i="8"/>
  <c r="W1044" i="8"/>
  <c r="W1043" i="8"/>
  <c r="W1042" i="8"/>
  <c r="W1041" i="8"/>
  <c r="W1040" i="8"/>
  <c r="W1039" i="8"/>
  <c r="W1038" i="8"/>
  <c r="W1037" i="8"/>
  <c r="W1036" i="8"/>
  <c r="W1035" i="8"/>
  <c r="W1034" i="8"/>
  <c r="W1033" i="8"/>
  <c r="W1032" i="8"/>
  <c r="W1031" i="8"/>
  <c r="W1030" i="8"/>
  <c r="W1029" i="8"/>
  <c r="W1028" i="8"/>
  <c r="W1027" i="8"/>
  <c r="W1026" i="8"/>
  <c r="W1025" i="8"/>
  <c r="W1024" i="8"/>
  <c r="W1023" i="8"/>
  <c r="W1022" i="8"/>
  <c r="W1021" i="8"/>
  <c r="W1020" i="8"/>
  <c r="W1019" i="8"/>
  <c r="W1018" i="8"/>
  <c r="W1017" i="8"/>
  <c r="W1016" i="8"/>
  <c r="W1015" i="8"/>
  <c r="W1014" i="8"/>
  <c r="W1013" i="8"/>
  <c r="W1012" i="8"/>
  <c r="W1011" i="8"/>
  <c r="W1010" i="8"/>
  <c r="W1009" i="8"/>
  <c r="W1008" i="8"/>
  <c r="W1007" i="8"/>
  <c r="W1006" i="8"/>
  <c r="W1005" i="8"/>
  <c r="W1004" i="8"/>
  <c r="W1003" i="8"/>
  <c r="W1002" i="8"/>
  <c r="W1001" i="8"/>
  <c r="W1000" i="8"/>
  <c r="W999" i="8"/>
  <c r="W998" i="8"/>
  <c r="W997" i="8"/>
  <c r="W996" i="8"/>
  <c r="W995" i="8"/>
  <c r="W994" i="8"/>
  <c r="V286" i="8"/>
  <c r="U286" i="8"/>
  <c r="T286" i="8"/>
  <c r="S286" i="8"/>
  <c r="W286" i="8" s="1"/>
  <c r="R286" i="8"/>
  <c r="Q286" i="8"/>
  <c r="P286" i="8"/>
  <c r="L286" i="8"/>
  <c r="V285" i="8"/>
  <c r="U285" i="8"/>
  <c r="T285" i="8"/>
  <c r="S285" i="8"/>
  <c r="R285" i="8" s="1"/>
  <c r="Q285" i="8"/>
  <c r="P285" i="8"/>
  <c r="L285" i="8"/>
  <c r="V284" i="8"/>
  <c r="U284" i="8"/>
  <c r="W284" i="8" s="1"/>
  <c r="T284" i="8"/>
  <c r="S284" i="8"/>
  <c r="R284" i="8" s="1"/>
  <c r="Q284" i="8"/>
  <c r="P284" i="8"/>
  <c r="L284" i="8"/>
  <c r="V283" i="8"/>
  <c r="U283" i="8"/>
  <c r="W283" i="8" s="1"/>
  <c r="T283" i="8"/>
  <c r="S283" i="8"/>
  <c r="R283" i="8"/>
  <c r="Q283" i="8"/>
  <c r="P283" i="8"/>
  <c r="L283" i="8"/>
  <c r="V282" i="8"/>
  <c r="U282" i="8"/>
  <c r="T282" i="8"/>
  <c r="S282" i="8"/>
  <c r="W282" i="8" s="1"/>
  <c r="R282" i="8"/>
  <c r="Q282" i="8"/>
  <c r="P282" i="8"/>
  <c r="L282" i="8"/>
  <c r="V281" i="8"/>
  <c r="U281" i="8"/>
  <c r="T281" i="8"/>
  <c r="S281" i="8"/>
  <c r="R281" i="8" s="1"/>
  <c r="Q281" i="8"/>
  <c r="P281" i="8"/>
  <c r="L281" i="8"/>
  <c r="V280" i="8"/>
  <c r="U280" i="8"/>
  <c r="W280" i="8" s="1"/>
  <c r="T280" i="8"/>
  <c r="S280" i="8"/>
  <c r="R280" i="8" s="1"/>
  <c r="Q280" i="8"/>
  <c r="P280" i="8"/>
  <c r="L280" i="8"/>
  <c r="V279" i="8"/>
  <c r="U279" i="8"/>
  <c r="W279" i="8" s="1"/>
  <c r="T279" i="8"/>
  <c r="S279" i="8"/>
  <c r="R279" i="8"/>
  <c r="Q279" i="8"/>
  <c r="P279" i="8"/>
  <c r="L279" i="8"/>
  <c r="V278" i="8"/>
  <c r="U278" i="8"/>
  <c r="T278" i="8"/>
  <c r="S278" i="8"/>
  <c r="W278" i="8" s="1"/>
  <c r="R278" i="8"/>
  <c r="Q278" i="8"/>
  <c r="P278" i="8"/>
  <c r="L278" i="8"/>
  <c r="V277" i="8"/>
  <c r="U277" i="8"/>
  <c r="T277" i="8"/>
  <c r="S277" i="8"/>
  <c r="R277" i="8" s="1"/>
  <c r="Q277" i="8"/>
  <c r="P277" i="8"/>
  <c r="L277" i="8"/>
  <c r="V276" i="8"/>
  <c r="U276" i="8"/>
  <c r="W276" i="8" s="1"/>
  <c r="T276" i="8"/>
  <c r="S276" i="8"/>
  <c r="R276" i="8" s="1"/>
  <c r="Q276" i="8"/>
  <c r="P276" i="8"/>
  <c r="L276" i="8"/>
  <c r="V275" i="8"/>
  <c r="U275" i="8"/>
  <c r="W275" i="8" s="1"/>
  <c r="T275" i="8"/>
  <c r="S275" i="8"/>
  <c r="R275" i="8"/>
  <c r="Q275" i="8"/>
  <c r="P275" i="8"/>
  <c r="L275" i="8"/>
  <c r="V274" i="8"/>
  <c r="U274" i="8"/>
  <c r="T274" i="8"/>
  <c r="S274" i="8"/>
  <c r="W274" i="8" s="1"/>
  <c r="R274" i="8"/>
  <c r="Q274" i="8"/>
  <c r="P274" i="8"/>
  <c r="L274" i="8"/>
  <c r="V273" i="8"/>
  <c r="U273" i="8"/>
  <c r="T273" i="8"/>
  <c r="S273" i="8"/>
  <c r="R273" i="8" s="1"/>
  <c r="Q273" i="8"/>
  <c r="P273" i="8"/>
  <c r="L273" i="8"/>
  <c r="V272" i="8"/>
  <c r="U272" i="8"/>
  <c r="W272" i="8" s="1"/>
  <c r="T272" i="8"/>
  <c r="S272" i="8"/>
  <c r="R272" i="8" s="1"/>
  <c r="Q272" i="8"/>
  <c r="P272" i="8"/>
  <c r="L272" i="8"/>
  <c r="V271" i="8"/>
  <c r="U271" i="8"/>
  <c r="W271" i="8" s="1"/>
  <c r="T271" i="8"/>
  <c r="S271" i="8"/>
  <c r="R271" i="8"/>
  <c r="Q271" i="8"/>
  <c r="P271" i="8"/>
  <c r="L271" i="8"/>
  <c r="V270" i="8"/>
  <c r="U270" i="8"/>
  <c r="T270" i="8"/>
  <c r="S270" i="8"/>
  <c r="W270" i="8" s="1"/>
  <c r="R270" i="8"/>
  <c r="Q270" i="8"/>
  <c r="P270" i="8"/>
  <c r="L270" i="8"/>
  <c r="V269" i="8"/>
  <c r="U269" i="8"/>
  <c r="T269" i="8"/>
  <c r="S269" i="8"/>
  <c r="R269" i="8" s="1"/>
  <c r="Q269" i="8"/>
  <c r="P269" i="8"/>
  <c r="L269" i="8"/>
  <c r="V268" i="8"/>
  <c r="U268" i="8"/>
  <c r="W268" i="8" s="1"/>
  <c r="T268" i="8"/>
  <c r="S268" i="8"/>
  <c r="R268" i="8" s="1"/>
  <c r="Q268" i="8"/>
  <c r="P268" i="8"/>
  <c r="L268" i="8"/>
  <c r="V267" i="8"/>
  <c r="U267" i="8"/>
  <c r="W267" i="8" s="1"/>
  <c r="T267" i="8"/>
  <c r="S267" i="8"/>
  <c r="R267" i="8"/>
  <c r="Q267" i="8"/>
  <c r="P267" i="8"/>
  <c r="L267" i="8"/>
  <c r="V266" i="8"/>
  <c r="U266" i="8"/>
  <c r="T266" i="8"/>
  <c r="S266" i="8"/>
  <c r="W266" i="8" s="1"/>
  <c r="R266" i="8"/>
  <c r="Q266" i="8"/>
  <c r="P266" i="8"/>
  <c r="L266" i="8"/>
  <c r="V265" i="8"/>
  <c r="U265" i="8"/>
  <c r="T265" i="8"/>
  <c r="S265" i="8"/>
  <c r="R265" i="8" s="1"/>
  <c r="Q265" i="8"/>
  <c r="P265" i="8"/>
  <c r="L265" i="8"/>
  <c r="V264" i="8"/>
  <c r="U264" i="8"/>
  <c r="W264" i="8" s="1"/>
  <c r="T264" i="8"/>
  <c r="S264" i="8"/>
  <c r="R264" i="8" s="1"/>
  <c r="Q264" i="8"/>
  <c r="P264" i="8"/>
  <c r="L264" i="8"/>
  <c r="V263" i="8"/>
  <c r="U263" i="8"/>
  <c r="W263" i="8" s="1"/>
  <c r="T263" i="8"/>
  <c r="S263" i="8"/>
  <c r="R263" i="8"/>
  <c r="Q263" i="8"/>
  <c r="P263" i="8"/>
  <c r="L263" i="8"/>
  <c r="V262" i="8"/>
  <c r="U262" i="8"/>
  <c r="T262" i="8"/>
  <c r="S262" i="8"/>
  <c r="W262" i="8" s="1"/>
  <c r="R262" i="8"/>
  <c r="Q262" i="8"/>
  <c r="P262" i="8"/>
  <c r="L262" i="8"/>
  <c r="V261" i="8"/>
  <c r="U261" i="8"/>
  <c r="T261" i="8"/>
  <c r="S261" i="8"/>
  <c r="R261" i="8" s="1"/>
  <c r="Q261" i="8"/>
  <c r="P261" i="8"/>
  <c r="L261" i="8"/>
  <c r="V260" i="8"/>
  <c r="U260" i="8"/>
  <c r="W260" i="8" s="1"/>
  <c r="T260" i="8"/>
  <c r="S260" i="8"/>
  <c r="R260" i="8" s="1"/>
  <c r="Q260" i="8"/>
  <c r="P260" i="8"/>
  <c r="L260" i="8"/>
  <c r="V259" i="8"/>
  <c r="U259" i="8"/>
  <c r="W259" i="8" s="1"/>
  <c r="T259" i="8"/>
  <c r="S259" i="8"/>
  <c r="R259" i="8"/>
  <c r="Q259" i="8"/>
  <c r="P259" i="8"/>
  <c r="L259" i="8"/>
  <c r="V258" i="8"/>
  <c r="U258" i="8"/>
  <c r="T258" i="8"/>
  <c r="S258" i="8"/>
  <c r="W258" i="8" s="1"/>
  <c r="R258" i="8"/>
  <c r="Q258" i="8"/>
  <c r="P258" i="8"/>
  <c r="L258" i="8"/>
  <c r="V257" i="8"/>
  <c r="U257" i="8"/>
  <c r="T257" i="8"/>
  <c r="S257" i="8"/>
  <c r="R257" i="8" s="1"/>
  <c r="Q257" i="8"/>
  <c r="P257" i="8"/>
  <c r="L257" i="8"/>
  <c r="V256" i="8"/>
  <c r="U256" i="8"/>
  <c r="W256" i="8" s="1"/>
  <c r="T256" i="8"/>
  <c r="S256" i="8"/>
  <c r="R256" i="8" s="1"/>
  <c r="Q256" i="8"/>
  <c r="P256" i="8"/>
  <c r="L256" i="8"/>
  <c r="V255" i="8"/>
  <c r="U255" i="8"/>
  <c r="W255" i="8" s="1"/>
  <c r="T255" i="8"/>
  <c r="S255" i="8"/>
  <c r="R255" i="8"/>
  <c r="Q255" i="8"/>
  <c r="P255" i="8"/>
  <c r="L255" i="8"/>
  <c r="V254" i="8"/>
  <c r="U254" i="8"/>
  <c r="T254" i="8"/>
  <c r="S254" i="8"/>
  <c r="W254" i="8" s="1"/>
  <c r="R254" i="8"/>
  <c r="Q254" i="8"/>
  <c r="P254" i="8"/>
  <c r="L254" i="8"/>
  <c r="V253" i="8"/>
  <c r="U253" i="8"/>
  <c r="T253" i="8"/>
  <c r="S253" i="8"/>
  <c r="R253" i="8" s="1"/>
  <c r="Q253" i="8"/>
  <c r="P253" i="8"/>
  <c r="L253" i="8"/>
  <c r="V252" i="8"/>
  <c r="U252" i="8"/>
  <c r="W252" i="8" s="1"/>
  <c r="T252" i="8"/>
  <c r="S252" i="8"/>
  <c r="R252" i="8" s="1"/>
  <c r="Q252" i="8"/>
  <c r="P252" i="8"/>
  <c r="L252" i="8"/>
  <c r="V251" i="8"/>
  <c r="U251" i="8"/>
  <c r="W251" i="8" s="1"/>
  <c r="T251" i="8"/>
  <c r="S251" i="8"/>
  <c r="R251" i="8"/>
  <c r="Q251" i="8"/>
  <c r="P251" i="8"/>
  <c r="L251" i="8"/>
  <c r="V250" i="8"/>
  <c r="U250" i="8"/>
  <c r="T250" i="8"/>
  <c r="S250" i="8"/>
  <c r="W250" i="8" s="1"/>
  <c r="R250" i="8"/>
  <c r="Q250" i="8"/>
  <c r="P250" i="8"/>
  <c r="L250" i="8"/>
  <c r="V249" i="8"/>
  <c r="U249" i="8"/>
  <c r="T249" i="8"/>
  <c r="S249" i="8"/>
  <c r="R249" i="8" s="1"/>
  <c r="Q249" i="8"/>
  <c r="P249" i="8"/>
  <c r="L249" i="8"/>
  <c r="V248" i="8"/>
  <c r="U248" i="8"/>
  <c r="W248" i="8" s="1"/>
  <c r="T248" i="8"/>
  <c r="S248" i="8"/>
  <c r="R248" i="8" s="1"/>
  <c r="Q248" i="8"/>
  <c r="P248" i="8"/>
  <c r="L248" i="8"/>
  <c r="V247" i="8"/>
  <c r="U247" i="8"/>
  <c r="W247" i="8" s="1"/>
  <c r="T247" i="8"/>
  <c r="S247" i="8"/>
  <c r="R247" i="8"/>
  <c r="Q247" i="8"/>
  <c r="P247" i="8"/>
  <c r="L247" i="8"/>
  <c r="V246" i="8"/>
  <c r="U246" i="8"/>
  <c r="T246" i="8"/>
  <c r="S246" i="8"/>
  <c r="W246" i="8" s="1"/>
  <c r="R246" i="8"/>
  <c r="Q246" i="8"/>
  <c r="P246" i="8"/>
  <c r="L246" i="8"/>
  <c r="V245" i="8"/>
  <c r="U245" i="8"/>
  <c r="T245" i="8"/>
  <c r="S245" i="8"/>
  <c r="R245" i="8" s="1"/>
  <c r="Q245" i="8"/>
  <c r="P245" i="8"/>
  <c r="L245" i="8"/>
  <c r="V244" i="8"/>
  <c r="U244" i="8"/>
  <c r="W244" i="8" s="1"/>
  <c r="T244" i="8"/>
  <c r="S244" i="8"/>
  <c r="R244" i="8" s="1"/>
  <c r="Q244" i="8"/>
  <c r="P244" i="8"/>
  <c r="L244" i="8"/>
  <c r="V243" i="8"/>
  <c r="U243" i="8"/>
  <c r="W243" i="8" s="1"/>
  <c r="T243" i="8"/>
  <c r="S243" i="8"/>
  <c r="R243" i="8"/>
  <c r="Q243" i="8"/>
  <c r="P243" i="8"/>
  <c r="L243" i="8"/>
  <c r="V242" i="8"/>
  <c r="U242" i="8"/>
  <c r="T242" i="8"/>
  <c r="S242" i="8"/>
  <c r="W242" i="8" s="1"/>
  <c r="R242" i="8"/>
  <c r="Q242" i="8"/>
  <c r="P242" i="8"/>
  <c r="L242" i="8"/>
  <c r="V241" i="8"/>
  <c r="U241" i="8"/>
  <c r="T241" i="8"/>
  <c r="S241" i="8"/>
  <c r="R241" i="8" s="1"/>
  <c r="Q241" i="8"/>
  <c r="P241" i="8"/>
  <c r="L241" i="8"/>
  <c r="V240" i="8"/>
  <c r="U240" i="8"/>
  <c r="W240" i="8" s="1"/>
  <c r="T240" i="8"/>
  <c r="S240" i="8"/>
  <c r="R240" i="8" s="1"/>
  <c r="Q240" i="8"/>
  <c r="P240" i="8"/>
  <c r="L240" i="8"/>
  <c r="V239" i="8"/>
  <c r="U239" i="8"/>
  <c r="W239" i="8" s="1"/>
  <c r="T239" i="8"/>
  <c r="S239" i="8"/>
  <c r="R239" i="8"/>
  <c r="Q239" i="8"/>
  <c r="P239" i="8"/>
  <c r="L239" i="8"/>
  <c r="V238" i="8"/>
  <c r="U238" i="8"/>
  <c r="T238" i="8"/>
  <c r="S238" i="8"/>
  <c r="W238" i="8" s="1"/>
  <c r="R238" i="8"/>
  <c r="Q238" i="8"/>
  <c r="P238" i="8"/>
  <c r="L238" i="8"/>
  <c r="V237" i="8"/>
  <c r="U237" i="8"/>
  <c r="T237" i="8"/>
  <c r="S237" i="8"/>
  <c r="R237" i="8" s="1"/>
  <c r="Q237" i="8"/>
  <c r="P237" i="8"/>
  <c r="L237" i="8"/>
  <c r="V236" i="8"/>
  <c r="U236" i="8"/>
  <c r="W236" i="8" s="1"/>
  <c r="T236" i="8"/>
  <c r="S236" i="8"/>
  <c r="R236" i="8" s="1"/>
  <c r="Q236" i="8"/>
  <c r="P236" i="8"/>
  <c r="L236" i="8"/>
  <c r="V235" i="8"/>
  <c r="U235" i="8"/>
  <c r="W235" i="8" s="1"/>
  <c r="T235" i="8"/>
  <c r="S235" i="8"/>
  <c r="R235" i="8"/>
  <c r="Q235" i="8"/>
  <c r="P235" i="8"/>
  <c r="L235" i="8"/>
  <c r="V234" i="8"/>
  <c r="U234" i="8"/>
  <c r="T234" i="8"/>
  <c r="S234" i="8"/>
  <c r="W234" i="8" s="1"/>
  <c r="R234" i="8"/>
  <c r="Q234" i="8"/>
  <c r="P234" i="8"/>
  <c r="L234" i="8"/>
  <c r="V233" i="8"/>
  <c r="U233" i="8"/>
  <c r="T233" i="8"/>
  <c r="S233" i="8"/>
  <c r="R233" i="8" s="1"/>
  <c r="Q233" i="8"/>
  <c r="P233" i="8"/>
  <c r="L233" i="8"/>
  <c r="V232" i="8"/>
  <c r="U232" i="8"/>
  <c r="W232" i="8" s="1"/>
  <c r="T232" i="8"/>
  <c r="S232" i="8"/>
  <c r="R232" i="8" s="1"/>
  <c r="Q232" i="8"/>
  <c r="P232" i="8"/>
  <c r="L232" i="8"/>
  <c r="V231" i="8"/>
  <c r="U231" i="8"/>
  <c r="W231" i="8" s="1"/>
  <c r="T231" i="8"/>
  <c r="S231" i="8"/>
  <c r="R231" i="8"/>
  <c r="Q231" i="8"/>
  <c r="P231" i="8"/>
  <c r="L231" i="8"/>
  <c r="V230" i="8"/>
  <c r="U230" i="8"/>
  <c r="T230" i="8"/>
  <c r="S230" i="8"/>
  <c r="W230" i="8" s="1"/>
  <c r="R230" i="8"/>
  <c r="Q230" i="8"/>
  <c r="P230" i="8"/>
  <c r="L230" i="8"/>
  <c r="V229" i="8"/>
  <c r="U229" i="8"/>
  <c r="T229" i="8"/>
  <c r="S229" i="8"/>
  <c r="R229" i="8" s="1"/>
  <c r="Q229" i="8"/>
  <c r="P229" i="8"/>
  <c r="L229" i="8"/>
  <c r="V228" i="8"/>
  <c r="U228" i="8"/>
  <c r="W228" i="8" s="1"/>
  <c r="T228" i="8"/>
  <c r="S228" i="8"/>
  <c r="R228" i="8" s="1"/>
  <c r="Q228" i="8"/>
  <c r="P228" i="8"/>
  <c r="L228" i="8"/>
  <c r="V227" i="8"/>
  <c r="U227" i="8"/>
  <c r="W227" i="8" s="1"/>
  <c r="T227" i="8"/>
  <c r="S227" i="8"/>
  <c r="R227" i="8"/>
  <c r="Q227" i="8"/>
  <c r="P227" i="8"/>
  <c r="L227" i="8"/>
  <c r="V226" i="8"/>
  <c r="U226" i="8"/>
  <c r="T226" i="8"/>
  <c r="S226" i="8"/>
  <c r="W226" i="8" s="1"/>
  <c r="R226" i="8"/>
  <c r="Q226" i="8"/>
  <c r="P226" i="8"/>
  <c r="L226" i="8"/>
  <c r="V225" i="8"/>
  <c r="U225" i="8"/>
  <c r="T225" i="8"/>
  <c r="S225" i="8"/>
  <c r="R225" i="8" s="1"/>
  <c r="Q225" i="8"/>
  <c r="P225" i="8"/>
  <c r="L225" i="8"/>
  <c r="V224" i="8"/>
  <c r="U224" i="8"/>
  <c r="W224" i="8" s="1"/>
  <c r="T224" i="8"/>
  <c r="S224" i="8"/>
  <c r="R224" i="8" s="1"/>
  <c r="Q224" i="8"/>
  <c r="P224" i="8"/>
  <c r="L224" i="8"/>
  <c r="V223" i="8"/>
  <c r="U223" i="8"/>
  <c r="W223" i="8" s="1"/>
  <c r="T223" i="8"/>
  <c r="S223" i="8"/>
  <c r="R223" i="8"/>
  <c r="Q223" i="8"/>
  <c r="P223" i="8"/>
  <c r="L223" i="8"/>
  <c r="V222" i="8"/>
  <c r="U222" i="8"/>
  <c r="T222" i="8"/>
  <c r="S222" i="8"/>
  <c r="W222" i="8" s="1"/>
  <c r="R222" i="8"/>
  <c r="Q222" i="8"/>
  <c r="P222" i="8"/>
  <c r="L222" i="8"/>
  <c r="V221" i="8"/>
  <c r="U221" i="8"/>
  <c r="T221" i="8"/>
  <c r="S221" i="8"/>
  <c r="R221" i="8" s="1"/>
  <c r="Q221" i="8"/>
  <c r="P221" i="8"/>
  <c r="L221" i="8"/>
  <c r="V220" i="8"/>
  <c r="U220" i="8"/>
  <c r="W220" i="8" s="1"/>
  <c r="T220" i="8"/>
  <c r="S220" i="8"/>
  <c r="R220" i="8" s="1"/>
  <c r="Q220" i="8"/>
  <c r="P220" i="8"/>
  <c r="L220" i="8"/>
  <c r="V219" i="8"/>
  <c r="U219" i="8"/>
  <c r="W219" i="8" s="1"/>
  <c r="T219" i="8"/>
  <c r="S219" i="8"/>
  <c r="R219" i="8"/>
  <c r="Q219" i="8"/>
  <c r="P219" i="8"/>
  <c r="L219" i="8"/>
  <c r="V218" i="8"/>
  <c r="U218" i="8"/>
  <c r="T218" i="8"/>
  <c r="S218" i="8"/>
  <c r="W218" i="8" s="1"/>
  <c r="R218" i="8"/>
  <c r="Q218" i="8"/>
  <c r="P218" i="8"/>
  <c r="L218" i="8"/>
  <c r="V217" i="8"/>
  <c r="U217" i="8"/>
  <c r="T217" i="8"/>
  <c r="S217" i="8"/>
  <c r="R217" i="8" s="1"/>
  <c r="Q217" i="8"/>
  <c r="P217" i="8"/>
  <c r="L217" i="8"/>
  <c r="V216" i="8"/>
  <c r="U216" i="8"/>
  <c r="W216" i="8" s="1"/>
  <c r="T216" i="8"/>
  <c r="S216" i="8"/>
  <c r="R216" i="8" s="1"/>
  <c r="Q216" i="8"/>
  <c r="P216" i="8"/>
  <c r="L216" i="8"/>
  <c r="V215" i="8"/>
  <c r="U215" i="8"/>
  <c r="W215" i="8" s="1"/>
  <c r="T215" i="8"/>
  <c r="S215" i="8"/>
  <c r="R215" i="8"/>
  <c r="Q215" i="8"/>
  <c r="P215" i="8"/>
  <c r="L215" i="8"/>
  <c r="V214" i="8"/>
  <c r="U214" i="8"/>
  <c r="T214" i="8"/>
  <c r="S214" i="8"/>
  <c r="W214" i="8" s="1"/>
  <c r="R214" i="8"/>
  <c r="Q214" i="8"/>
  <c r="P214" i="8"/>
  <c r="L214" i="8"/>
  <c r="V213" i="8"/>
  <c r="U213" i="8"/>
  <c r="T213" i="8"/>
  <c r="S213" i="8"/>
  <c r="R213" i="8" s="1"/>
  <c r="Q213" i="8"/>
  <c r="P213" i="8"/>
  <c r="L213" i="8"/>
  <c r="V212" i="8"/>
  <c r="U212" i="8"/>
  <c r="W212" i="8" s="1"/>
  <c r="T212" i="8"/>
  <c r="S212" i="8"/>
  <c r="R212" i="8" s="1"/>
  <c r="Q212" i="8"/>
  <c r="P212" i="8"/>
  <c r="L212" i="8"/>
  <c r="V211" i="8"/>
  <c r="U211" i="8"/>
  <c r="W211" i="8" s="1"/>
  <c r="T211" i="8"/>
  <c r="S211" i="8"/>
  <c r="R211" i="8"/>
  <c r="Q211" i="8"/>
  <c r="P211" i="8"/>
  <c r="L211" i="8"/>
  <c r="V210" i="8"/>
  <c r="U210" i="8"/>
  <c r="T210" i="8"/>
  <c r="S210" i="8"/>
  <c r="W210" i="8" s="1"/>
  <c r="R210" i="8"/>
  <c r="Q210" i="8"/>
  <c r="P210" i="8"/>
  <c r="L210" i="8"/>
  <c r="V209" i="8"/>
  <c r="U209" i="8"/>
  <c r="T209" i="8"/>
  <c r="S209" i="8"/>
  <c r="R209" i="8" s="1"/>
  <c r="Q209" i="8"/>
  <c r="P209" i="8"/>
  <c r="L209" i="8"/>
  <c r="V208" i="8"/>
  <c r="U208" i="8"/>
  <c r="W208" i="8" s="1"/>
  <c r="T208" i="8"/>
  <c r="S208" i="8"/>
  <c r="R208" i="8" s="1"/>
  <c r="Q208" i="8"/>
  <c r="P208" i="8"/>
  <c r="L208" i="8"/>
  <c r="V207" i="8"/>
  <c r="U207" i="8"/>
  <c r="W207" i="8" s="1"/>
  <c r="T207" i="8"/>
  <c r="S207" i="8"/>
  <c r="R207" i="8"/>
  <c r="Q207" i="8"/>
  <c r="P207" i="8"/>
  <c r="L207" i="8"/>
  <c r="V206" i="8"/>
  <c r="U206" i="8"/>
  <c r="T206" i="8"/>
  <c r="S206" i="8"/>
  <c r="W206" i="8" s="1"/>
  <c r="R206" i="8"/>
  <c r="Q206" i="8"/>
  <c r="P206" i="8"/>
  <c r="L206" i="8"/>
  <c r="V205" i="8"/>
  <c r="U205" i="8"/>
  <c r="T205" i="8"/>
  <c r="S205" i="8"/>
  <c r="R205" i="8" s="1"/>
  <c r="Q205" i="8"/>
  <c r="P205" i="8"/>
  <c r="L205" i="8"/>
  <c r="V204" i="8"/>
  <c r="U204" i="8"/>
  <c r="W204" i="8" s="1"/>
  <c r="T204" i="8"/>
  <c r="S204" i="8"/>
  <c r="R204" i="8" s="1"/>
  <c r="Q204" i="8"/>
  <c r="P204" i="8"/>
  <c r="L204" i="8"/>
  <c r="V203" i="8"/>
  <c r="U203" i="8"/>
  <c r="W203" i="8" s="1"/>
  <c r="T203" i="8"/>
  <c r="S203" i="8"/>
  <c r="R203" i="8"/>
  <c r="Q203" i="8"/>
  <c r="P203" i="8"/>
  <c r="L203" i="8"/>
  <c r="V202" i="8"/>
  <c r="U202" i="8"/>
  <c r="T202" i="8"/>
  <c r="S202" i="8"/>
  <c r="W202" i="8" s="1"/>
  <c r="R202" i="8"/>
  <c r="Q202" i="8"/>
  <c r="P202" i="8"/>
  <c r="L202" i="8"/>
  <c r="V201" i="8"/>
  <c r="U201" i="8"/>
  <c r="T201" i="8"/>
  <c r="S201" i="8"/>
  <c r="R201" i="8" s="1"/>
  <c r="Q201" i="8"/>
  <c r="P201" i="8"/>
  <c r="L201" i="8"/>
  <c r="V200" i="8"/>
  <c r="U200" i="8"/>
  <c r="W200" i="8" s="1"/>
  <c r="T200" i="8"/>
  <c r="S200" i="8"/>
  <c r="R200" i="8" s="1"/>
  <c r="Q200" i="8"/>
  <c r="P200" i="8"/>
  <c r="L200" i="8"/>
  <c r="V199" i="8"/>
  <c r="U199" i="8"/>
  <c r="W199" i="8" s="1"/>
  <c r="T199" i="8"/>
  <c r="S199" i="8"/>
  <c r="R199" i="8"/>
  <c r="Q199" i="8"/>
  <c r="P199" i="8"/>
  <c r="L199" i="8"/>
  <c r="V198" i="8"/>
  <c r="U198" i="8"/>
  <c r="T198" i="8"/>
  <c r="S198" i="8"/>
  <c r="W198" i="8" s="1"/>
  <c r="R198" i="8"/>
  <c r="Q198" i="8"/>
  <c r="P198" i="8"/>
  <c r="L198" i="8"/>
  <c r="V197" i="8"/>
  <c r="U197" i="8"/>
  <c r="T197" i="8"/>
  <c r="S197" i="8"/>
  <c r="R197" i="8" s="1"/>
  <c r="Q197" i="8"/>
  <c r="P197" i="8"/>
  <c r="L197" i="8"/>
  <c r="V196" i="8"/>
  <c r="U196" i="8"/>
  <c r="W196" i="8" s="1"/>
  <c r="T196" i="8"/>
  <c r="S196" i="8"/>
  <c r="R196" i="8" s="1"/>
  <c r="Q196" i="8"/>
  <c r="P196" i="8"/>
  <c r="L196" i="8"/>
  <c r="V195" i="8"/>
  <c r="U195" i="8"/>
  <c r="W195" i="8" s="1"/>
  <c r="T195" i="8"/>
  <c r="S195" i="8"/>
  <c r="R195" i="8"/>
  <c r="Q195" i="8"/>
  <c r="P195" i="8"/>
  <c r="L195" i="8"/>
  <c r="V194" i="8"/>
  <c r="U194" i="8"/>
  <c r="T194" i="8"/>
  <c r="S194" i="8"/>
  <c r="W194" i="8" s="1"/>
  <c r="R194" i="8"/>
  <c r="Q194" i="8"/>
  <c r="P194" i="8"/>
  <c r="L194" i="8"/>
  <c r="V193" i="8"/>
  <c r="U193" i="8"/>
  <c r="T193" i="8"/>
  <c r="S193" i="8"/>
  <c r="R193" i="8" s="1"/>
  <c r="Q193" i="8"/>
  <c r="P193" i="8"/>
  <c r="L193" i="8"/>
  <c r="V192" i="8"/>
  <c r="U192" i="8"/>
  <c r="W192" i="8" s="1"/>
  <c r="T192" i="8"/>
  <c r="S192" i="8"/>
  <c r="R192" i="8" s="1"/>
  <c r="Q192" i="8"/>
  <c r="P192" i="8"/>
  <c r="L192" i="8"/>
  <c r="V191" i="8"/>
  <c r="U191" i="8"/>
  <c r="W191" i="8" s="1"/>
  <c r="T191" i="8"/>
  <c r="S191" i="8"/>
  <c r="R191" i="8"/>
  <c r="Q191" i="8"/>
  <c r="P191" i="8"/>
  <c r="L191" i="8"/>
  <c r="V190" i="8"/>
  <c r="U190" i="8"/>
  <c r="T190" i="8"/>
  <c r="S190" i="8"/>
  <c r="W190" i="8" s="1"/>
  <c r="R190" i="8"/>
  <c r="Q190" i="8"/>
  <c r="P190" i="8"/>
  <c r="L190" i="8"/>
  <c r="V189" i="8"/>
  <c r="U189" i="8"/>
  <c r="T189" i="8"/>
  <c r="S189" i="8"/>
  <c r="R189" i="8" s="1"/>
  <c r="Q189" i="8"/>
  <c r="P189" i="8"/>
  <c r="L189" i="8"/>
  <c r="V188" i="8"/>
  <c r="U188" i="8"/>
  <c r="W188" i="8" s="1"/>
  <c r="T188" i="8"/>
  <c r="S188" i="8"/>
  <c r="R188" i="8" s="1"/>
  <c r="Q188" i="8"/>
  <c r="P188" i="8"/>
  <c r="L188" i="8"/>
  <c r="V187" i="8"/>
  <c r="U187" i="8"/>
  <c r="W187" i="8" s="1"/>
  <c r="T187" i="8"/>
  <c r="S187" i="8"/>
  <c r="R187" i="8"/>
  <c r="Q187" i="8"/>
  <c r="P187" i="8"/>
  <c r="L187" i="8"/>
  <c r="V186" i="8"/>
  <c r="U186" i="8"/>
  <c r="T186" i="8"/>
  <c r="S186" i="8"/>
  <c r="W186" i="8" s="1"/>
  <c r="R186" i="8"/>
  <c r="Q186" i="8"/>
  <c r="P186" i="8"/>
  <c r="L186" i="8"/>
  <c r="V185" i="8"/>
  <c r="U185" i="8"/>
  <c r="T185" i="8"/>
  <c r="S185" i="8"/>
  <c r="R185" i="8" s="1"/>
  <c r="Q185" i="8"/>
  <c r="P185" i="8"/>
  <c r="L185" i="8"/>
  <c r="V184" i="8"/>
  <c r="U184" i="8"/>
  <c r="W184" i="8" s="1"/>
  <c r="T184" i="8"/>
  <c r="S184" i="8"/>
  <c r="R184" i="8"/>
  <c r="Q184" i="8"/>
  <c r="P184" i="8"/>
  <c r="L184" i="8"/>
  <c r="V183" i="8"/>
  <c r="U183" i="8"/>
  <c r="W183" i="8" s="1"/>
  <c r="T183" i="8"/>
  <c r="S183" i="8"/>
  <c r="R183" i="8"/>
  <c r="Q183" i="8"/>
  <c r="P183" i="8"/>
  <c r="L183" i="8"/>
  <c r="V182" i="8"/>
  <c r="U182" i="8"/>
  <c r="T182" i="8"/>
  <c r="S182" i="8"/>
  <c r="W182" i="8" s="1"/>
  <c r="Q182" i="8"/>
  <c r="P182" i="8"/>
  <c r="L182" i="8"/>
  <c r="V181" i="8"/>
  <c r="U181" i="8"/>
  <c r="T181" i="8"/>
  <c r="S181" i="8"/>
  <c r="R181" i="8" s="1"/>
  <c r="Q181" i="8"/>
  <c r="P181" i="8"/>
  <c r="L181" i="8"/>
  <c r="V180" i="8"/>
  <c r="U180" i="8"/>
  <c r="W180" i="8" s="1"/>
  <c r="T180" i="8"/>
  <c r="S180" i="8"/>
  <c r="R180" i="8"/>
  <c r="Q180" i="8"/>
  <c r="P180" i="8"/>
  <c r="L180" i="8"/>
  <c r="V179" i="8"/>
  <c r="U179" i="8"/>
  <c r="W179" i="8" s="1"/>
  <c r="T179" i="8"/>
  <c r="S179" i="8"/>
  <c r="R179" i="8"/>
  <c r="Q179" i="8"/>
  <c r="P179" i="8"/>
  <c r="L179" i="8"/>
  <c r="V178" i="8"/>
  <c r="U178" i="8"/>
  <c r="T178" i="8"/>
  <c r="S178" i="8"/>
  <c r="W178" i="8" s="1"/>
  <c r="R178" i="8"/>
  <c r="Q178" i="8"/>
  <c r="P178" i="8"/>
  <c r="L178" i="8"/>
  <c r="V177" i="8"/>
  <c r="U177" i="8"/>
  <c r="T177" i="8"/>
  <c r="S177" i="8"/>
  <c r="R177" i="8" s="1"/>
  <c r="Q177" i="8"/>
  <c r="P177" i="8"/>
  <c r="L177" i="8"/>
  <c r="V176" i="8"/>
  <c r="U176" i="8"/>
  <c r="W176" i="8" s="1"/>
  <c r="T176" i="8"/>
  <c r="S176" i="8"/>
  <c r="R176" i="8"/>
  <c r="Q176" i="8"/>
  <c r="P176" i="8"/>
  <c r="L176" i="8"/>
  <c r="V175" i="8"/>
  <c r="U175" i="8"/>
  <c r="W175" i="8" s="1"/>
  <c r="T175" i="8"/>
  <c r="S175" i="8"/>
  <c r="R175" i="8"/>
  <c r="Q175" i="8"/>
  <c r="P175" i="8"/>
  <c r="L175" i="8"/>
  <c r="V174" i="8"/>
  <c r="U174" i="8"/>
  <c r="T174" i="8"/>
  <c r="S174" i="8"/>
  <c r="R174" i="8" s="1"/>
  <c r="Q174" i="8"/>
  <c r="P174" i="8"/>
  <c r="L174" i="8"/>
  <c r="V173" i="8"/>
  <c r="U173" i="8"/>
  <c r="T173" i="8"/>
  <c r="S173" i="8"/>
  <c r="R173" i="8" s="1"/>
  <c r="Q173" i="8"/>
  <c r="P173" i="8"/>
  <c r="L173" i="8"/>
  <c r="V172" i="8"/>
  <c r="U172" i="8"/>
  <c r="W172" i="8" s="1"/>
  <c r="T172" i="8"/>
  <c r="S172" i="8"/>
  <c r="R172" i="8"/>
  <c r="Q172" i="8"/>
  <c r="P172" i="8"/>
  <c r="L172" i="8"/>
  <c r="V171" i="8"/>
  <c r="U171" i="8"/>
  <c r="W171" i="8" s="1"/>
  <c r="T171" i="8"/>
  <c r="S171" i="8"/>
  <c r="R171" i="8"/>
  <c r="Q171" i="8"/>
  <c r="P171" i="8"/>
  <c r="L171" i="8"/>
  <c r="V170" i="8"/>
  <c r="U170" i="8"/>
  <c r="T170" i="8"/>
  <c r="S170" i="8"/>
  <c r="W170" i="8" s="1"/>
  <c r="R170" i="8"/>
  <c r="Q170" i="8"/>
  <c r="P170" i="8"/>
  <c r="L170" i="8"/>
  <c r="V169" i="8"/>
  <c r="U169" i="8"/>
  <c r="T169" i="8"/>
  <c r="S169" i="8"/>
  <c r="R169" i="8" s="1"/>
  <c r="Q169" i="8"/>
  <c r="P169" i="8"/>
  <c r="L169" i="8"/>
  <c r="V168" i="8"/>
  <c r="U168" i="8"/>
  <c r="W168" i="8" s="1"/>
  <c r="T168" i="8"/>
  <c r="S168" i="8"/>
  <c r="R168" i="8"/>
  <c r="Q168" i="8"/>
  <c r="P168" i="8"/>
  <c r="L168" i="8"/>
  <c r="V167" i="8"/>
  <c r="U167" i="8"/>
  <c r="W167" i="8" s="1"/>
  <c r="T167" i="8"/>
  <c r="S167" i="8"/>
  <c r="R167" i="8"/>
  <c r="Q167" i="8"/>
  <c r="P167" i="8"/>
  <c r="L167" i="8"/>
  <c r="V166" i="8"/>
  <c r="U166" i="8"/>
  <c r="T166" i="8"/>
  <c r="S166" i="8"/>
  <c r="W166" i="8" s="1"/>
  <c r="Q166" i="8"/>
  <c r="P166" i="8"/>
  <c r="L166" i="8"/>
  <c r="V165" i="8"/>
  <c r="U165" i="8"/>
  <c r="T165" i="8"/>
  <c r="S165" i="8"/>
  <c r="R165" i="8" s="1"/>
  <c r="Q165" i="8"/>
  <c r="P165" i="8"/>
  <c r="L165" i="8"/>
  <c r="V164" i="8"/>
  <c r="U164" i="8"/>
  <c r="W164" i="8" s="1"/>
  <c r="T164" i="8"/>
  <c r="S164" i="8"/>
  <c r="R164" i="8"/>
  <c r="Q164" i="8"/>
  <c r="P164" i="8"/>
  <c r="L164" i="8"/>
  <c r="V163" i="8"/>
  <c r="U163" i="8"/>
  <c r="W163" i="8" s="1"/>
  <c r="T163" i="8"/>
  <c r="S163" i="8"/>
  <c r="R163" i="8"/>
  <c r="Q163" i="8"/>
  <c r="P163" i="8"/>
  <c r="L163" i="8"/>
  <c r="V162" i="8"/>
  <c r="U162" i="8"/>
  <c r="T162" i="8"/>
  <c r="S162" i="8"/>
  <c r="W162" i="8" s="1"/>
  <c r="R162" i="8"/>
  <c r="Q162" i="8"/>
  <c r="P162" i="8"/>
  <c r="L162" i="8"/>
  <c r="V161" i="8"/>
  <c r="U161" i="8"/>
  <c r="T161" i="8"/>
  <c r="S161" i="8"/>
  <c r="R161" i="8" s="1"/>
  <c r="Q161" i="8"/>
  <c r="P161" i="8"/>
  <c r="L161" i="8"/>
  <c r="V160" i="8"/>
  <c r="U160" i="8"/>
  <c r="W160" i="8" s="1"/>
  <c r="T160" i="8"/>
  <c r="S160" i="8"/>
  <c r="R160" i="8"/>
  <c r="Q160" i="8"/>
  <c r="P160" i="8"/>
  <c r="L160" i="8"/>
  <c r="V159" i="8"/>
  <c r="U159" i="8"/>
  <c r="W159" i="8" s="1"/>
  <c r="T159" i="8"/>
  <c r="S159" i="8"/>
  <c r="R159" i="8"/>
  <c r="Q159" i="8"/>
  <c r="P159" i="8"/>
  <c r="L159" i="8"/>
  <c r="V158" i="8"/>
  <c r="U158" i="8"/>
  <c r="T158" i="8"/>
  <c r="S158" i="8"/>
  <c r="R158" i="8" s="1"/>
  <c r="Q158" i="8"/>
  <c r="P158" i="8"/>
  <c r="L158" i="8"/>
  <c r="V157" i="8"/>
  <c r="U157" i="8"/>
  <c r="T157" i="8"/>
  <c r="S157" i="8"/>
  <c r="R157" i="8" s="1"/>
  <c r="Q157" i="8"/>
  <c r="P157" i="8"/>
  <c r="L157" i="8"/>
  <c r="V156" i="8"/>
  <c r="U156" i="8"/>
  <c r="W156" i="8" s="1"/>
  <c r="T156" i="8"/>
  <c r="S156" i="8"/>
  <c r="R156" i="8"/>
  <c r="Q156" i="8"/>
  <c r="P156" i="8"/>
  <c r="L156" i="8"/>
  <c r="V155" i="8"/>
  <c r="U155" i="8"/>
  <c r="W155" i="8" s="1"/>
  <c r="T155" i="8"/>
  <c r="S155" i="8"/>
  <c r="R155" i="8"/>
  <c r="Q155" i="8"/>
  <c r="P155" i="8"/>
  <c r="L155" i="8"/>
  <c r="V154" i="8"/>
  <c r="U154" i="8"/>
  <c r="T154" i="8"/>
  <c r="S154" i="8"/>
  <c r="W154" i="8" s="1"/>
  <c r="R154" i="8"/>
  <c r="Q154" i="8"/>
  <c r="P154" i="8"/>
  <c r="L154" i="8"/>
  <c r="V153" i="8"/>
  <c r="U153" i="8"/>
  <c r="T153" i="8"/>
  <c r="S153" i="8"/>
  <c r="R153" i="8" s="1"/>
  <c r="Q153" i="8"/>
  <c r="P153" i="8"/>
  <c r="L153" i="8"/>
  <c r="V152" i="8"/>
  <c r="U152" i="8"/>
  <c r="W152" i="8" s="1"/>
  <c r="T152" i="8"/>
  <c r="S152" i="8"/>
  <c r="R152" i="8"/>
  <c r="Q152" i="8"/>
  <c r="P152" i="8"/>
  <c r="L152" i="8"/>
  <c r="V151" i="8"/>
  <c r="U151" i="8"/>
  <c r="W151" i="8" s="1"/>
  <c r="T151" i="8"/>
  <c r="S151" i="8"/>
  <c r="R151" i="8"/>
  <c r="Q151" i="8"/>
  <c r="P151" i="8"/>
  <c r="L151" i="8"/>
  <c r="V150" i="8"/>
  <c r="U150" i="8"/>
  <c r="T150" i="8"/>
  <c r="S150" i="8"/>
  <c r="W150" i="8" s="1"/>
  <c r="Q150" i="8"/>
  <c r="P150" i="8"/>
  <c r="L150" i="8"/>
  <c r="V149" i="8"/>
  <c r="U149" i="8"/>
  <c r="T149" i="8"/>
  <c r="S149" i="8"/>
  <c r="R149" i="8" s="1"/>
  <c r="Q149" i="8"/>
  <c r="P149" i="8"/>
  <c r="L149" i="8"/>
  <c r="V148" i="8"/>
  <c r="U148" i="8"/>
  <c r="W148" i="8" s="1"/>
  <c r="T148" i="8"/>
  <c r="S148" i="8"/>
  <c r="R148" i="8"/>
  <c r="Q148" i="8"/>
  <c r="P148" i="8"/>
  <c r="L148" i="8"/>
  <c r="V147" i="8"/>
  <c r="U147" i="8"/>
  <c r="W147" i="8" s="1"/>
  <c r="T147" i="8"/>
  <c r="S147" i="8"/>
  <c r="R147" i="8"/>
  <c r="Q147" i="8"/>
  <c r="P147" i="8"/>
  <c r="L147" i="8"/>
  <c r="V146" i="8"/>
  <c r="U146" i="8"/>
  <c r="T146" i="8"/>
  <c r="S146" i="8"/>
  <c r="W146" i="8" s="1"/>
  <c r="R146" i="8"/>
  <c r="Q146" i="8"/>
  <c r="P146" i="8"/>
  <c r="L146" i="8"/>
  <c r="V145" i="8"/>
  <c r="U145" i="8"/>
  <c r="T145" i="8"/>
  <c r="S145" i="8"/>
  <c r="R145" i="8" s="1"/>
  <c r="Q145" i="8"/>
  <c r="P145" i="8"/>
  <c r="L145" i="8"/>
  <c r="V144" i="8"/>
  <c r="U144" i="8"/>
  <c r="W144" i="8" s="1"/>
  <c r="T144" i="8"/>
  <c r="S144" i="8"/>
  <c r="R144" i="8"/>
  <c r="Q144" i="8"/>
  <c r="P144" i="8"/>
  <c r="L144" i="8"/>
  <c r="V143" i="8"/>
  <c r="U143" i="8"/>
  <c r="W143" i="8" s="1"/>
  <c r="T143" i="8"/>
  <c r="S143" i="8"/>
  <c r="R143" i="8" s="1"/>
  <c r="Q143" i="8"/>
  <c r="P143" i="8"/>
  <c r="L143" i="8"/>
  <c r="V142" i="8"/>
  <c r="U142" i="8"/>
  <c r="T142" i="8"/>
  <c r="S142" i="8"/>
  <c r="W142" i="8" s="1"/>
  <c r="R142" i="8"/>
  <c r="Q142" i="8"/>
  <c r="P142" i="8"/>
  <c r="L142" i="8"/>
  <c r="V141" i="8"/>
  <c r="U141" i="8"/>
  <c r="T141" i="8"/>
  <c r="S141" i="8"/>
  <c r="R141" i="8" s="1"/>
  <c r="Q141" i="8"/>
  <c r="P141" i="8"/>
  <c r="L141" i="8"/>
  <c r="V140" i="8"/>
  <c r="U140" i="8"/>
  <c r="W140" i="8" s="1"/>
  <c r="T140" i="8"/>
  <c r="S140" i="8"/>
  <c r="R140" i="8"/>
  <c r="Q140" i="8"/>
  <c r="P140" i="8"/>
  <c r="L140" i="8"/>
  <c r="V139" i="8"/>
  <c r="U139" i="8"/>
  <c r="T139" i="8"/>
  <c r="S139" i="8"/>
  <c r="W139" i="8" s="1"/>
  <c r="Q139" i="8"/>
  <c r="P139" i="8"/>
  <c r="L139" i="8"/>
  <c r="V138" i="8"/>
  <c r="U138" i="8"/>
  <c r="T138" i="8"/>
  <c r="S138" i="8"/>
  <c r="W138" i="8" s="1"/>
  <c r="R138" i="8"/>
  <c r="Q138" i="8"/>
  <c r="P138" i="8"/>
  <c r="L138" i="8"/>
  <c r="V137" i="8"/>
  <c r="U137" i="8"/>
  <c r="W137" i="8" s="1"/>
  <c r="T137" i="8"/>
  <c r="S137" i="8"/>
  <c r="R137" i="8" s="1"/>
  <c r="Q137" i="8"/>
  <c r="P137" i="8"/>
  <c r="L137" i="8"/>
  <c r="V136" i="8"/>
  <c r="U136" i="8"/>
  <c r="W136" i="8" s="1"/>
  <c r="T136" i="8"/>
  <c r="S136" i="8"/>
  <c r="R136" i="8"/>
  <c r="Q136" i="8"/>
  <c r="P136" i="8"/>
  <c r="L136" i="8"/>
  <c r="V135" i="8"/>
  <c r="U135" i="8"/>
  <c r="W135" i="8" s="1"/>
  <c r="T135" i="8"/>
  <c r="S135" i="8"/>
  <c r="R135" i="8" s="1"/>
  <c r="Q135" i="8"/>
  <c r="P135" i="8"/>
  <c r="L135" i="8"/>
  <c r="V134" i="8"/>
  <c r="U134" i="8"/>
  <c r="T134" i="8"/>
  <c r="S134" i="8"/>
  <c r="W134" i="8" s="1"/>
  <c r="R134" i="8"/>
  <c r="Q134" i="8"/>
  <c r="P134" i="8"/>
  <c r="L134" i="8"/>
  <c r="V133" i="8"/>
  <c r="U133" i="8"/>
  <c r="T133" i="8"/>
  <c r="S133" i="8"/>
  <c r="R133" i="8" s="1"/>
  <c r="Q133" i="8"/>
  <c r="P133" i="8"/>
  <c r="L133" i="8"/>
  <c r="V132" i="8"/>
  <c r="U132" i="8"/>
  <c r="W132" i="8" s="1"/>
  <c r="T132" i="8"/>
  <c r="S132" i="8"/>
  <c r="R132" i="8"/>
  <c r="Q132" i="8"/>
  <c r="P132" i="8"/>
  <c r="L132" i="8"/>
  <c r="V131" i="8"/>
  <c r="U131" i="8"/>
  <c r="T131" i="8"/>
  <c r="S131" i="8"/>
  <c r="W131" i="8" s="1"/>
  <c r="Q131" i="8"/>
  <c r="P131" i="8"/>
  <c r="L131" i="8"/>
  <c r="V130" i="8"/>
  <c r="U130" i="8"/>
  <c r="T130" i="8"/>
  <c r="S130" i="8"/>
  <c r="W130" i="8" s="1"/>
  <c r="R130" i="8"/>
  <c r="Q130" i="8"/>
  <c r="P130" i="8"/>
  <c r="L130" i="8"/>
  <c r="V129" i="8"/>
  <c r="U129" i="8"/>
  <c r="W129" i="8" s="1"/>
  <c r="T129" i="8"/>
  <c r="S129" i="8"/>
  <c r="R129" i="8" s="1"/>
  <c r="Q129" i="8"/>
  <c r="P129" i="8"/>
  <c r="L129" i="8"/>
  <c r="V128" i="8"/>
  <c r="U128" i="8"/>
  <c r="W128" i="8" s="1"/>
  <c r="T128" i="8"/>
  <c r="S128" i="8"/>
  <c r="R128" i="8"/>
  <c r="Q128" i="8"/>
  <c r="P128" i="8"/>
  <c r="L128" i="8"/>
  <c r="V127" i="8"/>
  <c r="U127" i="8"/>
  <c r="W127" i="8" s="1"/>
  <c r="T127" i="8"/>
  <c r="S127" i="8"/>
  <c r="R127" i="8" s="1"/>
  <c r="Q127" i="8"/>
  <c r="P127" i="8"/>
  <c r="L127" i="8"/>
  <c r="V126" i="8"/>
  <c r="U126" i="8"/>
  <c r="T126" i="8"/>
  <c r="S126" i="8"/>
  <c r="W126" i="8" s="1"/>
  <c r="R126" i="8"/>
  <c r="Q126" i="8"/>
  <c r="P126" i="8"/>
  <c r="L126" i="8"/>
  <c r="V125" i="8"/>
  <c r="U125" i="8"/>
  <c r="T125" i="8"/>
  <c r="S125" i="8"/>
  <c r="R125" i="8" s="1"/>
  <c r="Q125" i="8"/>
  <c r="P125" i="8"/>
  <c r="L125" i="8"/>
  <c r="V124" i="8"/>
  <c r="U124" i="8"/>
  <c r="W124" i="8" s="1"/>
  <c r="T124" i="8"/>
  <c r="S124" i="8"/>
  <c r="R124" i="8"/>
  <c r="Q124" i="8"/>
  <c r="P124" i="8"/>
  <c r="L124" i="8"/>
  <c r="V123" i="8"/>
  <c r="U123" i="8"/>
  <c r="T123" i="8"/>
  <c r="S123" i="8"/>
  <c r="W123" i="8" s="1"/>
  <c r="Q123" i="8"/>
  <c r="P123" i="8"/>
  <c r="L123" i="8"/>
  <c r="V122" i="8"/>
  <c r="U122" i="8"/>
  <c r="T122" i="8"/>
  <c r="S122" i="8"/>
  <c r="W122" i="8" s="1"/>
  <c r="R122" i="8"/>
  <c r="Q122" i="8"/>
  <c r="P122" i="8"/>
  <c r="L122" i="8"/>
  <c r="V121" i="8"/>
  <c r="U121" i="8"/>
  <c r="W121" i="8" s="1"/>
  <c r="T121" i="8"/>
  <c r="S121" i="8"/>
  <c r="R121" i="8" s="1"/>
  <c r="Q121" i="8"/>
  <c r="P121" i="8"/>
  <c r="L121" i="8"/>
  <c r="V120" i="8"/>
  <c r="U120" i="8"/>
  <c r="W120" i="8" s="1"/>
  <c r="T120" i="8"/>
  <c r="S120" i="8"/>
  <c r="R120" i="8"/>
  <c r="Q120" i="8"/>
  <c r="P120" i="8"/>
  <c r="L120" i="8"/>
  <c r="V119" i="8"/>
  <c r="U119" i="8"/>
  <c r="W119" i="8" s="1"/>
  <c r="T119" i="8"/>
  <c r="S119" i="8"/>
  <c r="R119" i="8" s="1"/>
  <c r="Q119" i="8"/>
  <c r="P119" i="8"/>
  <c r="L119" i="8"/>
  <c r="V118" i="8"/>
  <c r="U118" i="8"/>
  <c r="T118" i="8"/>
  <c r="S118" i="8"/>
  <c r="W118" i="8" s="1"/>
  <c r="R118" i="8"/>
  <c r="Q118" i="8"/>
  <c r="P118" i="8"/>
  <c r="L118" i="8"/>
  <c r="V117" i="8"/>
  <c r="U117" i="8"/>
  <c r="T117" i="8"/>
  <c r="S117" i="8"/>
  <c r="R117" i="8" s="1"/>
  <c r="Q117" i="8"/>
  <c r="P117" i="8"/>
  <c r="L117" i="8"/>
  <c r="V116" i="8"/>
  <c r="U116" i="8"/>
  <c r="T116" i="8"/>
  <c r="S116" i="8"/>
  <c r="W116" i="8" s="1"/>
  <c r="Q116" i="8"/>
  <c r="P116" i="8"/>
  <c r="L116" i="8"/>
  <c r="V115" i="8"/>
  <c r="U115" i="8"/>
  <c r="W115" i="8" s="1"/>
  <c r="T115" i="8"/>
  <c r="S115" i="8"/>
  <c r="R115" i="8"/>
  <c r="Q115" i="8"/>
  <c r="P115" i="8"/>
  <c r="L115" i="8"/>
  <c r="V114" i="8"/>
  <c r="U114" i="8"/>
  <c r="W114" i="8" s="1"/>
  <c r="T114" i="8"/>
  <c r="S114" i="8"/>
  <c r="R114" i="8" s="1"/>
  <c r="Q114" i="8"/>
  <c r="P114" i="8"/>
  <c r="L114" i="8"/>
  <c r="V113" i="8"/>
  <c r="U113" i="8"/>
  <c r="T113" i="8"/>
  <c r="S113" i="8"/>
  <c r="W113" i="8" s="1"/>
  <c r="R113" i="8"/>
  <c r="Q113" i="8"/>
  <c r="P113" i="8"/>
  <c r="L113" i="8"/>
  <c r="V112" i="8"/>
  <c r="U112" i="8"/>
  <c r="T112" i="8"/>
  <c r="S112" i="8"/>
  <c r="W112" i="8" s="1"/>
  <c r="Q112" i="8"/>
  <c r="P112" i="8"/>
  <c r="L112" i="8"/>
  <c r="V111" i="8"/>
  <c r="U111" i="8"/>
  <c r="W111" i="8" s="1"/>
  <c r="T111" i="8"/>
  <c r="S111" i="8"/>
  <c r="R111" i="8"/>
  <c r="Q111" i="8"/>
  <c r="P111" i="8"/>
  <c r="L111" i="8"/>
  <c r="V110" i="8"/>
  <c r="U110" i="8"/>
  <c r="W110" i="8" s="1"/>
  <c r="T110" i="8"/>
  <c r="S110" i="8"/>
  <c r="R110" i="8" s="1"/>
  <c r="Q110" i="8"/>
  <c r="P110" i="8"/>
  <c r="L110" i="8"/>
  <c r="V109" i="8"/>
  <c r="U109" i="8"/>
  <c r="T109" i="8"/>
  <c r="S109" i="8"/>
  <c r="W109" i="8" s="1"/>
  <c r="R109" i="8"/>
  <c r="Q109" i="8"/>
  <c r="P109" i="8"/>
  <c r="L109" i="8"/>
  <c r="V108" i="8"/>
  <c r="U108" i="8"/>
  <c r="T108" i="8"/>
  <c r="S108" i="8"/>
  <c r="W108" i="8" s="1"/>
  <c r="Q108" i="8"/>
  <c r="P108" i="8"/>
  <c r="L108" i="8"/>
  <c r="V107" i="8"/>
  <c r="U107" i="8"/>
  <c r="W107" i="8" s="1"/>
  <c r="T107" i="8"/>
  <c r="S107" i="8"/>
  <c r="R107" i="8"/>
  <c r="Q107" i="8"/>
  <c r="P107" i="8"/>
  <c r="L107" i="8"/>
  <c r="V106" i="8"/>
  <c r="U106" i="8"/>
  <c r="W106" i="8" s="1"/>
  <c r="T106" i="8"/>
  <c r="S106" i="8"/>
  <c r="R106" i="8" s="1"/>
  <c r="Q106" i="8"/>
  <c r="P106" i="8"/>
  <c r="L106" i="8"/>
  <c r="V105" i="8"/>
  <c r="U105" i="8"/>
  <c r="T105" i="8"/>
  <c r="S105" i="8"/>
  <c r="W105" i="8" s="1"/>
  <c r="R105" i="8"/>
  <c r="Q105" i="8"/>
  <c r="P105" i="8"/>
  <c r="L105" i="8"/>
  <c r="V104" i="8"/>
  <c r="U104" i="8"/>
  <c r="T104" i="8"/>
  <c r="S104" i="8"/>
  <c r="W104" i="8" s="1"/>
  <c r="Q104" i="8"/>
  <c r="P104" i="8"/>
  <c r="L104" i="8"/>
  <c r="V103" i="8"/>
  <c r="U103" i="8"/>
  <c r="W103" i="8" s="1"/>
  <c r="T103" i="8"/>
  <c r="S103" i="8"/>
  <c r="R103" i="8"/>
  <c r="Q103" i="8"/>
  <c r="P103" i="8"/>
  <c r="L103" i="8"/>
  <c r="V102" i="8"/>
  <c r="U102" i="8"/>
  <c r="W102" i="8" s="1"/>
  <c r="T102" i="8"/>
  <c r="S102" i="8"/>
  <c r="R102" i="8" s="1"/>
  <c r="Q102" i="8"/>
  <c r="P102" i="8"/>
  <c r="L102" i="8"/>
  <c r="V101" i="8"/>
  <c r="U101" i="8"/>
  <c r="T101" i="8"/>
  <c r="S101" i="8"/>
  <c r="W101" i="8" s="1"/>
  <c r="R101" i="8"/>
  <c r="Q101" i="8"/>
  <c r="P101" i="8"/>
  <c r="L101" i="8"/>
  <c r="V100" i="8"/>
  <c r="U100" i="8"/>
  <c r="T100" i="8"/>
  <c r="S100" i="8"/>
  <c r="W100" i="8" s="1"/>
  <c r="Q100" i="8"/>
  <c r="P100" i="8"/>
  <c r="L100" i="8"/>
  <c r="V99" i="8"/>
  <c r="U99" i="8"/>
  <c r="W99" i="8" s="1"/>
  <c r="T99" i="8"/>
  <c r="S99" i="8"/>
  <c r="R99" i="8"/>
  <c r="Q99" i="8"/>
  <c r="P99" i="8"/>
  <c r="L99" i="8"/>
  <c r="V98" i="8"/>
  <c r="U98" i="8"/>
  <c r="T98" i="8"/>
  <c r="S98" i="8"/>
  <c r="R98" i="8" s="1"/>
  <c r="Q98" i="8"/>
  <c r="P98" i="8"/>
  <c r="L98" i="8"/>
  <c r="V97" i="8"/>
  <c r="U97" i="8"/>
  <c r="T97" i="8"/>
  <c r="S97" i="8"/>
  <c r="W97" i="8" s="1"/>
  <c r="R97" i="8"/>
  <c r="Q97" i="8"/>
  <c r="P97" i="8"/>
  <c r="L97" i="8"/>
  <c r="V96" i="8"/>
  <c r="U96" i="8"/>
  <c r="W96" i="8" s="1"/>
  <c r="T96" i="8"/>
  <c r="S96" i="8"/>
  <c r="R96" i="8" s="1"/>
  <c r="Q96" i="8"/>
  <c r="P96" i="8"/>
  <c r="L96" i="8"/>
  <c r="V95" i="8"/>
  <c r="U95" i="8"/>
  <c r="W95" i="8" s="1"/>
  <c r="T95" i="8"/>
  <c r="S95" i="8"/>
  <c r="R95" i="8"/>
  <c r="Q95" i="8"/>
  <c r="P95" i="8"/>
  <c r="L95" i="8"/>
  <c r="V94" i="8"/>
  <c r="U94" i="8"/>
  <c r="T94" i="8"/>
  <c r="S94" i="8"/>
  <c r="R94" i="8" s="1"/>
  <c r="Q94" i="8"/>
  <c r="P94" i="8"/>
  <c r="L94" i="8"/>
  <c r="V93" i="8"/>
  <c r="U93" i="8"/>
  <c r="T93" i="8"/>
  <c r="S93" i="8"/>
  <c r="W93" i="8" s="1"/>
  <c r="R93" i="8"/>
  <c r="Q93" i="8"/>
  <c r="P93" i="8"/>
  <c r="L93" i="8"/>
  <c r="V92" i="8"/>
  <c r="U92" i="8"/>
  <c r="W92" i="8" s="1"/>
  <c r="T92" i="8"/>
  <c r="S92" i="8"/>
  <c r="R92" i="8" s="1"/>
  <c r="Q92" i="8"/>
  <c r="P92" i="8"/>
  <c r="L92" i="8"/>
  <c r="V91" i="8"/>
  <c r="U91" i="8"/>
  <c r="W91" i="8" s="1"/>
  <c r="T91" i="8"/>
  <c r="S91" i="8"/>
  <c r="R91" i="8"/>
  <c r="Q91" i="8"/>
  <c r="P91" i="8"/>
  <c r="L91" i="8"/>
  <c r="V90" i="8"/>
  <c r="U90" i="8"/>
  <c r="T90" i="8"/>
  <c r="S90" i="8"/>
  <c r="R90" i="8" s="1"/>
  <c r="Q90" i="8"/>
  <c r="P90" i="8"/>
  <c r="L90" i="8"/>
  <c r="V89" i="8"/>
  <c r="U89" i="8"/>
  <c r="T89" i="8"/>
  <c r="S89" i="8"/>
  <c r="W89" i="8" s="1"/>
  <c r="R89" i="8"/>
  <c r="Q89" i="8"/>
  <c r="P89" i="8"/>
  <c r="L89" i="8"/>
  <c r="V88" i="8"/>
  <c r="U88" i="8"/>
  <c r="W88" i="8" s="1"/>
  <c r="T88" i="8"/>
  <c r="S88" i="8"/>
  <c r="R88" i="8" s="1"/>
  <c r="Q88" i="8"/>
  <c r="P88" i="8"/>
  <c r="L88" i="8"/>
  <c r="V87" i="8"/>
  <c r="U87" i="8"/>
  <c r="W87" i="8" s="1"/>
  <c r="T87" i="8"/>
  <c r="S87" i="8"/>
  <c r="R87" i="8"/>
  <c r="Q87" i="8"/>
  <c r="P87" i="8"/>
  <c r="L87" i="8"/>
  <c r="V86" i="8"/>
  <c r="U86" i="8"/>
  <c r="T86" i="8"/>
  <c r="S86" i="8"/>
  <c r="R86" i="8" s="1"/>
  <c r="Q86" i="8"/>
  <c r="P86" i="8"/>
  <c r="L86" i="8"/>
  <c r="V85" i="8"/>
  <c r="U85" i="8"/>
  <c r="T85" i="8"/>
  <c r="S85" i="8"/>
  <c r="W85" i="8" s="1"/>
  <c r="R85" i="8"/>
  <c r="Q85" i="8"/>
  <c r="P85" i="8"/>
  <c r="L85" i="8"/>
  <c r="V84" i="8"/>
  <c r="U84" i="8"/>
  <c r="W84" i="8" s="1"/>
  <c r="T84" i="8"/>
  <c r="S84" i="8"/>
  <c r="R84" i="8" s="1"/>
  <c r="Q84" i="8"/>
  <c r="P84" i="8"/>
  <c r="L84" i="8"/>
  <c r="V83" i="8"/>
  <c r="U83" i="8"/>
  <c r="W83" i="8" s="1"/>
  <c r="T83" i="8"/>
  <c r="S83" i="8"/>
  <c r="R83" i="8"/>
  <c r="Q83" i="8"/>
  <c r="P83" i="8"/>
  <c r="L83" i="8"/>
  <c r="V82" i="8"/>
  <c r="U82" i="8"/>
  <c r="T82" i="8"/>
  <c r="S82" i="8"/>
  <c r="R82" i="8" s="1"/>
  <c r="Q82" i="8"/>
  <c r="P82" i="8"/>
  <c r="L82" i="8"/>
  <c r="V81" i="8"/>
  <c r="U81" i="8"/>
  <c r="T81" i="8"/>
  <c r="S81" i="8"/>
  <c r="W81" i="8" s="1"/>
  <c r="R81" i="8"/>
  <c r="Q81" i="8"/>
  <c r="P81" i="8"/>
  <c r="L81" i="8"/>
  <c r="V80" i="8"/>
  <c r="U80" i="8"/>
  <c r="W80" i="8" s="1"/>
  <c r="T80" i="8"/>
  <c r="S80" i="8"/>
  <c r="R80" i="8" s="1"/>
  <c r="Q80" i="8"/>
  <c r="P80" i="8"/>
  <c r="L80" i="8"/>
  <c r="V79" i="8"/>
  <c r="U79" i="8"/>
  <c r="W79" i="8" s="1"/>
  <c r="T79" i="8"/>
  <c r="S79" i="8"/>
  <c r="R79" i="8"/>
  <c r="Q79" i="8"/>
  <c r="P79" i="8"/>
  <c r="L79" i="8"/>
  <c r="V78" i="8"/>
  <c r="U78" i="8"/>
  <c r="T78" i="8"/>
  <c r="S78" i="8"/>
  <c r="R78" i="8" s="1"/>
  <c r="Q78" i="8"/>
  <c r="P78" i="8"/>
  <c r="L78" i="8"/>
  <c r="V77" i="8"/>
  <c r="U77" i="8"/>
  <c r="T77" i="8"/>
  <c r="S77" i="8"/>
  <c r="W77" i="8" s="1"/>
  <c r="R77" i="8"/>
  <c r="Q77" i="8"/>
  <c r="P77" i="8"/>
  <c r="L77" i="8"/>
  <c r="V76" i="8"/>
  <c r="U76" i="8"/>
  <c r="W76" i="8" s="1"/>
  <c r="T76" i="8"/>
  <c r="S76" i="8"/>
  <c r="R76" i="8" s="1"/>
  <c r="Q76" i="8"/>
  <c r="P76" i="8"/>
  <c r="L76" i="8"/>
  <c r="V75" i="8"/>
  <c r="U75" i="8"/>
  <c r="W75" i="8" s="1"/>
  <c r="T75" i="8"/>
  <c r="S75" i="8"/>
  <c r="R75" i="8"/>
  <c r="Q75" i="8"/>
  <c r="P75" i="8"/>
  <c r="L75" i="8"/>
  <c r="V74" i="8"/>
  <c r="U74" i="8"/>
  <c r="T74" i="8"/>
  <c r="S74" i="8"/>
  <c r="R74" i="8" s="1"/>
  <c r="Q74" i="8"/>
  <c r="P74" i="8"/>
  <c r="L74" i="8"/>
  <c r="V73" i="8"/>
  <c r="U73" i="8"/>
  <c r="T73" i="8"/>
  <c r="S73" i="8"/>
  <c r="W73" i="8" s="1"/>
  <c r="R73" i="8"/>
  <c r="Q73" i="8"/>
  <c r="P73" i="8"/>
  <c r="L73" i="8"/>
  <c r="V72" i="8"/>
  <c r="U72" i="8"/>
  <c r="W72" i="8" s="1"/>
  <c r="T72" i="8"/>
  <c r="S72" i="8"/>
  <c r="R72" i="8" s="1"/>
  <c r="Q72" i="8"/>
  <c r="P72" i="8"/>
  <c r="L72" i="8"/>
  <c r="V71" i="8"/>
  <c r="U71" i="8"/>
  <c r="W71" i="8" s="1"/>
  <c r="T71" i="8"/>
  <c r="S71" i="8"/>
  <c r="R71" i="8"/>
  <c r="Q71" i="8"/>
  <c r="P71" i="8"/>
  <c r="L71" i="8"/>
  <c r="V70" i="8"/>
  <c r="U70" i="8"/>
  <c r="T70" i="8"/>
  <c r="S70" i="8"/>
  <c r="R70" i="8" s="1"/>
  <c r="Q70" i="8"/>
  <c r="P70" i="8"/>
  <c r="L70" i="8"/>
  <c r="V69" i="8"/>
  <c r="U69" i="8"/>
  <c r="T69" i="8"/>
  <c r="S69" i="8"/>
  <c r="W69" i="8" s="1"/>
  <c r="R69" i="8"/>
  <c r="Q69" i="8"/>
  <c r="P69" i="8"/>
  <c r="L69" i="8"/>
  <c r="V68" i="8"/>
  <c r="U68" i="8"/>
  <c r="W68" i="8" s="1"/>
  <c r="T68" i="8"/>
  <c r="S68" i="8"/>
  <c r="R68" i="8" s="1"/>
  <c r="Q68" i="8"/>
  <c r="P68" i="8"/>
  <c r="L68" i="8"/>
  <c r="V67" i="8"/>
  <c r="U67" i="8"/>
  <c r="W67" i="8" s="1"/>
  <c r="T67" i="8"/>
  <c r="S67" i="8"/>
  <c r="R67" i="8"/>
  <c r="Q67" i="8"/>
  <c r="P67" i="8"/>
  <c r="L67" i="8"/>
  <c r="V66" i="8"/>
  <c r="U66" i="8"/>
  <c r="T66" i="8"/>
  <c r="S66" i="8"/>
  <c r="R66" i="8" s="1"/>
  <c r="Q66" i="8"/>
  <c r="P66" i="8"/>
  <c r="L66" i="8"/>
  <c r="V65" i="8"/>
  <c r="U65" i="8"/>
  <c r="T65" i="8"/>
  <c r="S65" i="8"/>
  <c r="W65" i="8" s="1"/>
  <c r="R65" i="8"/>
  <c r="Q65" i="8"/>
  <c r="P65" i="8"/>
  <c r="L65" i="8"/>
  <c r="V64" i="8"/>
  <c r="U64" i="8"/>
  <c r="W64" i="8" s="1"/>
  <c r="T64" i="8"/>
  <c r="S64" i="8"/>
  <c r="R64" i="8" s="1"/>
  <c r="Q64" i="8"/>
  <c r="P64" i="8"/>
  <c r="L64" i="8"/>
  <c r="V63" i="8"/>
  <c r="U63" i="8"/>
  <c r="W63" i="8" s="1"/>
  <c r="T63" i="8"/>
  <c r="S63" i="8"/>
  <c r="R63" i="8"/>
  <c r="Q63" i="8"/>
  <c r="P63" i="8"/>
  <c r="L63" i="8"/>
  <c r="V62" i="8"/>
  <c r="U62" i="8"/>
  <c r="T62" i="8"/>
  <c r="S62" i="8"/>
  <c r="R62" i="8" s="1"/>
  <c r="Q62" i="8"/>
  <c r="P62" i="8"/>
  <c r="L62" i="8"/>
  <c r="V61" i="8"/>
  <c r="U61" i="8"/>
  <c r="T61" i="8"/>
  <c r="S61" i="8"/>
  <c r="W61" i="8" s="1"/>
  <c r="R61" i="8"/>
  <c r="Q61" i="8"/>
  <c r="P61" i="8"/>
  <c r="L61" i="8"/>
  <c r="V60" i="8"/>
  <c r="U60" i="8"/>
  <c r="W60" i="8" s="1"/>
  <c r="T60" i="8"/>
  <c r="S60" i="8"/>
  <c r="R60" i="8" s="1"/>
  <c r="Q60" i="8"/>
  <c r="P60" i="8"/>
  <c r="L60" i="8"/>
  <c r="V59" i="8"/>
  <c r="U59" i="8"/>
  <c r="W59" i="8" s="1"/>
  <c r="T59" i="8"/>
  <c r="S59" i="8"/>
  <c r="R59" i="8"/>
  <c r="Q59" i="8"/>
  <c r="P59" i="8"/>
  <c r="L59" i="8"/>
  <c r="V58" i="8"/>
  <c r="U58" i="8"/>
  <c r="T58" i="8"/>
  <c r="S58" i="8"/>
  <c r="R58" i="8" s="1"/>
  <c r="Q58" i="8"/>
  <c r="P58" i="8"/>
  <c r="L58" i="8"/>
  <c r="V57" i="8"/>
  <c r="U57" i="8"/>
  <c r="T57" i="8"/>
  <c r="S57" i="8"/>
  <c r="W57" i="8" s="1"/>
  <c r="R57" i="8"/>
  <c r="Q57" i="8"/>
  <c r="P57" i="8"/>
  <c r="L57" i="8"/>
  <c r="V56" i="8"/>
  <c r="U56" i="8"/>
  <c r="W56" i="8" s="1"/>
  <c r="T56" i="8"/>
  <c r="S56" i="8"/>
  <c r="R56" i="8" s="1"/>
  <c r="Q56" i="8"/>
  <c r="P56" i="8"/>
  <c r="L56" i="8"/>
  <c r="V55" i="8"/>
  <c r="U55" i="8"/>
  <c r="W55" i="8" s="1"/>
  <c r="T55" i="8"/>
  <c r="S55" i="8"/>
  <c r="R55" i="8"/>
  <c r="Q55" i="8"/>
  <c r="P55" i="8"/>
  <c r="L55" i="8"/>
  <c r="V54" i="8"/>
  <c r="U54" i="8"/>
  <c r="T54" i="8"/>
  <c r="S54" i="8"/>
  <c r="R54" i="8" s="1"/>
  <c r="Q54" i="8"/>
  <c r="P54" i="8"/>
  <c r="L54" i="8"/>
  <c r="V53" i="8"/>
  <c r="U53" i="8"/>
  <c r="T53" i="8"/>
  <c r="S53" i="8"/>
  <c r="W53" i="8" s="1"/>
  <c r="R53" i="8"/>
  <c r="Q53" i="8"/>
  <c r="P53" i="8"/>
  <c r="L53" i="8"/>
  <c r="V52" i="8"/>
  <c r="U52" i="8"/>
  <c r="W52" i="8" s="1"/>
  <c r="T52" i="8"/>
  <c r="S52" i="8"/>
  <c r="R52" i="8" s="1"/>
  <c r="Q52" i="8"/>
  <c r="P52" i="8"/>
  <c r="L52" i="8"/>
  <c r="V51" i="8"/>
  <c r="U51" i="8"/>
  <c r="W51" i="8" s="1"/>
  <c r="T51" i="8"/>
  <c r="S51" i="8"/>
  <c r="R51" i="8"/>
  <c r="Q51" i="8"/>
  <c r="P51" i="8"/>
  <c r="L51" i="8"/>
  <c r="V50" i="8"/>
  <c r="U50" i="8"/>
  <c r="T50" i="8"/>
  <c r="S50" i="8"/>
  <c r="R50" i="8" s="1"/>
  <c r="Q50" i="8"/>
  <c r="P50" i="8"/>
  <c r="L50" i="8"/>
  <c r="V49" i="8"/>
  <c r="U49" i="8"/>
  <c r="T49" i="8"/>
  <c r="S49" i="8"/>
  <c r="W49" i="8" s="1"/>
  <c r="R49" i="8"/>
  <c r="Q49" i="8"/>
  <c r="P49" i="8"/>
  <c r="L49" i="8"/>
  <c r="V48" i="8"/>
  <c r="U48" i="8"/>
  <c r="W48" i="8" s="1"/>
  <c r="T48" i="8"/>
  <c r="S48" i="8"/>
  <c r="R48" i="8" s="1"/>
  <c r="Q48" i="8"/>
  <c r="P48" i="8"/>
  <c r="L48" i="8"/>
  <c r="V47" i="8"/>
  <c r="U47" i="8"/>
  <c r="W47" i="8" s="1"/>
  <c r="T47" i="8"/>
  <c r="S47" i="8"/>
  <c r="R47" i="8"/>
  <c r="Q47" i="8"/>
  <c r="P47" i="8"/>
  <c r="L47" i="8"/>
  <c r="V46" i="8"/>
  <c r="U46" i="8"/>
  <c r="T46" i="8"/>
  <c r="S46" i="8"/>
  <c r="R46" i="8" s="1"/>
  <c r="Q46" i="8"/>
  <c r="P46" i="8"/>
  <c r="L46" i="8"/>
  <c r="V45" i="8"/>
  <c r="U45" i="8"/>
  <c r="T45" i="8"/>
  <c r="S45" i="8"/>
  <c r="W45" i="8" s="1"/>
  <c r="R45" i="8"/>
  <c r="Q45" i="8"/>
  <c r="P45" i="8"/>
  <c r="L45" i="8"/>
  <c r="V44" i="8"/>
  <c r="U44" i="8"/>
  <c r="W44" i="8" s="1"/>
  <c r="T44" i="8"/>
  <c r="S44" i="8"/>
  <c r="R44" i="8" s="1"/>
  <c r="Q44" i="8"/>
  <c r="P44" i="8"/>
  <c r="L44" i="8"/>
  <c r="V43" i="8"/>
  <c r="U43" i="8"/>
  <c r="W43" i="8" s="1"/>
  <c r="T43" i="8"/>
  <c r="S43" i="8"/>
  <c r="R43" i="8"/>
  <c r="Q43" i="8"/>
  <c r="P43" i="8"/>
  <c r="L43" i="8"/>
  <c r="V42" i="8"/>
  <c r="U42" i="8"/>
  <c r="T42" i="8"/>
  <c r="S42" i="8"/>
  <c r="R42" i="8" s="1"/>
  <c r="Q42" i="8"/>
  <c r="P42" i="8"/>
  <c r="L42" i="8"/>
  <c r="V41" i="8"/>
  <c r="U41" i="8"/>
  <c r="T41" i="8"/>
  <c r="S41" i="8"/>
  <c r="W41" i="8" s="1"/>
  <c r="R41" i="8"/>
  <c r="Q41" i="8"/>
  <c r="P41" i="8"/>
  <c r="L41" i="8"/>
  <c r="V40" i="8"/>
  <c r="U40" i="8"/>
  <c r="W40" i="8" s="1"/>
  <c r="T40" i="8"/>
  <c r="S40" i="8"/>
  <c r="R40" i="8" s="1"/>
  <c r="Q40" i="8"/>
  <c r="P40" i="8"/>
  <c r="L40" i="8"/>
  <c r="V39" i="8"/>
  <c r="U39" i="8"/>
  <c r="W39" i="8" s="1"/>
  <c r="T39" i="8"/>
  <c r="S39" i="8"/>
  <c r="R39" i="8"/>
  <c r="Q39" i="8"/>
  <c r="P39" i="8"/>
  <c r="L39" i="8"/>
  <c r="V38" i="8"/>
  <c r="U38" i="8"/>
  <c r="T38" i="8"/>
  <c r="S38" i="8"/>
  <c r="R38" i="8" s="1"/>
  <c r="Q38" i="8"/>
  <c r="P38" i="8"/>
  <c r="L38" i="8"/>
  <c r="V37" i="8"/>
  <c r="U37" i="8"/>
  <c r="T37" i="8"/>
  <c r="S37" i="8"/>
  <c r="W37" i="8" s="1"/>
  <c r="R37" i="8"/>
  <c r="Q37" i="8"/>
  <c r="P37" i="8"/>
  <c r="L37" i="8"/>
  <c r="V36" i="8"/>
  <c r="U36" i="8"/>
  <c r="W36" i="8" s="1"/>
  <c r="T36" i="8"/>
  <c r="S36" i="8"/>
  <c r="R36" i="8" s="1"/>
  <c r="Q36" i="8"/>
  <c r="P36" i="8"/>
  <c r="L36" i="8"/>
  <c r="V35" i="8"/>
  <c r="U35" i="8"/>
  <c r="W35" i="8" s="1"/>
  <c r="T35" i="8"/>
  <c r="S35" i="8"/>
  <c r="R35" i="8"/>
  <c r="Q35" i="8"/>
  <c r="P35" i="8"/>
  <c r="L35" i="8"/>
  <c r="V34" i="8"/>
  <c r="U34" i="8"/>
  <c r="T34" i="8"/>
  <c r="S34" i="8"/>
  <c r="R34" i="8" s="1"/>
  <c r="Q34" i="8"/>
  <c r="P34" i="8"/>
  <c r="L34" i="8"/>
  <c r="V33" i="8"/>
  <c r="U33" i="8"/>
  <c r="T33" i="8"/>
  <c r="S33" i="8"/>
  <c r="W33" i="8" s="1"/>
  <c r="R33" i="8"/>
  <c r="Q33" i="8"/>
  <c r="P33" i="8"/>
  <c r="L33" i="8"/>
  <c r="V32" i="8"/>
  <c r="U32" i="8"/>
  <c r="W32" i="8" s="1"/>
  <c r="T32" i="8"/>
  <c r="S32" i="8"/>
  <c r="R32" i="8" s="1"/>
  <c r="Q32" i="8"/>
  <c r="P32" i="8"/>
  <c r="L32" i="8"/>
  <c r="V31" i="8"/>
  <c r="U31" i="8"/>
  <c r="W31" i="8" s="1"/>
  <c r="T31" i="8"/>
  <c r="S31" i="8"/>
  <c r="R31" i="8"/>
  <c r="Q31" i="8"/>
  <c r="P31" i="8"/>
  <c r="L31" i="8"/>
  <c r="V30" i="8"/>
  <c r="U30" i="8"/>
  <c r="T30" i="8"/>
  <c r="S30" i="8"/>
  <c r="R30" i="8" s="1"/>
  <c r="Q30" i="8"/>
  <c r="P30" i="8"/>
  <c r="L30" i="8"/>
  <c r="V29" i="8"/>
  <c r="U29" i="8"/>
  <c r="T29" i="8"/>
  <c r="S29" i="8"/>
  <c r="W29" i="8" s="1"/>
  <c r="R29" i="8"/>
  <c r="Q29" i="8"/>
  <c r="P29" i="8"/>
  <c r="L29" i="8"/>
  <c r="V28" i="8"/>
  <c r="U28" i="8"/>
  <c r="W28" i="8" s="1"/>
  <c r="T28" i="8"/>
  <c r="S28" i="8"/>
  <c r="R28" i="8" s="1"/>
  <c r="Q28" i="8"/>
  <c r="P28" i="8"/>
  <c r="L28" i="8"/>
  <c r="V27" i="8"/>
  <c r="U27" i="8"/>
  <c r="W27" i="8" s="1"/>
  <c r="T27" i="8"/>
  <c r="S27" i="8"/>
  <c r="R27" i="8"/>
  <c r="Q27" i="8"/>
  <c r="P27" i="8"/>
  <c r="L27" i="8"/>
  <c r="V26" i="8"/>
  <c r="U26" i="8"/>
  <c r="T26" i="8"/>
  <c r="S26" i="8"/>
  <c r="R26" i="8" s="1"/>
  <c r="Q26" i="8"/>
  <c r="P26" i="8"/>
  <c r="L26" i="8"/>
  <c r="V25" i="8"/>
  <c r="U25" i="8"/>
  <c r="T25" i="8"/>
  <c r="S25" i="8"/>
  <c r="W25" i="8" s="1"/>
  <c r="R25" i="8"/>
  <c r="Q25" i="8"/>
  <c r="P25" i="8"/>
  <c r="L25" i="8"/>
  <c r="V24" i="8"/>
  <c r="U24" i="8"/>
  <c r="W24" i="8" s="1"/>
  <c r="T24" i="8"/>
  <c r="S24" i="8"/>
  <c r="R24" i="8" s="1"/>
  <c r="Q24" i="8"/>
  <c r="P24" i="8"/>
  <c r="L24" i="8"/>
  <c r="V23" i="8"/>
  <c r="U23" i="8"/>
  <c r="W23" i="8" s="1"/>
  <c r="T23" i="8"/>
  <c r="S23" i="8"/>
  <c r="R23" i="8"/>
  <c r="Q23" i="8"/>
  <c r="P23" i="8"/>
  <c r="L23" i="8"/>
  <c r="V22" i="8"/>
  <c r="U22" i="8"/>
  <c r="T22" i="8"/>
  <c r="S22" i="8"/>
  <c r="R22" i="8" s="1"/>
  <c r="Q22" i="8"/>
  <c r="P22" i="8"/>
  <c r="L22" i="8"/>
  <c r="V21" i="8"/>
  <c r="U21" i="8"/>
  <c r="T21" i="8"/>
  <c r="S21" i="8"/>
  <c r="W21" i="8" s="1"/>
  <c r="R21" i="8"/>
  <c r="Q21" i="8"/>
  <c r="P21" i="8"/>
  <c r="L21" i="8"/>
  <c r="V20" i="8"/>
  <c r="U20" i="8"/>
  <c r="W20" i="8" s="1"/>
  <c r="T20" i="8"/>
  <c r="S20" i="8"/>
  <c r="R20" i="8" s="1"/>
  <c r="Q20" i="8"/>
  <c r="P20" i="8"/>
  <c r="L20" i="8"/>
  <c r="V19" i="8"/>
  <c r="U19" i="8"/>
  <c r="W19" i="8" s="1"/>
  <c r="T19" i="8"/>
  <c r="S19" i="8"/>
  <c r="R19" i="8"/>
  <c r="Q19" i="8"/>
  <c r="P19" i="8"/>
  <c r="L19" i="8"/>
  <c r="V18" i="8"/>
  <c r="U18" i="8"/>
  <c r="T18" i="8"/>
  <c r="S18" i="8"/>
  <c r="R18" i="8" s="1"/>
  <c r="Q18" i="8"/>
  <c r="P18" i="8"/>
  <c r="L18" i="8"/>
  <c r="V17" i="8"/>
  <c r="U17" i="8"/>
  <c r="T17" i="8"/>
  <c r="S17" i="8"/>
  <c r="W17" i="8" s="1"/>
  <c r="R17" i="8"/>
  <c r="Q17" i="8"/>
  <c r="P17" i="8"/>
  <c r="L17" i="8"/>
  <c r="V16" i="8"/>
  <c r="U16" i="8"/>
  <c r="W16" i="8" s="1"/>
  <c r="T16" i="8"/>
  <c r="S16" i="8"/>
  <c r="R16" i="8" s="1"/>
  <c r="Q16" i="8"/>
  <c r="P16" i="8"/>
  <c r="L16" i="8"/>
  <c r="V15" i="8"/>
  <c r="U15" i="8"/>
  <c r="W15" i="8" s="1"/>
  <c r="T15" i="8"/>
  <c r="S15" i="8"/>
  <c r="R15" i="8"/>
  <c r="Q15" i="8"/>
  <c r="P15" i="8"/>
  <c r="L15" i="8"/>
  <c r="V14" i="8"/>
  <c r="U14" i="8"/>
  <c r="T14" i="8"/>
  <c r="S14" i="8"/>
  <c r="R14" i="8" s="1"/>
  <c r="Q14" i="8"/>
  <c r="P14" i="8"/>
  <c r="L14" i="8"/>
  <c r="V13" i="8"/>
  <c r="U13" i="8"/>
  <c r="T13" i="8"/>
  <c r="S13" i="8"/>
  <c r="W13" i="8" s="1"/>
  <c r="R13" i="8"/>
  <c r="Q13" i="8"/>
  <c r="P13" i="8"/>
  <c r="L13" i="8"/>
  <c r="V12" i="8"/>
  <c r="U12" i="8"/>
  <c r="W12" i="8" s="1"/>
  <c r="T12" i="8"/>
  <c r="S12" i="8"/>
  <c r="R12" i="8" s="1"/>
  <c r="Q12" i="8"/>
  <c r="P12" i="8"/>
  <c r="L12" i="8"/>
  <c r="V11" i="8"/>
  <c r="U11" i="8"/>
  <c r="W11" i="8" s="1"/>
  <c r="T11" i="8"/>
  <c r="S11" i="8"/>
  <c r="R11" i="8"/>
  <c r="Q11" i="8"/>
  <c r="P11" i="8"/>
  <c r="V10" i="8"/>
  <c r="U10" i="8"/>
  <c r="W10" i="8" s="1"/>
  <c r="T10" i="8"/>
  <c r="S10" i="8"/>
  <c r="R10" i="8"/>
  <c r="Q10" i="8"/>
  <c r="P10" i="8"/>
  <c r="L10" i="8"/>
  <c r="V9" i="8"/>
  <c r="U9" i="8"/>
  <c r="T9" i="8"/>
  <c r="S9" i="8"/>
  <c r="R9" i="8" s="1"/>
  <c r="Q9" i="8"/>
  <c r="P9" i="8"/>
  <c r="L9" i="8"/>
  <c r="V8" i="8"/>
  <c r="U8" i="8"/>
  <c r="T8" i="8"/>
  <c r="S8" i="8"/>
  <c r="W8" i="8" s="1"/>
  <c r="R8" i="8"/>
  <c r="Q8" i="8"/>
  <c r="P8" i="8"/>
  <c r="L8" i="8"/>
  <c r="V7" i="8"/>
  <c r="U7" i="8"/>
  <c r="W7" i="8" s="1"/>
  <c r="T7" i="8"/>
  <c r="S7" i="8"/>
  <c r="R7" i="8" s="1"/>
  <c r="Q7" i="8"/>
  <c r="P7" i="8"/>
  <c r="L7" i="8"/>
  <c r="V6" i="8"/>
  <c r="U6" i="8"/>
  <c r="W6" i="8" s="1"/>
  <c r="T6" i="8"/>
  <c r="S6" i="8"/>
  <c r="R6" i="8"/>
  <c r="Q6" i="8"/>
  <c r="P6" i="8"/>
  <c r="L6" i="8"/>
  <c r="V5" i="8"/>
  <c r="U5" i="8"/>
  <c r="T5" i="8"/>
  <c r="S5" i="8"/>
  <c r="R5" i="8" s="1"/>
  <c r="Q5" i="8"/>
  <c r="P5" i="8"/>
  <c r="L5" i="8"/>
  <c r="V4" i="8"/>
  <c r="U4" i="8"/>
  <c r="T4" i="8"/>
  <c r="S4" i="8"/>
  <c r="W4" i="8" s="1"/>
  <c r="R4" i="8"/>
  <c r="Q4" i="8"/>
  <c r="P4" i="8"/>
  <c r="L4" i="8"/>
  <c r="V3" i="8"/>
  <c r="U3" i="8"/>
  <c r="W3" i="8" s="1"/>
  <c r="T3" i="8"/>
  <c r="S3" i="8"/>
  <c r="R3" i="8" s="1"/>
  <c r="Q3" i="8"/>
  <c r="P3" i="8"/>
  <c r="L3" i="8"/>
  <c r="V2" i="8"/>
  <c r="U2" i="8"/>
  <c r="T2" i="8"/>
  <c r="S2" i="8"/>
  <c r="R2" i="8" s="1"/>
  <c r="Q2" i="8"/>
  <c r="P2" i="8"/>
  <c r="L2" i="8"/>
  <c r="W9" i="8" l="1"/>
  <c r="W22" i="8"/>
  <c r="W26" i="8"/>
  <c r="W54" i="8"/>
  <c r="W58" i="8"/>
  <c r="W62" i="8"/>
  <c r="W66" i="8"/>
  <c r="W70" i="8"/>
  <c r="W74" i="8"/>
  <c r="W78" i="8"/>
  <c r="W82" i="8"/>
  <c r="W86" i="8"/>
  <c r="W90" i="8"/>
  <c r="W94" i="8"/>
  <c r="W98" i="8"/>
  <c r="W145" i="8"/>
  <c r="W158" i="8"/>
  <c r="W161" i="8"/>
  <c r="W174" i="8"/>
  <c r="W177" i="8"/>
  <c r="R100" i="8"/>
  <c r="R104" i="8"/>
  <c r="R108" i="8"/>
  <c r="R112" i="8"/>
  <c r="R116" i="8"/>
  <c r="R123" i="8"/>
  <c r="R131" i="8"/>
  <c r="R139" i="8"/>
  <c r="W149" i="8"/>
  <c r="R150" i="8"/>
  <c r="W165" i="8"/>
  <c r="R166" i="8"/>
  <c r="W181" i="8"/>
  <c r="R182" i="8"/>
  <c r="W5" i="8"/>
  <c r="W14" i="8"/>
  <c r="W42" i="8"/>
  <c r="W133" i="8"/>
  <c r="W185" i="8"/>
  <c r="W189" i="8"/>
  <c r="W193" i="8"/>
  <c r="W197" i="8"/>
  <c r="W201" i="8"/>
  <c r="W205" i="8"/>
  <c r="W209" i="8"/>
  <c r="W213" i="8"/>
  <c r="W217" i="8"/>
  <c r="W221" i="8"/>
  <c r="W225" i="8"/>
  <c r="W229" i="8"/>
  <c r="W233" i="8"/>
  <c r="W237" i="8"/>
  <c r="W241" i="8"/>
  <c r="W245" i="8"/>
  <c r="W249" i="8"/>
  <c r="W253" i="8"/>
  <c r="W257" i="8"/>
  <c r="W261" i="8"/>
  <c r="W265" i="8"/>
  <c r="W269" i="8"/>
  <c r="W273" i="8"/>
  <c r="W277" i="8"/>
  <c r="W281" i="8"/>
  <c r="W285" i="8"/>
  <c r="W18" i="8"/>
  <c r="W30" i="8"/>
  <c r="W34" i="8"/>
  <c r="W38" i="8"/>
  <c r="W46" i="8"/>
  <c r="W50" i="8"/>
  <c r="W117" i="8"/>
  <c r="W125" i="8"/>
  <c r="W141" i="8"/>
  <c r="W153" i="8"/>
  <c r="W169" i="8"/>
  <c r="W157" i="8"/>
  <c r="W173" i="8"/>
  <c r="N41" i="3" l="1"/>
  <c r="R41" i="3"/>
  <c r="S41" i="3"/>
  <c r="U41" i="3"/>
  <c r="T41" i="3" s="1"/>
  <c r="V41" i="3"/>
  <c r="W41" i="3"/>
  <c r="X41" i="3"/>
  <c r="N32" i="3"/>
  <c r="R32" i="3"/>
  <c r="S32" i="3"/>
  <c r="U32" i="3"/>
  <c r="T32" i="3" s="1"/>
  <c r="V32" i="3"/>
  <c r="W32" i="3"/>
  <c r="X32" i="3"/>
  <c r="N39" i="3"/>
  <c r="R39" i="3"/>
  <c r="S39" i="3"/>
  <c r="U39" i="3"/>
  <c r="T39" i="3" s="1"/>
  <c r="V39" i="3"/>
  <c r="W39" i="3"/>
  <c r="X39" i="3"/>
  <c r="N47" i="3"/>
  <c r="R47" i="3"/>
  <c r="S47" i="3"/>
  <c r="U47" i="3"/>
  <c r="T47" i="3" s="1"/>
  <c r="V47" i="3"/>
  <c r="W47" i="3"/>
  <c r="X47" i="3"/>
  <c r="N28" i="3"/>
  <c r="R28" i="3"/>
  <c r="S28" i="3"/>
  <c r="U28" i="3"/>
  <c r="T28" i="3" s="1"/>
  <c r="V28" i="3"/>
  <c r="W28" i="3"/>
  <c r="X28" i="3"/>
  <c r="N31" i="3"/>
  <c r="R31" i="3"/>
  <c r="S31" i="3"/>
  <c r="U31" i="3"/>
  <c r="T31" i="3" s="1"/>
  <c r="V31" i="3"/>
  <c r="W31" i="3"/>
  <c r="X31" i="3"/>
  <c r="N17" i="3"/>
  <c r="R17" i="3"/>
  <c r="S17" i="3"/>
  <c r="U17" i="3"/>
  <c r="T17" i="3" s="1"/>
  <c r="V17" i="3"/>
  <c r="W17" i="3"/>
  <c r="X17" i="3"/>
  <c r="N21" i="3"/>
  <c r="R21" i="3"/>
  <c r="S21" i="3"/>
  <c r="U21" i="3"/>
  <c r="T21" i="3" s="1"/>
  <c r="V21" i="3"/>
  <c r="W21" i="3"/>
  <c r="X21" i="3"/>
  <c r="N34" i="3"/>
  <c r="R34" i="3"/>
  <c r="S34" i="3"/>
  <c r="U34" i="3"/>
  <c r="T34" i="3" s="1"/>
  <c r="V34" i="3"/>
  <c r="W34" i="3"/>
  <c r="X34" i="3"/>
  <c r="N40" i="3"/>
  <c r="R40" i="3"/>
  <c r="S40" i="3"/>
  <c r="U40" i="3"/>
  <c r="T40" i="3" s="1"/>
  <c r="V40" i="3"/>
  <c r="W40" i="3"/>
  <c r="X40" i="3"/>
  <c r="N23" i="3"/>
  <c r="R23" i="3"/>
  <c r="S23" i="3"/>
  <c r="U23" i="3"/>
  <c r="T23" i="3" s="1"/>
  <c r="V23" i="3"/>
  <c r="W23" i="3"/>
  <c r="X23" i="3"/>
  <c r="N7" i="3"/>
  <c r="R7" i="3"/>
  <c r="S7" i="3"/>
  <c r="U7" i="3"/>
  <c r="T7" i="3" s="1"/>
  <c r="V7" i="3"/>
  <c r="W7" i="3"/>
  <c r="X7" i="3"/>
  <c r="N46" i="3"/>
  <c r="R46" i="3"/>
  <c r="S46" i="3"/>
  <c r="U46" i="3"/>
  <c r="T46" i="3" s="1"/>
  <c r="V46" i="3"/>
  <c r="W46" i="3"/>
  <c r="X46" i="3"/>
  <c r="N43" i="3"/>
  <c r="R43" i="3"/>
  <c r="S43" i="3"/>
  <c r="U43" i="3"/>
  <c r="T43" i="3" s="1"/>
  <c r="V43" i="3"/>
  <c r="W43" i="3"/>
  <c r="X43" i="3"/>
  <c r="N44" i="3"/>
  <c r="R44" i="3"/>
  <c r="S44" i="3"/>
  <c r="U44" i="3"/>
  <c r="T44" i="3" s="1"/>
  <c r="V44" i="3"/>
  <c r="W44" i="3"/>
  <c r="X44" i="3"/>
  <c r="N38" i="3"/>
  <c r="R38" i="3"/>
  <c r="S38" i="3"/>
  <c r="U38" i="3"/>
  <c r="T38" i="3" s="1"/>
  <c r="V38" i="3"/>
  <c r="W38" i="3"/>
  <c r="X38" i="3"/>
  <c r="N45" i="3"/>
  <c r="R45" i="3"/>
  <c r="S45" i="3"/>
  <c r="U45" i="3"/>
  <c r="T45" i="3" s="1"/>
  <c r="V45" i="3"/>
  <c r="W45" i="3"/>
  <c r="X45" i="3"/>
  <c r="N30" i="3"/>
  <c r="R30" i="3"/>
  <c r="S30" i="3"/>
  <c r="U30" i="3"/>
  <c r="T30" i="3" s="1"/>
  <c r="V30" i="3"/>
  <c r="W30" i="3"/>
  <c r="X30" i="3"/>
  <c r="N8" i="3"/>
  <c r="R8" i="3"/>
  <c r="S8" i="3"/>
  <c r="U8" i="3"/>
  <c r="T8" i="3" s="1"/>
  <c r="V8" i="3"/>
  <c r="W8" i="3"/>
  <c r="X8" i="3"/>
  <c r="N24" i="3"/>
  <c r="R24" i="3"/>
  <c r="S24" i="3"/>
  <c r="U24" i="3"/>
  <c r="T24" i="3" s="1"/>
  <c r="V24" i="3"/>
  <c r="W24" i="3"/>
  <c r="X24" i="3"/>
  <c r="N33" i="3"/>
  <c r="R33" i="3"/>
  <c r="S33" i="3"/>
  <c r="U33" i="3"/>
  <c r="T33" i="3" s="1"/>
  <c r="V33" i="3"/>
  <c r="W33" i="3"/>
  <c r="X33" i="3"/>
  <c r="N37" i="3"/>
  <c r="R37" i="3"/>
  <c r="S37" i="3"/>
  <c r="U37" i="3"/>
  <c r="T37" i="3" s="1"/>
  <c r="V37" i="3"/>
  <c r="W37" i="3"/>
  <c r="X37" i="3"/>
  <c r="N25" i="3"/>
  <c r="R25" i="3"/>
  <c r="S25" i="3"/>
  <c r="U25" i="3"/>
  <c r="T25" i="3" s="1"/>
  <c r="V25" i="3"/>
  <c r="W25" i="3"/>
  <c r="X25" i="3"/>
  <c r="N16" i="3"/>
  <c r="R16" i="3"/>
  <c r="S16" i="3"/>
  <c r="U16" i="3"/>
  <c r="T16" i="3" s="1"/>
  <c r="V16" i="3"/>
  <c r="W16" i="3"/>
  <c r="X16" i="3"/>
  <c r="N9" i="3"/>
  <c r="R9" i="3"/>
  <c r="S9" i="3"/>
  <c r="U9" i="3"/>
  <c r="T9" i="3" s="1"/>
  <c r="V9" i="3"/>
  <c r="W9" i="3"/>
  <c r="X9" i="3"/>
  <c r="N27" i="3"/>
  <c r="R27" i="3"/>
  <c r="S27" i="3"/>
  <c r="U27" i="3"/>
  <c r="T27" i="3" s="1"/>
  <c r="V27" i="3"/>
  <c r="W27" i="3"/>
  <c r="X27" i="3"/>
  <c r="N10" i="3"/>
  <c r="R10" i="3"/>
  <c r="S10" i="3"/>
  <c r="U10" i="3"/>
  <c r="T10" i="3" s="1"/>
  <c r="V10" i="3"/>
  <c r="W10" i="3"/>
  <c r="X10" i="3"/>
  <c r="N11" i="3"/>
  <c r="R11" i="3"/>
  <c r="S11" i="3"/>
  <c r="U11" i="3"/>
  <c r="T11" i="3" s="1"/>
  <c r="V11" i="3"/>
  <c r="W11" i="3"/>
  <c r="X11" i="3"/>
  <c r="N12" i="3"/>
  <c r="R12" i="3"/>
  <c r="S12" i="3"/>
  <c r="U12" i="3"/>
  <c r="T12" i="3" s="1"/>
  <c r="V12" i="3"/>
  <c r="W12" i="3"/>
  <c r="X12" i="3"/>
  <c r="N13" i="3"/>
  <c r="R13" i="3"/>
  <c r="S13" i="3"/>
  <c r="U13" i="3"/>
  <c r="T13" i="3" s="1"/>
  <c r="V13" i="3"/>
  <c r="W13" i="3"/>
  <c r="X13" i="3"/>
  <c r="N14" i="3"/>
  <c r="R14" i="3"/>
  <c r="S14" i="3"/>
  <c r="U14" i="3"/>
  <c r="T14" i="3" s="1"/>
  <c r="V14" i="3"/>
  <c r="W14" i="3"/>
  <c r="X14" i="3"/>
  <c r="N42" i="3"/>
  <c r="R42" i="3"/>
  <c r="S42" i="3"/>
  <c r="U42" i="3"/>
  <c r="T42" i="3" s="1"/>
  <c r="V42" i="3"/>
  <c r="W42" i="3"/>
  <c r="X42" i="3"/>
  <c r="N15" i="3"/>
  <c r="R15" i="3"/>
  <c r="S15" i="3"/>
  <c r="U15" i="3"/>
  <c r="T15" i="3" s="1"/>
  <c r="V15" i="3"/>
  <c r="W15" i="3"/>
  <c r="X15" i="3"/>
  <c r="N35" i="3"/>
  <c r="R35" i="3"/>
  <c r="S35" i="3"/>
  <c r="U35" i="3"/>
  <c r="T35" i="3" s="1"/>
  <c r="V35" i="3"/>
  <c r="W35" i="3"/>
  <c r="X35" i="3"/>
  <c r="N19" i="3"/>
  <c r="R19" i="3"/>
  <c r="S19" i="3"/>
  <c r="U19" i="3"/>
  <c r="T19" i="3" s="1"/>
  <c r="V19" i="3"/>
  <c r="W19" i="3"/>
  <c r="X19" i="3"/>
  <c r="N36" i="3"/>
  <c r="R36" i="3"/>
  <c r="S36" i="3"/>
  <c r="U36" i="3"/>
  <c r="T36" i="3" s="1"/>
  <c r="V36" i="3"/>
  <c r="W36" i="3"/>
  <c r="X36" i="3"/>
  <c r="N20" i="3"/>
  <c r="R20" i="3"/>
  <c r="S20" i="3"/>
  <c r="U20" i="3"/>
  <c r="T20" i="3" s="1"/>
  <c r="V20" i="3"/>
  <c r="W20" i="3"/>
  <c r="X20" i="3"/>
  <c r="N18" i="3"/>
  <c r="R18" i="3"/>
  <c r="S18" i="3"/>
  <c r="U18" i="3"/>
  <c r="T18" i="3" s="1"/>
  <c r="V18" i="3"/>
  <c r="W18" i="3"/>
  <c r="X18" i="3"/>
  <c r="N29" i="3"/>
  <c r="R29" i="3"/>
  <c r="S29" i="3"/>
  <c r="U29" i="3"/>
  <c r="T29" i="3" s="1"/>
  <c r="V29" i="3"/>
  <c r="W29" i="3"/>
  <c r="X29" i="3"/>
  <c r="N26" i="3"/>
  <c r="R26" i="3"/>
  <c r="S26" i="3"/>
  <c r="U26" i="3"/>
  <c r="T26" i="3" s="1"/>
  <c r="V26" i="3"/>
  <c r="W26" i="3"/>
  <c r="X26" i="3"/>
  <c r="N22" i="3"/>
  <c r="R22" i="3"/>
  <c r="S22" i="3"/>
  <c r="U22" i="3"/>
  <c r="T22" i="3" s="1"/>
  <c r="V22" i="3"/>
  <c r="W22" i="3"/>
  <c r="X22" i="3"/>
  <c r="M38" i="3"/>
  <c r="M40" i="3"/>
  <c r="M22" i="3"/>
  <c r="M45" i="3"/>
  <c r="M35" i="3"/>
  <c r="M29" i="3"/>
  <c r="M11" i="3"/>
  <c r="M47" i="3"/>
  <c r="M23" i="3"/>
  <c r="M15" i="3"/>
  <c r="M18" i="3"/>
  <c r="M30" i="3"/>
  <c r="M8" i="3"/>
  <c r="M32" i="3"/>
  <c r="M24" i="3"/>
  <c r="M41" i="3"/>
  <c r="M12" i="3"/>
  <c r="M21" i="3"/>
  <c r="M33" i="3"/>
  <c r="M28" i="3"/>
  <c r="M26" i="3"/>
  <c r="M19" i="3"/>
  <c r="M7" i="3"/>
  <c r="M42" i="3"/>
  <c r="M39" i="3"/>
  <c r="M13" i="3"/>
  <c r="M46" i="3"/>
  <c r="M43" i="3"/>
  <c r="M14" i="3"/>
  <c r="M37" i="3"/>
  <c r="M31" i="3"/>
  <c r="M17" i="3"/>
  <c r="M25" i="3"/>
  <c r="M44" i="3"/>
  <c r="M34" i="3"/>
  <c r="M16" i="3"/>
  <c r="M20" i="3"/>
  <c r="M36" i="3"/>
  <c r="M9" i="3"/>
  <c r="M27" i="3"/>
  <c r="M10" i="3"/>
  <c r="Y43" i="3" l="1"/>
  <c r="Y47" i="3"/>
  <c r="Y39" i="3"/>
  <c r="Y26" i="3"/>
  <c r="Y29" i="3"/>
  <c r="Y42" i="3"/>
  <c r="Y11" i="3"/>
  <c r="Y46" i="3"/>
  <c r="Y25" i="3"/>
  <c r="Y38" i="3"/>
  <c r="Y23" i="3"/>
  <c r="Y22" i="3"/>
  <c r="Y45" i="3"/>
  <c r="Y7" i="3"/>
  <c r="Y36" i="3"/>
  <c r="Y12" i="3"/>
  <c r="Y16" i="3"/>
  <c r="Y24" i="3"/>
  <c r="Y34" i="3"/>
  <c r="Y17" i="3"/>
  <c r="Y18" i="3"/>
  <c r="Y27" i="3"/>
  <c r="Y9" i="3"/>
  <c r="Y33" i="3"/>
  <c r="Y41" i="3"/>
  <c r="Y19" i="3"/>
  <c r="Y13" i="3"/>
  <c r="Y10" i="3"/>
  <c r="Y40" i="3"/>
  <c r="Y21" i="3"/>
  <c r="Y15" i="3"/>
  <c r="Y14" i="3"/>
  <c r="Y30" i="3"/>
  <c r="Y44" i="3"/>
  <c r="Y28" i="3"/>
  <c r="Y32" i="3"/>
  <c r="Y20" i="3"/>
  <c r="Y35" i="3"/>
  <c r="Y37" i="3"/>
  <c r="Y8" i="3"/>
  <c r="Y31" i="3"/>
  <c r="K161" i="1"/>
  <c r="L161" i="1"/>
  <c r="M161" i="1"/>
  <c r="V161" i="1"/>
  <c r="Y161" i="1"/>
  <c r="Z161" i="1"/>
  <c r="AB161" i="1"/>
  <c r="AC161" i="1"/>
  <c r="AD161" i="1"/>
  <c r="T161" i="1" s="1"/>
  <c r="AE161" i="1"/>
  <c r="AF161" i="1"/>
  <c r="AH161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P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K61" i="1"/>
  <c r="L61" i="1"/>
  <c r="M61" i="1"/>
  <c r="P61" i="1" s="1"/>
  <c r="V61" i="1"/>
  <c r="Y61" i="1"/>
  <c r="Z61" i="1"/>
  <c r="AB61" i="1"/>
  <c r="AC61" i="1"/>
  <c r="AD61" i="1"/>
  <c r="AE61" i="1"/>
  <c r="AF61" i="1"/>
  <c r="K62" i="1"/>
  <c r="L62" i="1"/>
  <c r="M62" i="1"/>
  <c r="P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P160" i="1" s="1"/>
  <c r="V160" i="1"/>
  <c r="Y160" i="1"/>
  <c r="Z160" i="1"/>
  <c r="AB160" i="1"/>
  <c r="AC160" i="1"/>
  <c r="AD160" i="1"/>
  <c r="AG160" i="1" s="1"/>
  <c r="AE160" i="1"/>
  <c r="AF160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X97" i="1" l="1"/>
  <c r="X175" i="1"/>
  <c r="X118" i="1"/>
  <c r="X110" i="1"/>
  <c r="X176" i="1"/>
  <c r="T199" i="1"/>
  <c r="X103" i="1"/>
  <c r="X101" i="1"/>
  <c r="AA161" i="1"/>
  <c r="X174" i="1"/>
  <c r="X208" i="1"/>
  <c r="X177" i="1"/>
  <c r="AG161" i="1"/>
  <c r="X161" i="1"/>
  <c r="X99" i="1"/>
  <c r="AA168" i="1"/>
  <c r="W168" i="1" s="1"/>
  <c r="X102" i="1"/>
  <c r="X98" i="1"/>
  <c r="X111" i="1"/>
  <c r="AA111" i="1"/>
  <c r="X107" i="1"/>
  <c r="X100" i="1"/>
  <c r="X59" i="1"/>
  <c r="X23" i="1"/>
  <c r="X62" i="1"/>
  <c r="X109" i="1"/>
  <c r="AA160" i="1"/>
  <c r="X216" i="1"/>
  <c r="AA216" i="1"/>
  <c r="X56" i="1"/>
  <c r="X58" i="1"/>
  <c r="X108" i="1"/>
  <c r="AA135" i="1"/>
  <c r="AG117" i="1"/>
  <c r="U117" i="1" s="1"/>
  <c r="S117" i="1" s="1"/>
  <c r="X117" i="1"/>
  <c r="X61" i="1"/>
  <c r="X57" i="1"/>
  <c r="AA198" i="1"/>
  <c r="AA188" i="1"/>
  <c r="W188" i="1" s="1"/>
  <c r="AA91" i="1"/>
  <c r="AA75" i="1"/>
  <c r="X60" i="1"/>
  <c r="AG190" i="1"/>
  <c r="U190" i="1" s="1"/>
  <c r="S190" i="1" s="1"/>
  <c r="AA126" i="1"/>
  <c r="AI126" i="1" s="1"/>
  <c r="AA107" i="1"/>
  <c r="AA162" i="1"/>
  <c r="AA32" i="1"/>
  <c r="AI32" i="1" s="1"/>
  <c r="AA24" i="1"/>
  <c r="AA15" i="1"/>
  <c r="X171" i="1"/>
  <c r="AA125" i="1"/>
  <c r="AI125" i="1" s="1"/>
  <c r="AG113" i="1"/>
  <c r="AA95" i="1"/>
  <c r="X87" i="1"/>
  <c r="AG19" i="1"/>
  <c r="AA16" i="1"/>
  <c r="AA191" i="1"/>
  <c r="AA190" i="1"/>
  <c r="X190" i="1"/>
  <c r="AA184" i="1"/>
  <c r="AG182" i="1"/>
  <c r="U182" i="1" s="1"/>
  <c r="S182" i="1" s="1"/>
  <c r="AG129" i="1"/>
  <c r="AA89" i="1"/>
  <c r="X88" i="1"/>
  <c r="AA73" i="1"/>
  <c r="AA68" i="1"/>
  <c r="AI68" i="1" s="1"/>
  <c r="AA55" i="1"/>
  <c r="T171" i="1"/>
  <c r="AA169" i="1"/>
  <c r="AA165" i="1"/>
  <c r="AA164" i="1"/>
  <c r="W164" i="1" s="1"/>
  <c r="X220" i="1"/>
  <c r="AG150" i="1"/>
  <c r="X150" i="1"/>
  <c r="AA146" i="1"/>
  <c r="W146" i="1" s="1"/>
  <c r="AA104" i="1"/>
  <c r="AA99" i="1"/>
  <c r="AI99" i="1" s="1"/>
  <c r="AA98" i="1"/>
  <c r="AA93" i="1"/>
  <c r="W93" i="1" s="1"/>
  <c r="AA80" i="1"/>
  <c r="W80" i="1" s="1"/>
  <c r="AA79" i="1"/>
  <c r="AI79" i="1" s="1"/>
  <c r="AG43" i="1"/>
  <c r="U43" i="1" s="1"/>
  <c r="S43" i="1" s="1"/>
  <c r="X43" i="1"/>
  <c r="U129" i="1"/>
  <c r="S129" i="1" s="1"/>
  <c r="T137" i="1"/>
  <c r="U137" i="1" s="1"/>
  <c r="S137" i="1" s="1"/>
  <c r="T87" i="1"/>
  <c r="AA211" i="1"/>
  <c r="AA201" i="1"/>
  <c r="AI201" i="1" s="1"/>
  <c r="AA192" i="1"/>
  <c r="W192" i="1" s="1"/>
  <c r="AA179" i="1"/>
  <c r="W179" i="1" s="1"/>
  <c r="AA173" i="1"/>
  <c r="AG171" i="1"/>
  <c r="U171" i="1" s="1"/>
  <c r="S171" i="1" s="1"/>
  <c r="AA151" i="1"/>
  <c r="AG145" i="1"/>
  <c r="X145" i="1"/>
  <c r="AA141" i="1"/>
  <c r="AA131" i="1"/>
  <c r="AA130" i="1"/>
  <c r="AI130" i="1" s="1"/>
  <c r="X96" i="1"/>
  <c r="AA86" i="1"/>
  <c r="AA48" i="1"/>
  <c r="AA42" i="1"/>
  <c r="AA40" i="1"/>
  <c r="AA36" i="1"/>
  <c r="AA29" i="1"/>
  <c r="W125" i="1"/>
  <c r="AA166" i="1"/>
  <c r="X164" i="1"/>
  <c r="AA159" i="1"/>
  <c r="AI159" i="1" s="1"/>
  <c r="AA222" i="1"/>
  <c r="X215" i="1"/>
  <c r="AA152" i="1"/>
  <c r="AA150" i="1"/>
  <c r="AA142" i="1"/>
  <c r="AG136" i="1"/>
  <c r="U136" i="1" s="1"/>
  <c r="S136" i="1" s="1"/>
  <c r="X136" i="1"/>
  <c r="AG132" i="1"/>
  <c r="U132" i="1" s="1"/>
  <c r="S132" i="1" s="1"/>
  <c r="AA113" i="1"/>
  <c r="AA94" i="1"/>
  <c r="AA84" i="1"/>
  <c r="X82" i="1"/>
  <c r="AA77" i="1"/>
  <c r="W77" i="1" s="1"/>
  <c r="AA60" i="1"/>
  <c r="AI60" i="1" s="1"/>
  <c r="AA59" i="1"/>
  <c r="AA45" i="1"/>
  <c r="AG39" i="1"/>
  <c r="U39" i="1" s="1"/>
  <c r="S39" i="1" s="1"/>
  <c r="AG36" i="1"/>
  <c r="AA20" i="1"/>
  <c r="AA189" i="1"/>
  <c r="X181" i="1"/>
  <c r="T220" i="1"/>
  <c r="X212" i="1"/>
  <c r="T121" i="1"/>
  <c r="U121" i="1" s="1"/>
  <c r="S121" i="1" s="1"/>
  <c r="AG199" i="1"/>
  <c r="U199" i="1" s="1"/>
  <c r="S199" i="1" s="1"/>
  <c r="AG191" i="1"/>
  <c r="U191" i="1" s="1"/>
  <c r="S191" i="1" s="1"/>
  <c r="X191" i="1"/>
  <c r="AA178" i="1"/>
  <c r="W178" i="1" s="1"/>
  <c r="X167" i="1"/>
  <c r="AA163" i="1"/>
  <c r="AG158" i="1"/>
  <c r="U158" i="1" s="1"/>
  <c r="S158" i="1" s="1"/>
  <c r="AA218" i="1"/>
  <c r="AG141" i="1"/>
  <c r="AA132" i="1"/>
  <c r="X130" i="1"/>
  <c r="X128" i="1"/>
  <c r="AA119" i="1"/>
  <c r="AA106" i="1"/>
  <c r="AG95" i="1"/>
  <c r="U95" i="1" s="1"/>
  <c r="S95" i="1" s="1"/>
  <c r="X95" i="1"/>
  <c r="AG83" i="1"/>
  <c r="U83" i="1" s="1"/>
  <c r="S83" i="1" s="1"/>
  <c r="AA64" i="1"/>
  <c r="AI64" i="1" s="1"/>
  <c r="AA54" i="1"/>
  <c r="AA49" i="1"/>
  <c r="X48" i="1"/>
  <c r="AA39" i="1"/>
  <c r="X24" i="1"/>
  <c r="AA17" i="1"/>
  <c r="T133" i="1"/>
  <c r="X133" i="1"/>
  <c r="AG133" i="1"/>
  <c r="AG107" i="1"/>
  <c r="T107" i="1"/>
  <c r="T56" i="1"/>
  <c r="AA209" i="1"/>
  <c r="W209" i="1" s="1"/>
  <c r="AA203" i="1"/>
  <c r="X195" i="1"/>
  <c r="T195" i="1"/>
  <c r="AA172" i="1"/>
  <c r="T163" i="1"/>
  <c r="X163" i="1"/>
  <c r="AG163" i="1"/>
  <c r="AA158" i="1"/>
  <c r="AG154" i="1"/>
  <c r="T154" i="1"/>
  <c r="X151" i="1"/>
  <c r="AA123" i="1"/>
  <c r="W123" i="1" s="1"/>
  <c r="AA116" i="1"/>
  <c r="AA115" i="1"/>
  <c r="T106" i="1"/>
  <c r="AG106" i="1"/>
  <c r="X51" i="1"/>
  <c r="AG51" i="1"/>
  <c r="T27" i="1"/>
  <c r="AG27" i="1"/>
  <c r="AA206" i="1"/>
  <c r="W206" i="1" s="1"/>
  <c r="AA205" i="1"/>
  <c r="AA156" i="1"/>
  <c r="AI156" i="1" s="1"/>
  <c r="AA138" i="1"/>
  <c r="T116" i="1"/>
  <c r="AG116" i="1"/>
  <c r="AG114" i="1"/>
  <c r="T114" i="1"/>
  <c r="AA85" i="1"/>
  <c r="AI85" i="1" s="1"/>
  <c r="T40" i="1"/>
  <c r="X40" i="1"/>
  <c r="AG40" i="1"/>
  <c r="AA213" i="1"/>
  <c r="W213" i="1" s="1"/>
  <c r="AA212" i="1"/>
  <c r="T205" i="1"/>
  <c r="AG205" i="1"/>
  <c r="W150" i="1"/>
  <c r="AG118" i="1"/>
  <c r="T118" i="1"/>
  <c r="AG84" i="1"/>
  <c r="X84" i="1"/>
  <c r="X32" i="1"/>
  <c r="T31" i="1"/>
  <c r="AG31" i="1"/>
  <c r="T20" i="1"/>
  <c r="X20" i="1"/>
  <c r="AG20" i="1"/>
  <c r="AA100" i="1"/>
  <c r="AI100" i="1" s="1"/>
  <c r="AA72" i="1"/>
  <c r="AI72" i="1" s="1"/>
  <c r="T67" i="1"/>
  <c r="AA53" i="1"/>
  <c r="W53" i="1" s="1"/>
  <c r="AA44" i="1"/>
  <c r="T35" i="1"/>
  <c r="U35" i="1" s="1"/>
  <c r="S35" i="1" s="1"/>
  <c r="X31" i="1"/>
  <c r="AA197" i="1"/>
  <c r="AA196" i="1"/>
  <c r="W196" i="1" s="1"/>
  <c r="AA187" i="1"/>
  <c r="AA183" i="1"/>
  <c r="AI183" i="1" s="1"/>
  <c r="AA175" i="1"/>
  <c r="AA174" i="1"/>
  <c r="W174" i="1" s="1"/>
  <c r="AA167" i="1"/>
  <c r="AA217" i="1"/>
  <c r="W217" i="1" s="1"/>
  <c r="AG149" i="1"/>
  <c r="U149" i="1" s="1"/>
  <c r="S149" i="1" s="1"/>
  <c r="X146" i="1"/>
  <c r="AA145" i="1"/>
  <c r="W145" i="1" s="1"/>
  <c r="AA139" i="1"/>
  <c r="AI139" i="1" s="1"/>
  <c r="AA129" i="1"/>
  <c r="AA118" i="1"/>
  <c r="AA112" i="1"/>
  <c r="AA97" i="1"/>
  <c r="AG94" i="1"/>
  <c r="AI94" i="1" s="1"/>
  <c r="X94" i="1"/>
  <c r="AA88" i="1"/>
  <c r="AA78" i="1"/>
  <c r="X71" i="1"/>
  <c r="AA71" i="1"/>
  <c r="AA70" i="1"/>
  <c r="AI70" i="1" s="1"/>
  <c r="X63" i="1"/>
  <c r="AA62" i="1"/>
  <c r="AA61" i="1"/>
  <c r="AG58" i="1"/>
  <c r="U58" i="1" s="1"/>
  <c r="S58" i="1" s="1"/>
  <c r="X53" i="1"/>
  <c r="X47" i="1"/>
  <c r="AG44" i="1"/>
  <c r="U44" i="1" s="1"/>
  <c r="S44" i="1" s="1"/>
  <c r="X44" i="1"/>
  <c r="AA43" i="1"/>
  <c r="AA41" i="1"/>
  <c r="AA38" i="1"/>
  <c r="AA37" i="1"/>
  <c r="AA28" i="1"/>
  <c r="AI28" i="1" s="1"/>
  <c r="AG24" i="1"/>
  <c r="W24" i="1" s="1"/>
  <c r="X15" i="1"/>
  <c r="AA14" i="1"/>
  <c r="W14" i="1" s="1"/>
  <c r="AA114" i="1"/>
  <c r="AI114" i="1" s="1"/>
  <c r="W113" i="1"/>
  <c r="AA110" i="1"/>
  <c r="AA109" i="1"/>
  <c r="AI109" i="1" s="1"/>
  <c r="AA108" i="1"/>
  <c r="AI108" i="1" s="1"/>
  <c r="AA96" i="1"/>
  <c r="AA92" i="1"/>
  <c r="AI92" i="1" s="1"/>
  <c r="AA76" i="1"/>
  <c r="W76" i="1" s="1"/>
  <c r="AA65" i="1"/>
  <c r="X52" i="1"/>
  <c r="AA31" i="1"/>
  <c r="AI178" i="1"/>
  <c r="T196" i="1"/>
  <c r="U196" i="1" s="1"/>
  <c r="S196" i="1" s="1"/>
  <c r="T183" i="1"/>
  <c r="U183" i="1" s="1"/>
  <c r="S183" i="1" s="1"/>
  <c r="T174" i="1"/>
  <c r="U174" i="1" s="1"/>
  <c r="S174" i="1" s="1"/>
  <c r="W160" i="1"/>
  <c r="T216" i="1"/>
  <c r="AA147" i="1"/>
  <c r="T146" i="1"/>
  <c r="U146" i="1" s="1"/>
  <c r="S146" i="1" s="1"/>
  <c r="U145" i="1"/>
  <c r="S145" i="1" s="1"/>
  <c r="AA143" i="1"/>
  <c r="W143" i="1" s="1"/>
  <c r="X134" i="1"/>
  <c r="T111" i="1"/>
  <c r="AG111" i="1"/>
  <c r="AA195" i="1"/>
  <c r="AG194" i="1"/>
  <c r="U194" i="1" s="1"/>
  <c r="S194" i="1" s="1"/>
  <c r="AG189" i="1"/>
  <c r="AG187" i="1"/>
  <c r="W187" i="1" s="1"/>
  <c r="AA185" i="1"/>
  <c r="AA182" i="1"/>
  <c r="W182" i="1" s="1"/>
  <c r="T178" i="1"/>
  <c r="U178" i="1" s="1"/>
  <c r="S178" i="1" s="1"/>
  <c r="AA170" i="1"/>
  <c r="T168" i="1"/>
  <c r="AI179" i="1"/>
  <c r="AA220" i="1"/>
  <c r="AG219" i="1"/>
  <c r="U219" i="1" s="1"/>
  <c r="S219" i="1" s="1"/>
  <c r="X219" i="1"/>
  <c r="X217" i="1"/>
  <c r="AG216" i="1"/>
  <c r="T212" i="1"/>
  <c r="AG153" i="1"/>
  <c r="U153" i="1" s="1"/>
  <c r="S153" i="1" s="1"/>
  <c r="X153" i="1"/>
  <c r="T125" i="1"/>
  <c r="U125" i="1" s="1"/>
  <c r="S125" i="1" s="1"/>
  <c r="AG120" i="1"/>
  <c r="U120" i="1" s="1"/>
  <c r="S120" i="1" s="1"/>
  <c r="X120" i="1"/>
  <c r="AI16" i="1"/>
  <c r="AG203" i="1"/>
  <c r="U203" i="1" s="1"/>
  <c r="S203" i="1" s="1"/>
  <c r="X211" i="1"/>
  <c r="AA210" i="1"/>
  <c r="W210" i="1" s="1"/>
  <c r="X203" i="1"/>
  <c r="AA199" i="1"/>
  <c r="AG198" i="1"/>
  <c r="U198" i="1" s="1"/>
  <c r="S198" i="1" s="1"/>
  <c r="X198" i="1"/>
  <c r="X196" i="1"/>
  <c r="AG195" i="1"/>
  <c r="X192" i="1"/>
  <c r="X183" i="1"/>
  <c r="X182" i="1"/>
  <c r="T167" i="1"/>
  <c r="AA221" i="1"/>
  <c r="AG220" i="1"/>
  <c r="AA215" i="1"/>
  <c r="AA214" i="1"/>
  <c r="X213" i="1"/>
  <c r="AG212" i="1"/>
  <c r="AA207" i="1"/>
  <c r="AA154" i="1"/>
  <c r="AI145" i="1"/>
  <c r="AA144" i="1"/>
  <c r="AA137" i="1"/>
  <c r="W137" i="1" s="1"/>
  <c r="AA134" i="1"/>
  <c r="W134" i="1" s="1"/>
  <c r="T134" i="1"/>
  <c r="U134" i="1" s="1"/>
  <c r="S134" i="1" s="1"/>
  <c r="AA200" i="1"/>
  <c r="W200" i="1" s="1"/>
  <c r="AA194" i="1"/>
  <c r="AA193" i="1"/>
  <c r="W193" i="1" s="1"/>
  <c r="AG185" i="1"/>
  <c r="U185" i="1" s="1"/>
  <c r="S185" i="1" s="1"/>
  <c r="AA181" i="1"/>
  <c r="AA180" i="1"/>
  <c r="X179" i="1"/>
  <c r="AA177" i="1"/>
  <c r="AA176" i="1"/>
  <c r="W176" i="1" s="1"/>
  <c r="AA171" i="1"/>
  <c r="AG170" i="1"/>
  <c r="U170" i="1" s="1"/>
  <c r="S170" i="1" s="1"/>
  <c r="X170" i="1"/>
  <c r="X168" i="1"/>
  <c r="AG167" i="1"/>
  <c r="AA219" i="1"/>
  <c r="T217" i="1"/>
  <c r="U217" i="1" s="1"/>
  <c r="S217" i="1" s="1"/>
  <c r="AA208" i="1"/>
  <c r="AA155" i="1"/>
  <c r="X129" i="1"/>
  <c r="AA133" i="1"/>
  <c r="T130" i="1"/>
  <c r="U130" i="1" s="1"/>
  <c r="S130" i="1" s="1"/>
  <c r="AA128" i="1"/>
  <c r="AA122" i="1"/>
  <c r="AA117" i="1"/>
  <c r="W117" i="1" s="1"/>
  <c r="X112" i="1"/>
  <c r="AA103" i="1"/>
  <c r="AG102" i="1"/>
  <c r="U102" i="1" s="1"/>
  <c r="S102" i="1" s="1"/>
  <c r="AG98" i="1"/>
  <c r="AG91" i="1"/>
  <c r="AG87" i="1"/>
  <c r="U87" i="1" s="1"/>
  <c r="S87" i="1" s="1"/>
  <c r="AA83" i="1"/>
  <c r="AA81" i="1"/>
  <c r="X79" i="1"/>
  <c r="AG75" i="1"/>
  <c r="T72" i="1"/>
  <c r="U72" i="1" s="1"/>
  <c r="S72" i="1" s="1"/>
  <c r="T71" i="1"/>
  <c r="AA69" i="1"/>
  <c r="X68" i="1"/>
  <c r="AG63" i="1"/>
  <c r="U63" i="1" s="1"/>
  <c r="S63" i="1" s="1"/>
  <c r="T60" i="1"/>
  <c r="U60" i="1" s="1"/>
  <c r="S60" i="1" s="1"/>
  <c r="T59" i="1"/>
  <c r="AA57" i="1"/>
  <c r="AG56" i="1"/>
  <c r="T53" i="1"/>
  <c r="U53" i="1" s="1"/>
  <c r="S53" i="1" s="1"/>
  <c r="AA50" i="1"/>
  <c r="W50" i="1" s="1"/>
  <c r="T47" i="1"/>
  <c r="X36" i="1"/>
  <c r="AA30" i="1"/>
  <c r="T28" i="1"/>
  <c r="U28" i="1" s="1"/>
  <c r="S28" i="1" s="1"/>
  <c r="AA25" i="1"/>
  <c r="T24" i="1"/>
  <c r="U24" i="1" s="1"/>
  <c r="S24" i="1" s="1"/>
  <c r="T23" i="1"/>
  <c r="AA18" i="1"/>
  <c r="X16" i="1"/>
  <c r="U113" i="1"/>
  <c r="S113" i="1" s="1"/>
  <c r="AA101" i="1"/>
  <c r="T99" i="1"/>
  <c r="U99" i="1" s="1"/>
  <c r="S99" i="1" s="1"/>
  <c r="T92" i="1"/>
  <c r="T76" i="1"/>
  <c r="U76" i="1" s="1"/>
  <c r="S76" i="1" s="1"/>
  <c r="U67" i="1"/>
  <c r="S67" i="1" s="1"/>
  <c r="T64" i="1"/>
  <c r="U64" i="1" s="1"/>
  <c r="S64" i="1" s="1"/>
  <c r="T52" i="1"/>
  <c r="T48" i="1"/>
  <c r="W16" i="1"/>
  <c r="T109" i="1"/>
  <c r="U109" i="1" s="1"/>
  <c r="S109" i="1" s="1"/>
  <c r="T79" i="1"/>
  <c r="U79" i="1" s="1"/>
  <c r="S79" i="1" s="1"/>
  <c r="X72" i="1"/>
  <c r="AG71" i="1"/>
  <c r="T68" i="1"/>
  <c r="U68" i="1" s="1"/>
  <c r="S68" i="1" s="1"/>
  <c r="AG59" i="1"/>
  <c r="AA52" i="1"/>
  <c r="AG48" i="1"/>
  <c r="AG47" i="1"/>
  <c r="T32" i="1"/>
  <c r="U32" i="1" s="1"/>
  <c r="S32" i="1" s="1"/>
  <c r="AG30" i="1"/>
  <c r="X28" i="1"/>
  <c r="AG23" i="1"/>
  <c r="U19" i="1"/>
  <c r="S19" i="1" s="1"/>
  <c r="T16" i="1"/>
  <c r="U16" i="1" s="1"/>
  <c r="S16" i="1" s="1"/>
  <c r="T15" i="1"/>
  <c r="AA121" i="1"/>
  <c r="W121" i="1" s="1"/>
  <c r="AI113" i="1"/>
  <c r="AA102" i="1"/>
  <c r="AG101" i="1"/>
  <c r="AA87" i="1"/>
  <c r="AG86" i="1"/>
  <c r="X86" i="1"/>
  <c r="T84" i="1"/>
  <c r="X80" i="1"/>
  <c r="AG78" i="1"/>
  <c r="U78" i="1" s="1"/>
  <c r="S78" i="1" s="1"/>
  <c r="X78" i="1"/>
  <c r="AA67" i="1"/>
  <c r="W67" i="1" s="1"/>
  <c r="X64" i="1"/>
  <c r="AA63" i="1"/>
  <c r="AG62" i="1"/>
  <c r="AA56" i="1"/>
  <c r="AG55" i="1"/>
  <c r="AG52" i="1"/>
  <c r="T51" i="1"/>
  <c r="AA33" i="1"/>
  <c r="AA21" i="1"/>
  <c r="AG15" i="1"/>
  <c r="T186" i="1"/>
  <c r="X186" i="1"/>
  <c r="T165" i="1"/>
  <c r="X165" i="1"/>
  <c r="AG165" i="1"/>
  <c r="W165" i="1" s="1"/>
  <c r="T148" i="1"/>
  <c r="X148" i="1"/>
  <c r="AG148" i="1"/>
  <c r="X149" i="1"/>
  <c r="T200" i="1"/>
  <c r="T197" i="1"/>
  <c r="X197" i="1"/>
  <c r="X187" i="1"/>
  <c r="AG186" i="1"/>
  <c r="T184" i="1"/>
  <c r="X184" i="1"/>
  <c r="AG184" i="1"/>
  <c r="W184" i="1" s="1"/>
  <c r="AG177" i="1"/>
  <c r="AG175" i="1"/>
  <c r="T175" i="1"/>
  <c r="X158" i="1"/>
  <c r="X157" i="1"/>
  <c r="AG157" i="1"/>
  <c r="X205" i="1"/>
  <c r="X204" i="1"/>
  <c r="AG204" i="1"/>
  <c r="AG155" i="1"/>
  <c r="X155" i="1"/>
  <c r="T155" i="1"/>
  <c r="T202" i="1"/>
  <c r="U200" i="1"/>
  <c r="S200" i="1" s="1"/>
  <c r="T193" i="1"/>
  <c r="U193" i="1" s="1"/>
  <c r="S193" i="1" s="1"/>
  <c r="X193" i="1"/>
  <c r="X166" i="1"/>
  <c r="T214" i="1"/>
  <c r="X214" i="1"/>
  <c r="AG214" i="1"/>
  <c r="AG103" i="1"/>
  <c r="T103" i="1"/>
  <c r="T211" i="1"/>
  <c r="AG202" i="1"/>
  <c r="X202" i="1"/>
  <c r="AG211" i="1"/>
  <c r="T209" i="1"/>
  <c r="U209" i="1" s="1"/>
  <c r="S209" i="1" s="1"/>
  <c r="T201" i="1"/>
  <c r="U201" i="1" s="1"/>
  <c r="S201" i="1" s="1"/>
  <c r="X201" i="1"/>
  <c r="X200" i="1"/>
  <c r="AG197" i="1"/>
  <c r="T188" i="1"/>
  <c r="U188" i="1" s="1"/>
  <c r="S188" i="1" s="1"/>
  <c r="T180" i="1"/>
  <c r="X180" i="1"/>
  <c r="X178" i="1"/>
  <c r="AI182" i="1"/>
  <c r="W126" i="1"/>
  <c r="T210" i="1"/>
  <c r="U210" i="1" s="1"/>
  <c r="S210" i="1" s="1"/>
  <c r="X210" i="1"/>
  <c r="X209" i="1"/>
  <c r="AA202" i="1"/>
  <c r="X194" i="1"/>
  <c r="T192" i="1"/>
  <c r="U192" i="1" s="1"/>
  <c r="S192" i="1" s="1"/>
  <c r="T189" i="1"/>
  <c r="X189" i="1"/>
  <c r="X188" i="1"/>
  <c r="AA186" i="1"/>
  <c r="X185" i="1"/>
  <c r="AG180" i="1"/>
  <c r="AG172" i="1"/>
  <c r="X172" i="1"/>
  <c r="T172" i="1"/>
  <c r="T157" i="1"/>
  <c r="AG221" i="1"/>
  <c r="AI221" i="1" s="1"/>
  <c r="X221" i="1"/>
  <c r="T221" i="1"/>
  <c r="AI160" i="1"/>
  <c r="T204" i="1"/>
  <c r="T169" i="1"/>
  <c r="X169" i="1"/>
  <c r="T162" i="1"/>
  <c r="T218" i="1"/>
  <c r="X218" i="1"/>
  <c r="T208" i="1"/>
  <c r="T152" i="1"/>
  <c r="X152" i="1"/>
  <c r="AG142" i="1"/>
  <c r="W142" i="1" s="1"/>
  <c r="X142" i="1"/>
  <c r="T142" i="1"/>
  <c r="T74" i="1"/>
  <c r="X74" i="1"/>
  <c r="X75" i="1"/>
  <c r="AG74" i="1"/>
  <c r="T181" i="1"/>
  <c r="T173" i="1"/>
  <c r="X173" i="1"/>
  <c r="AG169" i="1"/>
  <c r="W169" i="1" s="1"/>
  <c r="T166" i="1"/>
  <c r="AG162" i="1"/>
  <c r="T159" i="1"/>
  <c r="U159" i="1" s="1"/>
  <c r="S159" i="1" s="1"/>
  <c r="T222" i="1"/>
  <c r="X222" i="1"/>
  <c r="AG218" i="1"/>
  <c r="T215" i="1"/>
  <c r="AG208" i="1"/>
  <c r="T206" i="1"/>
  <c r="U206" i="1" s="1"/>
  <c r="S206" i="1" s="1"/>
  <c r="T156" i="1"/>
  <c r="U156" i="1" s="1"/>
  <c r="S156" i="1" s="1"/>
  <c r="X156" i="1"/>
  <c r="X154" i="1"/>
  <c r="AA153" i="1"/>
  <c r="AG152" i="1"/>
  <c r="X144" i="1"/>
  <c r="AG144" i="1"/>
  <c r="AI143" i="1"/>
  <c r="X141" i="1"/>
  <c r="X140" i="1"/>
  <c r="AG140" i="1"/>
  <c r="AG138" i="1"/>
  <c r="X138" i="1"/>
  <c r="T138" i="1"/>
  <c r="T131" i="1"/>
  <c r="X131" i="1"/>
  <c r="X132" i="1"/>
  <c r="AG131" i="1"/>
  <c r="AA127" i="1"/>
  <c r="W127" i="1" s="1"/>
  <c r="X125" i="1"/>
  <c r="X124" i="1"/>
  <c r="AG124" i="1"/>
  <c r="AG122" i="1"/>
  <c r="X122" i="1"/>
  <c r="T122" i="1"/>
  <c r="T115" i="1"/>
  <c r="X115" i="1"/>
  <c r="X116" i="1"/>
  <c r="AG115" i="1"/>
  <c r="T104" i="1"/>
  <c r="X104" i="1"/>
  <c r="AG104" i="1"/>
  <c r="U101" i="1"/>
  <c r="S101" i="1" s="1"/>
  <c r="T54" i="1"/>
  <c r="X54" i="1"/>
  <c r="AG54" i="1"/>
  <c r="AG181" i="1"/>
  <c r="T179" i="1"/>
  <c r="U179" i="1" s="1"/>
  <c r="S179" i="1" s="1"/>
  <c r="T176" i="1"/>
  <c r="U176" i="1" s="1"/>
  <c r="S176" i="1" s="1"/>
  <c r="AG173" i="1"/>
  <c r="U168" i="1"/>
  <c r="S168" i="1" s="1"/>
  <c r="AG166" i="1"/>
  <c r="T164" i="1"/>
  <c r="U164" i="1" s="1"/>
  <c r="S164" i="1" s="1"/>
  <c r="T160" i="1"/>
  <c r="U160" i="1" s="1"/>
  <c r="S160" i="1" s="1"/>
  <c r="X160" i="1"/>
  <c r="X159" i="1"/>
  <c r="AA157" i="1"/>
  <c r="AG222" i="1"/>
  <c r="AG215" i="1"/>
  <c r="T213" i="1"/>
  <c r="U213" i="1" s="1"/>
  <c r="S213" i="1" s="1"/>
  <c r="T207" i="1"/>
  <c r="U207" i="1" s="1"/>
  <c r="S207" i="1" s="1"/>
  <c r="X207" i="1"/>
  <c r="X206" i="1"/>
  <c r="AA204" i="1"/>
  <c r="T151" i="1"/>
  <c r="AG151" i="1"/>
  <c r="AA149" i="1"/>
  <c r="AA148" i="1"/>
  <c r="T147" i="1"/>
  <c r="X147" i="1"/>
  <c r="AG147" i="1"/>
  <c r="T110" i="1"/>
  <c r="AG110" i="1"/>
  <c r="T135" i="1"/>
  <c r="X135" i="1"/>
  <c r="T128" i="1"/>
  <c r="T119" i="1"/>
  <c r="X119" i="1"/>
  <c r="U55" i="1"/>
  <c r="S55" i="1" s="1"/>
  <c r="T139" i="1"/>
  <c r="U139" i="1" s="1"/>
  <c r="S139" i="1" s="1"/>
  <c r="X139" i="1"/>
  <c r="X137" i="1"/>
  <c r="AA136" i="1"/>
  <c r="W136" i="1" s="1"/>
  <c r="AG135" i="1"/>
  <c r="W135" i="1" s="1"/>
  <c r="AG128" i="1"/>
  <c r="T126" i="1"/>
  <c r="U126" i="1" s="1"/>
  <c r="S126" i="1" s="1"/>
  <c r="T123" i="1"/>
  <c r="U123" i="1" s="1"/>
  <c r="S123" i="1" s="1"/>
  <c r="X123" i="1"/>
  <c r="X121" i="1"/>
  <c r="AA120" i="1"/>
  <c r="AG119" i="1"/>
  <c r="X114" i="1"/>
  <c r="X91" i="1"/>
  <c r="X90" i="1"/>
  <c r="AG90" i="1"/>
  <c r="T81" i="1"/>
  <c r="X81" i="1"/>
  <c r="AG81" i="1"/>
  <c r="T143" i="1"/>
  <c r="U143" i="1" s="1"/>
  <c r="S143" i="1" s="1"/>
  <c r="X143" i="1"/>
  <c r="AA140" i="1"/>
  <c r="T127" i="1"/>
  <c r="U127" i="1" s="1"/>
  <c r="S127" i="1" s="1"/>
  <c r="X127" i="1"/>
  <c r="X126" i="1"/>
  <c r="AA124" i="1"/>
  <c r="AG112" i="1"/>
  <c r="X113" i="1"/>
  <c r="X106" i="1"/>
  <c r="X105" i="1"/>
  <c r="AG105" i="1"/>
  <c r="T97" i="1"/>
  <c r="AG97" i="1"/>
  <c r="AG96" i="1"/>
  <c r="T96" i="1"/>
  <c r="T89" i="1"/>
  <c r="X89" i="1"/>
  <c r="AG89" i="1"/>
  <c r="AG88" i="1"/>
  <c r="W88" i="1" s="1"/>
  <c r="T88" i="1"/>
  <c r="U86" i="1"/>
  <c r="S86" i="1" s="1"/>
  <c r="T34" i="1"/>
  <c r="X34" i="1"/>
  <c r="AG34" i="1"/>
  <c r="X35" i="1"/>
  <c r="T100" i="1"/>
  <c r="U100" i="1" s="1"/>
  <c r="S100" i="1" s="1"/>
  <c r="U92" i="1"/>
  <c r="S92" i="1" s="1"/>
  <c r="T85" i="1"/>
  <c r="U85" i="1" s="1"/>
  <c r="S85" i="1" s="1"/>
  <c r="X85" i="1"/>
  <c r="X83" i="1"/>
  <c r="AA82" i="1"/>
  <c r="AA66" i="1"/>
  <c r="T65" i="1"/>
  <c r="X65" i="1"/>
  <c r="AG65" i="1"/>
  <c r="AA58" i="1"/>
  <c r="T82" i="1"/>
  <c r="T69" i="1"/>
  <c r="X69" i="1"/>
  <c r="AG69" i="1"/>
  <c r="T66" i="1"/>
  <c r="X66" i="1"/>
  <c r="T61" i="1"/>
  <c r="AG61" i="1"/>
  <c r="W61" i="1" s="1"/>
  <c r="AG49" i="1"/>
  <c r="X49" i="1"/>
  <c r="T49" i="1"/>
  <c r="T37" i="1"/>
  <c r="X37" i="1"/>
  <c r="AG37" i="1"/>
  <c r="T108" i="1"/>
  <c r="U108" i="1" s="1"/>
  <c r="S108" i="1" s="1"/>
  <c r="AA105" i="1"/>
  <c r="T93" i="1"/>
  <c r="U93" i="1" s="1"/>
  <c r="S93" i="1" s="1"/>
  <c r="X93" i="1"/>
  <c r="X92" i="1"/>
  <c r="AA90" i="1"/>
  <c r="AG82" i="1"/>
  <c r="T80" i="1"/>
  <c r="U80" i="1" s="1"/>
  <c r="S80" i="1" s="1"/>
  <c r="T77" i="1"/>
  <c r="U77" i="1" s="1"/>
  <c r="S77" i="1" s="1"/>
  <c r="X77" i="1"/>
  <c r="X76" i="1"/>
  <c r="AA74" i="1"/>
  <c r="T73" i="1"/>
  <c r="X73" i="1"/>
  <c r="AG73" i="1"/>
  <c r="T70" i="1"/>
  <c r="U70" i="1" s="1"/>
  <c r="S70" i="1" s="1"/>
  <c r="X70" i="1"/>
  <c r="X67" i="1"/>
  <c r="AG66" i="1"/>
  <c r="T57" i="1"/>
  <c r="AG57" i="1"/>
  <c r="AA51" i="1"/>
  <c r="T26" i="1"/>
  <c r="X26" i="1"/>
  <c r="AG26" i="1"/>
  <c r="X27" i="1"/>
  <c r="X55" i="1"/>
  <c r="W42" i="1"/>
  <c r="T41" i="1"/>
  <c r="X41" i="1"/>
  <c r="AG41" i="1"/>
  <c r="T38" i="1"/>
  <c r="X38" i="1"/>
  <c r="T29" i="1"/>
  <c r="X29" i="1"/>
  <c r="AG29" i="1"/>
  <c r="AA19" i="1"/>
  <c r="T17" i="1"/>
  <c r="X17" i="1"/>
  <c r="AG17" i="1"/>
  <c r="W17" i="1" s="1"/>
  <c r="T14" i="1"/>
  <c r="U14" i="1" s="1"/>
  <c r="S14" i="1" s="1"/>
  <c r="T50" i="1"/>
  <c r="U50" i="1" s="1"/>
  <c r="S50" i="1" s="1"/>
  <c r="X50" i="1"/>
  <c r="AA47" i="1"/>
  <c r="AA46" i="1"/>
  <c r="W46" i="1" s="1"/>
  <c r="T45" i="1"/>
  <c r="X45" i="1"/>
  <c r="AG45" i="1"/>
  <c r="T42" i="1"/>
  <c r="U42" i="1" s="1"/>
  <c r="S42" i="1" s="1"/>
  <c r="X42" i="1"/>
  <c r="X39" i="1"/>
  <c r="AG38" i="1"/>
  <c r="T30" i="1"/>
  <c r="X30" i="1"/>
  <c r="AA23" i="1"/>
  <c r="AA22" i="1"/>
  <c r="W22" i="1" s="1"/>
  <c r="T21" i="1"/>
  <c r="X21" i="1"/>
  <c r="AG21" i="1"/>
  <c r="T18" i="1"/>
  <c r="X18" i="1"/>
  <c r="T46" i="1"/>
  <c r="U46" i="1" s="1"/>
  <c r="S46" i="1" s="1"/>
  <c r="X46" i="1"/>
  <c r="AI42" i="1"/>
  <c r="AA35" i="1"/>
  <c r="W35" i="1" s="1"/>
  <c r="AA34" i="1"/>
  <c r="T33" i="1"/>
  <c r="X33" i="1"/>
  <c r="AG33" i="1"/>
  <c r="AA27" i="1"/>
  <c r="W27" i="1" s="1"/>
  <c r="AA26" i="1"/>
  <c r="T25" i="1"/>
  <c r="X25" i="1"/>
  <c r="AG25" i="1"/>
  <c r="T22" i="1"/>
  <c r="U22" i="1" s="1"/>
  <c r="S22" i="1" s="1"/>
  <c r="X22" i="1"/>
  <c r="X19" i="1"/>
  <c r="AG18" i="1"/>
  <c r="AI134" i="1" l="1"/>
  <c r="AI111" i="1"/>
  <c r="AI71" i="1"/>
  <c r="W129" i="1"/>
  <c r="W110" i="1"/>
  <c r="W122" i="1"/>
  <c r="W118" i="1"/>
  <c r="U154" i="1"/>
  <c r="S154" i="1" s="1"/>
  <c r="W141" i="1"/>
  <c r="W132" i="1"/>
  <c r="AI161" i="1"/>
  <c r="U161" i="1"/>
  <c r="S161" i="1" s="1"/>
  <c r="W161" i="1"/>
  <c r="W68" i="1"/>
  <c r="AI52" i="1"/>
  <c r="W81" i="1"/>
  <c r="W56" i="1"/>
  <c r="AI107" i="1"/>
  <c r="AI59" i="1"/>
  <c r="W133" i="1"/>
  <c r="AI53" i="1"/>
  <c r="AI168" i="1"/>
  <c r="AI93" i="1"/>
  <c r="AI205" i="1"/>
  <c r="W98" i="1"/>
  <c r="W19" i="1"/>
  <c r="AI80" i="1"/>
  <c r="AI77" i="1"/>
  <c r="W107" i="1"/>
  <c r="W130" i="1"/>
  <c r="U23" i="1"/>
  <c r="S23" i="1" s="1"/>
  <c r="W91" i="1"/>
  <c r="W154" i="1"/>
  <c r="W201" i="1"/>
  <c r="W43" i="1"/>
  <c r="AI78" i="1"/>
  <c r="AI150" i="1"/>
  <c r="U40" i="1"/>
  <c r="S40" i="1" s="1"/>
  <c r="AI116" i="1"/>
  <c r="AI20" i="1"/>
  <c r="AI86" i="1"/>
  <c r="W32" i="1"/>
  <c r="AI210" i="1"/>
  <c r="U52" i="1"/>
  <c r="S52" i="1" s="1"/>
  <c r="W219" i="1"/>
  <c r="U84" i="1"/>
  <c r="S84" i="1" s="1"/>
  <c r="AI154" i="1"/>
  <c r="W62" i="1"/>
  <c r="W79" i="1"/>
  <c r="W159" i="1"/>
  <c r="W84" i="1"/>
  <c r="AI129" i="1"/>
  <c r="AI190" i="1"/>
  <c r="AI56" i="1"/>
  <c r="AI67" i="1"/>
  <c r="W64" i="1"/>
  <c r="AI132" i="1"/>
  <c r="W72" i="1"/>
  <c r="W99" i="1"/>
  <c r="W147" i="1"/>
  <c r="AI192" i="1"/>
  <c r="AI198" i="1"/>
  <c r="AI214" i="1"/>
  <c r="W85" i="1"/>
  <c r="U56" i="1"/>
  <c r="S56" i="1" s="1"/>
  <c r="U167" i="1"/>
  <c r="S167" i="1" s="1"/>
  <c r="W189" i="1"/>
  <c r="U150" i="1"/>
  <c r="S150" i="1" s="1"/>
  <c r="AI174" i="1"/>
  <c r="W20" i="1"/>
  <c r="W190" i="1"/>
  <c r="AI141" i="1"/>
  <c r="W36" i="1"/>
  <c r="AI176" i="1"/>
  <c r="W198" i="1"/>
  <c r="AI24" i="1"/>
  <c r="W55" i="1"/>
  <c r="W30" i="1"/>
  <c r="W103" i="1"/>
  <c r="W106" i="1"/>
  <c r="W86" i="1"/>
  <c r="U107" i="1"/>
  <c r="S107" i="1" s="1"/>
  <c r="AI133" i="1"/>
  <c r="W186" i="1"/>
  <c r="AI209" i="1"/>
  <c r="AI76" i="1"/>
  <c r="AI170" i="1"/>
  <c r="U216" i="1"/>
  <c r="S216" i="1" s="1"/>
  <c r="AI95" i="1"/>
  <c r="W34" i="1"/>
  <c r="W23" i="1"/>
  <c r="W120" i="1"/>
  <c r="W149" i="1"/>
  <c r="W152" i="1"/>
  <c r="W162" i="1"/>
  <c r="U15" i="1"/>
  <c r="S15" i="1" s="1"/>
  <c r="U36" i="1"/>
  <c r="S36" i="1" s="1"/>
  <c r="AI106" i="1"/>
  <c r="W116" i="1"/>
  <c r="U59" i="1"/>
  <c r="S59" i="1" s="1"/>
  <c r="AI63" i="1"/>
  <c r="W83" i="1"/>
  <c r="W92" i="1"/>
  <c r="W171" i="1"/>
  <c r="W199" i="1"/>
  <c r="U20" i="1"/>
  <c r="S20" i="1" s="1"/>
  <c r="AI36" i="1"/>
  <c r="AI118" i="1"/>
  <c r="AI101" i="1"/>
  <c r="U141" i="1"/>
  <c r="S141" i="1" s="1"/>
  <c r="W31" i="1"/>
  <c r="AI84" i="1"/>
  <c r="AI43" i="1"/>
  <c r="U30" i="1"/>
  <c r="S30" i="1" s="1"/>
  <c r="AI55" i="1"/>
  <c r="W138" i="1"/>
  <c r="W216" i="1"/>
  <c r="W175" i="1"/>
  <c r="AI203" i="1"/>
  <c r="W39" i="1"/>
  <c r="AI146" i="1"/>
  <c r="W194" i="1"/>
  <c r="AI212" i="1"/>
  <c r="AI220" i="1"/>
  <c r="W95" i="1"/>
  <c r="W44" i="1"/>
  <c r="U31" i="1"/>
  <c r="S31" i="1" s="1"/>
  <c r="AI164" i="1"/>
  <c r="AI215" i="1"/>
  <c r="AI30" i="1"/>
  <c r="W66" i="1"/>
  <c r="W166" i="1"/>
  <c r="W144" i="1"/>
  <c r="AI167" i="1"/>
  <c r="W211" i="1"/>
  <c r="AI216" i="1"/>
  <c r="W108" i="1"/>
  <c r="W158" i="1"/>
  <c r="W94" i="1"/>
  <c r="W25" i="1"/>
  <c r="W101" i="1"/>
  <c r="W28" i="1"/>
  <c r="U94" i="1"/>
  <c r="S94" i="1" s="1"/>
  <c r="U118" i="1"/>
  <c r="S118" i="1" s="1"/>
  <c r="AI117" i="1"/>
  <c r="AI171" i="1"/>
  <c r="W54" i="1"/>
  <c r="W78" i="1"/>
  <c r="AI40" i="1"/>
  <c r="U220" i="1"/>
  <c r="S220" i="1" s="1"/>
  <c r="U212" i="1"/>
  <c r="S212" i="1" s="1"/>
  <c r="W87" i="1"/>
  <c r="U116" i="1"/>
  <c r="S116" i="1" s="1"/>
  <c r="W60" i="1"/>
  <c r="W156" i="1"/>
  <c r="U205" i="1"/>
  <c r="S205" i="1" s="1"/>
  <c r="W40" i="1"/>
  <c r="U114" i="1"/>
  <c r="S114" i="1" s="1"/>
  <c r="AI14" i="1"/>
  <c r="W71" i="1"/>
  <c r="AI87" i="1"/>
  <c r="W204" i="1"/>
  <c r="U47" i="1"/>
  <c r="S47" i="1" s="1"/>
  <c r="AI158" i="1"/>
  <c r="U106" i="1"/>
  <c r="S106" i="1" s="1"/>
  <c r="AI163" i="1"/>
  <c r="U195" i="1"/>
  <c r="S195" i="1" s="1"/>
  <c r="W191" i="1"/>
  <c r="AI31" i="1"/>
  <c r="AI15" i="1"/>
  <c r="AI39" i="1"/>
  <c r="W105" i="1"/>
  <c r="U71" i="1"/>
  <c r="S71" i="1" s="1"/>
  <c r="W153" i="1"/>
  <c r="U189" i="1"/>
  <c r="S189" i="1" s="1"/>
  <c r="W139" i="1"/>
  <c r="AI123" i="1"/>
  <c r="U51" i="1"/>
  <c r="S51" i="1" s="1"/>
  <c r="U133" i="1"/>
  <c r="S133" i="1" s="1"/>
  <c r="AI50" i="1"/>
  <c r="W51" i="1"/>
  <c r="AI186" i="1"/>
  <c r="W183" i="1"/>
  <c r="AI208" i="1"/>
  <c r="W170" i="1"/>
  <c r="W185" i="1"/>
  <c r="U187" i="1"/>
  <c r="S187" i="1" s="1"/>
  <c r="AI206" i="1"/>
  <c r="AI185" i="1"/>
  <c r="W100" i="1"/>
  <c r="AI217" i="1"/>
  <c r="W33" i="1"/>
  <c r="W65" i="1"/>
  <c r="AI121" i="1"/>
  <c r="AI137" i="1"/>
  <c r="W47" i="1"/>
  <c r="W37" i="1"/>
  <c r="AI62" i="1"/>
  <c r="W70" i="1"/>
  <c r="W124" i="1"/>
  <c r="AI83" i="1"/>
  <c r="W157" i="1"/>
  <c r="W202" i="1"/>
  <c r="W177" i="1"/>
  <c r="W102" i="1"/>
  <c r="W52" i="1"/>
  <c r="W109" i="1"/>
  <c r="W167" i="1"/>
  <c r="U27" i="1"/>
  <c r="S27" i="1" s="1"/>
  <c r="W163" i="1"/>
  <c r="U62" i="1"/>
  <c r="S62" i="1" s="1"/>
  <c r="AI102" i="1"/>
  <c r="W58" i="1"/>
  <c r="W148" i="1"/>
  <c r="U163" i="1"/>
  <c r="S163" i="1" s="1"/>
  <c r="AI44" i="1"/>
  <c r="W59" i="1"/>
  <c r="AI195" i="1"/>
  <c r="U111" i="1"/>
  <c r="S111" i="1" s="1"/>
  <c r="W114" i="1"/>
  <c r="W205" i="1"/>
  <c r="U75" i="1"/>
  <c r="S75" i="1" s="1"/>
  <c r="AI75" i="1"/>
  <c r="W207" i="1"/>
  <c r="AI207" i="1"/>
  <c r="AI219" i="1"/>
  <c r="W208" i="1"/>
  <c r="AI211" i="1"/>
  <c r="W63" i="1"/>
  <c r="U48" i="1"/>
  <c r="S48" i="1" s="1"/>
  <c r="AI48" i="1"/>
  <c r="U91" i="1"/>
  <c r="S91" i="1" s="1"/>
  <c r="AI91" i="1"/>
  <c r="W220" i="1"/>
  <c r="AI194" i="1"/>
  <c r="W75" i="1"/>
  <c r="W203" i="1"/>
  <c r="AI199" i="1"/>
  <c r="W212" i="1"/>
  <c r="W26" i="1"/>
  <c r="U98" i="1"/>
  <c r="S98" i="1" s="1"/>
  <c r="AI98" i="1"/>
  <c r="W48" i="1"/>
  <c r="W195" i="1"/>
  <c r="W111" i="1"/>
  <c r="AI175" i="1"/>
  <c r="AI27" i="1"/>
  <c r="AI35" i="1"/>
  <c r="AI136" i="1"/>
  <c r="AI204" i="1"/>
  <c r="W15" i="1"/>
  <c r="AI57" i="1"/>
  <c r="U57" i="1"/>
  <c r="S57" i="1" s="1"/>
  <c r="AI197" i="1"/>
  <c r="U181" i="1"/>
  <c r="S181" i="1" s="1"/>
  <c r="AI131" i="1"/>
  <c r="U131" i="1"/>
  <c r="S131" i="1" s="1"/>
  <c r="AI140" i="1"/>
  <c r="U140" i="1"/>
  <c r="S140" i="1" s="1"/>
  <c r="U172" i="1"/>
  <c r="S172" i="1" s="1"/>
  <c r="AI187" i="1"/>
  <c r="AI165" i="1"/>
  <c r="U214" i="1"/>
  <c r="S214" i="1" s="1"/>
  <c r="U41" i="1"/>
  <c r="S41" i="1" s="1"/>
  <c r="AI41" i="1"/>
  <c r="U37" i="1"/>
  <c r="S37" i="1" s="1"/>
  <c r="AI37" i="1"/>
  <c r="AI47" i="1"/>
  <c r="U49" i="1"/>
  <c r="S49" i="1" s="1"/>
  <c r="AI49" i="1"/>
  <c r="AI61" i="1"/>
  <c r="U61" i="1"/>
  <c r="S61" i="1" s="1"/>
  <c r="AI23" i="1"/>
  <c r="W41" i="1"/>
  <c r="W49" i="1"/>
  <c r="AI34" i="1"/>
  <c r="U34" i="1"/>
  <c r="S34" i="1" s="1"/>
  <c r="AI105" i="1"/>
  <c r="U105" i="1"/>
  <c r="S105" i="1" s="1"/>
  <c r="W140" i="1"/>
  <c r="AI81" i="1"/>
  <c r="U81" i="1"/>
  <c r="S81" i="1" s="1"/>
  <c r="U119" i="1"/>
  <c r="S119" i="1" s="1"/>
  <c r="AI119" i="1"/>
  <c r="U151" i="1"/>
  <c r="S151" i="1" s="1"/>
  <c r="AI151" i="1"/>
  <c r="U222" i="1"/>
  <c r="S222" i="1" s="1"/>
  <c r="AI173" i="1"/>
  <c r="W222" i="1"/>
  <c r="AI115" i="1"/>
  <c r="U115" i="1"/>
  <c r="S115" i="1" s="1"/>
  <c r="AI144" i="1"/>
  <c r="U144" i="1"/>
  <c r="S144" i="1" s="1"/>
  <c r="W115" i="1"/>
  <c r="U142" i="1"/>
  <c r="S142" i="1" s="1"/>
  <c r="AI142" i="1"/>
  <c r="U221" i="1"/>
  <c r="S221" i="1" s="1"/>
  <c r="AI172" i="1"/>
  <c r="AI196" i="1"/>
  <c r="U180" i="1"/>
  <c r="S180" i="1" s="1"/>
  <c r="W119" i="1"/>
  <c r="AI153" i="1"/>
  <c r="W221" i="1"/>
  <c r="AI218" i="1"/>
  <c r="U202" i="1"/>
  <c r="S202" i="1" s="1"/>
  <c r="AI189" i="1"/>
  <c r="AI157" i="1"/>
  <c r="U204" i="1"/>
  <c r="S204" i="1" s="1"/>
  <c r="U157" i="1"/>
  <c r="S157" i="1" s="1"/>
  <c r="W180" i="1"/>
  <c r="AI202" i="1"/>
  <c r="U186" i="1"/>
  <c r="S186" i="1" s="1"/>
  <c r="W151" i="1"/>
  <c r="AI82" i="1"/>
  <c r="U82" i="1"/>
  <c r="S82" i="1" s="1"/>
  <c r="W57" i="1"/>
  <c r="W82" i="1"/>
  <c r="AI124" i="1"/>
  <c r="U124" i="1"/>
  <c r="S124" i="1" s="1"/>
  <c r="AI74" i="1"/>
  <c r="U74" i="1"/>
  <c r="S74" i="1" s="1"/>
  <c r="U96" i="1"/>
  <c r="S96" i="1" s="1"/>
  <c r="AI96" i="1"/>
  <c r="AI90" i="1"/>
  <c r="U90" i="1"/>
  <c r="S90" i="1" s="1"/>
  <c r="W96" i="1"/>
  <c r="U135" i="1"/>
  <c r="S135" i="1" s="1"/>
  <c r="AI135" i="1"/>
  <c r="AI120" i="1"/>
  <c r="AI166" i="1"/>
  <c r="U215" i="1"/>
  <c r="S215" i="1" s="1"/>
  <c r="AI104" i="1"/>
  <c r="U104" i="1"/>
  <c r="S104" i="1" s="1"/>
  <c r="W104" i="1"/>
  <c r="AI162" i="1"/>
  <c r="U208" i="1"/>
  <c r="S208" i="1" s="1"/>
  <c r="U218" i="1"/>
  <c r="S218" i="1" s="1"/>
  <c r="AI169" i="1"/>
  <c r="W131" i="1"/>
  <c r="W214" i="1"/>
  <c r="W181" i="1"/>
  <c r="AI213" i="1"/>
  <c r="U197" i="1"/>
  <c r="S197" i="1" s="1"/>
  <c r="U175" i="1"/>
  <c r="S175" i="1" s="1"/>
  <c r="AI191" i="1"/>
  <c r="U184" i="1"/>
  <c r="S184" i="1" s="1"/>
  <c r="AI200" i="1"/>
  <c r="AI148" i="1"/>
  <c r="U148" i="1"/>
  <c r="S148" i="1" s="1"/>
  <c r="AI180" i="1"/>
  <c r="U165" i="1"/>
  <c r="S165" i="1" s="1"/>
  <c r="W197" i="1"/>
  <c r="AI18" i="1"/>
  <c r="U18" i="1"/>
  <c r="S18" i="1" s="1"/>
  <c r="U21" i="1"/>
  <c r="S21" i="1" s="1"/>
  <c r="AI21" i="1"/>
  <c r="W21" i="1"/>
  <c r="AI38" i="1"/>
  <c r="U38" i="1"/>
  <c r="S38" i="1" s="1"/>
  <c r="U17" i="1"/>
  <c r="S17" i="1" s="1"/>
  <c r="AI17" i="1"/>
  <c r="U29" i="1"/>
  <c r="S29" i="1" s="1"/>
  <c r="AI29" i="1"/>
  <c r="AI89" i="1"/>
  <c r="U89" i="1"/>
  <c r="S89" i="1" s="1"/>
  <c r="W89" i="1"/>
  <c r="AI128" i="1"/>
  <c r="U128" i="1"/>
  <c r="S128" i="1" s="1"/>
  <c r="U110" i="1"/>
  <c r="S110" i="1" s="1"/>
  <c r="AI110" i="1"/>
  <c r="AI181" i="1"/>
  <c r="U166" i="1"/>
  <c r="S166" i="1" s="1"/>
  <c r="W128" i="1"/>
  <c r="U155" i="1"/>
  <c r="S155" i="1" s="1"/>
  <c r="AI155" i="1"/>
  <c r="AI19" i="1"/>
  <c r="U25" i="1"/>
  <c r="S25" i="1" s="1"/>
  <c r="AI25" i="1"/>
  <c r="U45" i="1"/>
  <c r="S45" i="1" s="1"/>
  <c r="AI45" i="1"/>
  <c r="W45" i="1"/>
  <c r="W74" i="1"/>
  <c r="W29" i="1"/>
  <c r="U69" i="1"/>
  <c r="S69" i="1" s="1"/>
  <c r="AI69" i="1"/>
  <c r="W69" i="1"/>
  <c r="AI51" i="1"/>
  <c r="U33" i="1"/>
  <c r="S33" i="1" s="1"/>
  <c r="AI33" i="1"/>
  <c r="W18" i="1"/>
  <c r="AI26" i="1"/>
  <c r="U26" i="1"/>
  <c r="S26" i="1" s="1"/>
  <c r="W38" i="1"/>
  <c r="AI58" i="1"/>
  <c r="AI66" i="1"/>
  <c r="U66" i="1"/>
  <c r="S66" i="1" s="1"/>
  <c r="U73" i="1"/>
  <c r="S73" i="1" s="1"/>
  <c r="AI73" i="1"/>
  <c r="W90" i="1"/>
  <c r="AI46" i="1"/>
  <c r="U65" i="1"/>
  <c r="S65" i="1" s="1"/>
  <c r="AI65" i="1"/>
  <c r="W73" i="1"/>
  <c r="U88" i="1"/>
  <c r="S88" i="1" s="1"/>
  <c r="AI88" i="1"/>
  <c r="AI97" i="1"/>
  <c r="U97" i="1"/>
  <c r="S97" i="1" s="1"/>
  <c r="W97" i="1"/>
  <c r="AI112" i="1"/>
  <c r="U112" i="1"/>
  <c r="S112" i="1" s="1"/>
  <c r="W112" i="1"/>
  <c r="U147" i="1"/>
  <c r="S147" i="1" s="1"/>
  <c r="AI147" i="1"/>
  <c r="U173" i="1"/>
  <c r="S173" i="1" s="1"/>
  <c r="AI188" i="1"/>
  <c r="W173" i="1"/>
  <c r="AI54" i="1"/>
  <c r="U54" i="1"/>
  <c r="S54" i="1" s="1"/>
  <c r="U122" i="1"/>
  <c r="S122" i="1" s="1"/>
  <c r="AI122" i="1"/>
  <c r="U138" i="1"/>
  <c r="S138" i="1" s="1"/>
  <c r="AI138" i="1"/>
  <c r="U152" i="1"/>
  <c r="S152" i="1" s="1"/>
  <c r="AI152" i="1"/>
  <c r="AI177" i="1"/>
  <c r="U162" i="1"/>
  <c r="S162" i="1" s="1"/>
  <c r="U169" i="1"/>
  <c r="S169" i="1" s="1"/>
  <c r="AI184" i="1"/>
  <c r="AI22" i="1"/>
  <c r="AI149" i="1"/>
  <c r="W215" i="1"/>
  <c r="AI127" i="1"/>
  <c r="W218" i="1"/>
  <c r="W172" i="1"/>
  <c r="AI222" i="1"/>
  <c r="U211" i="1"/>
  <c r="S211" i="1" s="1"/>
  <c r="U103" i="1"/>
  <c r="S103" i="1" s="1"/>
  <c r="AI103" i="1"/>
  <c r="W155" i="1"/>
  <c r="AI193" i="1"/>
  <c r="U177" i="1"/>
  <c r="S177" i="1" s="1"/>
  <c r="B3" i="6" l="1"/>
  <c r="F3" i="6" s="1"/>
  <c r="B4" i="6"/>
  <c r="H4" i="6" s="1"/>
  <c r="B5" i="6"/>
  <c r="G5" i="6" s="1"/>
  <c r="B6" i="6"/>
  <c r="F6" i="6" s="1"/>
  <c r="B7" i="6"/>
  <c r="F7" i="6" s="1"/>
  <c r="F4" i="6" l="1"/>
  <c r="G4" i="6"/>
  <c r="I7" i="6"/>
  <c r="F5" i="6"/>
  <c r="G6" i="6"/>
  <c r="I6" i="6"/>
  <c r="H5" i="6"/>
  <c r="I5" i="6"/>
  <c r="I4" i="6"/>
  <c r="I3" i="6"/>
  <c r="H7" i="6"/>
  <c r="G7" i="6"/>
  <c r="H6" i="6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J7" i="1" s="1"/>
  <c r="M26" i="5"/>
  <c r="AH14" i="1" l="1"/>
  <c r="AH15" i="1"/>
  <c r="AH21" i="1"/>
  <c r="AH32" i="1"/>
  <c r="AH33" i="1"/>
  <c r="AH34" i="1"/>
  <c r="AH35" i="1"/>
  <c r="AH39" i="1"/>
  <c r="AH40" i="1"/>
  <c r="AH45" i="1"/>
  <c r="AH60" i="1"/>
  <c r="AH61" i="1"/>
  <c r="AH62" i="1"/>
  <c r="AH86" i="1"/>
  <c r="AH91" i="1"/>
  <c r="AH92" i="1"/>
  <c r="AH93" i="1"/>
  <c r="AH97" i="1"/>
  <c r="AH98" i="1"/>
  <c r="AH99" i="1"/>
  <c r="AH100" i="1"/>
  <c r="AH101" i="1"/>
  <c r="AH102" i="1"/>
  <c r="AH113" i="1"/>
  <c r="AH114" i="1"/>
  <c r="AH115" i="1"/>
  <c r="AH116" i="1"/>
  <c r="AH121" i="1"/>
  <c r="AH16" i="1"/>
  <c r="AH17" i="1"/>
  <c r="AH18" i="1"/>
  <c r="AH22" i="1"/>
  <c r="AH23" i="1"/>
  <c r="AH24" i="1"/>
  <c r="AH25" i="1"/>
  <c r="AH26" i="1"/>
  <c r="AH27" i="1"/>
  <c r="AH28" i="1"/>
  <c r="AH36" i="1"/>
  <c r="AH41" i="1"/>
  <c r="AH42" i="1"/>
  <c r="AH46" i="1"/>
  <c r="AH47" i="1"/>
  <c r="AH48" i="1"/>
  <c r="AH49" i="1"/>
  <c r="AH50" i="1"/>
  <c r="AH51" i="1"/>
  <c r="AH52" i="1"/>
  <c r="AH63" i="1"/>
  <c r="AH64" i="1"/>
  <c r="AH65" i="1"/>
  <c r="AH66" i="1"/>
  <c r="AH67" i="1"/>
  <c r="AH70" i="1"/>
  <c r="AH71" i="1"/>
  <c r="AH72" i="1"/>
  <c r="AH73" i="1"/>
  <c r="AH74" i="1"/>
  <c r="AH75" i="1"/>
  <c r="AH76" i="1"/>
  <c r="AH77" i="1"/>
  <c r="AH87" i="1"/>
  <c r="AH94" i="1"/>
  <c r="AH103" i="1"/>
  <c r="AH104" i="1"/>
  <c r="AH105" i="1"/>
  <c r="AH106" i="1"/>
  <c r="AH134" i="1"/>
  <c r="AH137" i="1"/>
  <c r="AH138" i="1"/>
  <c r="AH150" i="1"/>
  <c r="AH151" i="1"/>
  <c r="AH152" i="1"/>
  <c r="AH153" i="1"/>
  <c r="AH154" i="1"/>
  <c r="AH155" i="1"/>
  <c r="AH156" i="1"/>
  <c r="AH157" i="1"/>
  <c r="AH158" i="1"/>
  <c r="AH159" i="1"/>
  <c r="AH171" i="1"/>
  <c r="AH172" i="1"/>
  <c r="AH176" i="1"/>
  <c r="AH177" i="1"/>
  <c r="AH178" i="1"/>
  <c r="AH192" i="1"/>
  <c r="AH193" i="1"/>
  <c r="AH194" i="1"/>
  <c r="AH204" i="1"/>
  <c r="AH207" i="1"/>
  <c r="AH208" i="1"/>
  <c r="AH209" i="1"/>
  <c r="AH210" i="1"/>
  <c r="AH211" i="1"/>
  <c r="AH215" i="1"/>
  <c r="AH216" i="1"/>
  <c r="AH217" i="1"/>
  <c r="AH218" i="1"/>
  <c r="AH219" i="1"/>
  <c r="AH220" i="1"/>
  <c r="AH19" i="1"/>
  <c r="AH29" i="1"/>
  <c r="AH30" i="1"/>
  <c r="AH43" i="1"/>
  <c r="AH44" i="1"/>
  <c r="AH57" i="1"/>
  <c r="AH58" i="1"/>
  <c r="AH68" i="1"/>
  <c r="AH69" i="1"/>
  <c r="AH84" i="1"/>
  <c r="AH85" i="1"/>
  <c r="AH90" i="1"/>
  <c r="AH95" i="1"/>
  <c r="AH37" i="1"/>
  <c r="AH38" i="1"/>
  <c r="AH53" i="1"/>
  <c r="AH54" i="1"/>
  <c r="AH55" i="1"/>
  <c r="AH56" i="1"/>
  <c r="AH78" i="1"/>
  <c r="AH79" i="1"/>
  <c r="AH80" i="1"/>
  <c r="AH81" i="1"/>
  <c r="AH82" i="1"/>
  <c r="AH88" i="1"/>
  <c r="AH107" i="1"/>
  <c r="AH108" i="1"/>
  <c r="AH109" i="1"/>
  <c r="AH110" i="1"/>
  <c r="AH111" i="1"/>
  <c r="AH117" i="1"/>
  <c r="AH129" i="1"/>
  <c r="AH135" i="1"/>
  <c r="AH139" i="1"/>
  <c r="AH140" i="1"/>
  <c r="AH145" i="1"/>
  <c r="AH173" i="1"/>
  <c r="AH179" i="1"/>
  <c r="AH180" i="1"/>
  <c r="AH181" i="1"/>
  <c r="AH182" i="1"/>
  <c r="AH195" i="1"/>
  <c r="AH196" i="1"/>
  <c r="AH197" i="1"/>
  <c r="AH205" i="1"/>
  <c r="AH212" i="1"/>
  <c r="AH213" i="1"/>
  <c r="AH214" i="1"/>
  <c r="AH20" i="1"/>
  <c r="AH31" i="1"/>
  <c r="AH59" i="1"/>
  <c r="AH83" i="1"/>
  <c r="AH89" i="1"/>
  <c r="AH96" i="1"/>
  <c r="AH132" i="1"/>
  <c r="AH133" i="1"/>
  <c r="AH146" i="1"/>
  <c r="AH147" i="1"/>
  <c r="AH148" i="1"/>
  <c r="AH149" i="1"/>
  <c r="AH174" i="1"/>
  <c r="AH175" i="1"/>
  <c r="AH186" i="1"/>
  <c r="AH118" i="1"/>
  <c r="AH119" i="1"/>
  <c r="AH120" i="1"/>
  <c r="AH122" i="1"/>
  <c r="AH123" i="1"/>
  <c r="AH124" i="1"/>
  <c r="AH125" i="1"/>
  <c r="AH126" i="1"/>
  <c r="AH127" i="1"/>
  <c r="AH128" i="1"/>
  <c r="AH141" i="1"/>
  <c r="AH183" i="1"/>
  <c r="AH184" i="1"/>
  <c r="AH185" i="1"/>
  <c r="AH189" i="1"/>
  <c r="AH190" i="1"/>
  <c r="AH191" i="1"/>
  <c r="AH165" i="1"/>
  <c r="AH166" i="1"/>
  <c r="AH198" i="1"/>
  <c r="AH199" i="1"/>
  <c r="AH201" i="1"/>
  <c r="AH202" i="1"/>
  <c r="AH221" i="1"/>
  <c r="AH222" i="1"/>
  <c r="AH131" i="1"/>
  <c r="AH168" i="1"/>
  <c r="AH170" i="1"/>
  <c r="AH188" i="1"/>
  <c r="AH206" i="1"/>
  <c r="AH112" i="1"/>
  <c r="AH136" i="1"/>
  <c r="AH142" i="1"/>
  <c r="AH143" i="1"/>
  <c r="AH144" i="1"/>
  <c r="AH160" i="1"/>
  <c r="AH162" i="1"/>
  <c r="AH163" i="1"/>
  <c r="AH164" i="1"/>
  <c r="AH167" i="1"/>
  <c r="AH200" i="1"/>
  <c r="AH203" i="1"/>
  <c r="AH130" i="1"/>
  <c r="AH169" i="1"/>
  <c r="AH18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3" i="6" s="1"/>
  <c r="G156" i="4"/>
  <c r="H3" i="6" s="1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<sst xmlns="http://schemas.openxmlformats.org/spreadsheetml/2006/main" count="8526" uniqueCount="2043">
  <si>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</si>
  <si>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</si>
  <si>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</si>
  <si>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</si>
  <si>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</si>
  <si>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</si>
  <si>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</si>
  <si>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</si>
  <si>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</si>
  <si>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</si>
  <si>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</si>
  <si>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</si>
  <si>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</si>
  <si>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</si>
  <si>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</si>
  <si>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</si>
  <si>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</si>
  <si>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</si>
  <si>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</si>
  <si>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</si>
  <si>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</si>
  <si>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</si>
  <si>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</si>
  <si>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</si>
  <si>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</si>
  <si>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</si>
  <si>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</si>
  <si>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</si>
  <si>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</si>
  <si>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</si>
  <si>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</si>
  <si>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</si>
  <si>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</si>
  <si>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</si>
  <si>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</si>
  <si>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</si>
  <si>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</si>
  <si>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</si>
  <si>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</si>
  <si>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</si>
  <si>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</si>
  <si>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</si>
  <si>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</si>
  <si>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</si>
  <si>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</si>
  <si>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</si>
  <si>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</si>
  <si>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</si>
  <si>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</si>
  <si>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</si>
  <si>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</si>
  <si>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</si>
  <si>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</si>
  <si>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</si>
  <si>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</si>
  <si>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</si>
  <si>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</si>
  <si>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</si>
  <si>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</si>
  <si>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</si>
  <si>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</si>
  <si>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</si>
  <si>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</si>
  <si>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</si>
  <si>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</si>
  <si>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</si>
  <si>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</si>
  <si>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</si>
  <si>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</si>
  <si>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</si>
  <si>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</si>
  <si>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</si>
  <si>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</si>
  <si>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</si>
  <si>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</si>
  <si>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</si>
  <si>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</si>
  <si>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</si>
  <si>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</si>
  <si>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</si>
  <si>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</si>
  <si>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</si>
  <si>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</si>
  <si>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</si>
  <si>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</si>
  <si>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</si>
  <si>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</si>
  <si>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</si>
  <si>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</si>
  <si>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</si>
  <si>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</si>
  <si>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</si>
  <si>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</si>
  <si>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</si>
  <si>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</si>
  <si>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</si>
  <si>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</si>
  <si>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</si>
  <si>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</si>
  <si>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</si>
  <si>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</si>
  <si>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</si>
  <si>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</si>
  <si>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</si>
  <si>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</si>
  <si>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</si>
  <si>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</si>
  <si>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</si>
  <si>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</si>
  <si>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</si>
  <si>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</si>
  <si>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</si>
  <si>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</si>
  <si>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</si>
  <si>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</si>
  <si>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</si>
  <si>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</si>
  <si>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</si>
  <si>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</si>
  <si>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</si>
  <si>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</si>
  <si>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</si>
  <si>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</si>
  <si>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</si>
  <si>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</si>
  <si>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</si>
  <si>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</si>
  <si>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</si>
  <si>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</si>
  <si>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</si>
  <si>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</si>
  <si>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</si>
  <si>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</si>
  <si>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</si>
  <si>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</si>
  <si>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</si>
  <si>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</si>
  <si>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204:457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</si>
  <si>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</si>
  <si>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</si>
  <si>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</si>
  <si>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</si>
  <si>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</si>
  <si>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</si>
  <si>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</si>
  <si>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204:156</t>
  </si>
  <si>
    <t>204:451</t>
  </si>
  <si>
    <t>204:233291</t>
  </si>
  <si>
    <t>204:154</t>
  </si>
  <si>
    <t>YANAI</t>
  </si>
  <si>
    <t>204:152</t>
  </si>
  <si>
    <t>rtdc.l.rtdc.4009:itc</t>
  </si>
  <si>
    <t>CHANDLER</t>
  </si>
  <si>
    <t>204:471</t>
  </si>
  <si>
    <t>rtdc.l.rtdc.4002:itc</t>
  </si>
  <si>
    <t>:.+((SYSTEM_STATE.+slice.+state.+changed )|(ment ac)|(system.+state.+changed )|(\|lc)|(penalty)|(\[timeout)|(PRM\|1\|D)|(kpr)|(kdp))</t>
  </si>
  <si>
    <t>204:145</t>
  </si>
  <si>
    <t>204:447</t>
  </si>
  <si>
    <t>204:160</t>
  </si>
  <si>
    <t>204:233293</t>
  </si>
  <si>
    <t>204:460</t>
  </si>
  <si>
    <t>HAITHCOX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</si>
  <si>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</si>
  <si>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</si>
  <si>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</si>
  <si>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</si>
  <si>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</si>
  <si>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</si>
  <si>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</si>
  <si>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</si>
  <si>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</si>
  <si>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</si>
  <si>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</si>
  <si>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</si>
  <si>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</si>
  <si>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</si>
  <si>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</si>
  <si>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</si>
  <si>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</si>
  <si>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</si>
  <si>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</si>
  <si>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</si>
  <si>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</si>
  <si>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</si>
  <si>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</si>
  <si>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</si>
  <si>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</si>
  <si>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</si>
  <si>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</si>
  <si>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</si>
  <si>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</si>
  <si>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</si>
  <si>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</si>
  <si>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</si>
  <si>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</si>
  <si>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</si>
  <si>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</si>
  <si>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204:232980</t>
  </si>
  <si>
    <t>204:232977</t>
  </si>
  <si>
    <t>204:438</t>
  </si>
  <si>
    <t>rtdc.l.rtdc.4019:itc</t>
  </si>
  <si>
    <t>rtdc.l.rtdc.4020:itc</t>
  </si>
  <si>
    <t>Output Refined Run Times to File?</t>
  </si>
  <si>
    <t>RefinedRTDCRunTimesOutputFile</t>
  </si>
  <si>
    <t>rtdc.l.rtdc.4028:itc</t>
  </si>
  <si>
    <t>Bulletin (2)</t>
  </si>
  <si>
    <t>GRADE CROSSING</t>
  </si>
  <si>
    <t>204:232971</t>
  </si>
  <si>
    <t>204:458</t>
  </si>
  <si>
    <t>204:466</t>
  </si>
  <si>
    <t>204:233297</t>
  </si>
  <si>
    <t>204:442</t>
  </si>
  <si>
    <t>Trip Number</t>
  </si>
  <si>
    <t>rtdc.l.rtdc.4011:itc</t>
  </si>
  <si>
    <t>204:233314</t>
  </si>
  <si>
    <t>204:163</t>
  </si>
  <si>
    <t>204:232996</t>
  </si>
  <si>
    <t>204:233307</t>
  </si>
  <si>
    <t>HILLS</t>
  </si>
  <si>
    <t>204:233302</t>
  </si>
  <si>
    <t>204:138</t>
  </si>
  <si>
    <t>204:141</t>
  </si>
  <si>
    <t>204:150</t>
  </si>
  <si>
    <t>204:444</t>
  </si>
  <si>
    <t>204:233304</t>
  </si>
  <si>
    <t>204:233317</t>
  </si>
  <si>
    <t>rtdc.l.rtdc.4043:itc</t>
  </si>
  <si>
    <t>rtdc.l.rtdc.4001:itc</t>
  </si>
  <si>
    <t>rtdc.l.rtdc.4044:itc</t>
  </si>
  <si>
    <t>Reactive Warning (1)</t>
  </si>
  <si>
    <t>204:233280</t>
  </si>
  <si>
    <t>204:233315</t>
  </si>
  <si>
    <t>204:233312</t>
  </si>
  <si>
    <t>204:232998</t>
  </si>
  <si>
    <t>204:136</t>
  </si>
  <si>
    <t>204:464</t>
  </si>
  <si>
    <t>204:478</t>
  </si>
  <si>
    <t>204:233000</t>
  </si>
  <si>
    <t>204:232986</t>
  </si>
  <si>
    <t>204:167</t>
  </si>
  <si>
    <t>204:232969</t>
  </si>
  <si>
    <t>204:233316</t>
  </si>
  <si>
    <t>300:58929</t>
  </si>
  <si>
    <t>Y</t>
  </si>
  <si>
    <t>CLARK</t>
  </si>
  <si>
    <t>rtdc.l.rtdc.4017:itc</t>
  </si>
  <si>
    <t>KILLION</t>
  </si>
  <si>
    <t>rtdc.l.rtdc.4018:itc</t>
  </si>
  <si>
    <t>BRUDER</t>
  </si>
  <si>
    <t>NEWELL</t>
  </si>
  <si>
    <t>204:233301</t>
  </si>
  <si>
    <t>204:233295</t>
  </si>
  <si>
    <t>204:232972</t>
  </si>
  <si>
    <t>204:233310</t>
  </si>
  <si>
    <t>204:132</t>
  </si>
  <si>
    <t>204:233299</t>
  </si>
  <si>
    <t>204:232957</t>
  </si>
  <si>
    <t>rtdc.l.rtdc.4025:itc</t>
  </si>
  <si>
    <t>DAVIS</t>
  </si>
  <si>
    <t>STARKS</t>
  </si>
  <si>
    <t>rtdc.l.rtdc.4026:itc</t>
  </si>
  <si>
    <t>BARTLETT</t>
  </si>
  <si>
    <t>YOUNG</t>
  </si>
  <si>
    <t>COOLAHAN</t>
  </si>
  <si>
    <t>204:232979</t>
  </si>
  <si>
    <t>204:462</t>
  </si>
  <si>
    <t>204:232991</t>
  </si>
  <si>
    <t>204:232984</t>
  </si>
  <si>
    <t>204:233274</t>
  </si>
  <si>
    <t>300:58609</t>
  </si>
  <si>
    <t>300:58613</t>
  </si>
  <si>
    <t>204:971</t>
  </si>
  <si>
    <t>204:972</t>
  </si>
  <si>
    <t>204:233336</t>
  </si>
  <si>
    <t>204:233283</t>
  </si>
  <si>
    <t>204:232978</t>
  </si>
  <si>
    <t>204:233306</t>
  </si>
  <si>
    <t>204:488</t>
  </si>
  <si>
    <t>204:446</t>
  </si>
  <si>
    <t>300:22856</t>
  </si>
  <si>
    <t>204:233387</t>
  </si>
  <si>
    <t>204:232961</t>
  </si>
  <si>
    <t>204:734</t>
  </si>
  <si>
    <t>204:233289</t>
  </si>
  <si>
    <t>204:233305</t>
  </si>
  <si>
    <t>204:440</t>
  </si>
  <si>
    <t>204:233001</t>
  </si>
  <si>
    <t>204:233255</t>
  </si>
  <si>
    <t>204:169</t>
  </si>
  <si>
    <t>204:232951</t>
  </si>
  <si>
    <t>204:232975</t>
  </si>
  <si>
    <t>204:232983</t>
  </si>
  <si>
    <t>204:233006</t>
  </si>
  <si>
    <t>204:495</t>
  </si>
  <si>
    <t>204:484</t>
  </si>
  <si>
    <t>204:178</t>
  </si>
  <si>
    <t>204:165</t>
  </si>
  <si>
    <t>204:435</t>
  </si>
  <si>
    <t>204:486</t>
  </si>
  <si>
    <t>242-05</t>
  </si>
  <si>
    <t>204:232959</t>
  </si>
  <si>
    <t>244-05</t>
  </si>
  <si>
    <t>311-05</t>
  </si>
  <si>
    <t>313-05</t>
  </si>
  <si>
    <t>315-05</t>
  </si>
  <si>
    <t>300:22255</t>
  </si>
  <si>
    <t>64-05</t>
  </si>
  <si>
    <t>DE.1.0.8.0.ENG1</t>
  </si>
  <si>
    <t>204:127813</t>
  </si>
  <si>
    <t>204:10347</t>
  </si>
  <si>
    <t>65-05</t>
  </si>
  <si>
    <t>204:10515</t>
  </si>
  <si>
    <t>204:128079</t>
  </si>
  <si>
    <t>204:10583</t>
  </si>
  <si>
    <t>204:128131</t>
  </si>
  <si>
    <t>300:58931</t>
  </si>
  <si>
    <t>300:58611</t>
  </si>
  <si>
    <t>300:58926</t>
  </si>
  <si>
    <t>204:652</t>
  </si>
  <si>
    <t>204:946</t>
  </si>
  <si>
    <t>300:58935</t>
  </si>
  <si>
    <t>300:58647</t>
  </si>
  <si>
    <t>300:58615</t>
  </si>
  <si>
    <t>204:677</t>
  </si>
  <si>
    <t>204:689</t>
  </si>
  <si>
    <t>rtdc.l.rtdc.4012:itc</t>
  </si>
  <si>
    <t>TEMPORARY SPEED RESTRICTION</t>
  </si>
  <si>
    <t>rtdc.l.rtdc.4051:itc</t>
  </si>
  <si>
    <t>BRANNON</t>
  </si>
  <si>
    <t>SPECTOR</t>
  </si>
  <si>
    <t>ROCHA</t>
  </si>
  <si>
    <t>rtdc.l.rtdc.4052:itc</t>
  </si>
  <si>
    <t>HELVIE</t>
  </si>
  <si>
    <t>SWITCH UNKNOWN</t>
  </si>
  <si>
    <t>Track device (7)</t>
  </si>
  <si>
    <t>Onboard in-route failure</t>
  </si>
  <si>
    <t>Early arrival</t>
  </si>
  <si>
    <t>Wi-MAX outage</t>
  </si>
  <si>
    <t>Went active too close to signal</t>
  </si>
  <si>
    <t>101-06</t>
  </si>
  <si>
    <t>103-06</t>
  </si>
  <si>
    <t>105-06</t>
  </si>
  <si>
    <t>102-06</t>
  </si>
  <si>
    <t>107-06</t>
  </si>
  <si>
    <t>104-06</t>
  </si>
  <si>
    <t>109-06</t>
  </si>
  <si>
    <t>111-06</t>
  </si>
  <si>
    <t>GEBRETEKLE</t>
  </si>
  <si>
    <t>113-06</t>
  </si>
  <si>
    <t>rtdc.l.rtdc.4041:itc</t>
  </si>
  <si>
    <t>106-06</t>
  </si>
  <si>
    <t>rtdc.l.rtdc.4010:itc</t>
  </si>
  <si>
    <t>800-06</t>
  </si>
  <si>
    <t>108-06</t>
  </si>
  <si>
    <t>110-06</t>
  </si>
  <si>
    <t>115-06</t>
  </si>
  <si>
    <t>117-06</t>
  </si>
  <si>
    <t>801-06</t>
  </si>
  <si>
    <t>112-06</t>
  </si>
  <si>
    <t>119-06</t>
  </si>
  <si>
    <t>114-06</t>
  </si>
  <si>
    <t>802-06</t>
  </si>
  <si>
    <t>803-06</t>
  </si>
  <si>
    <t>121-06</t>
  </si>
  <si>
    <t>116-06</t>
  </si>
  <si>
    <t>123-06</t>
  </si>
  <si>
    <t>118-06</t>
  </si>
  <si>
    <t>125-06</t>
  </si>
  <si>
    <t>805-06</t>
  </si>
  <si>
    <t>120-06</t>
  </si>
  <si>
    <t>127-06</t>
  </si>
  <si>
    <t>122-06</t>
  </si>
  <si>
    <t>806-06</t>
  </si>
  <si>
    <t>129-06</t>
  </si>
  <si>
    <t>807-06</t>
  </si>
  <si>
    <t>124-06</t>
  </si>
  <si>
    <t>131-06</t>
  </si>
  <si>
    <t>126-06</t>
  </si>
  <si>
    <t>808-06</t>
  </si>
  <si>
    <t>133-06</t>
  </si>
  <si>
    <t>128-06</t>
  </si>
  <si>
    <t>809-06</t>
  </si>
  <si>
    <t>135-06</t>
  </si>
  <si>
    <t>810-06</t>
  </si>
  <si>
    <t>130-06</t>
  </si>
  <si>
    <t>137-06</t>
  </si>
  <si>
    <t>811-06</t>
  </si>
  <si>
    <t>132-06</t>
  </si>
  <si>
    <t>139-06</t>
  </si>
  <si>
    <t>812-06</t>
  </si>
  <si>
    <t>134-06</t>
  </si>
  <si>
    <t>141-06</t>
  </si>
  <si>
    <t>136-06</t>
  </si>
  <si>
    <t>143-06</t>
  </si>
  <si>
    <t>145-06</t>
  </si>
  <si>
    <t>138-06</t>
  </si>
  <si>
    <t>813-06</t>
  </si>
  <si>
    <t>140-06</t>
  </si>
  <si>
    <t>147-06</t>
  </si>
  <si>
    <t>142-06</t>
  </si>
  <si>
    <t>814-06</t>
  </si>
  <si>
    <t>149-06</t>
  </si>
  <si>
    <t>144-06</t>
  </si>
  <si>
    <t>151-06</t>
  </si>
  <si>
    <t>146-06</t>
  </si>
  <si>
    <t>815-06</t>
  </si>
  <si>
    <t>153-06</t>
  </si>
  <si>
    <t>148-06</t>
  </si>
  <si>
    <t>155-06</t>
  </si>
  <si>
    <t>150-06</t>
  </si>
  <si>
    <t>816-06</t>
  </si>
  <si>
    <t>157-06</t>
  </si>
  <si>
    <t>152-06</t>
  </si>
  <si>
    <t>159-06</t>
  </si>
  <si>
    <t>154-06</t>
  </si>
  <si>
    <t>161-06</t>
  </si>
  <si>
    <t>SANTIZO</t>
  </si>
  <si>
    <t>817-06</t>
  </si>
  <si>
    <t>rtdc.l.rtdc.4042:itc</t>
  </si>
  <si>
    <t>163-06</t>
  </si>
  <si>
    <t>156-06</t>
  </si>
  <si>
    <t>158-06</t>
  </si>
  <si>
    <t>818-06</t>
  </si>
  <si>
    <t>165-06</t>
  </si>
  <si>
    <t>160-06</t>
  </si>
  <si>
    <t>162-06</t>
  </si>
  <si>
    <t>167-06</t>
  </si>
  <si>
    <t>819-06</t>
  </si>
  <si>
    <t>169-06</t>
  </si>
  <si>
    <t>171-06</t>
  </si>
  <si>
    <t>164-06</t>
  </si>
  <si>
    <t>166-06</t>
  </si>
  <si>
    <t>820-06</t>
  </si>
  <si>
    <t>173-06</t>
  </si>
  <si>
    <t>168-06</t>
  </si>
  <si>
    <t>175-06</t>
  </si>
  <si>
    <t>170-06</t>
  </si>
  <si>
    <t>821-06</t>
  </si>
  <si>
    <t>177-06</t>
  </si>
  <si>
    <t>172-06</t>
  </si>
  <si>
    <t>179-06</t>
  </si>
  <si>
    <t>174-06</t>
  </si>
  <si>
    <t>822-06</t>
  </si>
  <si>
    <t>181-06</t>
  </si>
  <si>
    <t>176-06</t>
  </si>
  <si>
    <t>183-06</t>
  </si>
  <si>
    <t>178-06</t>
  </si>
  <si>
    <t>185-06</t>
  </si>
  <si>
    <t>823-06</t>
  </si>
  <si>
    <t>180-06</t>
  </si>
  <si>
    <t>187-06</t>
  </si>
  <si>
    <t>182-06</t>
  </si>
  <si>
    <t>824-06</t>
  </si>
  <si>
    <t>189-06</t>
  </si>
  <si>
    <t>184-06</t>
  </si>
  <si>
    <t>191-06</t>
  </si>
  <si>
    <t>186-06</t>
  </si>
  <si>
    <t>193-06</t>
  </si>
  <si>
    <t>825-06</t>
  </si>
  <si>
    <t>STURGEON</t>
  </si>
  <si>
    <t>188-06</t>
  </si>
  <si>
    <t>904-06</t>
  </si>
  <si>
    <t>190-06</t>
  </si>
  <si>
    <t>195-06</t>
  </si>
  <si>
    <t>826-06</t>
  </si>
  <si>
    <t>827-06</t>
  </si>
  <si>
    <t>BROWN</t>
  </si>
  <si>
    <t>197-06</t>
  </si>
  <si>
    <t>192-06</t>
  </si>
  <si>
    <t>199-06</t>
  </si>
  <si>
    <t>194-06</t>
  </si>
  <si>
    <t>201-06</t>
  </si>
  <si>
    <t>828-06</t>
  </si>
  <si>
    <t>829-06</t>
  </si>
  <si>
    <t>196-06</t>
  </si>
  <si>
    <t>203-06</t>
  </si>
  <si>
    <t>830-06</t>
  </si>
  <si>
    <t>198-06</t>
  </si>
  <si>
    <t>831-06</t>
  </si>
  <si>
    <t>205-06</t>
  </si>
  <si>
    <t>200-06</t>
  </si>
  <si>
    <t>207-06</t>
  </si>
  <si>
    <t>202-06</t>
  </si>
  <si>
    <t>832-06</t>
  </si>
  <si>
    <t>209-06</t>
  </si>
  <si>
    <t>833-06</t>
  </si>
  <si>
    <t>204-06</t>
  </si>
  <si>
    <t>211-06</t>
  </si>
  <si>
    <t>64-06</t>
  </si>
  <si>
    <t>206-06</t>
  </si>
  <si>
    <t>834-06</t>
  </si>
  <si>
    <t>rtdc.l.rtdc.4022:itc</t>
  </si>
  <si>
    <t>66-06</t>
  </si>
  <si>
    <t>213-06</t>
  </si>
  <si>
    <t>835-06</t>
  </si>
  <si>
    <t>208-06</t>
  </si>
  <si>
    <t>215-06</t>
  </si>
  <si>
    <t>ROBINSON</t>
  </si>
  <si>
    <t>63-06</t>
  </si>
  <si>
    <t>STORY</t>
  </si>
  <si>
    <t>210-06</t>
  </si>
  <si>
    <t>836-06</t>
  </si>
  <si>
    <t>217-06</t>
  </si>
  <si>
    <t>SMITH</t>
  </si>
  <si>
    <t>837-06</t>
  </si>
  <si>
    <t>212-06</t>
  </si>
  <si>
    <t>219-06</t>
  </si>
  <si>
    <t>214-06</t>
  </si>
  <si>
    <t>838-06</t>
  </si>
  <si>
    <t>839-06</t>
  </si>
  <si>
    <t>216-06</t>
  </si>
  <si>
    <t>221-06</t>
  </si>
  <si>
    <t>218-06</t>
  </si>
  <si>
    <t>906-06</t>
  </si>
  <si>
    <t>841-06</t>
  </si>
  <si>
    <t>220-06</t>
  </si>
  <si>
    <t>223-06</t>
  </si>
  <si>
    <t>840-06</t>
  </si>
  <si>
    <t>222-06</t>
  </si>
  <si>
    <t>225-06</t>
  </si>
  <si>
    <t>843-06</t>
  </si>
  <si>
    <t>224-06</t>
  </si>
  <si>
    <t>227-06</t>
  </si>
  <si>
    <t>842-06</t>
  </si>
  <si>
    <t>226-06</t>
  </si>
  <si>
    <t>229-06</t>
  </si>
  <si>
    <t>845-06</t>
  </si>
  <si>
    <t>228-06</t>
  </si>
  <si>
    <t>231-06</t>
  </si>
  <si>
    <t>844-06</t>
  </si>
  <si>
    <t>230-06</t>
  </si>
  <si>
    <t>233-06</t>
  </si>
  <si>
    <t>847-06</t>
  </si>
  <si>
    <t>232-06</t>
  </si>
  <si>
    <t>235-06</t>
  </si>
  <si>
    <t>908-06</t>
  </si>
  <si>
    <t>234-06</t>
  </si>
  <si>
    <t>237-06</t>
  </si>
  <si>
    <t>236-06</t>
  </si>
  <si>
    <t>239-06</t>
  </si>
  <si>
    <t>238-06</t>
  </si>
  <si>
    <t>241-06</t>
  </si>
  <si>
    <t>240-06</t>
  </si>
  <si>
    <t>243-06</t>
  </si>
  <si>
    <t>309-06</t>
  </si>
  <si>
    <t>242-06</t>
  </si>
  <si>
    <t>67-06</t>
  </si>
  <si>
    <t>311-06</t>
  </si>
  <si>
    <t>69-06</t>
  </si>
  <si>
    <t>244-06</t>
  </si>
  <si>
    <t>313-06</t>
  </si>
  <si>
    <t>315-06</t>
  </si>
  <si>
    <t>204:770</t>
  </si>
  <si>
    <t>204:233288</t>
  </si>
  <si>
    <t>204:232639</t>
  </si>
  <si>
    <t>204:233364</t>
  </si>
  <si>
    <t>204:232723</t>
  </si>
  <si>
    <t>204:750</t>
  </si>
  <si>
    <t>204:232662</t>
  </si>
  <si>
    <t>204:294</t>
  </si>
  <si>
    <t>204:233276</t>
  </si>
  <si>
    <t>204:433</t>
  </si>
  <si>
    <t>204:232988</t>
  </si>
  <si>
    <t>204:777</t>
  </si>
  <si>
    <t>204:134</t>
  </si>
  <si>
    <t>204:233284</t>
  </si>
  <si>
    <t>204:232982</t>
  </si>
  <si>
    <t>204:765</t>
  </si>
  <si>
    <t>204:761</t>
  </si>
  <si>
    <t>204:232990</t>
  </si>
  <si>
    <t>204:233244</t>
  </si>
  <si>
    <t>204:232928</t>
  </si>
  <si>
    <t>204:232992</t>
  </si>
  <si>
    <t>204:7617</t>
  </si>
  <si>
    <t>204:473</t>
  </si>
  <si>
    <t>204:233013</t>
  </si>
  <si>
    <t>204:189</t>
  </si>
  <si>
    <t>204:233318</t>
  </si>
  <si>
    <t>204:1942</t>
  </si>
  <si>
    <t>204:174</t>
  </si>
  <si>
    <t>204:194480</t>
  </si>
  <si>
    <t>204:233300</t>
  </si>
  <si>
    <t>204:232976</t>
  </si>
  <si>
    <t>204:212</t>
  </si>
  <si>
    <t>300:23306</t>
  </si>
  <si>
    <t>204:233010</t>
  </si>
  <si>
    <t>204:10674</t>
  </si>
  <si>
    <t>204:498</t>
  </si>
  <si>
    <t>204:233330</t>
  </si>
  <si>
    <t>204:233383</t>
  </si>
  <si>
    <t>204:233079</t>
  </si>
  <si>
    <t>204:529</t>
  </si>
  <si>
    <t>204:181</t>
  </si>
  <si>
    <t>204:475</t>
  </si>
  <si>
    <t>204:232993</t>
  </si>
  <si>
    <t>204:233238</t>
  </si>
  <si>
    <t>204:232925</t>
  </si>
  <si>
    <t>204:139</t>
  </si>
  <si>
    <t>204:233309</t>
  </si>
  <si>
    <t>204:232973</t>
  </si>
  <si>
    <t>204:232981</t>
  </si>
  <si>
    <t>204:482</t>
  </si>
  <si>
    <t>204:233331</t>
  </si>
  <si>
    <t>204:233008</t>
  </si>
  <si>
    <t>204:233374</t>
  </si>
  <si>
    <t>204:233055</t>
  </si>
  <si>
    <t>204:233009</t>
  </si>
  <si>
    <t>204:232964</t>
  </si>
  <si>
    <t>204:209</t>
  </si>
  <si>
    <t>204:426</t>
  </si>
  <si>
    <t>204:233346</t>
  </si>
  <si>
    <t>204:517</t>
  </si>
  <si>
    <t>204:497</t>
  </si>
  <si>
    <t>204:127</t>
  </si>
  <si>
    <t>204:232953</t>
  </si>
  <si>
    <t>204:467</t>
  </si>
  <si>
    <t>204:431</t>
  </si>
  <si>
    <t>204:233319</t>
  </si>
  <si>
    <t>204:233002</t>
  </si>
  <si>
    <t>204:232328</t>
  </si>
  <si>
    <t>204:161</t>
  </si>
  <si>
    <t>204:176</t>
  </si>
  <si>
    <t>204:233303</t>
  </si>
  <si>
    <t>204:232955</t>
  </si>
  <si>
    <t>300:23312</t>
  </si>
  <si>
    <t>204:506</t>
  </si>
  <si>
    <t>300:23132</t>
  </si>
  <si>
    <t>300:22829</t>
  </si>
  <si>
    <t>204:1601</t>
  </si>
  <si>
    <t>204:127861</t>
  </si>
  <si>
    <t>204:9646</t>
  </si>
  <si>
    <t>300:23342</t>
  </si>
  <si>
    <t>204:908</t>
  </si>
  <si>
    <t>204:370</t>
  </si>
  <si>
    <t>300:24208</t>
  </si>
  <si>
    <t>204:10561</t>
  </si>
  <si>
    <t>204:128118</t>
  </si>
  <si>
    <t>204:10624</t>
  </si>
  <si>
    <t>204:128093</t>
  </si>
  <si>
    <t>204:127825</t>
  </si>
  <si>
    <t>204:10326</t>
  </si>
  <si>
    <t>204:127845</t>
  </si>
  <si>
    <t>204:10325</t>
  </si>
  <si>
    <t>300:58617</t>
  </si>
  <si>
    <t>204:703</t>
  </si>
  <si>
    <t>300:58927</t>
  </si>
  <si>
    <t>300:58598</t>
  </si>
  <si>
    <t>204:696</t>
  </si>
  <si>
    <t>300:31606</t>
  </si>
  <si>
    <t>204:983</t>
  </si>
  <si>
    <t>300:58941</t>
  </si>
  <si>
    <t>204:715</t>
  </si>
  <si>
    <t>204:1034</t>
  </si>
  <si>
    <t>300:58901</t>
  </si>
  <si>
    <t>300:58579</t>
  </si>
  <si>
    <t>204:712</t>
  </si>
  <si>
    <t>204:1006</t>
  </si>
  <si>
    <t>204:706</t>
  </si>
  <si>
    <t>204:999</t>
  </si>
  <si>
    <t>300:58907</t>
  </si>
  <si>
    <t>300:58594</t>
  </si>
  <si>
    <t>204:720</t>
  </si>
  <si>
    <t>204:1013</t>
  </si>
  <si>
    <t>300:58911</t>
  </si>
  <si>
    <t>300:58602</t>
  </si>
  <si>
    <t>204:694</t>
  </si>
  <si>
    <t>204:1007</t>
  </si>
  <si>
    <t>300:58894</t>
  </si>
  <si>
    <t>300:57320</t>
  </si>
  <si>
    <t>204:719</t>
  </si>
  <si>
    <t>204:1004</t>
  </si>
  <si>
    <t>300:58581</t>
  </si>
  <si>
    <t>204:713</t>
  </si>
  <si>
    <t>300:58892</t>
  </si>
  <si>
    <t>300:58576</t>
  </si>
  <si>
    <t>204:724</t>
  </si>
  <si>
    <t>300:58922</t>
  </si>
  <si>
    <t>204:691</t>
  </si>
  <si>
    <t>204:976</t>
  </si>
  <si>
    <t>204:673</t>
  </si>
  <si>
    <t>300:58937</t>
  </si>
  <si>
    <t>204:831</t>
  </si>
  <si>
    <t>204:1142</t>
  </si>
  <si>
    <t>300:58954</t>
  </si>
  <si>
    <t>204:748</t>
  </si>
  <si>
    <t>300:58608</t>
  </si>
  <si>
    <t>204:687</t>
  </si>
  <si>
    <t>204:743</t>
  </si>
  <si>
    <t>204:964</t>
  </si>
  <si>
    <t>204:1028</t>
  </si>
  <si>
    <t>300:58621</t>
  </si>
  <si>
    <t>204:661</t>
  </si>
  <si>
    <t>204:978</t>
  </si>
  <si>
    <t>204:965</t>
  </si>
  <si>
    <t>300:58933</t>
  </si>
  <si>
    <t>204:1035</t>
  </si>
  <si>
    <t>300:58077</t>
  </si>
  <si>
    <t>300:23413</t>
  </si>
  <si>
    <t>300:58638</t>
  </si>
  <si>
    <t>300:28784</t>
  </si>
  <si>
    <t>300:58630</t>
  </si>
  <si>
    <t>300:21750</t>
  </si>
  <si>
    <t>804-06</t>
  </si>
  <si>
    <t>Did not init</t>
  </si>
  <si>
    <t>Operator error - cut out just past Bright</t>
  </si>
  <si>
    <t>Data.Current Information Milepost</t>
  </si>
  <si>
    <t>rtdc.l.rtdc.4039:itc</t>
  </si>
  <si>
    <t>136-04</t>
  </si>
  <si>
    <t>246-02</t>
  </si>
  <si>
    <t>110-04</t>
  </si>
  <si>
    <t>154-05</t>
  </si>
  <si>
    <t>206-01</t>
  </si>
  <si>
    <t>rtdc.l.rtdc.4054:itc</t>
  </si>
  <si>
    <t>126-02</t>
  </si>
  <si>
    <t>158-31</t>
  </si>
  <si>
    <t>810-01</t>
  </si>
  <si>
    <t>902-01</t>
  </si>
  <si>
    <t>50-31</t>
  </si>
  <si>
    <t>104-03</t>
  </si>
  <si>
    <t>112-04</t>
  </si>
  <si>
    <t>rtdc.l.rtdc.4008:itc</t>
  </si>
  <si>
    <t>138-01</t>
  </si>
  <si>
    <t>108-31</t>
  </si>
  <si>
    <t>140-05</t>
  </si>
  <si>
    <t>rtdc.l.rtdc.4016:itc</t>
  </si>
  <si>
    <t>171-04</t>
  </si>
  <si>
    <t>rtdc.l.rtdc.4040:itc</t>
  </si>
  <si>
    <t>108-05</t>
  </si>
  <si>
    <t>109-04</t>
  </si>
  <si>
    <t>143-05</t>
  </si>
  <si>
    <t>123-02</t>
  </si>
  <si>
    <t>177-31</t>
  </si>
  <si>
    <t>148-01</t>
  </si>
  <si>
    <t>189-03</t>
  </si>
  <si>
    <t>172-01</t>
  </si>
  <si>
    <t>227-31</t>
  </si>
  <si>
    <t>204-02</t>
  </si>
  <si>
    <t>185-01</t>
  </si>
  <si>
    <t>192-05</t>
  </si>
  <si>
    <t>158-05</t>
  </si>
  <si>
    <t>206-05</t>
  </si>
  <si>
    <t>rtdc.l.rtdc.4045:itc</t>
  </si>
  <si>
    <t>154-04</t>
  </si>
  <si>
    <t>178-31</t>
  </si>
  <si>
    <t>143-03</t>
  </si>
  <si>
    <t>121-01</t>
  </si>
  <si>
    <t>rtdc.l.rtdc.4015:itc</t>
  </si>
  <si>
    <t>228-31</t>
  </si>
  <si>
    <t>238-01</t>
  </si>
  <si>
    <t>176-01</t>
  </si>
  <si>
    <t>136-01</t>
  </si>
  <si>
    <t>Stopped Distance Short of Target (ft)</t>
  </si>
  <si>
    <t>242-30</t>
  </si>
  <si>
    <t>311-30</t>
  </si>
  <si>
    <t>244-30</t>
  </si>
  <si>
    <t>313-30</t>
  </si>
  <si>
    <t>51-31</t>
  </si>
  <si>
    <t>CHIONE</t>
  </si>
  <si>
    <t>315-30</t>
  </si>
  <si>
    <t>101-31</t>
  </si>
  <si>
    <t>MAELZER</t>
  </si>
  <si>
    <t>105-31</t>
  </si>
  <si>
    <t>STRICKLAND</t>
  </si>
  <si>
    <t>102-31</t>
  </si>
  <si>
    <t>107-31</t>
  </si>
  <si>
    <t>104-31</t>
  </si>
  <si>
    <t>109-31</t>
  </si>
  <si>
    <t>111-31</t>
  </si>
  <si>
    <t>106-31</t>
  </si>
  <si>
    <t>113-31</t>
  </si>
  <si>
    <t>800-31</t>
  </si>
  <si>
    <t>115-31</t>
  </si>
  <si>
    <t>110-31</t>
  </si>
  <si>
    <t>117-31</t>
  </si>
  <si>
    <t>112-31</t>
  </si>
  <si>
    <t>801-31</t>
  </si>
  <si>
    <t>119-31</t>
  </si>
  <si>
    <t>114-31</t>
  </si>
  <si>
    <t>802-31</t>
  </si>
  <si>
    <t>121-31</t>
  </si>
  <si>
    <t>116-31</t>
  </si>
  <si>
    <t>rtdc.l.rtdc.4007:itc</t>
  </si>
  <si>
    <t>803-31</t>
  </si>
  <si>
    <t>123-31</t>
  </si>
  <si>
    <t>131-31</t>
  </si>
  <si>
    <t>118-31</t>
  </si>
  <si>
    <t>804-31</t>
  </si>
  <si>
    <t>125-31</t>
  </si>
  <si>
    <t>805-31</t>
  </si>
  <si>
    <t>120-31</t>
  </si>
  <si>
    <t>127-31</t>
  </si>
  <si>
    <t>122-31</t>
  </si>
  <si>
    <t>129-31</t>
  </si>
  <si>
    <t>806-31</t>
  </si>
  <si>
    <t>124-31</t>
  </si>
  <si>
    <t>807-31</t>
  </si>
  <si>
    <t>126-31</t>
  </si>
  <si>
    <t>808-31</t>
  </si>
  <si>
    <t>133-31</t>
  </si>
  <si>
    <t>128-31</t>
  </si>
  <si>
    <t>809-31</t>
  </si>
  <si>
    <t>135-31</t>
  </si>
  <si>
    <t>130-31</t>
  </si>
  <si>
    <t>810-31</t>
  </si>
  <si>
    <t>137-31</t>
  </si>
  <si>
    <t>811-31</t>
  </si>
  <si>
    <t>132-31</t>
  </si>
  <si>
    <t>139-31</t>
  </si>
  <si>
    <t>903-31</t>
  </si>
  <si>
    <t>134-31</t>
  </si>
  <si>
    <t>812-31</t>
  </si>
  <si>
    <t>141-31</t>
  </si>
  <si>
    <t>136-31</t>
  </si>
  <si>
    <t>143-31</t>
  </si>
  <si>
    <t>138-31</t>
  </si>
  <si>
    <t>140-31</t>
  </si>
  <si>
    <t>145-31</t>
  </si>
  <si>
    <t>813-31</t>
  </si>
  <si>
    <t>147-31</t>
  </si>
  <si>
    <t>142-31</t>
  </si>
  <si>
    <t>814-31</t>
  </si>
  <si>
    <t>149-31</t>
  </si>
  <si>
    <t>144-31</t>
  </si>
  <si>
    <t>151-31</t>
  </si>
  <si>
    <t>146-31</t>
  </si>
  <si>
    <t>153-31</t>
  </si>
  <si>
    <t>815-31</t>
  </si>
  <si>
    <t>148-31</t>
  </si>
  <si>
    <t>155-31</t>
  </si>
  <si>
    <t>150-31</t>
  </si>
  <si>
    <t>816-31</t>
  </si>
  <si>
    <t>157-31</t>
  </si>
  <si>
    <t>152-31</t>
  </si>
  <si>
    <t>159-31</t>
  </si>
  <si>
    <t>154-31</t>
  </si>
  <si>
    <t>161-31</t>
  </si>
  <si>
    <t>817-31</t>
  </si>
  <si>
    <t>156-31</t>
  </si>
  <si>
    <t>163-31</t>
  </si>
  <si>
    <t>MAHAN</t>
  </si>
  <si>
    <t>818-31</t>
  </si>
  <si>
    <t>165-31</t>
  </si>
  <si>
    <t>160-31</t>
  </si>
  <si>
    <t>167-31</t>
  </si>
  <si>
    <t>162-31</t>
  </si>
  <si>
    <t>169-31</t>
  </si>
  <si>
    <t>819-31</t>
  </si>
  <si>
    <t>164-31</t>
  </si>
  <si>
    <t>171-31</t>
  </si>
  <si>
    <t>DE LA ROSA</t>
  </si>
  <si>
    <t>166-31</t>
  </si>
  <si>
    <t>820-31</t>
  </si>
  <si>
    <t>173-31</t>
  </si>
  <si>
    <t>168-31</t>
  </si>
  <si>
    <t>175-31</t>
  </si>
  <si>
    <t>170-31</t>
  </si>
  <si>
    <t>821-31</t>
  </si>
  <si>
    <t>MOSES</t>
  </si>
  <si>
    <t>172-31</t>
  </si>
  <si>
    <t>179-31</t>
  </si>
  <si>
    <t>174-31</t>
  </si>
  <si>
    <t>822-31</t>
  </si>
  <si>
    <t>181-31</t>
  </si>
  <si>
    <t>176-31</t>
  </si>
  <si>
    <t>183-31</t>
  </si>
  <si>
    <t>823-31</t>
  </si>
  <si>
    <t>185-31</t>
  </si>
  <si>
    <t>180-31</t>
  </si>
  <si>
    <t>187-31</t>
  </si>
  <si>
    <t>824-31</t>
  </si>
  <si>
    <t>189-31</t>
  </si>
  <si>
    <t>182-31</t>
  </si>
  <si>
    <t>184-31</t>
  </si>
  <si>
    <t>186-31</t>
  </si>
  <si>
    <t>191-31</t>
  </si>
  <si>
    <t>825-31</t>
  </si>
  <si>
    <t>193-31</t>
  </si>
  <si>
    <t>188-31</t>
  </si>
  <si>
    <t>904-31</t>
  </si>
  <si>
    <t>190-31</t>
  </si>
  <si>
    <t>826-31</t>
  </si>
  <si>
    <t>197-31</t>
  </si>
  <si>
    <t>827-31</t>
  </si>
  <si>
    <t>199-31</t>
  </si>
  <si>
    <t>192-31</t>
  </si>
  <si>
    <t>201-31</t>
  </si>
  <si>
    <t>194-31</t>
  </si>
  <si>
    <t>828-31</t>
  </si>
  <si>
    <t>829-31</t>
  </si>
  <si>
    <t>203-31</t>
  </si>
  <si>
    <t>831-31</t>
  </si>
  <si>
    <t>198-31</t>
  </si>
  <si>
    <t>205-31</t>
  </si>
  <si>
    <t>830-31</t>
  </si>
  <si>
    <t>200-31</t>
  </si>
  <si>
    <t>207-31</t>
  </si>
  <si>
    <t>202-31</t>
  </si>
  <si>
    <t>209-31</t>
  </si>
  <si>
    <t>832-31</t>
  </si>
  <si>
    <t>833-31</t>
  </si>
  <si>
    <t>204-31</t>
  </si>
  <si>
    <t>206-31</t>
  </si>
  <si>
    <t>211-31</t>
  </si>
  <si>
    <t>834-31</t>
  </si>
  <si>
    <t>CUSHING-31</t>
  </si>
  <si>
    <t>CUSHING</t>
  </si>
  <si>
    <t>213-31</t>
  </si>
  <si>
    <t>835-31</t>
  </si>
  <si>
    <t>208-31</t>
  </si>
  <si>
    <t>rtdc.l.rtdc.4005:itc</t>
  </si>
  <si>
    <t>67-31</t>
  </si>
  <si>
    <t>215-31</t>
  </si>
  <si>
    <t>210-31</t>
  </si>
  <si>
    <t>836-31</t>
  </si>
  <si>
    <t>217-31</t>
  </si>
  <si>
    <t>212-31</t>
  </si>
  <si>
    <t>837-31</t>
  </si>
  <si>
    <t>219-31</t>
  </si>
  <si>
    <t>214-31</t>
  </si>
  <si>
    <t>rtdc.l.rtdc.4006:itc</t>
  </si>
  <si>
    <t>71-31</t>
  </si>
  <si>
    <t>838-31</t>
  </si>
  <si>
    <t>839-31</t>
  </si>
  <si>
    <t>303-31</t>
  </si>
  <si>
    <t>216-31</t>
  </si>
  <si>
    <t>221-31</t>
  </si>
  <si>
    <t>218-31</t>
  </si>
  <si>
    <t>906-31</t>
  </si>
  <si>
    <t>841-31</t>
  </si>
  <si>
    <t>220-31</t>
  </si>
  <si>
    <t>223-31</t>
  </si>
  <si>
    <t>840-31</t>
  </si>
  <si>
    <t>307-31</t>
  </si>
  <si>
    <t>222-31</t>
  </si>
  <si>
    <t>225-31</t>
  </si>
  <si>
    <t>843-31</t>
  </si>
  <si>
    <t>224-31</t>
  </si>
  <si>
    <t>842-31</t>
  </si>
  <si>
    <t>226-31</t>
  </si>
  <si>
    <t>229-31</t>
  </si>
  <si>
    <t>845-31</t>
  </si>
  <si>
    <t>231-31</t>
  </si>
  <si>
    <t>844-31</t>
  </si>
  <si>
    <t>230-31</t>
  </si>
  <si>
    <t>233-31</t>
  </si>
  <si>
    <t>847-31</t>
  </si>
  <si>
    <t>232-31</t>
  </si>
  <si>
    <t>235-31</t>
  </si>
  <si>
    <t>908-31</t>
  </si>
  <si>
    <t>237-31</t>
  </si>
  <si>
    <t>234-31</t>
  </si>
  <si>
    <t>236-31</t>
  </si>
  <si>
    <t>239-31</t>
  </si>
  <si>
    <t>238-31</t>
  </si>
  <si>
    <t>241-31</t>
  </si>
  <si>
    <t>240-31</t>
  </si>
  <si>
    <t>243-31</t>
  </si>
  <si>
    <t>309-31</t>
  </si>
  <si>
    <t>242-31</t>
  </si>
  <si>
    <t>311-31</t>
  </si>
  <si>
    <t>244-31</t>
  </si>
  <si>
    <t>313-31</t>
  </si>
  <si>
    <t>315-31</t>
  </si>
  <si>
    <t>101-01</t>
  </si>
  <si>
    <t>103-01</t>
  </si>
  <si>
    <t>102-01</t>
  </si>
  <si>
    <t>105-01</t>
  </si>
  <si>
    <t>MALAVE</t>
  </si>
  <si>
    <t>107-01</t>
  </si>
  <si>
    <t>109-01</t>
  </si>
  <si>
    <t>111-01</t>
  </si>
  <si>
    <t>800-01</t>
  </si>
  <si>
    <t>YORK</t>
  </si>
  <si>
    <t>106-01</t>
  </si>
  <si>
    <t>113-01</t>
  </si>
  <si>
    <t>108-01</t>
  </si>
  <si>
    <t>115-01</t>
  </si>
  <si>
    <t>801-01</t>
  </si>
  <si>
    <t>117-01</t>
  </si>
  <si>
    <t>110-01</t>
  </si>
  <si>
    <t>112-01</t>
  </si>
  <si>
    <t>119-01</t>
  </si>
  <si>
    <t>114-01</t>
  </si>
  <si>
    <t>802-01</t>
  </si>
  <si>
    <t>803-01</t>
  </si>
  <si>
    <t>116-01</t>
  </si>
  <si>
    <t>123-01</t>
  </si>
  <si>
    <t>805-01</t>
  </si>
  <si>
    <t>804-01</t>
  </si>
  <si>
    <t>125-01</t>
  </si>
  <si>
    <t>118-01</t>
  </si>
  <si>
    <t>120-01</t>
  </si>
  <si>
    <t>127-01</t>
  </si>
  <si>
    <t>122-01</t>
  </si>
  <si>
    <t>806-01</t>
  </si>
  <si>
    <t>129-01</t>
  </si>
  <si>
    <t>807-01</t>
  </si>
  <si>
    <t>BEAM</t>
  </si>
  <si>
    <t>124-01</t>
  </si>
  <si>
    <t>809-01</t>
  </si>
  <si>
    <t>808-01</t>
  </si>
  <si>
    <t>126-01</t>
  </si>
  <si>
    <t>133-01</t>
  </si>
  <si>
    <t>128-01</t>
  </si>
  <si>
    <t>130-01</t>
  </si>
  <si>
    <t>135-01</t>
  </si>
  <si>
    <t>137-01</t>
  </si>
  <si>
    <t>811-01</t>
  </si>
  <si>
    <t>132-01</t>
  </si>
  <si>
    <t>139-01</t>
  </si>
  <si>
    <t>812-01</t>
  </si>
  <si>
    <t>141-01</t>
  </si>
  <si>
    <t>134-01</t>
  </si>
  <si>
    <t>143-01</t>
  </si>
  <si>
    <t>145-01</t>
  </si>
  <si>
    <t>813-01</t>
  </si>
  <si>
    <t>140-01</t>
  </si>
  <si>
    <t>147-01</t>
  </si>
  <si>
    <t>142-01</t>
  </si>
  <si>
    <t>814-01</t>
  </si>
  <si>
    <t>149-01</t>
  </si>
  <si>
    <t>144-01</t>
  </si>
  <si>
    <t>151-01</t>
  </si>
  <si>
    <t>146-01</t>
  </si>
  <si>
    <t>153-01</t>
  </si>
  <si>
    <t>815-01</t>
  </si>
  <si>
    <t>155-01</t>
  </si>
  <si>
    <t>150-01</t>
  </si>
  <si>
    <t>816-01</t>
  </si>
  <si>
    <t>157-01</t>
  </si>
  <si>
    <t>152-01</t>
  </si>
  <si>
    <t>rtdc.l.rtdc.4021:itc</t>
  </si>
  <si>
    <t>NEWELL-01</t>
  </si>
  <si>
    <t>159-01</t>
  </si>
  <si>
    <t>154-01</t>
  </si>
  <si>
    <t>156-01</t>
  </si>
  <si>
    <t>161-01</t>
  </si>
  <si>
    <t>SHOOK</t>
  </si>
  <si>
    <t>817-01</t>
  </si>
  <si>
    <t>51-01</t>
  </si>
  <si>
    <t>163-01</t>
  </si>
  <si>
    <t>158-01</t>
  </si>
  <si>
    <t>818-01</t>
  </si>
  <si>
    <t>165-01</t>
  </si>
  <si>
    <t>53-01</t>
  </si>
  <si>
    <t>160-01</t>
  </si>
  <si>
    <t>167-01</t>
  </si>
  <si>
    <t>162-01</t>
  </si>
  <si>
    <t>169-01</t>
  </si>
  <si>
    <t>819-01</t>
  </si>
  <si>
    <t>166-01</t>
  </si>
  <si>
    <t>164-01</t>
  </si>
  <si>
    <t>171-01</t>
  </si>
  <si>
    <t>SUR</t>
  </si>
  <si>
    <t>820-01</t>
  </si>
  <si>
    <t>173-01</t>
  </si>
  <si>
    <t>168-01</t>
  </si>
  <si>
    <t>175-01</t>
  </si>
  <si>
    <t>170-01</t>
  </si>
  <si>
    <t>177-01</t>
  </si>
  <si>
    <t>821-01</t>
  </si>
  <si>
    <t>179-01</t>
  </si>
  <si>
    <t>174-01</t>
  </si>
  <si>
    <t>BONDS</t>
  </si>
  <si>
    <t>181-01</t>
  </si>
  <si>
    <t>822-01</t>
  </si>
  <si>
    <t>183-01</t>
  </si>
  <si>
    <t>178-01</t>
  </si>
  <si>
    <t>180-01</t>
  </si>
  <si>
    <t>823-01</t>
  </si>
  <si>
    <t>187-01</t>
  </si>
  <si>
    <t>182-01</t>
  </si>
  <si>
    <t>189-01</t>
  </si>
  <si>
    <t>824-01</t>
  </si>
  <si>
    <t>JOHN-01</t>
  </si>
  <si>
    <t>HAUSER</t>
  </si>
  <si>
    <t>184-01</t>
  </si>
  <si>
    <t>186-01</t>
  </si>
  <si>
    <t>191-01</t>
  </si>
  <si>
    <t>193-01</t>
  </si>
  <si>
    <t>825-01</t>
  </si>
  <si>
    <t>904-01</t>
  </si>
  <si>
    <t>188-01</t>
  </si>
  <si>
    <t>195-01</t>
  </si>
  <si>
    <t>190-01</t>
  </si>
  <si>
    <t>826-01</t>
  </si>
  <si>
    <t>197-01</t>
  </si>
  <si>
    <t>827-01</t>
  </si>
  <si>
    <t>192-01</t>
  </si>
  <si>
    <t>199-01</t>
  </si>
  <si>
    <t>194-01</t>
  </si>
  <si>
    <t>828-01</t>
  </si>
  <si>
    <t>829-01</t>
  </si>
  <si>
    <t>196-01</t>
  </si>
  <si>
    <t>830-01</t>
  </si>
  <si>
    <t>205-01</t>
  </si>
  <si>
    <t>KILL-01</t>
  </si>
  <si>
    <t>831-01</t>
  </si>
  <si>
    <t>200-01</t>
  </si>
  <si>
    <t>832-01</t>
  </si>
  <si>
    <t>209-01</t>
  </si>
  <si>
    <t>833-01</t>
  </si>
  <si>
    <t>211-01</t>
  </si>
  <si>
    <t>834-01</t>
  </si>
  <si>
    <t>213-01</t>
  </si>
  <si>
    <t>835-01</t>
  </si>
  <si>
    <t>208-01</t>
  </si>
  <si>
    <t>215-01</t>
  </si>
  <si>
    <t>HOMIK</t>
  </si>
  <si>
    <t>836-01</t>
  </si>
  <si>
    <t>210-01</t>
  </si>
  <si>
    <t>50-01</t>
  </si>
  <si>
    <t>217-01</t>
  </si>
  <si>
    <t>837-01</t>
  </si>
  <si>
    <t>212-01</t>
  </si>
  <si>
    <t>52-01</t>
  </si>
  <si>
    <t>219-01</t>
  </si>
  <si>
    <t>OUN</t>
  </si>
  <si>
    <t>838-01</t>
  </si>
  <si>
    <t>214-01</t>
  </si>
  <si>
    <t>54-01</t>
  </si>
  <si>
    <t>COOPER</t>
  </si>
  <si>
    <t>216-01</t>
  </si>
  <si>
    <t>839-01</t>
  </si>
  <si>
    <t>221-01</t>
  </si>
  <si>
    <t>303-01</t>
  </si>
  <si>
    <t>906-01</t>
  </si>
  <si>
    <t>218-01</t>
  </si>
  <si>
    <t>841-01</t>
  </si>
  <si>
    <t>220-01</t>
  </si>
  <si>
    <t>223-01</t>
  </si>
  <si>
    <t>840-01</t>
  </si>
  <si>
    <t>307-01</t>
  </si>
  <si>
    <t>222-01</t>
  </si>
  <si>
    <t>225-01</t>
  </si>
  <si>
    <t>843-01</t>
  </si>
  <si>
    <t>224-01</t>
  </si>
  <si>
    <t>227-01</t>
  </si>
  <si>
    <t>842-01</t>
  </si>
  <si>
    <t>226-01</t>
  </si>
  <si>
    <t>229-01</t>
  </si>
  <si>
    <t>845-01</t>
  </si>
  <si>
    <t>228-01</t>
  </si>
  <si>
    <t>231-01</t>
  </si>
  <si>
    <t>844-01</t>
  </si>
  <si>
    <t>230-01</t>
  </si>
  <si>
    <t>233-01</t>
  </si>
  <si>
    <t>847-01</t>
  </si>
  <si>
    <t>232-01</t>
  </si>
  <si>
    <t>235-01</t>
  </si>
  <si>
    <t>908-01</t>
  </si>
  <si>
    <t>234-01</t>
  </si>
  <si>
    <t>237-01</t>
  </si>
  <si>
    <t>236-01</t>
  </si>
  <si>
    <t>239-01</t>
  </si>
  <si>
    <t>241-01</t>
  </si>
  <si>
    <t>240-01</t>
  </si>
  <si>
    <t>243-01</t>
  </si>
  <si>
    <t>57-01</t>
  </si>
  <si>
    <t>GOLIGHTLY</t>
  </si>
  <si>
    <t>309-01</t>
  </si>
  <si>
    <t>242-01</t>
  </si>
  <si>
    <t>311-01</t>
  </si>
  <si>
    <t>244-01</t>
  </si>
  <si>
    <t>313-01</t>
  </si>
  <si>
    <t>67-01</t>
  </si>
  <si>
    <t>315-01</t>
  </si>
  <si>
    <t>rtdc.l.rtdc.4053:itc</t>
  </si>
  <si>
    <t>101-02</t>
  </si>
  <si>
    <t>rtdc.l.rtdc.4046:itc</t>
  </si>
  <si>
    <t>103-02</t>
  </si>
  <si>
    <t>102-02</t>
  </si>
  <si>
    <t>107-02</t>
  </si>
  <si>
    <t>109-02</t>
  </si>
  <si>
    <t>104-02</t>
  </si>
  <si>
    <t>800-02</t>
  </si>
  <si>
    <t>111-02</t>
  </si>
  <si>
    <t>106-02</t>
  </si>
  <si>
    <t>113-02</t>
  </si>
  <si>
    <t>108-02</t>
  </si>
  <si>
    <t>115-02</t>
  </si>
  <si>
    <t>117-02</t>
  </si>
  <si>
    <t>110-02</t>
  </si>
  <si>
    <t>801-02</t>
  </si>
  <si>
    <t>112-02</t>
  </si>
  <si>
    <t>119-02</t>
  </si>
  <si>
    <t>114-02</t>
  </si>
  <si>
    <t>803-02</t>
  </si>
  <si>
    <t>802-02</t>
  </si>
  <si>
    <t>121-02</t>
  </si>
  <si>
    <t>116-02</t>
  </si>
  <si>
    <t>118-02</t>
  </si>
  <si>
    <t>804-02</t>
  </si>
  <si>
    <t>125-02</t>
  </si>
  <si>
    <t>805-02</t>
  </si>
  <si>
    <t>127-02</t>
  </si>
  <si>
    <t>806-02</t>
  </si>
  <si>
    <t>122-02</t>
  </si>
  <si>
    <t>129-02</t>
  </si>
  <si>
    <t>807-02</t>
  </si>
  <si>
    <t>124-02</t>
  </si>
  <si>
    <t>131-02</t>
  </si>
  <si>
    <t>808-02</t>
  </si>
  <si>
    <t>133-02</t>
  </si>
  <si>
    <t>809-02</t>
  </si>
  <si>
    <t>128-02</t>
  </si>
  <si>
    <t>135-02</t>
  </si>
  <si>
    <t>811-02</t>
  </si>
  <si>
    <t>130-02</t>
  </si>
  <si>
    <t>810-02</t>
  </si>
  <si>
    <t>137-02</t>
  </si>
  <si>
    <t>132-02</t>
  </si>
  <si>
    <t>139-02</t>
  </si>
  <si>
    <t>903-02</t>
  </si>
  <si>
    <t>812-02</t>
  </si>
  <si>
    <t>134-02</t>
  </si>
  <si>
    <t>YOR</t>
  </si>
  <si>
    <t>141-02</t>
  </si>
  <si>
    <t>136-02</t>
  </si>
  <si>
    <t>143-02</t>
  </si>
  <si>
    <t>813-02</t>
  </si>
  <si>
    <t>138-02</t>
  </si>
  <si>
    <t>145-02</t>
  </si>
  <si>
    <t>140-02</t>
  </si>
  <si>
    <t>147-02</t>
  </si>
  <si>
    <t>142-02</t>
  </si>
  <si>
    <t>814-02</t>
  </si>
  <si>
    <t>149-02</t>
  </si>
  <si>
    <t>144-02</t>
  </si>
  <si>
    <t>151-02</t>
  </si>
  <si>
    <t>146-02</t>
  </si>
  <si>
    <t>815-02</t>
  </si>
  <si>
    <t>153-02</t>
  </si>
  <si>
    <t>155-02</t>
  </si>
  <si>
    <t>148-02</t>
  </si>
  <si>
    <t>159-02</t>
  </si>
  <si>
    <t>STEWART</t>
  </si>
  <si>
    <t>50-02</t>
  </si>
  <si>
    <t>150-02</t>
  </si>
  <si>
    <t>816-02</t>
  </si>
  <si>
    <t>157-02</t>
  </si>
  <si>
    <t>152-02</t>
  </si>
  <si>
    <t>52-02</t>
  </si>
  <si>
    <t>154-02</t>
  </si>
  <si>
    <t>161-02</t>
  </si>
  <si>
    <t>51-02</t>
  </si>
  <si>
    <t>156-02</t>
  </si>
  <si>
    <t>817-02</t>
  </si>
  <si>
    <t>163-02</t>
  </si>
  <si>
    <t>158-02</t>
  </si>
  <si>
    <t>818-02</t>
  </si>
  <si>
    <t>165-02</t>
  </si>
  <si>
    <t>167-02</t>
  </si>
  <si>
    <t>160-02</t>
  </si>
  <si>
    <t>53-02</t>
  </si>
  <si>
    <t>819-02</t>
  </si>
  <si>
    <t>162-02</t>
  </si>
  <si>
    <t>169-02</t>
  </si>
  <si>
    <t>164-02</t>
  </si>
  <si>
    <t>171-02</t>
  </si>
  <si>
    <t>WEBSTER</t>
  </si>
  <si>
    <t>166-02</t>
  </si>
  <si>
    <t>820-02</t>
  </si>
  <si>
    <t>173-02</t>
  </si>
  <si>
    <t>168-02</t>
  </si>
  <si>
    <t>175-02</t>
  </si>
  <si>
    <t>170-02</t>
  </si>
  <si>
    <t>177-02</t>
  </si>
  <si>
    <t>821-02</t>
  </si>
  <si>
    <t>172-02</t>
  </si>
  <si>
    <t>179-02</t>
  </si>
  <si>
    <t>174-02</t>
  </si>
  <si>
    <t>181-02</t>
  </si>
  <si>
    <t>822-02</t>
  </si>
  <si>
    <t>176-02</t>
  </si>
  <si>
    <t>183-02</t>
  </si>
  <si>
    <t>178-02</t>
  </si>
  <si>
    <t>185-02</t>
  </si>
  <si>
    <t>823-02</t>
  </si>
  <si>
    <t>180-02</t>
  </si>
  <si>
    <t>187-02</t>
  </si>
  <si>
    <t>182-02</t>
  </si>
  <si>
    <t>824-02</t>
  </si>
  <si>
    <t>189-02</t>
  </si>
  <si>
    <t>184-02</t>
  </si>
  <si>
    <t>191-02</t>
  </si>
  <si>
    <t>186-02</t>
  </si>
  <si>
    <t>193-02</t>
  </si>
  <si>
    <t>825-02</t>
  </si>
  <si>
    <t>188-02</t>
  </si>
  <si>
    <t>195-02</t>
  </si>
  <si>
    <t>190-02</t>
  </si>
  <si>
    <t>826-02</t>
  </si>
  <si>
    <t>197-02</t>
  </si>
  <si>
    <t>192-02</t>
  </si>
  <si>
    <t>827-02</t>
  </si>
  <si>
    <t>199-02</t>
  </si>
  <si>
    <t>194-02</t>
  </si>
  <si>
    <t>828-02</t>
  </si>
  <si>
    <t>201-02</t>
  </si>
  <si>
    <t>829-02</t>
  </si>
  <si>
    <t>196-02</t>
  </si>
  <si>
    <t>203-02</t>
  </si>
  <si>
    <t>831-02</t>
  </si>
  <si>
    <t>198-02</t>
  </si>
  <si>
    <t>830-02</t>
  </si>
  <si>
    <t>205-02</t>
  </si>
  <si>
    <t>200-02</t>
  </si>
  <si>
    <t>207-02</t>
  </si>
  <si>
    <t>832-02</t>
  </si>
  <si>
    <t>202-02</t>
  </si>
  <si>
    <t>209-02</t>
  </si>
  <si>
    <t>833-02</t>
  </si>
  <si>
    <t>211-02</t>
  </si>
  <si>
    <t>206-02</t>
  </si>
  <si>
    <t>835-02</t>
  </si>
  <si>
    <t>834-02</t>
  </si>
  <si>
    <t>213-02</t>
  </si>
  <si>
    <t>208-02</t>
  </si>
  <si>
    <t>215-02</t>
  </si>
  <si>
    <t>68-02</t>
  </si>
  <si>
    <t>210-02</t>
  </si>
  <si>
    <t>836-02</t>
  </si>
  <si>
    <t>837-02</t>
  </si>
  <si>
    <t>217-02</t>
  </si>
  <si>
    <t>212-02</t>
  </si>
  <si>
    <t>70-02</t>
  </si>
  <si>
    <t>839-02</t>
  </si>
  <si>
    <t>214-02</t>
  </si>
  <si>
    <t>838-02</t>
  </si>
  <si>
    <t>219-02</t>
  </si>
  <si>
    <t>221-02</t>
  </si>
  <si>
    <t>216-02</t>
  </si>
  <si>
    <t>303-02</t>
  </si>
  <si>
    <t>906-02</t>
  </si>
  <si>
    <t>218-02</t>
  </si>
  <si>
    <t>66-02</t>
  </si>
  <si>
    <t>841-02</t>
  </si>
  <si>
    <t>305-02</t>
  </si>
  <si>
    <t>223-02</t>
  </si>
  <si>
    <t>220-02</t>
  </si>
  <si>
    <t>840-02</t>
  </si>
  <si>
    <t>307-02</t>
  </si>
  <si>
    <t>225-02</t>
  </si>
  <si>
    <t>222-02</t>
  </si>
  <si>
    <t>843-02</t>
  </si>
  <si>
    <t>224-02</t>
  </si>
  <si>
    <t>227-02</t>
  </si>
  <si>
    <t>842-02</t>
  </si>
  <si>
    <t>226-02</t>
  </si>
  <si>
    <t>229-02</t>
  </si>
  <si>
    <t>845-02</t>
  </si>
  <si>
    <t>228-02</t>
  </si>
  <si>
    <t>233-02</t>
  </si>
  <si>
    <t>231-02</t>
  </si>
  <si>
    <t>844-02</t>
  </si>
  <si>
    <t>230-02</t>
  </si>
  <si>
    <t>847-02</t>
  </si>
  <si>
    <t>235-02</t>
  </si>
  <si>
    <t>232-02</t>
  </si>
  <si>
    <t>908-02</t>
  </si>
  <si>
    <t>234-02</t>
  </si>
  <si>
    <t>237-02</t>
  </si>
  <si>
    <t>236-02</t>
  </si>
  <si>
    <t>239-02</t>
  </si>
  <si>
    <t>238-02</t>
  </si>
  <si>
    <t>241-02</t>
  </si>
  <si>
    <t>240-02</t>
  </si>
  <si>
    <t>243-02</t>
  </si>
  <si>
    <t>242-02</t>
  </si>
  <si>
    <t>245-02</t>
  </si>
  <si>
    <t>309-02</t>
  </si>
  <si>
    <t>244-02</t>
  </si>
  <si>
    <t>311-02</t>
  </si>
  <si>
    <t>313-02</t>
  </si>
  <si>
    <t>315-02</t>
  </si>
  <si>
    <t>101-03</t>
  </si>
  <si>
    <t>103-03</t>
  </si>
  <si>
    <t>102-03</t>
  </si>
  <si>
    <t>105-03</t>
  </si>
  <si>
    <t>ACKERMAN</t>
  </si>
  <si>
    <t>107-03</t>
  </si>
  <si>
    <t>109-03</t>
  </si>
  <si>
    <t>111-03</t>
  </si>
  <si>
    <t>113-03</t>
  </si>
  <si>
    <t>106-03</t>
  </si>
  <si>
    <t>108-03</t>
  </si>
  <si>
    <t>115-03</t>
  </si>
  <si>
    <t>110-03</t>
  </si>
  <si>
    <t>1800-03</t>
  </si>
  <si>
    <t>117-03</t>
  </si>
  <si>
    <t>112-03</t>
  </si>
  <si>
    <t>119-03</t>
  </si>
  <si>
    <t>1801-03</t>
  </si>
  <si>
    <t>114-03</t>
  </si>
  <si>
    <t>121-03</t>
  </si>
  <si>
    <t>116-03</t>
  </si>
  <si>
    <t>123-03</t>
  </si>
  <si>
    <t>118-03</t>
  </si>
  <si>
    <t>1802-03</t>
  </si>
  <si>
    <t>125-03</t>
  </si>
  <si>
    <t>120-03</t>
  </si>
  <si>
    <t>122-03</t>
  </si>
  <si>
    <t>127-03</t>
  </si>
  <si>
    <t>1803-03</t>
  </si>
  <si>
    <t>129-03</t>
  </si>
  <si>
    <t>124-03</t>
  </si>
  <si>
    <t>126-03</t>
  </si>
  <si>
    <t>131-03</t>
  </si>
  <si>
    <t>1804-03</t>
  </si>
  <si>
    <t>133-03</t>
  </si>
  <si>
    <t>128-03</t>
  </si>
  <si>
    <t>135-03</t>
  </si>
  <si>
    <t>130-03</t>
  </si>
  <si>
    <t>137-03</t>
  </si>
  <si>
    <t>1805-03</t>
  </si>
  <si>
    <t>132-03</t>
  </si>
  <si>
    <t>139-03</t>
  </si>
  <si>
    <t>134-03</t>
  </si>
  <si>
    <t>1806-03</t>
  </si>
  <si>
    <t>136-03</t>
  </si>
  <si>
    <t>141-03</t>
  </si>
  <si>
    <t>1807-03</t>
  </si>
  <si>
    <t>138-03</t>
  </si>
  <si>
    <t>140-03</t>
  </si>
  <si>
    <t>145-03</t>
  </si>
  <si>
    <t>147-03</t>
  </si>
  <si>
    <t>142-03</t>
  </si>
  <si>
    <t>149-03</t>
  </si>
  <si>
    <t>1808-03</t>
  </si>
  <si>
    <t>144-03</t>
  </si>
  <si>
    <t>151-03</t>
  </si>
  <si>
    <t>1809-03</t>
  </si>
  <si>
    <t>146-03</t>
  </si>
  <si>
    <t>153-03</t>
  </si>
  <si>
    <t>148-03</t>
  </si>
  <si>
    <t>150-03</t>
  </si>
  <si>
    <t>50-03</t>
  </si>
  <si>
    <t>155-03</t>
  </si>
  <si>
    <t>1810-03</t>
  </si>
  <si>
    <t>157-03</t>
  </si>
  <si>
    <t>152-03</t>
  </si>
  <si>
    <t>154-03</t>
  </si>
  <si>
    <t>159-03</t>
  </si>
  <si>
    <t>1811-03</t>
  </si>
  <si>
    <t>161-03</t>
  </si>
  <si>
    <t>156-03</t>
  </si>
  <si>
    <t>163-03</t>
  </si>
  <si>
    <t>1812-03</t>
  </si>
  <si>
    <t>158-03</t>
  </si>
  <si>
    <t>165-03</t>
  </si>
  <si>
    <t>160-03</t>
  </si>
  <si>
    <t>1813-03</t>
  </si>
  <si>
    <t>167-03</t>
  </si>
  <si>
    <t>162-03</t>
  </si>
  <si>
    <t>169-03</t>
  </si>
  <si>
    <t>164-03</t>
  </si>
  <si>
    <t>171-03</t>
  </si>
  <si>
    <t>166-03</t>
  </si>
  <si>
    <t>1814-03</t>
  </si>
  <si>
    <t>173-03</t>
  </si>
  <si>
    <t>168-03</t>
  </si>
  <si>
    <t>175-03</t>
  </si>
  <si>
    <t>1815-03</t>
  </si>
  <si>
    <t>170-03</t>
  </si>
  <si>
    <t>177-03</t>
  </si>
  <si>
    <t>172-03</t>
  </si>
  <si>
    <t>179-03</t>
  </si>
  <si>
    <t>1816-03</t>
  </si>
  <si>
    <t>181-03</t>
  </si>
  <si>
    <t>174-03</t>
  </si>
  <si>
    <t>176-03</t>
  </si>
  <si>
    <t>183-03</t>
  </si>
  <si>
    <t>1817-03</t>
  </si>
  <si>
    <t>178-03</t>
  </si>
  <si>
    <t>185-03</t>
  </si>
  <si>
    <t>180-03</t>
  </si>
  <si>
    <t>187-03</t>
  </si>
  <si>
    <t>182-03</t>
  </si>
  <si>
    <t>1818-03</t>
  </si>
  <si>
    <t>184-03</t>
  </si>
  <si>
    <t>191-03</t>
  </si>
  <si>
    <t>1819-03</t>
  </si>
  <si>
    <t>186-03</t>
  </si>
  <si>
    <t>193-03</t>
  </si>
  <si>
    <t>188-03</t>
  </si>
  <si>
    <t>195-03</t>
  </si>
  <si>
    <t>190-03</t>
  </si>
  <si>
    <t>1820-03</t>
  </si>
  <si>
    <t>197-03</t>
  </si>
  <si>
    <t>192-03</t>
  </si>
  <si>
    <t>199-03</t>
  </si>
  <si>
    <t>194-03</t>
  </si>
  <si>
    <t>1821-03</t>
  </si>
  <si>
    <t>201-03</t>
  </si>
  <si>
    <t>196-03</t>
  </si>
  <si>
    <t>203-03</t>
  </si>
  <si>
    <t>198-03</t>
  </si>
  <si>
    <t>1822-03</t>
  </si>
  <si>
    <t>205-03</t>
  </si>
  <si>
    <t>200-03</t>
  </si>
  <si>
    <t>207-03</t>
  </si>
  <si>
    <t>202-03</t>
  </si>
  <si>
    <t>1823-03</t>
  </si>
  <si>
    <t>209-03</t>
  </si>
  <si>
    <t>204-03</t>
  </si>
  <si>
    <t>211-03</t>
  </si>
  <si>
    <t>1824-03</t>
  </si>
  <si>
    <t>52-03</t>
  </si>
  <si>
    <t>SWANSON</t>
  </si>
  <si>
    <t>206-03</t>
  </si>
  <si>
    <t>213-03</t>
  </si>
  <si>
    <t>208-03</t>
  </si>
  <si>
    <t>215-03</t>
  </si>
  <si>
    <t>54-03</t>
  </si>
  <si>
    <t>210-03</t>
  </si>
  <si>
    <t>217-03</t>
  </si>
  <si>
    <t>1825-03</t>
  </si>
  <si>
    <t>56-03</t>
  </si>
  <si>
    <t>212-03</t>
  </si>
  <si>
    <t>219-03</t>
  </si>
  <si>
    <t>214-03</t>
  </si>
  <si>
    <t>58-03</t>
  </si>
  <si>
    <t>1826-03</t>
  </si>
  <si>
    <t>303-03</t>
  </si>
  <si>
    <t>216-03</t>
  </si>
  <si>
    <t>221-03</t>
  </si>
  <si>
    <t>60-03</t>
  </si>
  <si>
    <t>218-03</t>
  </si>
  <si>
    <t>1827-03</t>
  </si>
  <si>
    <t>220-03</t>
  </si>
  <si>
    <t>223-03</t>
  </si>
  <si>
    <t>1828-03</t>
  </si>
  <si>
    <t>307-03</t>
  </si>
  <si>
    <t>305-03</t>
  </si>
  <si>
    <t>222-03</t>
  </si>
  <si>
    <t>225-03</t>
  </si>
  <si>
    <t>224-03</t>
  </si>
  <si>
    <t>1829-03</t>
  </si>
  <si>
    <t>227-03</t>
  </si>
  <si>
    <t>1830-03</t>
  </si>
  <si>
    <t>226-03</t>
  </si>
  <si>
    <t>229-03</t>
  </si>
  <si>
    <t>1831-03</t>
  </si>
  <si>
    <t>231-03</t>
  </si>
  <si>
    <t>228-03</t>
  </si>
  <si>
    <t>1832-03</t>
  </si>
  <si>
    <t>230-03</t>
  </si>
  <si>
    <t>233-03</t>
  </si>
  <si>
    <t>1833-03</t>
  </si>
  <si>
    <t>232-03</t>
  </si>
  <si>
    <t>235-03</t>
  </si>
  <si>
    <t>1902-03</t>
  </si>
  <si>
    <t>234-03</t>
  </si>
  <si>
    <t>237-03</t>
  </si>
  <si>
    <t>239-03</t>
  </si>
  <si>
    <t>236-03</t>
  </si>
  <si>
    <t>238-03</t>
  </si>
  <si>
    <t>241-03</t>
  </si>
  <si>
    <t>240-03</t>
  </si>
  <si>
    <t>243-03</t>
  </si>
  <si>
    <t>245-03</t>
  </si>
  <si>
    <t>242-03</t>
  </si>
  <si>
    <t>309-03</t>
  </si>
  <si>
    <t>244-03</t>
  </si>
  <si>
    <t>311-03</t>
  </si>
  <si>
    <t>246-03</t>
  </si>
  <si>
    <t>313-03</t>
  </si>
  <si>
    <t>315-03</t>
  </si>
  <si>
    <t>101-04</t>
  </si>
  <si>
    <t>103-04</t>
  </si>
  <si>
    <t>102-04</t>
  </si>
  <si>
    <t>105-04</t>
  </si>
  <si>
    <t>107-04</t>
  </si>
  <si>
    <t>104-04</t>
  </si>
  <si>
    <t>111-04</t>
  </si>
  <si>
    <t>113-04</t>
  </si>
  <si>
    <t>106-04</t>
  </si>
  <si>
    <t>108-04</t>
  </si>
  <si>
    <t>115-04</t>
  </si>
  <si>
    <t>117-04</t>
  </si>
  <si>
    <t>1800-04</t>
  </si>
  <si>
    <t>119-04</t>
  </si>
  <si>
    <t>114-04</t>
  </si>
  <si>
    <t>116-04</t>
  </si>
  <si>
    <t>121-04</t>
  </si>
  <si>
    <t>1801-04</t>
  </si>
  <si>
    <t>123-04</t>
  </si>
  <si>
    <t>118-04</t>
  </si>
  <si>
    <t>1802-04</t>
  </si>
  <si>
    <t>125-04</t>
  </si>
  <si>
    <t>120-04</t>
  </si>
  <si>
    <t>127-04</t>
  </si>
  <si>
    <t>122-04</t>
  </si>
  <si>
    <t>129-04</t>
  </si>
  <si>
    <t>1803-04</t>
  </si>
  <si>
    <t>124-04</t>
  </si>
  <si>
    <t>131-04</t>
  </si>
  <si>
    <t>1804-04</t>
  </si>
  <si>
    <t>133-04</t>
  </si>
  <si>
    <t>128-04</t>
  </si>
  <si>
    <t>130-04</t>
  </si>
  <si>
    <t>135-04</t>
  </si>
  <si>
    <t>137-04</t>
  </si>
  <si>
    <t>1805-04</t>
  </si>
  <si>
    <t>132-04</t>
  </si>
  <si>
    <t>139-04</t>
  </si>
  <si>
    <t>134-04</t>
  </si>
  <si>
    <t>1806-04</t>
  </si>
  <si>
    <t>141-04</t>
  </si>
  <si>
    <t>143-04</t>
  </si>
  <si>
    <t>138-04</t>
  </si>
  <si>
    <t>145-04</t>
  </si>
  <si>
    <t>ACKERMA</t>
  </si>
  <si>
    <t>140-04</t>
  </si>
  <si>
    <t>1807-04</t>
  </si>
  <si>
    <t>147-04</t>
  </si>
  <si>
    <t>142-04</t>
  </si>
  <si>
    <t>144-04</t>
  </si>
  <si>
    <t>1808-04</t>
  </si>
  <si>
    <t>149-04</t>
  </si>
  <si>
    <t>151-04</t>
  </si>
  <si>
    <t>146-04</t>
  </si>
  <si>
    <t>153-04</t>
  </si>
  <si>
    <t>1809-04</t>
  </si>
  <si>
    <t>148-04</t>
  </si>
  <si>
    <t>155-04</t>
  </si>
  <si>
    <t>150-04</t>
  </si>
  <si>
    <t>157-04</t>
  </si>
  <si>
    <t>1810-04</t>
  </si>
  <si>
    <t>159-04</t>
  </si>
  <si>
    <t>152-04</t>
  </si>
  <si>
    <t>161-04</t>
  </si>
  <si>
    <t>1811-04</t>
  </si>
  <si>
    <t>156-04</t>
  </si>
  <si>
    <t>158-04</t>
  </si>
  <si>
    <t>163-04</t>
  </si>
  <si>
    <t>1812-04</t>
  </si>
  <si>
    <t>165-04</t>
  </si>
  <si>
    <t>160-04</t>
  </si>
  <si>
    <t>162-04</t>
  </si>
  <si>
    <t>167-04</t>
  </si>
  <si>
    <t>169-04</t>
  </si>
  <si>
    <t>164-04</t>
  </si>
  <si>
    <t>1813-04</t>
  </si>
  <si>
    <t>1814-04</t>
  </si>
  <si>
    <t>166-04</t>
  </si>
  <si>
    <t>173-04</t>
  </si>
  <si>
    <t>168-04</t>
  </si>
  <si>
    <t>170-04</t>
  </si>
  <si>
    <t>177-04</t>
  </si>
  <si>
    <t>1815-04</t>
  </si>
  <si>
    <t>172-04</t>
  </si>
  <si>
    <t>179-04</t>
  </si>
  <si>
    <t>1816-04</t>
  </si>
  <si>
    <t>174-04</t>
  </si>
  <si>
    <t>181-04</t>
  </si>
  <si>
    <t>183-04</t>
  </si>
  <si>
    <t>176-04</t>
  </si>
  <si>
    <t>178-04</t>
  </si>
  <si>
    <t>1817-04</t>
  </si>
  <si>
    <t>185-04</t>
  </si>
  <si>
    <t>180-04</t>
  </si>
  <si>
    <t>187-04</t>
  </si>
  <si>
    <t>182-04</t>
  </si>
  <si>
    <t>1818-04</t>
  </si>
  <si>
    <t>189-04</t>
  </si>
  <si>
    <t>184-04</t>
  </si>
  <si>
    <t>191-04</t>
  </si>
  <si>
    <t>1819-04</t>
  </si>
  <si>
    <t>186-04</t>
  </si>
  <si>
    <t>193-04</t>
  </si>
  <si>
    <t>188-04</t>
  </si>
  <si>
    <t>195-04</t>
  </si>
  <si>
    <t>1820-04</t>
  </si>
  <si>
    <t>190-04</t>
  </si>
  <si>
    <t>197-04</t>
  </si>
  <si>
    <t>192-04</t>
  </si>
  <si>
    <t>199-04</t>
  </si>
  <si>
    <t>194-04</t>
  </si>
  <si>
    <t>201-04</t>
  </si>
  <si>
    <t>1821-04</t>
  </si>
  <si>
    <t>196-04</t>
  </si>
  <si>
    <t>203-04</t>
  </si>
  <si>
    <t>198-04</t>
  </si>
  <si>
    <t>1822-04</t>
  </si>
  <si>
    <t>205-04</t>
  </si>
  <si>
    <t>200-04</t>
  </si>
  <si>
    <t>207-04</t>
  </si>
  <si>
    <t>1823-04</t>
  </si>
  <si>
    <t>209-04</t>
  </si>
  <si>
    <t>LEVERE</t>
  </si>
  <si>
    <t>202-04</t>
  </si>
  <si>
    <t>204-04</t>
  </si>
  <si>
    <t>211-04</t>
  </si>
  <si>
    <t>206-04</t>
  </si>
  <si>
    <t>1824-04</t>
  </si>
  <si>
    <t>213-04</t>
  </si>
  <si>
    <t>215-04</t>
  </si>
  <si>
    <t>208-04</t>
  </si>
  <si>
    <t>1825-04</t>
  </si>
  <si>
    <t>210-04</t>
  </si>
  <si>
    <t>217-04</t>
  </si>
  <si>
    <t>56-04</t>
  </si>
  <si>
    <t>212-04</t>
  </si>
  <si>
    <t>219-04</t>
  </si>
  <si>
    <t>1826-04</t>
  </si>
  <si>
    <t>214-04</t>
  </si>
  <si>
    <t>57-04</t>
  </si>
  <si>
    <t>221-04</t>
  </si>
  <si>
    <t>218-04</t>
  </si>
  <si>
    <t>1827-04</t>
  </si>
  <si>
    <t>223-04</t>
  </si>
  <si>
    <t>220-04</t>
  </si>
  <si>
    <t>1828-04</t>
  </si>
  <si>
    <t>307-04</t>
  </si>
  <si>
    <t>225-04</t>
  </si>
  <si>
    <t>222-04</t>
  </si>
  <si>
    <t>1829-04</t>
  </si>
  <si>
    <t>224-04</t>
  </si>
  <si>
    <t>227-04</t>
  </si>
  <si>
    <t>1830-04</t>
  </si>
  <si>
    <t>226-04</t>
  </si>
  <si>
    <t>229-04</t>
  </si>
  <si>
    <t>1831-04</t>
  </si>
  <si>
    <t>228-04</t>
  </si>
  <si>
    <t>231-04</t>
  </si>
  <si>
    <t>1832-04</t>
  </si>
  <si>
    <t>233-04</t>
  </si>
  <si>
    <t>230-04</t>
  </si>
  <si>
    <t>1833-04</t>
  </si>
  <si>
    <t>232-04</t>
  </si>
  <si>
    <t>235-04</t>
  </si>
  <si>
    <t>1902-04</t>
  </si>
  <si>
    <t>234-04</t>
  </si>
  <si>
    <t>237-04</t>
  </si>
  <si>
    <t>236-04</t>
  </si>
  <si>
    <t>239-04</t>
  </si>
  <si>
    <t>241-04</t>
  </si>
  <si>
    <t>238-04</t>
  </si>
  <si>
    <t>240-04</t>
  </si>
  <si>
    <t>243-04</t>
  </si>
  <si>
    <t>309-04</t>
  </si>
  <si>
    <t>242-04</t>
  </si>
  <si>
    <t>311-04</t>
  </si>
  <si>
    <t>244-04</t>
  </si>
  <si>
    <t>313-04</t>
  </si>
  <si>
    <t>315-04</t>
  </si>
  <si>
    <t>CHANDLE</t>
  </si>
  <si>
    <t>101-05</t>
  </si>
  <si>
    <t>103-05</t>
  </si>
  <si>
    <t>102-05</t>
  </si>
  <si>
    <t>105-05</t>
  </si>
  <si>
    <t>107-05</t>
  </si>
  <si>
    <t>109-05</t>
  </si>
  <si>
    <t>104-05</t>
  </si>
  <si>
    <t>111-05</t>
  </si>
  <si>
    <t>113-05</t>
  </si>
  <si>
    <t>800-05</t>
  </si>
  <si>
    <t>106-05</t>
  </si>
  <si>
    <t>110-05</t>
  </si>
  <si>
    <t>115-05</t>
  </si>
  <si>
    <t>117-05</t>
  </si>
  <si>
    <t>801-05</t>
  </si>
  <si>
    <t>112-05</t>
  </si>
  <si>
    <t>119-05</t>
  </si>
  <si>
    <t>114-05</t>
  </si>
  <si>
    <t>802-05</t>
  </si>
  <si>
    <t>121-05</t>
  </si>
  <si>
    <t>803-05</t>
  </si>
  <si>
    <t>123-05</t>
  </si>
  <si>
    <t>116-05</t>
  </si>
  <si>
    <t>118-05</t>
  </si>
  <si>
    <t>804-05</t>
  </si>
  <si>
    <t>125-05</t>
  </si>
  <si>
    <t>120-05</t>
  </si>
  <si>
    <t>805-05</t>
  </si>
  <si>
    <t>127-05</t>
  </si>
  <si>
    <t>122-05</t>
  </si>
  <si>
    <t>806-05</t>
  </si>
  <si>
    <t>124-05</t>
  </si>
  <si>
    <t>129-05</t>
  </si>
  <si>
    <t>807-05</t>
  </si>
  <si>
    <t>131-05</t>
  </si>
  <si>
    <t>133-05</t>
  </si>
  <si>
    <t>126-05</t>
  </si>
  <si>
    <t>808-05</t>
  </si>
  <si>
    <t>128-05</t>
  </si>
  <si>
    <t>809-05</t>
  </si>
  <si>
    <t>135-05</t>
  </si>
  <si>
    <t>137-05</t>
  </si>
  <si>
    <t>810-05</t>
  </si>
  <si>
    <t>130-05</t>
  </si>
  <si>
    <t>132-05</t>
  </si>
  <si>
    <t>811-05</t>
  </si>
  <si>
    <t>139-05</t>
  </si>
  <si>
    <t>134-05</t>
  </si>
  <si>
    <t>812-05</t>
  </si>
  <si>
    <t>141-05</t>
  </si>
  <si>
    <t>136-05</t>
  </si>
  <si>
    <t>138-05</t>
  </si>
  <si>
    <t>145-05</t>
  </si>
  <si>
    <t>813-05</t>
  </si>
  <si>
    <t>147-05</t>
  </si>
  <si>
    <t>142-05</t>
  </si>
  <si>
    <t>814-05</t>
  </si>
  <si>
    <t>149-05</t>
  </si>
  <si>
    <t>151-05</t>
  </si>
  <si>
    <t>144-05</t>
  </si>
  <si>
    <t>146-05</t>
  </si>
  <si>
    <t>153-05</t>
  </si>
  <si>
    <t>148-05</t>
  </si>
  <si>
    <t>815-05</t>
  </si>
  <si>
    <t>155-05</t>
  </si>
  <si>
    <t>150-05</t>
  </si>
  <si>
    <t>152-05</t>
  </si>
  <si>
    <t>816-05</t>
  </si>
  <si>
    <t>157-05</t>
  </si>
  <si>
    <t>159-05</t>
  </si>
  <si>
    <t>161-05</t>
  </si>
  <si>
    <t>817-05</t>
  </si>
  <si>
    <t>156-05</t>
  </si>
  <si>
    <t>163-05</t>
  </si>
  <si>
    <t>818-05</t>
  </si>
  <si>
    <t>165-05</t>
  </si>
  <si>
    <t>160-05</t>
  </si>
  <si>
    <t>162-05</t>
  </si>
  <si>
    <t>167-05</t>
  </si>
  <si>
    <t>169-05</t>
  </si>
  <si>
    <t>164-05</t>
  </si>
  <si>
    <t>819-05</t>
  </si>
  <si>
    <t>171-05</t>
  </si>
  <si>
    <t>166-05</t>
  </si>
  <si>
    <t>820-05</t>
  </si>
  <si>
    <t>173-05</t>
  </si>
  <si>
    <t>168-05</t>
  </si>
  <si>
    <t>175-05</t>
  </si>
  <si>
    <t>170-05</t>
  </si>
  <si>
    <t>177-05</t>
  </si>
  <si>
    <t>821-05</t>
  </si>
  <si>
    <t>172-05</t>
  </si>
  <si>
    <t>179-05</t>
  </si>
  <si>
    <t>822-05</t>
  </si>
  <si>
    <t>174-05</t>
  </si>
  <si>
    <t>181-05</t>
  </si>
  <si>
    <t>176-05</t>
  </si>
  <si>
    <t>183-05</t>
  </si>
  <si>
    <t>178-05</t>
  </si>
  <si>
    <t>185-05</t>
  </si>
  <si>
    <t>823-05</t>
  </si>
  <si>
    <t>180-05</t>
  </si>
  <si>
    <t>187-05</t>
  </si>
  <si>
    <t>182-05</t>
  </si>
  <si>
    <t>824-05</t>
  </si>
  <si>
    <t>189-05</t>
  </si>
  <si>
    <t>184-05</t>
  </si>
  <si>
    <t>191-05</t>
  </si>
  <si>
    <t>186-05</t>
  </si>
  <si>
    <t>193-05</t>
  </si>
  <si>
    <t>825-05</t>
  </si>
  <si>
    <t>904-05</t>
  </si>
  <si>
    <t>188-05</t>
  </si>
  <si>
    <t>195-05</t>
  </si>
  <si>
    <t>190-05</t>
  </si>
  <si>
    <t>826-05</t>
  </si>
  <si>
    <t>197-05</t>
  </si>
  <si>
    <t>827-05</t>
  </si>
  <si>
    <t>199-05</t>
  </si>
  <si>
    <t>194-05</t>
  </si>
  <si>
    <t>828-05</t>
  </si>
  <si>
    <t>201-05</t>
  </si>
  <si>
    <t>829-05</t>
  </si>
  <si>
    <t>196-05</t>
  </si>
  <si>
    <t>203-05</t>
  </si>
  <si>
    <t>830-05</t>
  </si>
  <si>
    <t>198-05</t>
  </si>
  <si>
    <t>205-05</t>
  </si>
  <si>
    <t>831-05</t>
  </si>
  <si>
    <t>200-05</t>
  </si>
  <si>
    <t>207-05</t>
  </si>
  <si>
    <t>832-05</t>
  </si>
  <si>
    <t>202-05</t>
  </si>
  <si>
    <t>204-05</t>
  </si>
  <si>
    <t>833-05</t>
  </si>
  <si>
    <t>209-05</t>
  </si>
  <si>
    <t>211-05</t>
  </si>
  <si>
    <t>834-05</t>
  </si>
  <si>
    <t>213-05</t>
  </si>
  <si>
    <t>217-05</t>
  </si>
  <si>
    <t>835-05</t>
  </si>
  <si>
    <t>215-05</t>
  </si>
  <si>
    <t>208-05</t>
  </si>
  <si>
    <t>210-05</t>
  </si>
  <si>
    <t>836-05</t>
  </si>
  <si>
    <t>63-05</t>
  </si>
  <si>
    <t>837-05</t>
  </si>
  <si>
    <t>212-05</t>
  </si>
  <si>
    <t>219-05</t>
  </si>
  <si>
    <t>214-05</t>
  </si>
  <si>
    <t>838-05</t>
  </si>
  <si>
    <t>839-05</t>
  </si>
  <si>
    <t>216-05</t>
  </si>
  <si>
    <t>221-05</t>
  </si>
  <si>
    <t>218-05</t>
  </si>
  <si>
    <t>906-05</t>
  </si>
  <si>
    <t>841-05</t>
  </si>
  <si>
    <t>220-05</t>
  </si>
  <si>
    <t>223-05</t>
  </si>
  <si>
    <t>840-05</t>
  </si>
  <si>
    <t>307-05</t>
  </si>
  <si>
    <t>222-05</t>
  </si>
  <si>
    <t>225-05</t>
  </si>
  <si>
    <t>843-05</t>
  </si>
  <si>
    <t>224-05</t>
  </si>
  <si>
    <t>227-05</t>
  </si>
  <si>
    <t>842-05</t>
  </si>
  <si>
    <t>229-05</t>
  </si>
  <si>
    <t>226-05</t>
  </si>
  <si>
    <t>231-05</t>
  </si>
  <si>
    <t>845-05</t>
  </si>
  <si>
    <t>228-05</t>
  </si>
  <si>
    <t>844-05</t>
  </si>
  <si>
    <t>230-05</t>
  </si>
  <si>
    <t>233-05</t>
  </si>
  <si>
    <t>232-05</t>
  </si>
  <si>
    <t>847-05</t>
  </si>
  <si>
    <t>235-05</t>
  </si>
  <si>
    <t>908-05</t>
  </si>
  <si>
    <t>237-05</t>
  </si>
  <si>
    <t>234-05</t>
  </si>
  <si>
    <t>239-05</t>
  </si>
  <si>
    <t>236-05</t>
  </si>
  <si>
    <t>238-05</t>
  </si>
  <si>
    <t>241-05</t>
  </si>
  <si>
    <t>240-05</t>
  </si>
  <si>
    <t>243-05</t>
  </si>
  <si>
    <t>309-05</t>
  </si>
  <si>
    <t>TRU</t>
  </si>
  <si>
    <t>Time (Local Time)</t>
  </si>
  <si>
    <t>Operating Day Suffix</t>
  </si>
  <si>
    <t>Operating Day</t>
  </si>
  <si>
    <t>Form C</t>
  </si>
  <si>
    <t>Went active too close to DUS 2N</t>
  </si>
  <si>
    <t>40th 4S STOP, cleared shortly</t>
  </si>
  <si>
    <t>Pena 4S STOP, cleared shortly</t>
  </si>
  <si>
    <t>DUS 28S was STOP, cleared shortly</t>
  </si>
  <si>
    <t>Pecos 6S  was STOP, cleared shortly</t>
  </si>
  <si>
    <t>Overspeed</t>
  </si>
  <si>
    <t>SWITCH ALIGNMENT</t>
  </si>
  <si>
    <t>Unknown (0)</t>
  </si>
  <si>
    <t>UNKNOWN LOCATION</t>
  </si>
  <si>
    <t>Other (9)</t>
  </si>
  <si>
    <t>EC0816RH 75-1T 1N premature downgrade</t>
  </si>
  <si>
    <t>DUS 4N was STOP because 22N was STOP</t>
  </si>
  <si>
    <t>Departure from DUS Main 3</t>
  </si>
  <si>
    <t>Power outage across EC</t>
  </si>
  <si>
    <t>Pena 2N premature downgrade</t>
  </si>
  <si>
    <t>Premature downgrade at EC2108RH 205-1T 1N</t>
  </si>
  <si>
    <t>NW0376RH was briefly unavailable</t>
  </si>
  <si>
    <t>Crossing Name</t>
  </si>
  <si>
    <t>STREETNAME</t>
  </si>
  <si>
    <t>DOTNUM</t>
  </si>
  <si>
    <t>DESIGNSPEED</t>
  </si>
  <si>
    <t>MINACTSPEED</t>
  </si>
  <si>
    <t>UNHEALTHYSPEED</t>
  </si>
  <si>
    <t>ALLOWABLEACCEL</t>
  </si>
  <si>
    <t>MAXPREEMPTTIME</t>
  </si>
  <si>
    <t>MAXWARNINGTIME</t>
  </si>
  <si>
    <t>MAXINHIBITTIME</t>
  </si>
  <si>
    <t>MININHIBITTIME</t>
  </si>
  <si>
    <t>DIRECTION</t>
  </si>
  <si>
    <t>ACTIVATIONPRIORITY</t>
  </si>
  <si>
    <t>APPROACHPATH</t>
  </si>
  <si>
    <t>38th &amp; Blake Station</t>
  </si>
  <si>
    <t>100000X</t>
  </si>
  <si>
    <t>Increasing</t>
  </si>
  <si>
    <t>None</t>
  </si>
  <si>
    <t>10002,10003</t>
  </si>
  <si>
    <t>Decreasing</t>
  </si>
  <si>
    <t>10003</t>
  </si>
  <si>
    <t>20002,20020</t>
  </si>
  <si>
    <t>20003,20020</t>
  </si>
  <si>
    <t>40th and Airport Station</t>
  </si>
  <si>
    <t>600000X</t>
  </si>
  <si>
    <t>10009,10010</t>
  </si>
  <si>
    <t>10010</t>
  </si>
  <si>
    <t>10009,20007</t>
  </si>
  <si>
    <t>20007</t>
  </si>
  <si>
    <t>61st &amp; Pena Station</t>
  </si>
  <si>
    <t>700000X</t>
  </si>
  <si>
    <t>10011,10010</t>
  </si>
  <si>
    <t>10011,20007</t>
  </si>
  <si>
    <t>Central Park Station</t>
  </si>
  <si>
    <t>400000X</t>
  </si>
  <si>
    <t>10004</t>
  </si>
  <si>
    <t>10005,10004</t>
  </si>
  <si>
    <t>20004</t>
  </si>
  <si>
    <t>20005,20004</t>
  </si>
  <si>
    <t>805500Y</t>
  </si>
  <si>
    <t>PTCNonEnforceable</t>
  </si>
  <si>
    <t>10005,10006,10007,10008</t>
  </si>
  <si>
    <t>10009,10008</t>
  </si>
  <si>
    <t>20005,20006</t>
  </si>
  <si>
    <t>10009,20006</t>
  </si>
  <si>
    <t>Clayton Street</t>
  </si>
  <si>
    <t>804625V</t>
  </si>
  <si>
    <t>20003</t>
  </si>
  <si>
    <t>Colorado Station</t>
  </si>
  <si>
    <t>300000X</t>
  </si>
  <si>
    <t>804628R</t>
  </si>
  <si>
    <t>10004,10003</t>
  </si>
  <si>
    <t>20004,20003</t>
  </si>
  <si>
    <t>804606R</t>
  </si>
  <si>
    <t>10004,10005</t>
  </si>
  <si>
    <t>10005</t>
  </si>
  <si>
    <t>20004,20005</t>
  </si>
  <si>
    <t>20005</t>
  </si>
  <si>
    <t>804631Y</t>
  </si>
  <si>
    <t>904633M</t>
  </si>
  <si>
    <t>10005,10004,10003</t>
  </si>
  <si>
    <t>20005,20004,20003</t>
  </si>
  <si>
    <t>804635B</t>
  </si>
  <si>
    <t>10003,10004</t>
  </si>
  <si>
    <t>20003,20004</t>
  </si>
  <si>
    <t>Peoria Station</t>
  </si>
  <si>
    <t>500000X</t>
  </si>
  <si>
    <t>906047B</t>
  </si>
  <si>
    <t>10009,10008,10007,10006,10005</t>
  </si>
  <si>
    <t>10009,20006,20005</t>
  </si>
  <si>
    <t>804633M</t>
  </si>
  <si>
    <t>804626C</t>
  </si>
  <si>
    <t>804638W</t>
  </si>
  <si>
    <t>York &amp; Josephine Street</t>
  </si>
  <si>
    <t>945875W</t>
  </si>
  <si>
    <t>20020,20003</t>
  </si>
  <si>
    <t>41ST AVE STATION</t>
  </si>
  <si>
    <t>150000X</t>
  </si>
  <si>
    <t>137225</t>
  </si>
  <si>
    <t>148137,137225</t>
  </si>
  <si>
    <t>140000X</t>
  </si>
  <si>
    <t>148137</t>
  </si>
  <si>
    <t>248149,149224</t>
  </si>
  <si>
    <t>248149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</si>
</sst>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  <xf numFmtId="0" fontId="7" fillId="0" borderId="0"/>
  </cellStyleXfs>
  <cellXfs count="23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0" fontId="0" fillId="0" borderId="0" xfId="0" applyNumberFormat="1" applyBorder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167" fontId="1" fillId="0" borderId="5" xfId="3" applyNumberFormat="1" applyFont="1" applyFill="1" applyBorder="1" applyAlignment="1">
      <alignment horizontal="center" vertical="center" wrapText="1"/>
    </xf>
    <xf numFmtId="0" fontId="1" fillId="0" borderId="5" xfId="3" applyFont="1" applyFill="1" applyBorder="1" applyAlignment="1">
      <alignment horizontal="center" vertical="center" wrapText="1"/>
    </xf>
    <xf numFmtId="14" fontId="1" fillId="0" borderId="5" xfId="3" applyNumberFormat="1" applyFont="1" applyFill="1" applyBorder="1" applyAlignment="1">
      <alignment horizontal="center" vertical="center" wrapText="1"/>
    </xf>
    <xf numFmtId="14" fontId="1" fillId="0" borderId="0" xfId="3" applyNumberFormat="1" applyFont="1" applyFill="1" applyBorder="1" applyAlignment="1">
      <alignment horizontal="center" vertical="center" wrapText="1"/>
    </xf>
    <xf numFmtId="167" fontId="10" fillId="0" borderId="5" xfId="3" applyNumberFormat="1" applyBorder="1"/>
    <xf numFmtId="0" fontId="10" fillId="0" borderId="5" xfId="3" applyBorder="1"/>
    <xf numFmtId="1" fontId="10" fillId="0" borderId="5" xfId="3" applyNumberFormat="1" applyBorder="1"/>
    <xf numFmtId="0" fontId="10" fillId="0" borderId="17" xfId="3" applyFill="1" applyBorder="1" applyAlignment="1">
      <alignment horizontal="left" vertical="center"/>
    </xf>
    <xf numFmtId="0" fontId="10" fillId="0" borderId="5" xfId="3" applyFill="1" applyBorder="1" applyAlignment="1"/>
    <xf numFmtId="0" fontId="10" fillId="0" borderId="5" xfId="3" applyFill="1" applyBorder="1" applyAlignment="1">
      <alignment vertical="center"/>
    </xf>
    <xf numFmtId="0" fontId="9" fillId="0" borderId="5" xfId="3" applyFont="1" applyBorder="1"/>
    <xf numFmtId="0" fontId="9" fillId="0" borderId="5" xfId="3" applyFont="1" applyFill="1" applyBorder="1" applyAlignment="1"/>
    <xf numFmtId="0" fontId="9" fillId="0" borderId="5" xfId="3" applyFont="1" applyFill="1" applyBorder="1"/>
    <xf numFmtId="0" fontId="10" fillId="0" borderId="5" xfId="3" applyFill="1" applyBorder="1"/>
    <xf numFmtId="0" fontId="10" fillId="0" borderId="5" xfId="3" applyNumberFormat="1" applyFill="1" applyBorder="1" applyAlignment="1"/>
    <xf numFmtId="0" fontId="9" fillId="6" borderId="5" xfId="3" applyFont="1" applyFill="1" applyBorder="1"/>
    <xf numFmtId="0" fontId="9" fillId="8" borderId="5" xfId="3" applyFont="1" applyFill="1" applyBorder="1" applyAlignment="1"/>
    <xf numFmtId="0" fontId="9" fillId="5" borderId="5" xfId="3" applyFont="1" applyFill="1" applyBorder="1"/>
    <xf numFmtId="0" fontId="9" fillId="9" borderId="0" xfId="3" applyFont="1" applyFill="1"/>
    <xf numFmtId="14" fontId="10" fillId="0" borderId="5" xfId="3" applyNumberFormat="1" applyBorder="1"/>
    <xf numFmtId="14" fontId="10" fillId="0" borderId="0" xfId="3" applyNumberFormat="1" applyBorder="1"/>
    <xf numFmtId="22" fontId="10" fillId="0" borderId="5" xfId="3" applyNumberFormat="1" applyBorder="1"/>
    <xf numFmtId="0" fontId="10" fillId="0" borderId="5" xfId="3" applyFill="1" applyBorder="1" applyAlignment="1">
      <alignment horizontal="left" vertical="center"/>
    </xf>
    <xf numFmtId="0" fontId="10" fillId="0" borderId="0" xfId="3" applyBorder="1"/>
    <xf numFmtId="0" fontId="9" fillId="0" borderId="0" xfId="3" applyFont="1" applyBorder="1"/>
    <xf numFmtId="0" fontId="9" fillId="0" borderId="0" xfId="3" applyFont="1" applyFill="1" applyBorder="1" applyAlignment="1"/>
    <xf numFmtId="0" fontId="9" fillId="0" borderId="0" xfId="3" applyFont="1" applyFill="1" applyBorder="1"/>
    <xf numFmtId="0" fontId="10" fillId="0" borderId="0" xfId="3" applyFill="1" applyBorder="1" applyAlignment="1"/>
    <xf numFmtId="167" fontId="10" fillId="0" borderId="0" xfId="3" applyNumberFormat="1" applyBorder="1"/>
    <xf numFmtId="0" fontId="10" fillId="0" borderId="0" xfId="3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8" fillId="4" borderId="9" xfId="4" applyFont="1" applyFill="1" applyBorder="1" applyAlignment="1">
      <alignment horizontal="center"/>
    </xf>
    <xf numFmtId="0" fontId="8" fillId="0" borderId="10" xfId="4" applyFont="1" applyFill="1" applyBorder="1" applyAlignment="1"/>
    <xf numFmtId="0" fontId="8" fillId="0" borderId="10" xfId="4" applyFont="1" applyFill="1" applyBorder="1" applyAlignment="1">
      <alignment horizontal="right"/>
    </xf>
    <xf numFmtId="2" fontId="8" fillId="4" borderId="9" xfId="4" applyNumberFormat="1" applyFont="1" applyFill="1" applyBorder="1" applyAlignment="1">
      <alignment horizontal="center"/>
    </xf>
    <xf numFmtId="2" fontId="8" fillId="0" borderId="10" xfId="4" applyNumberFormat="1" applyFont="1" applyFill="1" applyBorder="1" applyAlignment="1">
      <alignment horizontal="right"/>
    </xf>
    <xf numFmtId="0" fontId="8" fillId="0" borderId="18" xfId="4" applyFont="1" applyFill="1" applyBorder="1" applyAlignment="1"/>
    <xf numFmtId="169" fontId="13" fillId="0" borderId="19" xfId="0" applyFont="1" applyFill="1" applyBorder="1" applyAlignment="1">
      <alignment horizontal="center" vertical="center" wrapText="1"/>
    </xf>
    <xf numFmtId="169" fontId="0" fillId="0" borderId="19" xfId="0" applyBorder="1"/>
    <xf numFmtId="0" fontId="13" fillId="0" borderId="19" xfId="0" applyNumberFormat="1" applyFont="1" applyFill="1" applyBorder="1" applyAlignment="1">
      <alignment horizontal="center" vertical="center" wrapText="1"/>
    </xf>
    <xf numFmtId="0" fontId="0" fillId="0" borderId="19" xfId="0" applyNumberFormat="1" applyFill="1" applyBorder="1" applyAlignment="1"/>
    <xf numFmtId="169" fontId="14" fillId="0" borderId="17" xfId="0" applyFont="1" applyFill="1" applyBorder="1"/>
    <xf numFmtId="169" fontId="0" fillId="0" borderId="17" xfId="0" applyBorder="1"/>
    <xf numFmtId="167" fontId="0" fillId="0" borderId="20" xfId="0" applyNumberFormat="1" applyBorder="1"/>
    <xf numFmtId="169" fontId="0" fillId="0" borderId="20" xfId="0" applyBorder="1"/>
    <xf numFmtId="1" fontId="0" fillId="0" borderId="20" xfId="0" applyNumberFormat="1" applyBorder="1"/>
    <xf numFmtId="2" fontId="0" fillId="0" borderId="20" xfId="0" applyNumberFormat="1" applyBorder="1"/>
    <xf numFmtId="1" fontId="0" fillId="0" borderId="21" xfId="0" applyNumberFormat="1" applyBorder="1"/>
    <xf numFmtId="169" fontId="0" fillId="0" borderId="21" xfId="0" applyFill="1" applyBorder="1" applyAlignment="1">
      <alignment horizontal="left" vertical="center"/>
    </xf>
    <xf numFmtId="169" fontId="0" fillId="0" borderId="20" xfId="0" applyFill="1" applyBorder="1" applyAlignment="1">
      <alignment vertical="center"/>
    </xf>
    <xf numFmtId="167" fontId="0" fillId="0" borderId="22" xfId="0" applyNumberFormat="1" applyBorder="1"/>
    <xf numFmtId="169" fontId="0" fillId="0" borderId="22" xfId="0" applyBorder="1"/>
    <xf numFmtId="1" fontId="0" fillId="0" borderId="22" xfId="0" applyNumberFormat="1" applyBorder="1"/>
    <xf numFmtId="2" fontId="0" fillId="0" borderId="22" xfId="0" applyNumberFormat="1" applyBorder="1"/>
    <xf numFmtId="1" fontId="0" fillId="0" borderId="23" xfId="0" applyNumberFormat="1" applyBorder="1"/>
    <xf numFmtId="169" fontId="0" fillId="0" borderId="23" xfId="0" applyFill="1" applyBorder="1" applyAlignment="1">
      <alignment horizontal="left" vertical="center"/>
    </xf>
    <xf numFmtId="169" fontId="0" fillId="0" borderId="22" xfId="0" applyFill="1" applyBorder="1" applyAlignment="1">
      <alignment vertical="center"/>
    </xf>
    <xf numFmtId="167" fontId="0" fillId="0" borderId="24" xfId="0" applyNumberFormat="1" applyBorder="1"/>
    <xf numFmtId="169" fontId="0" fillId="0" borderId="24" xfId="0" applyBorder="1"/>
    <xf numFmtId="1" fontId="0" fillId="0" borderId="24" xfId="0" applyNumberFormat="1" applyBorder="1"/>
    <xf numFmtId="2" fontId="0" fillId="0" borderId="24" xfId="0" applyNumberFormat="1" applyBorder="1"/>
    <xf numFmtId="1" fontId="0" fillId="0" borderId="25" xfId="0" applyNumberFormat="1" applyBorder="1"/>
    <xf numFmtId="169" fontId="0" fillId="0" borderId="25" xfId="0" applyFill="1" applyBorder="1" applyAlignment="1">
      <alignment horizontal="left" vertical="center"/>
    </xf>
    <xf numFmtId="169" fontId="0" fillId="0" borderId="24" xfId="0" applyFill="1" applyBorder="1" applyAlignment="1">
      <alignment vertical="center"/>
    </xf>
    <xf numFmtId="169" fontId="0" fillId="0" borderId="5" xfId="0" applyFill="1" applyBorder="1" applyAlignment="1">
      <alignment horizontal="left" vertical="center"/>
    </xf>
  </cellXfs>
  <cellStyles count="5">
    <cellStyle name="Normal" xfId="0" builtinId="0"/>
    <cellStyle name="Normal 2" xfId="3"/>
    <cellStyle name="Normal_XING" xfId="4"/>
    <cellStyle name="Normal_XINGS" xfId="1"/>
    <cellStyle name="Percent" xfId="2" builtinId="5"/>
  </cellStyles>
  <dxfs count="8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79998168889431442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23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7-2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3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8-01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9-01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9-02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9-03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9-04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-reporting/EC/Train%20Runs%20and%20Enforcements%202016-09-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/>
      <sheetData sheetId="1"/>
      <sheetData sheetId="2"/>
      <sheetData sheetId="3"/>
      <sheetData sheetId="4">
        <row r="18">
          <cell r="M18" t="str">
            <v>"C:\Program Files (x86)\AstroGrep\AstroGrep.exe"</v>
          </cell>
        </row>
        <row r="19">
          <cell r="M19" t="str">
            <v>"C:\Users\stu\Documents\Analysis\2016-02-23 RTDC Observations"</v>
          </cell>
        </row>
        <row r="20">
          <cell r="M20" t="str">
            <v>:.+((SYSTEM_STATE.+slice.+state.+changed )|(ment ac)|(system.+state.+changed )|(\|lc)|(penalty)|(\[timeout)|(PRM\|1\|D))</v>
          </cell>
        </row>
        <row r="23">
          <cell r="M23">
            <v>-6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  <sheetName val="Redmine List Values"/>
    </sheetNames>
    <sheetDataSet>
      <sheetData sheetId="0">
        <row r="13">
          <cell r="A13" t="str">
            <v>101-31</v>
          </cell>
          <cell r="B13">
            <v>4042</v>
          </cell>
          <cell r="C13" t="str">
            <v>DE.1.0.7.0</v>
          </cell>
          <cell r="D13" t="str">
            <v>204:724</v>
          </cell>
          <cell r="E13">
            <v>42613.143599537034</v>
          </cell>
          <cell r="F13">
            <v>42613.14539351852</v>
          </cell>
          <cell r="G13">
            <v>1</v>
          </cell>
          <cell r="H13" t="str">
            <v>204:233301</v>
          </cell>
          <cell r="I13">
            <v>42613.170775462961</v>
          </cell>
          <cell r="J13">
            <v>0</v>
          </cell>
          <cell r="K13" t="str">
            <v>4041/4042</v>
          </cell>
          <cell r="L13" t="str">
            <v>MAELZER</v>
          </cell>
          <cell r="M13">
            <v>2.5381944440596271E-2</v>
          </cell>
          <cell r="N13">
            <v>36.549999994458631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https://search-rtdc-monitor-bjffxe2xuh6vdkpspy63sjmuny.us-east-1.es.amazonaws.com/_plugin/kibana/#/discover/Steve-Slow-Train-Analysis-(2080s-and-2083s)?_g=(refreshInterval:(display:Off,section:0,value:0),time:(from:'2016-08-31 02:26:47-0600',mode:absolute,to:'2016-08-31 05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3" t="str">
            <v>N</v>
          </cell>
          <cell r="X13" t="e">
            <v>#VALUE!</v>
          </cell>
          <cell r="Y13">
            <v>7.2400000000000006E-2</v>
          </cell>
          <cell r="Z13">
            <v>23.330100000000002</v>
          </cell>
          <cell r="AA13">
            <v>23.257700000000003</v>
          </cell>
          <cell r="AB13" t="e">
            <v>#N/A</v>
          </cell>
          <cell r="AC13" t="e">
            <v>#N/A</v>
          </cell>
          <cell r="AD13" t="str">
            <v>0101-31</v>
          </cell>
          <cell r="AE13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14">
          <cell r="A14" t="str">
            <v>102-31</v>
          </cell>
          <cell r="B14">
            <v>4030</v>
          </cell>
          <cell r="C14" t="str">
            <v>DE.1.0.7.0</v>
          </cell>
          <cell r="D14" t="str">
            <v>204:232652</v>
          </cell>
          <cell r="E14">
            <v>42613.173020833332</v>
          </cell>
          <cell r="F14">
            <v>42613.174710648149</v>
          </cell>
          <cell r="G14">
            <v>1</v>
          </cell>
          <cell r="H14" t="str">
            <v>204:141</v>
          </cell>
          <cell r="I14">
            <v>42613.202997685185</v>
          </cell>
          <cell r="J14">
            <v>0</v>
          </cell>
          <cell r="K14" t="str">
            <v>4029/4030</v>
          </cell>
          <cell r="L14" t="str">
            <v>MAELZER</v>
          </cell>
          <cell r="M14">
            <v>2.8287037035624962E-2</v>
          </cell>
          <cell r="N14">
            <v>40.733333331299946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https://search-rtdc-monitor-bjffxe2xuh6vdkpspy63sjmuny.us-east-1.es.amazonaws.com/_plugin/kibana/#/discover/Steve-Slow-Train-Analysis-(2080s-and-2083s)?_g=(refreshInterval:(display:Off,section:0,value:0),time:(from:'2016-08-31 03:09:09-0600',mode:absolute,to:'2016-08-31 05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4" t="str">
            <v>N</v>
          </cell>
          <cell r="X14">
            <v>1</v>
          </cell>
          <cell r="Y14">
            <v>23.2652</v>
          </cell>
          <cell r="Z14">
            <v>1.41E-2</v>
          </cell>
          <cell r="AA14">
            <v>23.251100000000001</v>
          </cell>
          <cell r="AB14" t="e">
            <v>#N/A</v>
          </cell>
          <cell r="AC14" t="e">
            <v>#N/A</v>
          </cell>
          <cell r="AD14" t="str">
            <v>0102-31</v>
          </cell>
          <cell r="AE14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15">
          <cell r="A15" t="str">
            <v>103-31</v>
          </cell>
          <cell r="B15">
            <v>4002</v>
          </cell>
          <cell r="C15" t="str">
            <v>DE.1.0.7.0</v>
          </cell>
          <cell r="D15" t="str">
            <v>204:232652</v>
          </cell>
          <cell r="E15">
            <v>42613.173020833332</v>
          </cell>
          <cell r="F15">
            <v>42613.174710648149</v>
          </cell>
          <cell r="G15">
            <v>1</v>
          </cell>
          <cell r="H15" t="str">
            <v>204:141</v>
          </cell>
          <cell r="I15">
            <v>42613.202997685185</v>
          </cell>
          <cell r="J15">
            <v>0</v>
          </cell>
          <cell r="K15" t="str">
            <v>4001/4002</v>
          </cell>
          <cell r="L15" t="e">
            <v>#N/A</v>
          </cell>
          <cell r="M15">
            <v>2.8287037035624962E-2</v>
          </cell>
          <cell r="P15">
            <v>1</v>
          </cell>
          <cell r="R15" t="str">
            <v>Did not init</v>
          </cell>
          <cell r="S15">
            <v>0</v>
          </cell>
          <cell r="T15" t="str">
            <v>NorthBound</v>
          </cell>
          <cell r="U15">
            <v>0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https://search-rtdc-monitor-bjffxe2xuh6vdkpspy63sjmuny.us-east-1.es.amazonaws.com/_plugin/kibana/#/discover/Steve-Slow-Train-Analysis-(2080s-and-2083s)?_g=(refreshInterval:(display:Off,section:0,value:0),time:(from:'2016-08-31 03:09:09-0600',mode:absolute,to:'2016-08-31 05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5" t="str">
            <v>N</v>
          </cell>
          <cell r="X15">
            <v>1</v>
          </cell>
          <cell r="Y15">
            <v>23.2652</v>
          </cell>
          <cell r="Z15">
            <v>1.41E-2</v>
          </cell>
          <cell r="AA15">
            <v>23.251100000000001</v>
          </cell>
          <cell r="AB15" t="e">
            <v>#N/A</v>
          </cell>
          <cell r="AC15" t="e">
            <v>#N/A</v>
          </cell>
          <cell r="AD15" t="str">
            <v>0103-31</v>
          </cell>
          <cell r="AE15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16">
          <cell r="A16" t="str">
            <v>104-31</v>
          </cell>
          <cell r="B16">
            <v>4001</v>
          </cell>
          <cell r="C16" t="str">
            <v>DE.1.0.7.0</v>
          </cell>
          <cell r="D16" t="str">
            <v>204:232742</v>
          </cell>
          <cell r="E16">
            <v>42613.191620370373</v>
          </cell>
          <cell r="F16">
            <v>42613.195532407408</v>
          </cell>
          <cell r="G16">
            <v>3</v>
          </cell>
          <cell r="H16" t="str">
            <v>204:87</v>
          </cell>
          <cell r="I16">
            <v>42613.224768518521</v>
          </cell>
          <cell r="J16">
            <v>0</v>
          </cell>
          <cell r="K16" t="str">
            <v>4001/4002</v>
          </cell>
          <cell r="L16" t="str">
            <v>ARVIDSON</v>
          </cell>
          <cell r="M16">
            <v>2.923611111327773E-2</v>
          </cell>
          <cell r="N16">
            <v>42.100000003119931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https://search-rtdc-monitor-bjffxe2xuh6vdkpspy63sjmuny.us-east-1.es.amazonaws.com/_plugin/kibana/#/discover/Steve-Slow-Train-Analysis-(2080s-and-2083s)?_g=(refreshInterval:(display:Off,section:0,value:0),time:(from:'2016-08-31 03:35:56-0600',mode:absolute,to:'2016-08-31 06:23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6" t="str">
            <v>N</v>
          </cell>
          <cell r="X16">
            <v>1</v>
          </cell>
          <cell r="Y16">
            <v>23.2742</v>
          </cell>
          <cell r="Z16">
            <v>8.6999999999999994E-3</v>
          </cell>
          <cell r="AA16">
            <v>23.265499999999999</v>
          </cell>
          <cell r="AB16" t="e">
            <v>#N/A</v>
          </cell>
          <cell r="AC16" t="e">
            <v>#N/A</v>
          </cell>
          <cell r="AD16" t="str">
            <v>0104-31</v>
          </cell>
          <cell r="AE16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17">
          <cell r="A17" t="str">
            <v>105-31</v>
          </cell>
          <cell r="B17">
            <v>4016</v>
          </cell>
          <cell r="C17" t="str">
            <v>DE.1.0.7.0</v>
          </cell>
          <cell r="D17" t="str">
            <v>204:772</v>
          </cell>
          <cell r="E17">
            <v>42613.168136574073</v>
          </cell>
          <cell r="F17">
            <v>42613.17732638889</v>
          </cell>
          <cell r="G17">
            <v>1</v>
          </cell>
          <cell r="H17" t="str">
            <v>204:233293</v>
          </cell>
          <cell r="I17">
            <v>42613.204293981478</v>
          </cell>
          <cell r="J17">
            <v>0</v>
          </cell>
          <cell r="K17" t="str">
            <v>4015/4016</v>
          </cell>
          <cell r="L17" t="str">
            <v>STRICKLAND</v>
          </cell>
          <cell r="M17">
            <v>2.696759258833481E-2</v>
          </cell>
          <cell r="N17">
            <v>38.833333327202126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https://search-rtdc-monitor-bjffxe2xuh6vdkpspy63sjmuny.us-east-1.es.amazonaws.com/_plugin/kibana/#/discover/Steve-Slow-Train-Analysis-(2080s-and-2083s)?_g=(refreshInterval:(display:Off,section:0,value:0),time:(from:'2016-08-31 03:02:07-0600',mode:absolute,to:'2016-08-31 05:54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7" t="str">
            <v>N</v>
          </cell>
          <cell r="X17">
            <v>1</v>
          </cell>
          <cell r="Y17">
            <v>7.7200000000000005E-2</v>
          </cell>
          <cell r="Z17">
            <v>23.3293</v>
          </cell>
          <cell r="AA17">
            <v>23.252099999999999</v>
          </cell>
          <cell r="AB17" t="e">
            <v>#N/A</v>
          </cell>
          <cell r="AC17" t="e">
            <v>#N/A</v>
          </cell>
          <cell r="AD17" t="str">
            <v>0105-31</v>
          </cell>
          <cell r="AE17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18">
          <cell r="A18" t="str">
            <v>106-31</v>
          </cell>
          <cell r="B18">
            <v>4028</v>
          </cell>
          <cell r="C18" t="str">
            <v>DE.1.0.7.0</v>
          </cell>
          <cell r="D18" t="str">
            <v>204:232658</v>
          </cell>
          <cell r="E18">
            <v>42613.211099537039</v>
          </cell>
          <cell r="F18">
            <v>42613.216770833336</v>
          </cell>
          <cell r="G18">
            <v>1</v>
          </cell>
          <cell r="H18" t="str">
            <v>204:156</v>
          </cell>
          <cell r="I18">
            <v>42613.245092592595</v>
          </cell>
          <cell r="J18">
            <v>0</v>
          </cell>
          <cell r="K18" t="str">
            <v>4027/4028</v>
          </cell>
          <cell r="L18" t="str">
            <v>STRICKLAND</v>
          </cell>
          <cell r="M18">
            <v>2.8321759258687962E-2</v>
          </cell>
          <cell r="N18">
            <v>40.783333332510665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https://search-rtdc-monitor-bjffxe2xuh6vdkpspy63sjmuny.us-east-1.es.amazonaws.com/_plugin/kibana/#/discover/Steve-Slow-Train-Analysis-(2080s-and-2083s)?_g=(refreshInterval:(display:Off,section:0,value:0),time:(from:'2016-08-31 04:03:59-0600',mode:absolute,to:'2016-08-31 06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8" t="str">
            <v>N</v>
          </cell>
          <cell r="X18">
            <v>1</v>
          </cell>
          <cell r="Y18">
            <v>23.265799999999999</v>
          </cell>
          <cell r="Z18">
            <v>1.5599999999999999E-2</v>
          </cell>
          <cell r="AA18">
            <v>23.2502</v>
          </cell>
          <cell r="AB18">
            <v>183829</v>
          </cell>
          <cell r="AC18" t="str">
            <v>PERMANENT SPEED RESTRICTION</v>
          </cell>
          <cell r="AD18" t="str">
            <v>0106-31</v>
          </cell>
          <cell r="AE18" t="str">
            <v>aws s3 cp s3://rtdc.mdm.uploadarchive/RTDC4028/2016-08-31/ "%USERPROFILE%\AppData\Local\Temp\OnboardLogs"\RTDC4028\2016-08-31 --recursive &amp; "%USERPROFILE%\Documents\GitHub\mrs-test-scripts\Headless Mode &amp; Sideloading\WalkAndUnGZ.bat" "%USERPROFILE%\AppData\Local\Temp\OnboardLogs"\RTDC4028\2016-08-31 &amp; 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</v>
          </cell>
        </row>
        <row r="19">
          <cell r="A19" t="str">
            <v>107-31</v>
          </cell>
          <cell r="B19">
            <v>4014</v>
          </cell>
          <cell r="C19" t="str">
            <v>DE.1.0.7.0</v>
          </cell>
          <cell r="D19" t="str">
            <v>204:449</v>
          </cell>
          <cell r="E19">
            <v>42613.180196759262</v>
          </cell>
          <cell r="F19">
            <v>42613.187696759262</v>
          </cell>
          <cell r="G19">
            <v>2</v>
          </cell>
          <cell r="H19" t="str">
            <v>204:233331</v>
          </cell>
          <cell r="I19">
            <v>42613.212731481479</v>
          </cell>
          <cell r="J19">
            <v>0</v>
          </cell>
          <cell r="K19" t="str">
            <v>4013/4014</v>
          </cell>
          <cell r="L19" t="str">
            <v>SPECTOR</v>
          </cell>
          <cell r="M19">
            <v>2.5034722217242233E-2</v>
          </cell>
          <cell r="N19">
            <v>36.049999992828816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https://search-rtdc-monitor-bjffxe2xuh6vdkpspy63sjmuny.us-east-1.es.amazonaws.com/_plugin/kibana/#/discover/Steve-Slow-Train-Analysis-(2080s-and-2083s)?_g=(refreshInterval:(display:Off,section:0,value:0),time:(from:'2016-08-31 03:19:29-0600',mode:absolute,to:'2016-08-31 06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9" t="str">
            <v>N</v>
          </cell>
          <cell r="X19">
            <v>1</v>
          </cell>
          <cell r="Y19">
            <v>4.4900000000000002E-2</v>
          </cell>
          <cell r="Z19">
            <v>23.333100000000002</v>
          </cell>
          <cell r="AA19">
            <v>23.288200000000003</v>
          </cell>
          <cell r="AB19" t="e">
            <v>#N/A</v>
          </cell>
          <cell r="AC19" t="e">
            <v>#N/A</v>
          </cell>
          <cell r="AD19" t="str">
            <v>0107-31</v>
          </cell>
          <cell r="AE19" t="str">
    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    </cell>
        </row>
        <row r="20">
          <cell r="A20" t="str">
            <v>108-31</v>
          </cell>
          <cell r="B20">
            <v>4013</v>
          </cell>
          <cell r="C20" t="str">
            <v>DE.1.0.7.0</v>
          </cell>
          <cell r="D20" t="str">
            <v>204:233008</v>
          </cell>
          <cell r="E20">
            <v>42613.219560185185</v>
          </cell>
          <cell r="F20">
            <v>42613.2265625</v>
          </cell>
          <cell r="G20">
            <v>1</v>
          </cell>
          <cell r="H20" t="str">
            <v>204:152</v>
          </cell>
          <cell r="I20">
            <v>42613.25408564815</v>
          </cell>
          <cell r="J20">
            <v>0</v>
          </cell>
          <cell r="K20" t="str">
            <v>4013/4014</v>
          </cell>
          <cell r="L20" t="str">
            <v>SPECTOR</v>
          </cell>
          <cell r="M20">
            <v>2.7523148150066845E-2</v>
          </cell>
          <cell r="N20">
            <v>39.633333336096257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https://search-rtdc-monitor-bjffxe2xuh6vdkpspy63sjmuny.us-east-1.es.amazonaws.com/_plugin/kibana/#/discover/Steve-Slow-Train-Analysis-(2080s-and-2083s)?_g=(refreshInterval:(display:Off,section:0,value:0),time:(from:'2016-08-31 04:16:10-0600',mode:absolute,to:'2016-08-31 07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0" t="str">
            <v>N</v>
          </cell>
          <cell r="X20">
            <v>1</v>
          </cell>
          <cell r="Y20">
            <v>23.300799999999999</v>
          </cell>
          <cell r="Z20">
            <v>1.52E-2</v>
          </cell>
          <cell r="AA20">
            <v>23.285599999999999</v>
          </cell>
          <cell r="AB20">
            <v>27350</v>
          </cell>
          <cell r="AC20" t="str">
            <v>GRADE CROSSING</v>
          </cell>
          <cell r="AD20" t="str">
            <v>0108-31</v>
          </cell>
          <cell r="AE20" t="str">
    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    </cell>
        </row>
        <row r="21">
          <cell r="A21" t="str">
            <v>109-31</v>
          </cell>
          <cell r="B21">
            <v>4011</v>
          </cell>
          <cell r="C21" t="str">
            <v>DE.1.0.7.0</v>
          </cell>
          <cell r="D21" t="str">
            <v>204:447</v>
          </cell>
          <cell r="E21">
            <v>42613.192662037036</v>
          </cell>
          <cell r="F21">
            <v>42613.198113425926</v>
          </cell>
          <cell r="G21">
            <v>1</v>
          </cell>
          <cell r="H21" t="str">
            <v>204:233291</v>
          </cell>
          <cell r="I21">
            <v>42613.22314814815</v>
          </cell>
          <cell r="J21">
            <v>0</v>
          </cell>
          <cell r="K21" t="str">
            <v>4011/4012</v>
          </cell>
          <cell r="L21" t="str">
            <v>KILLION</v>
          </cell>
          <cell r="M21">
            <v>2.5034722224518191E-2</v>
          </cell>
          <cell r="N21">
            <v>36.050000003306195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https://search-rtdc-monitor-bjffxe2xuh6vdkpspy63sjmuny.us-east-1.es.amazonaws.com/_plugin/kibana/#/discover/Steve-Slow-Train-Analysis-(2080s-and-2083s)?_g=(refreshInterval:(display:Off,section:0,value:0),time:(from:'2016-08-31 03:37:26-0600',mode:absolute,to:'2016-08-31 06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21" t="str">
            <v>N</v>
          </cell>
          <cell r="X21">
            <v>1</v>
          </cell>
          <cell r="Y21">
            <v>4.4699999999999997E-2</v>
          </cell>
          <cell r="Z21">
            <v>23.3291</v>
          </cell>
          <cell r="AA21">
            <v>23.284400000000002</v>
          </cell>
          <cell r="AB21" t="e">
            <v>#N/A</v>
          </cell>
          <cell r="AC21" t="e">
            <v>#N/A</v>
          </cell>
          <cell r="AD21" t="str">
            <v>0109-31</v>
          </cell>
          <cell r="AE21" t="str">
            <v>aws s3 cp s3://rtdc.mdm.uploadarchive/RTDC4011/2016-08-31/ "%USERPROFILE%\AppData\Local\Temp\OnboardLogs"\RTDC4011\2016-08-31 --recursive &amp; "%USERPROFILE%\Documents\GitHub\mrs-test-scripts\Headless Mode &amp; Sideloading\WalkAndUnGZ.bat" "%USERPROFILE%\AppData\Local\Temp\OnboardLogs"\RTDC4011\2016-08-31 &amp; 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</v>
          </cell>
        </row>
        <row r="22">
          <cell r="A22" t="str">
            <v>110-31</v>
          </cell>
          <cell r="B22">
            <v>4012</v>
          </cell>
          <cell r="C22" t="str">
            <v>DE.1.0.7.0</v>
          </cell>
          <cell r="D22" t="str">
            <v>204:232971</v>
          </cell>
          <cell r="E22">
            <v>42613.230405092596</v>
          </cell>
          <cell r="F22">
            <v>42613.236979166664</v>
          </cell>
          <cell r="G22">
            <v>1</v>
          </cell>
          <cell r="H22" t="str">
            <v>204:150</v>
          </cell>
          <cell r="I22">
            <v>42613.263611111113</v>
          </cell>
          <cell r="J22">
            <v>0</v>
          </cell>
          <cell r="K22" t="str">
            <v>4011/4012</v>
          </cell>
          <cell r="L22" t="str">
            <v>KILLION</v>
          </cell>
          <cell r="M22">
            <v>2.6631944449036382E-2</v>
          </cell>
          <cell r="N22">
            <v>38.35000000661239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https://search-rtdc-monitor-bjffxe2xuh6vdkpspy63sjmuny.us-east-1.es.amazonaws.com/_plugin/kibana/#/discover/Steve-Slow-Train-Analysis-(2080s-and-2083s)?_g=(refreshInterval:(display:Off,section:0,value:0),time:(from:'2016-08-31 04:31:47-0600',mode:absolute,to:'2016-08-31 07:19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22" t="str">
            <v>N</v>
          </cell>
          <cell r="X22">
            <v>1</v>
          </cell>
          <cell r="Y22">
            <v>23.2971</v>
          </cell>
          <cell r="Z22">
            <v>1.4999999999999999E-2</v>
          </cell>
          <cell r="AA22">
            <v>23.2821</v>
          </cell>
          <cell r="AB22" t="e">
            <v>#N/A</v>
          </cell>
          <cell r="AC22" t="e">
            <v>#N/A</v>
          </cell>
          <cell r="AD22" t="str">
            <v>0110-31</v>
          </cell>
          <cell r="AE22" t="str">
            <v>aws s3 cp s3://rtdc.mdm.uploadarchive/RTDC4012/2016-08-31/ "%USERPROFILE%\AppData\Local\Temp\OnboardLogs"\RTDC4012\2016-08-31 --recursive &amp; "%USERPROFILE%\Documents\GitHub\mrs-test-scripts\Headless Mode &amp; Sideloading\WalkAndUnGZ.bat" "%USERPROFILE%\AppData\Local\Temp\OnboardLogs"\RTDC4012\2016-08-31 &amp; 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</v>
          </cell>
        </row>
        <row r="23">
          <cell r="A23" t="str">
            <v>111-31</v>
          </cell>
          <cell r="B23">
            <v>4042</v>
          </cell>
          <cell r="C23" t="str">
            <v>DE.1.0.7.0</v>
          </cell>
          <cell r="D23" t="str">
            <v>204:746</v>
          </cell>
          <cell r="E23">
            <v>42613.207430555558</v>
          </cell>
          <cell r="F23">
            <v>42613.209398148145</v>
          </cell>
          <cell r="G23">
            <v>1</v>
          </cell>
          <cell r="H23" t="str">
            <v>204:233331</v>
          </cell>
          <cell r="I23">
            <v>42613.233981481484</v>
          </cell>
          <cell r="J23">
            <v>0</v>
          </cell>
          <cell r="K23" t="str">
            <v>4041/4042</v>
          </cell>
          <cell r="L23" t="str">
            <v>ROCHA</v>
          </cell>
          <cell r="M23">
            <v>2.4583333339251112E-2</v>
          </cell>
          <cell r="N23">
            <v>35.400000008521602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https://search-rtdc-monitor-bjffxe2xuh6vdkpspy63sjmuny.us-east-1.es.amazonaws.com/_plugin/kibana/#/discover/Steve-Slow-Train-Analysis-(2080s-and-2083s)?_g=(refreshInterval:(display:Off,section:0,value:0),time:(from:'2016-08-31 03:58:42-0600',mode:absolute,to:'2016-08-31 06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23" t="str">
            <v>N</v>
          </cell>
          <cell r="X23">
            <v>1</v>
          </cell>
          <cell r="Y23">
            <v>7.46E-2</v>
          </cell>
          <cell r="Z23">
            <v>23.333100000000002</v>
          </cell>
          <cell r="AA23">
            <v>23.258500000000002</v>
          </cell>
          <cell r="AB23" t="e">
            <v>#N/A</v>
          </cell>
          <cell r="AC23" t="e">
            <v>#N/A</v>
          </cell>
          <cell r="AD23" t="str">
            <v>0111-31</v>
          </cell>
          <cell r="AE23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24">
          <cell r="A24" t="str">
            <v>112-31</v>
          </cell>
          <cell r="B24">
            <v>4041</v>
          </cell>
          <cell r="C24" t="str">
            <v>DE.1.0.7.0</v>
          </cell>
          <cell r="D24" t="str">
            <v>204:232989</v>
          </cell>
          <cell r="E24">
            <v>42613.236458333333</v>
          </cell>
          <cell r="F24">
            <v>42613.247662037036</v>
          </cell>
          <cell r="G24">
            <v>2</v>
          </cell>
          <cell r="H24" t="str">
            <v>204:152</v>
          </cell>
          <cell r="I24">
            <v>42613.274282407408</v>
          </cell>
          <cell r="J24">
            <v>0</v>
          </cell>
          <cell r="K24" t="str">
            <v>4041/4042</v>
          </cell>
          <cell r="L24" t="str">
            <v>ROCHA</v>
          </cell>
          <cell r="M24">
            <v>2.662037037225673E-2</v>
          </cell>
          <cell r="N24">
            <v>38.333333336049691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https://search-rtdc-monitor-bjffxe2xuh6vdkpspy63sjmuny.us-east-1.es.amazonaws.com/_plugin/kibana/#/discover/Steve-Slow-Train-Analysis-(2080s-and-2083s)?_g=(refreshInterval:(display:Off,section:0,value:0),time:(from:'2016-08-31 04:40:30-0600',mode:absolute,to:'2016-08-31 07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24" t="str">
            <v>N</v>
          </cell>
          <cell r="X24">
            <v>1</v>
          </cell>
          <cell r="Y24">
            <v>23.2989</v>
          </cell>
          <cell r="Z24">
            <v>1.52E-2</v>
          </cell>
          <cell r="AA24">
            <v>23.2837</v>
          </cell>
          <cell r="AB24" t="e">
            <v>#N/A</v>
          </cell>
          <cell r="AC24" t="e">
            <v>#N/A</v>
          </cell>
          <cell r="AD24" t="str">
            <v>0112-31</v>
          </cell>
          <cell r="AE24" t="str">
    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    </cell>
        </row>
        <row r="25">
          <cell r="A25" t="str">
            <v>113-31</v>
          </cell>
          <cell r="B25">
            <v>4029</v>
          </cell>
          <cell r="C25" t="str">
            <v>DE.1.0.7.0</v>
          </cell>
          <cell r="D25" t="str">
            <v>204:431</v>
          </cell>
          <cell r="E25">
            <v>42613.213009259256</v>
          </cell>
          <cell r="F25">
            <v>42613.219039351854</v>
          </cell>
          <cell r="G25">
            <v>1</v>
          </cell>
          <cell r="H25" t="str">
            <v>204:233293</v>
          </cell>
          <cell r="I25">
            <v>42613.244652777779</v>
          </cell>
          <cell r="J25">
            <v>0</v>
          </cell>
          <cell r="K25" t="str">
            <v>4029/4030</v>
          </cell>
          <cell r="L25" t="str">
            <v>MAELZER</v>
          </cell>
          <cell r="M25">
            <v>2.5613425925257616E-2</v>
          </cell>
          <cell r="N25">
            <v>36.883333332370967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https://search-rtdc-monitor-bjffxe2xuh6vdkpspy63sjmuny.us-east-1.es.amazonaws.com/_plugin/kibana/#/discover/Steve-Slow-Train-Analysis-(2080s-and-2083s)?_g=(refreshInterval:(display:Off,section:0,value:0),time:(from:'2016-08-31 04:06:44-0600',mode:absolute,to:'2016-08-31 06:52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5" t="str">
            <v>N</v>
          </cell>
          <cell r="X25">
            <v>1</v>
          </cell>
          <cell r="Y25">
            <v>4.3099999999999999E-2</v>
          </cell>
          <cell r="Z25">
            <v>23.3293</v>
          </cell>
          <cell r="AA25">
            <v>23.286200000000001</v>
          </cell>
          <cell r="AB25" t="e">
            <v>#N/A</v>
          </cell>
          <cell r="AC25" t="e">
            <v>#N/A</v>
          </cell>
          <cell r="AD25" t="str">
            <v>0113-31</v>
          </cell>
          <cell r="AE25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26">
          <cell r="A26" t="str">
            <v>114-31</v>
          </cell>
          <cell r="B26">
            <v>4030</v>
          </cell>
          <cell r="C26" t="str">
            <v>DE.1.0.7.0</v>
          </cell>
          <cell r="D26" t="str">
            <v>204:233001</v>
          </cell>
          <cell r="E26">
            <v>42613.249988425923</v>
          </cell>
          <cell r="F26">
            <v>42613.257916666669</v>
          </cell>
          <cell r="G26">
            <v>1</v>
          </cell>
          <cell r="H26" t="str">
            <v>204:149</v>
          </cell>
          <cell r="I26">
            <v>42613.287256944444</v>
          </cell>
          <cell r="J26">
            <v>0</v>
          </cell>
          <cell r="K26" t="str">
            <v>4029/4030</v>
          </cell>
          <cell r="L26" t="str">
            <v>MAELZER</v>
          </cell>
          <cell r="M26">
            <v>2.9340277775190771E-2</v>
          </cell>
          <cell r="N26">
            <v>42.24999999627471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https://search-rtdc-monitor-bjffxe2xuh6vdkpspy63sjmuny.us-east-1.es.amazonaws.com/_plugin/kibana/#/discover/Steve-Slow-Train-Analysis-(2080s-and-2083s)?_g=(refreshInterval:(display:Off,section:0,value:0),time:(from:'2016-08-31 04:59:59-0600',mode:absolute,to:'2016-08-31 07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26" t="str">
            <v>N</v>
          </cell>
          <cell r="X26">
            <v>1</v>
          </cell>
          <cell r="Y26">
            <v>23.3001</v>
          </cell>
          <cell r="Z26">
            <v>1.49E-2</v>
          </cell>
          <cell r="AA26">
            <v>23.2852</v>
          </cell>
          <cell r="AB26" t="e">
            <v>#N/A</v>
          </cell>
          <cell r="AC26" t="e">
            <v>#N/A</v>
          </cell>
          <cell r="AD26" t="str">
            <v>0114-31</v>
          </cell>
          <cell r="AE26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27">
          <cell r="A27" t="str">
            <v>115-31</v>
          </cell>
          <cell r="B27">
            <v>4044</v>
          </cell>
          <cell r="C27" t="str">
            <v>DE.1.0.7.0</v>
          </cell>
          <cell r="D27" t="str">
            <v>204:708</v>
          </cell>
          <cell r="E27">
            <v>42613.226412037038</v>
          </cell>
          <cell r="F27">
            <v>42613.229895833334</v>
          </cell>
          <cell r="G27">
            <v>4</v>
          </cell>
          <cell r="H27" t="str">
            <v>204:233349</v>
          </cell>
          <cell r="I27">
            <v>42613.254884259259</v>
          </cell>
          <cell r="J27">
            <v>0</v>
          </cell>
          <cell r="K27" t="str">
            <v>4043/4044</v>
          </cell>
          <cell r="L27" t="str">
            <v>SMITH</v>
          </cell>
          <cell r="M27">
            <v>2.4988425924675539E-2</v>
          </cell>
          <cell r="N27">
            <v>35.983333331532776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https://search-rtdc-monitor-bjffxe2xuh6vdkpspy63sjmuny.us-east-1.es.amazonaws.com/_plugin/kibana/#/discover/Steve-Slow-Train-Analysis-(2080s-and-2083s)?_g=(refreshInterval:(display:Off,section:0,value:0),time:(from:'2016-08-31 04:26:02-0600',mode:absolute,to:'2016-08-31 07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27" t="str">
            <v>N</v>
          </cell>
          <cell r="X27">
            <v>1</v>
          </cell>
          <cell r="Y27">
            <v>7.0800000000000002E-2</v>
          </cell>
          <cell r="Z27">
            <v>23.334900000000001</v>
          </cell>
          <cell r="AA27">
            <v>23.264100000000003</v>
          </cell>
          <cell r="AB27" t="e">
            <v>#N/A</v>
          </cell>
          <cell r="AC27" t="e">
            <v>#N/A</v>
          </cell>
          <cell r="AD27" t="str">
            <v>0115-31</v>
          </cell>
          <cell r="AE27" t="str">
            <v>aws s3 cp s3://rtdc.mdm.uploadarchive/RTDC4044/2016-08-31/ "%USERPROFILE%\AppData\Local\Temp\OnboardLogs"\RTDC4044\2016-08-31 --recursive &amp; "%USERPROFILE%\Documents\GitHub\mrs-test-scripts\Headless Mode &amp; Sideloading\WalkAndUnGZ.bat" "%USERPROFILE%\AppData\Local\Temp\OnboardLogs"\RTDC4044\2016-08-31 &amp; 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</v>
          </cell>
        </row>
        <row r="28">
          <cell r="A28" t="str">
            <v>116-31</v>
          </cell>
          <cell r="B28">
            <v>4043</v>
          </cell>
          <cell r="C28" t="str">
            <v>DE.1.0.7.0</v>
          </cell>
          <cell r="D28" t="str">
            <v>204:233002</v>
          </cell>
          <cell r="E28">
            <v>42613.257488425923</v>
          </cell>
          <cell r="F28">
            <v>42613.268206018518</v>
          </cell>
          <cell r="G28">
            <v>2</v>
          </cell>
          <cell r="H28" t="str">
            <v>204:147</v>
          </cell>
          <cell r="I28">
            <v>42613.294560185182</v>
          </cell>
          <cell r="J28">
            <v>0</v>
          </cell>
          <cell r="K28" t="str">
            <v>4043/4044</v>
          </cell>
          <cell r="L28" t="str">
            <v>SMITH</v>
          </cell>
          <cell r="M28">
            <v>2.6354166664532386E-2</v>
          </cell>
          <cell r="N28">
            <v>37.949999996926636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https://search-rtdc-monitor-bjffxe2xuh6vdkpspy63sjmuny.us-east-1.es.amazonaws.com/_plugin/kibana/#/discover/Steve-Slow-Train-Analysis-(2080s-and-2083s)?_g=(refreshInterval:(display:Off,section:0,value:0),time:(from:'2016-08-31 05:10:47-0600',mode:absolute,to:'2016-08-31 08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28" t="str">
            <v>N</v>
          </cell>
          <cell r="X28">
            <v>1</v>
          </cell>
          <cell r="Y28">
            <v>23.3002</v>
          </cell>
          <cell r="Z28">
            <v>1.47E-2</v>
          </cell>
          <cell r="AA28">
            <v>23.285499999999999</v>
          </cell>
          <cell r="AB28" t="e">
            <v>#N/A</v>
          </cell>
          <cell r="AC28" t="e">
            <v>#N/A</v>
          </cell>
          <cell r="AD28" t="str">
            <v>0116-31</v>
          </cell>
          <cell r="AE28" t="str">
            <v>aws s3 cp s3://rtdc.mdm.uploadarchive/RTDC4043/2016-08-31/ "%USERPROFILE%\AppData\Local\Temp\OnboardLogs"\RTDC4043\2016-08-31 --recursive &amp; "%USERPROFILE%\Documents\GitHub\mrs-test-scripts\Headless Mode &amp; Sideloading\WalkAndUnGZ.bat" "%USERPROFILE%\AppData\Local\Temp\OnboardLogs"\RTDC4043\2016-08-31 &amp; 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</v>
          </cell>
        </row>
        <row r="29">
          <cell r="A29" t="str">
            <v>117-31</v>
          </cell>
          <cell r="B29">
            <v>4002</v>
          </cell>
          <cell r="C29" t="str">
            <v>DE.1.0.7.0</v>
          </cell>
          <cell r="D29" t="str">
            <v>204:400</v>
          </cell>
          <cell r="E29">
            <v>42613.234398148146</v>
          </cell>
          <cell r="F29">
            <v>42613.239814814813</v>
          </cell>
          <cell r="G29">
            <v>1</v>
          </cell>
          <cell r="H29" t="str">
            <v>204:233305</v>
          </cell>
          <cell r="I29">
            <v>42613.26457175926</v>
          </cell>
          <cell r="J29">
            <v>0</v>
          </cell>
          <cell r="K29" t="str">
            <v>4001/4002</v>
          </cell>
          <cell r="L29" t="str">
            <v>ARVIDSON</v>
          </cell>
          <cell r="M29">
            <v>2.4756944447290152E-2</v>
          </cell>
          <cell r="N29">
            <v>35.650000004097819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https://search-rtdc-monitor-bjffxe2xuh6vdkpspy63sjmuny.us-east-1.es.amazonaws.com/_plugin/kibana/#/discover/Steve-Slow-Train-Analysis-(2080s-and-2083s)?_g=(refreshInterval:(display:Off,section:0,value:0),time:(from:'2016-08-31 04:37:32-0600',mode:absolute,to:'2016-08-31 07:20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9" t="str">
            <v>N</v>
          </cell>
          <cell r="X29">
            <v>1</v>
          </cell>
          <cell r="Y29">
            <v>0.04</v>
          </cell>
          <cell r="Z29">
            <v>23.330500000000001</v>
          </cell>
          <cell r="AA29">
            <v>23.290500000000002</v>
          </cell>
          <cell r="AB29" t="e">
            <v>#N/A</v>
          </cell>
          <cell r="AC29" t="e">
            <v>#N/A</v>
          </cell>
          <cell r="AD29" t="str">
            <v>0117-31</v>
          </cell>
          <cell r="AE29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30">
          <cell r="A30" t="str">
            <v>118-31</v>
          </cell>
          <cell r="B30">
            <v>4001</v>
          </cell>
          <cell r="C30" t="str">
            <v>DE.1.0.7.0</v>
          </cell>
          <cell r="D30" t="str">
            <v>204:232988</v>
          </cell>
          <cell r="E30">
            <v>42613.274004629631</v>
          </cell>
          <cell r="F30">
            <v>42613.278680555559</v>
          </cell>
          <cell r="G30">
            <v>2</v>
          </cell>
          <cell r="H30" t="str">
            <v>204:183</v>
          </cell>
          <cell r="I30">
            <v>42613.305706018517</v>
          </cell>
          <cell r="J30">
            <v>0</v>
          </cell>
          <cell r="K30" t="str">
            <v>4001/4002</v>
          </cell>
          <cell r="L30" t="str">
            <v>ARVIDSON</v>
          </cell>
          <cell r="M30">
            <v>2.7025462957681157E-2</v>
          </cell>
          <cell r="N30">
            <v>38.916666659060866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https://search-rtdc-monitor-bjffxe2xuh6vdkpspy63sjmuny.us-east-1.es.amazonaws.com/_plugin/kibana/#/discover/Steve-Slow-Train-Analysis-(2080s-and-2083s)?_g=(refreshInterval:(display:Off,section:0,value:0),time:(from:'2016-08-31 05:34:34-0600',mode:absolute,to:'2016-08-31 08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30" t="str">
            <v>N</v>
          </cell>
          <cell r="X30">
            <v>1</v>
          </cell>
          <cell r="Y30">
            <v>23.2988</v>
          </cell>
          <cell r="Z30">
            <v>1.83E-2</v>
          </cell>
          <cell r="AA30">
            <v>23.2805</v>
          </cell>
          <cell r="AB30" t="e">
            <v>#N/A</v>
          </cell>
          <cell r="AC30" t="e">
            <v>#N/A</v>
          </cell>
          <cell r="AD30" t="str">
            <v>0118-31</v>
          </cell>
          <cell r="AE30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31">
          <cell r="A31" t="str">
            <v>119-31</v>
          </cell>
          <cell r="B31">
            <v>4016</v>
          </cell>
          <cell r="C31" t="str">
            <v>DE.1.0.7.0</v>
          </cell>
          <cell r="D31" t="str">
            <v>204:19133</v>
          </cell>
          <cell r="E31">
            <v>42613.254884259259</v>
          </cell>
          <cell r="F31">
            <v>42613.255995370368</v>
          </cell>
          <cell r="G31">
            <v>1</v>
          </cell>
          <cell r="H31" t="str">
            <v>204:233334</v>
          </cell>
          <cell r="I31">
            <v>42613.282638888886</v>
          </cell>
          <cell r="J31">
            <v>0</v>
          </cell>
          <cell r="K31" t="str">
            <v>4015/4016</v>
          </cell>
          <cell r="L31" t="str">
            <v>STRICKLAND</v>
          </cell>
          <cell r="M31">
            <v>2.6643518518540077E-2</v>
          </cell>
          <cell r="P31">
            <v>38.366666666697711</v>
          </cell>
          <cell r="R31" t="str">
            <v>DUS 2N was STOP because 20N was also STOP. Need to clear 20N before being able to clear 2N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https://search-rtdc-monitor-bjffxe2xuh6vdkpspy63sjmuny.us-east-1.es.amazonaws.com/_plugin/kibana/#/discover/Steve-Slow-Train-Analysis-(2080s-and-2083s)?_g=(refreshInterval:(display:Off,section:0,value:0),time:(from:'2016-08-31 05:07:02-0600',mode:absolute,to:'2016-08-31 07:47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31" t="str">
            <v>Y</v>
          </cell>
          <cell r="X31">
            <v>1</v>
          </cell>
          <cell r="Y31">
            <v>1.9133</v>
          </cell>
          <cell r="Z31">
            <v>23.333400000000001</v>
          </cell>
          <cell r="AA31">
            <v>21.420100000000001</v>
          </cell>
          <cell r="AB31">
            <v>116838</v>
          </cell>
          <cell r="AC31" t="str">
            <v>PERMANENT SPEED RESTRICTION</v>
          </cell>
          <cell r="AD31" t="str">
            <v>0119-31</v>
          </cell>
          <cell r="AE31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32">
          <cell r="A32" t="str">
            <v>119-31</v>
          </cell>
          <cell r="B32">
            <v>4016</v>
          </cell>
          <cell r="C32" t="str">
            <v>DE.1.0.7.0</v>
          </cell>
          <cell r="D32" t="str">
            <v>204:763</v>
          </cell>
          <cell r="E32">
            <v>42613.248171296298</v>
          </cell>
          <cell r="F32">
            <v>42613.255995370368</v>
          </cell>
          <cell r="G32">
            <v>1</v>
          </cell>
          <cell r="H32" t="str">
            <v>204:1205</v>
          </cell>
          <cell r="I32">
            <v>42613.282638888886</v>
          </cell>
          <cell r="J32">
            <v>0</v>
          </cell>
          <cell r="K32" t="str">
            <v>4015/4016</v>
          </cell>
          <cell r="L32" t="str">
            <v>STRICKLAND</v>
          </cell>
          <cell r="M32">
            <v>2.6643518518540077E-2</v>
          </cell>
          <cell r="T32" t="str">
            <v>NorthBound</v>
          </cell>
          <cell r="U32">
            <v>0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https://search-rtdc-monitor-bjffxe2xuh6vdkpspy63sjmuny.us-east-1.es.amazonaws.com/_plugin/kibana/#/discover/Steve-Slow-Train-Analysis-(2080s-and-2083s)?_g=(refreshInterval:(display:Off,section:0,value:0),time:(from:'2016-08-31 04:57:22-0600',mode:absolute,to:'2016-08-31 07:47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32" t="str">
            <v>Y</v>
          </cell>
          <cell r="X32">
            <v>0</v>
          </cell>
          <cell r="Y32">
            <v>7.6300000000000007E-2</v>
          </cell>
          <cell r="Z32">
            <v>0.1205</v>
          </cell>
          <cell r="AA32">
            <v>4.4199999999999989E-2</v>
          </cell>
          <cell r="AB32">
            <v>116838</v>
          </cell>
          <cell r="AC32" t="str">
            <v>PERMANENT SPEED RESTRICTION</v>
          </cell>
          <cell r="AD32" t="str">
            <v>0119-31</v>
          </cell>
          <cell r="AE32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33">
          <cell r="A33" t="str">
            <v>120-31</v>
          </cell>
          <cell r="B33">
            <v>4015</v>
          </cell>
          <cell r="C33" t="str">
            <v>DE.1.0.7.0</v>
          </cell>
          <cell r="D33" t="str">
            <v>204:233030</v>
          </cell>
          <cell r="E33">
            <v>42613.284166666665</v>
          </cell>
          <cell r="F33">
            <v>42613.289085648146</v>
          </cell>
          <cell r="G33">
            <v>1</v>
          </cell>
          <cell r="H33" t="str">
            <v>204:141</v>
          </cell>
          <cell r="I33">
            <v>42613.317546296297</v>
          </cell>
          <cell r="J33">
            <v>0</v>
          </cell>
          <cell r="K33" t="str">
            <v>4015/4016</v>
          </cell>
          <cell r="L33" t="str">
            <v>STRICKLAND</v>
          </cell>
          <cell r="M33">
            <v>2.846064815093996E-2</v>
          </cell>
          <cell r="N33">
            <v>40.983333337353542</v>
          </cell>
          <cell r="S33">
            <v>1</v>
          </cell>
          <cell r="T33" t="str">
            <v>Southbound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https://search-rtdc-monitor-bjffxe2xuh6vdkpspy63sjmuny.us-east-1.es.amazonaws.com/_plugin/kibana/#/discover/Steve-Slow-Train-Analysis-(2080s-and-2083s)?_g=(refreshInterval:(display:Off,section:0,value:0),time:(from:'2016-08-31 05:49:12-0600',mode:absolute,to:'2016-08-31 08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33" t="str">
            <v>N</v>
          </cell>
          <cell r="X33">
            <v>1</v>
          </cell>
          <cell r="Y33">
            <v>23.303000000000001</v>
          </cell>
          <cell r="Z33">
            <v>1.41E-2</v>
          </cell>
          <cell r="AA33">
            <v>23.288900000000002</v>
          </cell>
          <cell r="AB33" t="e">
            <v>#N/A</v>
          </cell>
          <cell r="AC33" t="e">
            <v>#N/A</v>
          </cell>
          <cell r="AD33" t="str">
            <v>0120-31</v>
          </cell>
          <cell r="AE33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34">
          <cell r="A34" t="str">
            <v>121-31</v>
          </cell>
          <cell r="B34">
            <v>4014</v>
          </cell>
          <cell r="C34" t="str">
            <v>DE.1.0.7.0</v>
          </cell>
          <cell r="D34" t="str">
            <v>204:486</v>
          </cell>
          <cell r="E34">
            <v>42613.256342592591</v>
          </cell>
          <cell r="F34">
            <v>42613.260625000003</v>
          </cell>
          <cell r="G34">
            <v>1</v>
          </cell>
          <cell r="H34" t="str">
            <v>204:233318</v>
          </cell>
          <cell r="I34">
            <v>42613.286990740744</v>
          </cell>
          <cell r="J34">
            <v>0</v>
          </cell>
          <cell r="K34" t="str">
            <v>4013/4014</v>
          </cell>
          <cell r="L34" t="str">
            <v>SPECTOR</v>
          </cell>
          <cell r="M34">
            <v>2.6365740741312038E-2</v>
          </cell>
          <cell r="N34">
            <v>37.966666667489335</v>
          </cell>
          <cell r="S34">
            <v>1</v>
          </cell>
          <cell r="T34" t="str">
            <v>NorthBound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https://search-rtdc-monitor-bjffxe2xuh6vdkpspy63sjmuny.us-east-1.es.amazonaws.com/_plugin/kibana/#/discover/Steve-Slow-Train-Analysis-(2080s-and-2083s)?_g=(refreshInterval:(display:Off,section:0,value:0),time:(from:'2016-08-31 05:09:08-0600',mode:absolute,to:'2016-08-31 07:53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34" t="str">
            <v>N</v>
          </cell>
          <cell r="X34">
            <v>1</v>
          </cell>
          <cell r="Y34">
            <v>4.8599999999999997E-2</v>
          </cell>
          <cell r="Z34">
            <v>23.331800000000001</v>
          </cell>
          <cell r="AA34">
            <v>23.283200000000001</v>
          </cell>
          <cell r="AB34" t="e">
            <v>#N/A</v>
          </cell>
          <cell r="AC34" t="e">
            <v>#N/A</v>
          </cell>
          <cell r="AD34" t="str">
            <v>0121-31</v>
          </cell>
          <cell r="AE34" t="str">
    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    </cell>
        </row>
        <row r="35">
          <cell r="A35" t="str">
            <v>122-31</v>
          </cell>
          <cell r="B35">
            <v>4013</v>
          </cell>
          <cell r="C35" t="str">
            <v>DE.1.0.7.0</v>
          </cell>
          <cell r="D35" t="str">
            <v>204:233013</v>
          </cell>
          <cell r="E35">
            <v>42613.293923611112</v>
          </cell>
          <cell r="F35">
            <v>42613.299479166664</v>
          </cell>
          <cell r="G35">
            <v>1</v>
          </cell>
          <cell r="H35" t="str">
            <v>204:152</v>
          </cell>
          <cell r="I35">
            <v>42613.32603009259</v>
          </cell>
          <cell r="J35">
            <v>0</v>
          </cell>
          <cell r="K35" t="str">
            <v>4013/4014</v>
          </cell>
          <cell r="L35" t="str">
            <v>SPECTOR</v>
          </cell>
          <cell r="M35">
            <v>2.6550925926130731E-2</v>
          </cell>
          <cell r="N35">
            <v>38.233333333628252</v>
          </cell>
          <cell r="S35">
            <v>1</v>
          </cell>
          <cell r="T35" t="str">
            <v>Southbound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https://search-rtdc-monitor-bjffxe2xuh6vdkpspy63sjmuny.us-east-1.es.amazonaws.com/_plugin/kibana/#/discover/Steve-Slow-Train-Analysis-(2080s-and-2083s)?_g=(refreshInterval:(display:Off,section:0,value:0),time:(from:'2016-08-31 06:03:15-0600',mode:absolute,to:'2016-08-31 08:49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35" t="str">
            <v>N</v>
          </cell>
          <cell r="X35">
            <v>1</v>
          </cell>
          <cell r="Y35">
            <v>23.301300000000001</v>
          </cell>
          <cell r="Z35">
            <v>1.52E-2</v>
          </cell>
          <cell r="AA35">
            <v>23.286100000000001</v>
          </cell>
          <cell r="AB35" t="e">
            <v>#N/A</v>
          </cell>
          <cell r="AC35" t="e">
            <v>#N/A</v>
          </cell>
          <cell r="AD35" t="str">
            <v>0122-31</v>
          </cell>
          <cell r="AE35" t="str">
    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    </cell>
        </row>
        <row r="36">
          <cell r="A36" t="str">
            <v>123-31</v>
          </cell>
          <cell r="B36">
            <v>4011</v>
          </cell>
          <cell r="C36" t="str">
            <v>DE.1.0.7.0</v>
          </cell>
          <cell r="D36" t="str">
            <v>204:455</v>
          </cell>
          <cell r="E36">
            <v>42613.265381944446</v>
          </cell>
          <cell r="F36">
            <v>42613.271261574075</v>
          </cell>
          <cell r="G36">
            <v>1</v>
          </cell>
          <cell r="H36" t="str">
            <v>204:233264</v>
          </cell>
          <cell r="I36">
            <v>42613.296099537038</v>
          </cell>
          <cell r="J36">
            <v>0</v>
          </cell>
          <cell r="K36" t="str">
            <v>4011/4012</v>
          </cell>
          <cell r="L36" t="str">
            <v>KILLION</v>
          </cell>
          <cell r="M36">
            <v>2.4837962962919846E-2</v>
          </cell>
          <cell r="N36">
            <v>35.766666666604578</v>
          </cell>
          <cell r="S36">
            <v>1</v>
          </cell>
          <cell r="T36" t="str">
            <v>NorthBound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https://search-rtdc-monitor-bjffxe2xuh6vdkpspy63sjmuny.us-east-1.es.amazonaws.com/_plugin/kibana/#/discover/Steve-Slow-Train-Analysis-(2080s-and-2083s)?_g=(refreshInterval:(display:Off,section:0,value:0),time:(from:'2016-08-31 05:22:09-0600',mode:absolute,to:'2016-08-31 08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36" t="str">
            <v>N</v>
          </cell>
          <cell r="X36">
            <v>1</v>
          </cell>
          <cell r="Y36">
            <v>4.5499999999999999E-2</v>
          </cell>
          <cell r="Z36">
            <v>23.3264</v>
          </cell>
          <cell r="AA36">
            <v>23.280899999999999</v>
          </cell>
          <cell r="AB36" t="e">
            <v>#N/A</v>
          </cell>
          <cell r="AC36" t="e">
            <v>#N/A</v>
          </cell>
          <cell r="AD36" t="str">
            <v>0123-31</v>
          </cell>
          <cell r="AE36" t="str">
            <v>aws s3 cp s3://rtdc.mdm.uploadarchive/RTDC4011/2016-08-31/ "%USERPROFILE%\AppData\Local\Temp\OnboardLogs"\RTDC4011\2016-08-31 --recursive &amp; "%USERPROFILE%\Documents\GitHub\mrs-test-scripts\Headless Mode &amp; Sideloading\WalkAndUnGZ.bat" "%USERPROFILE%\AppData\Local\Temp\OnboardLogs"\RTDC4011\2016-08-31 &amp; 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</v>
          </cell>
        </row>
        <row r="37">
          <cell r="A37" t="str">
            <v>124-31</v>
          </cell>
          <cell r="B37">
            <v>4012</v>
          </cell>
          <cell r="C37" t="str">
            <v>DE.1.0.7.0</v>
          </cell>
          <cell r="D37" t="str">
            <v>204:232974</v>
          </cell>
          <cell r="E37">
            <v>42613.30196759259</v>
          </cell>
          <cell r="F37">
            <v>42613.309942129628</v>
          </cell>
          <cell r="G37">
            <v>1</v>
          </cell>
          <cell r="H37" t="str">
            <v>204:149</v>
          </cell>
          <cell r="I37">
            <v>42613.338263888887</v>
          </cell>
          <cell r="J37">
            <v>0</v>
          </cell>
          <cell r="K37" t="str">
            <v>4011/4012</v>
          </cell>
          <cell r="L37" t="str">
            <v>KILLION</v>
          </cell>
          <cell r="M37">
            <v>2.8321759258687962E-2</v>
          </cell>
          <cell r="N37">
            <v>40.783333332510665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https://search-rtdc-monitor-bjffxe2xuh6vdkpspy63sjmuny.us-east-1.es.amazonaws.com/_plugin/kibana/#/discover/Steve-Slow-Train-Analysis-(2080s-and-2083s)?_g=(refreshInterval:(display:Off,section:0,value:0),time:(from:'2016-08-31 06:14:50-0600',mode:absolute,to:'2016-08-31 09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37" t="str">
            <v>N</v>
          </cell>
          <cell r="X37">
            <v>1</v>
          </cell>
          <cell r="Y37">
            <v>23.2974</v>
          </cell>
          <cell r="Z37">
            <v>1.49E-2</v>
          </cell>
          <cell r="AA37">
            <v>23.282499999999999</v>
          </cell>
          <cell r="AB37" t="e">
            <v>#N/A</v>
          </cell>
          <cell r="AC37" t="e">
            <v>#N/A</v>
          </cell>
          <cell r="AD37" t="str">
            <v>0124-31</v>
          </cell>
          <cell r="AE37" t="str">
            <v>aws s3 cp s3://rtdc.mdm.uploadarchive/RTDC4012/2016-08-31/ "%USERPROFILE%\AppData\Local\Temp\OnboardLogs"\RTDC4012\2016-08-31 --recursive &amp; "%USERPROFILE%\Documents\GitHub\mrs-test-scripts\Headless Mode &amp; Sideloading\WalkAndUnGZ.bat" "%USERPROFILE%\AppData\Local\Temp\OnboardLogs"\RTDC4012\2016-08-31 &amp; 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</v>
          </cell>
        </row>
        <row r="38">
          <cell r="A38" t="str">
            <v>125-31</v>
          </cell>
          <cell r="B38">
            <v>4042</v>
          </cell>
          <cell r="C38" t="str">
            <v>DE.1.0.7.0</v>
          </cell>
          <cell r="D38" t="str">
            <v>204:458</v>
          </cell>
          <cell r="E38">
            <v>42613.276412037034</v>
          </cell>
          <cell r="F38">
            <v>42613.281851851854</v>
          </cell>
          <cell r="G38">
            <v>1</v>
          </cell>
          <cell r="H38" t="str">
            <v>204:233341</v>
          </cell>
          <cell r="I38">
            <v>42613.306319444448</v>
          </cell>
          <cell r="J38">
            <v>0</v>
          </cell>
          <cell r="K38" t="str">
            <v>4041/4042</v>
          </cell>
          <cell r="L38" t="str">
            <v>ROCHA</v>
          </cell>
          <cell r="M38">
            <v>2.4467592593282461E-2</v>
          </cell>
          <cell r="N38">
            <v>35.233333334326744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https://search-rtdc-monitor-bjffxe2xuh6vdkpspy63sjmuny.us-east-1.es.amazonaws.com/_plugin/kibana/#/discover/Steve-Slow-Train-Analysis-(2080s-and-2083s)?_g=(refreshInterval:(display:Off,section:0,value:0),time:(from:'2016-08-31 05:38:02-0600',mode:absolute,to:'2016-08-31 08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38" t="str">
            <v>N</v>
          </cell>
          <cell r="X38">
            <v>1</v>
          </cell>
          <cell r="Y38">
            <v>4.58E-2</v>
          </cell>
          <cell r="Z38">
            <v>23.334099999999999</v>
          </cell>
          <cell r="AA38">
            <v>23.2883</v>
          </cell>
          <cell r="AB38" t="e">
            <v>#N/A</v>
          </cell>
          <cell r="AC38" t="e">
            <v>#N/A</v>
          </cell>
          <cell r="AD38" t="str">
            <v>0125-31</v>
          </cell>
          <cell r="AE38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39">
          <cell r="A39" t="str">
            <v>126-31</v>
          </cell>
          <cell r="B39">
            <v>4041</v>
          </cell>
          <cell r="C39" t="str">
            <v>DE.1.0.7.0</v>
          </cell>
          <cell r="D39" t="str">
            <v>204:232955</v>
          </cell>
          <cell r="E39">
            <v>42613.317187499997</v>
          </cell>
          <cell r="F39">
            <v>42613.320428240739</v>
          </cell>
          <cell r="G39">
            <v>1</v>
          </cell>
          <cell r="H39" t="str">
            <v>204:147</v>
          </cell>
          <cell r="I39">
            <v>42613.34747685185</v>
          </cell>
          <cell r="J39">
            <v>0</v>
          </cell>
          <cell r="K39" t="str">
            <v>4041/4042</v>
          </cell>
          <cell r="L39" t="str">
            <v>ROCHA</v>
          </cell>
          <cell r="M39">
            <v>2.7048611111240461E-2</v>
          </cell>
          <cell r="N39">
            <v>38.950000000186265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https://search-rtdc-monitor-bjffxe2xuh6vdkpspy63sjmuny.us-east-1.es.amazonaws.com/_plugin/kibana/#/discover/Steve-Slow-Train-Analysis-(2080s-and-2083s)?_g=(refreshInterval:(display:Off,section:0,value:0),time:(from:'2016-08-31 06:36:45-0600',mode:absolute,to:'2016-08-31 09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39" t="str">
            <v>N</v>
          </cell>
          <cell r="X39">
            <v>1</v>
          </cell>
          <cell r="Y39">
            <v>23.295500000000001</v>
          </cell>
          <cell r="Z39">
            <v>1.47E-2</v>
          </cell>
          <cell r="AA39">
            <v>23.280799999999999</v>
          </cell>
          <cell r="AB39" t="e">
            <v>#N/A</v>
          </cell>
          <cell r="AC39" t="e">
            <v>#N/A</v>
          </cell>
          <cell r="AD39" t="str">
            <v>0126-31</v>
          </cell>
          <cell r="AE39" t="str">
    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    </cell>
        </row>
        <row r="40">
          <cell r="A40" t="str">
            <v>127-31</v>
          </cell>
          <cell r="B40">
            <v>4029</v>
          </cell>
          <cell r="C40" t="str">
            <v>DE.1.0.7.0</v>
          </cell>
          <cell r="D40" t="str">
            <v>204:451</v>
          </cell>
          <cell r="E40">
            <v>42613.289282407408</v>
          </cell>
          <cell r="F40">
            <v>42613.292048611111</v>
          </cell>
          <cell r="G40">
            <v>1</v>
          </cell>
          <cell r="H40" t="str">
            <v>204:233314</v>
          </cell>
          <cell r="I40">
            <v>42613.317719907405</v>
          </cell>
          <cell r="J40">
            <v>0</v>
          </cell>
          <cell r="K40" t="str">
            <v>4029/4030</v>
          </cell>
          <cell r="L40" t="str">
            <v>MAELZER</v>
          </cell>
          <cell r="M40">
            <v>2.5671296294603962E-2</v>
          </cell>
          <cell r="N40">
            <v>36.966666664229706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https://search-rtdc-monitor-bjffxe2xuh6vdkpspy63sjmuny.us-east-1.es.amazonaws.com/_plugin/kibana/#/discover/Steve-Slow-Train-Analysis-(2080s-and-2083s)?_g=(refreshInterval:(display:Off,section:0,value:0),time:(from:'2016-08-31 05:56:34-0600',mode:absolute,to:'2016-08-31 08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40" t="str">
            <v>N</v>
          </cell>
          <cell r="X40">
            <v>1</v>
          </cell>
          <cell r="Y40">
            <v>4.5100000000000001E-2</v>
          </cell>
          <cell r="Z40">
            <v>23.331399999999999</v>
          </cell>
          <cell r="AA40">
            <v>23.286299999999997</v>
          </cell>
          <cell r="AB40" t="e">
            <v>#N/A</v>
          </cell>
          <cell r="AC40" t="e">
            <v>#N/A</v>
          </cell>
          <cell r="AD40" t="str">
            <v>0127-31</v>
          </cell>
          <cell r="AE40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41">
          <cell r="A41" t="str">
            <v>128-31</v>
          </cell>
          <cell r="B41">
            <v>4030</v>
          </cell>
          <cell r="C41" t="str">
            <v>DE.1.0.7.0</v>
          </cell>
          <cell r="D41" t="str">
            <v>204:232994</v>
          </cell>
          <cell r="E41">
            <v>42613.322997685187</v>
          </cell>
          <cell r="F41">
            <v>42613.330995370372</v>
          </cell>
          <cell r="G41">
            <v>1</v>
          </cell>
          <cell r="H41" t="str">
            <v>204:150</v>
          </cell>
          <cell r="I41">
            <v>42613.358946759261</v>
          </cell>
          <cell r="J41">
            <v>0</v>
          </cell>
          <cell r="K41" t="str">
            <v>4029/4030</v>
          </cell>
          <cell r="L41" t="str">
            <v>MAELZER</v>
          </cell>
          <cell r="M41">
            <v>2.7951388889050577E-2</v>
          </cell>
          <cell r="N41">
            <v>40.250000000232831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https://search-rtdc-monitor-bjffxe2xuh6vdkpspy63sjmuny.us-east-1.es.amazonaws.com/_plugin/kibana/#/discover/Steve-Slow-Train-Analysis-(2080s-and-2083s)?_g=(refreshInterval:(display:Off,section:0,value:0),time:(from:'2016-08-31 06:45:07-0600',mode:absolute,to:'2016-08-31 09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41" t="str">
            <v>N</v>
          </cell>
          <cell r="X41">
            <v>1</v>
          </cell>
          <cell r="Y41">
            <v>23.299399999999999</v>
          </cell>
          <cell r="Z41">
            <v>1.4999999999999999E-2</v>
          </cell>
          <cell r="AA41">
            <v>23.284399999999998</v>
          </cell>
          <cell r="AB41" t="e">
            <v>#N/A</v>
          </cell>
          <cell r="AC41" t="e">
            <v>#N/A</v>
          </cell>
          <cell r="AD41" t="str">
            <v>0128-31</v>
          </cell>
          <cell r="AE41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42">
          <cell r="A42" t="str">
            <v>129-31</v>
          </cell>
          <cell r="B42">
            <v>4044</v>
          </cell>
          <cell r="C42" t="str">
            <v>DE.1.0.7.0</v>
          </cell>
          <cell r="D42" t="str">
            <v>204:451</v>
          </cell>
          <cell r="E42">
            <v>42613.296273148146</v>
          </cell>
          <cell r="F42">
            <v>42613.302256944444</v>
          </cell>
          <cell r="G42">
            <v>2</v>
          </cell>
          <cell r="H42" t="str">
            <v>204:233293</v>
          </cell>
          <cell r="I42">
            <v>42613.328483796293</v>
          </cell>
          <cell r="J42">
            <v>0</v>
          </cell>
          <cell r="K42" t="str">
            <v>4043/4044</v>
          </cell>
          <cell r="L42" t="str">
            <v>SMITH</v>
          </cell>
          <cell r="M42">
            <v>2.622685184906004E-2</v>
          </cell>
          <cell r="N42">
            <v>37.766666662646458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https://search-rtdc-monitor-bjffxe2xuh6vdkpspy63sjmuny.us-east-1.es.amazonaws.com/_plugin/kibana/#/discover/Steve-Slow-Train-Analysis-(2080s-and-2083s)?_g=(refreshInterval:(display:Off,section:0,value:0),time:(from:'2016-08-31 06:06:38-0600',mode:absolute,to:'2016-08-31 08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42" t="str">
            <v>N</v>
          </cell>
          <cell r="X42">
            <v>1</v>
          </cell>
          <cell r="Y42">
            <v>4.5100000000000001E-2</v>
          </cell>
          <cell r="Z42">
            <v>23.3293</v>
          </cell>
          <cell r="AA42">
            <v>23.284199999999998</v>
          </cell>
          <cell r="AB42">
            <v>116838</v>
          </cell>
          <cell r="AC42" t="str">
            <v>PERMANENT SPEED RESTRICTION</v>
          </cell>
          <cell r="AD42" t="str">
            <v>0129-31</v>
          </cell>
          <cell r="AE42" t="str">
            <v>aws s3 cp s3://rtdc.mdm.uploadarchive/RTDC4044/2016-08-31/ "%USERPROFILE%\AppData\Local\Temp\OnboardLogs"\RTDC4044\2016-08-31 --recursive &amp; "%USERPROFILE%\Documents\GitHub\mrs-test-scripts\Headless Mode &amp; Sideloading\WalkAndUnGZ.bat" "%USERPROFILE%\AppData\Local\Temp\OnboardLogs"\RTDC4044\2016-08-31 &amp; 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</v>
          </cell>
        </row>
        <row r="43">
          <cell r="A43" t="str">
            <v>130-31</v>
          </cell>
          <cell r="B43">
            <v>4043</v>
          </cell>
          <cell r="C43" t="str">
            <v>DE.1.0.7.0</v>
          </cell>
          <cell r="D43" t="str">
            <v>204:232965</v>
          </cell>
          <cell r="E43">
            <v>42613.333807870367</v>
          </cell>
          <cell r="F43">
            <v>42613.341157407405</v>
          </cell>
          <cell r="G43">
            <v>2</v>
          </cell>
          <cell r="H43" t="str">
            <v>204:141</v>
          </cell>
          <cell r="I43">
            <v>42613.369976851849</v>
          </cell>
          <cell r="J43">
            <v>0</v>
          </cell>
          <cell r="K43" t="str">
            <v>4043/4044</v>
          </cell>
          <cell r="L43" t="str">
            <v>SMITH</v>
          </cell>
          <cell r="M43">
            <v>2.8819444443797693E-2</v>
          </cell>
          <cell r="N43">
            <v>41.499999999068677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https://search-rtdc-monitor-bjffxe2xuh6vdkpspy63sjmuny.us-east-1.es.amazonaws.com/_plugin/kibana/#/discover/Steve-Slow-Train-Analysis-(2080s-and-2083s)?_g=(refreshInterval:(display:Off,section:0,value:0),time:(from:'2016-08-31 07:00:41-0600',mode:absolute,to:'2016-08-31 09:52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43" t="str">
            <v>N</v>
          </cell>
          <cell r="X43">
            <v>1</v>
          </cell>
          <cell r="Y43">
            <v>23.296500000000002</v>
          </cell>
          <cell r="Z43">
            <v>1.41E-2</v>
          </cell>
          <cell r="AA43">
            <v>23.282400000000003</v>
          </cell>
          <cell r="AB43" t="e">
            <v>#N/A</v>
          </cell>
          <cell r="AC43" t="e">
            <v>#N/A</v>
          </cell>
          <cell r="AD43" t="str">
            <v>0130-31</v>
          </cell>
          <cell r="AE43" t="str">
            <v>aws s3 cp s3://rtdc.mdm.uploadarchive/RTDC4043/2016-08-31/ "%USERPROFILE%\AppData\Local\Temp\OnboardLogs"\RTDC4043\2016-08-31 --recursive &amp; "%USERPROFILE%\Documents\GitHub\mrs-test-scripts\Headless Mode &amp; Sideloading\WalkAndUnGZ.bat" "%USERPROFILE%\AppData\Local\Temp\OnboardLogs"\RTDC4043\2016-08-31 &amp; 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</v>
          </cell>
        </row>
        <row r="44">
          <cell r="A44" t="str">
            <v>131-31</v>
          </cell>
          <cell r="B44">
            <v>4002</v>
          </cell>
          <cell r="C44" t="str">
            <v>DE.1.0.7.0</v>
          </cell>
          <cell r="D44" t="str">
            <v>204:493</v>
          </cell>
          <cell r="E44">
            <v>42613.307766203703</v>
          </cell>
          <cell r="F44">
            <v>42613.312673611108</v>
          </cell>
          <cell r="G44">
            <v>1</v>
          </cell>
          <cell r="H44" t="str">
            <v>204:233321</v>
          </cell>
          <cell r="I44">
            <v>42613.339317129627</v>
          </cell>
          <cell r="J44">
            <v>0</v>
          </cell>
          <cell r="K44" t="str">
            <v>4001/4002</v>
          </cell>
          <cell r="L44" t="str">
            <v>ARVIDSON</v>
          </cell>
          <cell r="M44">
            <v>2.6643518518540077E-2</v>
          </cell>
          <cell r="N44">
            <v>38.366666666697711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https://search-rtdc-monitor-bjffxe2xuh6vdkpspy63sjmuny.us-east-1.es.amazonaws.com/_plugin/kibana/#/discover/Steve-Slow-Train-Analysis-(2080s-and-2083s)?_g=(refreshInterval:(display:Off,section:0,value:0),time:(from:'2016-08-31 06:23:11-0600',mode:absolute,to:'2016-08-31 09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44" t="str">
            <v>N</v>
          </cell>
          <cell r="X44">
            <v>1</v>
          </cell>
          <cell r="Y44">
            <v>4.9299999999999997E-2</v>
          </cell>
          <cell r="Z44">
            <v>23.332100000000001</v>
          </cell>
          <cell r="AA44">
            <v>23.282800000000002</v>
          </cell>
          <cell r="AB44" t="e">
            <v>#N/A</v>
          </cell>
          <cell r="AC44" t="e">
            <v>#N/A</v>
          </cell>
          <cell r="AD44" t="str">
            <v>0131-31</v>
          </cell>
          <cell r="AE44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45">
          <cell r="A45" t="str">
            <v>132-31</v>
          </cell>
          <cell r="B45">
            <v>4001</v>
          </cell>
          <cell r="C45" t="str">
            <v>DE.1.0.7.0</v>
          </cell>
          <cell r="D45" t="str">
            <v>204:232987</v>
          </cell>
          <cell r="E45">
            <v>42613.346342592595</v>
          </cell>
          <cell r="F45">
            <v>42613.351597222223</v>
          </cell>
          <cell r="G45">
            <v>1</v>
          </cell>
          <cell r="H45" t="str">
            <v>204:160</v>
          </cell>
          <cell r="I45">
            <v>42613.380462962959</v>
          </cell>
          <cell r="J45">
            <v>0</v>
          </cell>
          <cell r="K45" t="str">
            <v>4001/4002</v>
          </cell>
          <cell r="L45" t="str">
            <v>ARVIDSON</v>
          </cell>
          <cell r="M45">
            <v>2.8865740736364387E-2</v>
          </cell>
          <cell r="N45">
            <v>41.566666660364717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https://search-rtdc-monitor-bjffxe2xuh6vdkpspy63sjmuny.us-east-1.es.amazonaws.com/_plugin/kibana/#/discover/Steve-Slow-Train-Analysis-(2080s-and-2083s)?_g=(refreshInterval:(display:Off,section:0,value:0),time:(from:'2016-08-31 07:18:44-0600',mode:absolute,to:'2016-08-31 10:07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45" t="str">
            <v>N</v>
          </cell>
          <cell r="X45">
            <v>1</v>
          </cell>
          <cell r="Y45">
            <v>23.2987</v>
          </cell>
          <cell r="Z45">
            <v>1.6E-2</v>
          </cell>
          <cell r="AA45">
            <v>23.282700000000002</v>
          </cell>
          <cell r="AB45" t="e">
            <v>#N/A</v>
          </cell>
          <cell r="AC45" t="e">
            <v>#N/A</v>
          </cell>
          <cell r="AD45" t="str">
            <v>0132-31</v>
          </cell>
          <cell r="AE45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46">
          <cell r="A46" t="str">
            <v>133-31</v>
          </cell>
          <cell r="B46">
            <v>4016</v>
          </cell>
          <cell r="C46" t="str">
            <v>DE.1.0.7.0</v>
          </cell>
          <cell r="D46" t="str">
            <v>204:446</v>
          </cell>
          <cell r="E46">
            <v>42613.319409722222</v>
          </cell>
          <cell r="F46">
            <v>42613.323182870372</v>
          </cell>
          <cell r="G46">
            <v>1</v>
          </cell>
          <cell r="H46" t="str">
            <v>204:233309</v>
          </cell>
          <cell r="I46">
            <v>42613.349490740744</v>
          </cell>
          <cell r="J46">
            <v>0</v>
          </cell>
          <cell r="K46" t="str">
            <v>4015/4016</v>
          </cell>
          <cell r="L46" t="str">
            <v>STRICKLAND</v>
          </cell>
          <cell r="M46">
            <v>2.6307870371965691E-2</v>
          </cell>
          <cell r="N46">
            <v>37.883333335630596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https://search-rtdc-monitor-bjffxe2xuh6vdkpspy63sjmuny.us-east-1.es.amazonaws.com/_plugin/kibana/#/discover/Steve-Slow-Train-Analysis-(2080s-and-2083s)?_g=(refreshInterval:(display:Off,section:0,value:0),time:(from:'2016-08-31 06:39:57-0600',mode:absolute,to:'2016-08-31 09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46" t="str">
            <v>N</v>
          </cell>
          <cell r="X46">
            <v>1</v>
          </cell>
          <cell r="Y46">
            <v>4.4600000000000001E-2</v>
          </cell>
          <cell r="Z46">
            <v>23.3309</v>
          </cell>
          <cell r="AA46">
            <v>23.286300000000001</v>
          </cell>
          <cell r="AB46" t="e">
            <v>#N/A</v>
          </cell>
          <cell r="AC46" t="e">
            <v>#N/A</v>
          </cell>
          <cell r="AD46" t="str">
            <v>0133-31</v>
          </cell>
          <cell r="AE46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47">
          <cell r="A47" t="str">
            <v>134-31</v>
          </cell>
          <cell r="B47">
            <v>4015</v>
          </cell>
          <cell r="C47" t="str">
            <v>DE.1.0.7.0</v>
          </cell>
          <cell r="D47" t="str">
            <v>204:232982</v>
          </cell>
          <cell r="E47">
            <v>42613.357106481482</v>
          </cell>
          <cell r="F47">
            <v>42613.362141203703</v>
          </cell>
          <cell r="G47">
            <v>1</v>
          </cell>
          <cell r="H47" t="str">
            <v>204:163</v>
          </cell>
          <cell r="I47">
            <v>42613.390659722223</v>
          </cell>
          <cell r="J47">
            <v>0</v>
          </cell>
          <cell r="K47" t="str">
            <v>4015/4016</v>
          </cell>
          <cell r="L47" t="str">
            <v>STRICKLAND</v>
          </cell>
          <cell r="M47">
            <v>2.8518518520286307E-2</v>
          </cell>
          <cell r="N47">
            <v>41.066666669212282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https://search-rtdc-monitor-bjffxe2xuh6vdkpspy63sjmuny.us-east-1.es.amazonaws.com/_plugin/kibana/#/discover/Steve-Slow-Train-Analysis-(2080s-and-2083s)?_g=(refreshInterval:(display:Off,section:0,value:0),time:(from:'2016-08-31 07:34:14-0600',mode:absolute,to:'2016-08-31 10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47" t="str">
            <v>N</v>
          </cell>
          <cell r="X47">
            <v>1</v>
          </cell>
          <cell r="Y47">
            <v>23.298200000000001</v>
          </cell>
          <cell r="Z47">
            <v>1.6299999999999999E-2</v>
          </cell>
          <cell r="AA47">
            <v>23.2819</v>
          </cell>
          <cell r="AB47" t="e">
            <v>#N/A</v>
          </cell>
          <cell r="AC47" t="e">
            <v>#N/A</v>
          </cell>
          <cell r="AD47" t="str">
            <v>0134-31</v>
          </cell>
          <cell r="AE47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48">
          <cell r="A48" t="str">
            <v>135-31</v>
          </cell>
          <cell r="B48">
            <v>4014</v>
          </cell>
          <cell r="C48" t="str">
            <v>DE.1.0.7.0</v>
          </cell>
          <cell r="D48" t="str">
            <v>204:457</v>
          </cell>
          <cell r="E48">
            <v>42613.328819444447</v>
          </cell>
          <cell r="F48">
            <v>42613.333981481483</v>
          </cell>
          <cell r="G48">
            <v>1</v>
          </cell>
          <cell r="H48" t="str">
            <v>204:233306</v>
          </cell>
          <cell r="I48">
            <v>42613.35974537037</v>
          </cell>
          <cell r="J48">
            <v>0</v>
          </cell>
          <cell r="K48" t="str">
            <v>4013/4014</v>
          </cell>
          <cell r="L48" t="str">
            <v>SPECTOR</v>
          </cell>
          <cell r="M48">
            <v>2.5763888887013309E-2</v>
          </cell>
          <cell r="N48">
            <v>37.099999997299165</v>
          </cell>
          <cell r="S48">
            <v>1</v>
          </cell>
          <cell r="T48" t="str">
            <v>NorthBound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https://search-rtdc-monitor-bjffxe2xuh6vdkpspy63sjmuny.us-east-1.es.amazonaws.com/_plugin/kibana/#/discover/Steve-Slow-Train-Analysis-(2080s-and-2083s)?_g=(refreshInterval:(display:Off,section:0,value:0),time:(from:'2016-08-31 06:53:30-0600',mode:absolute,to:'2016-08-31 09:38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48" t="str">
            <v>N</v>
          </cell>
          <cell r="X48">
            <v>1</v>
          </cell>
          <cell r="Y48">
            <v>4.5699999999999998E-2</v>
          </cell>
          <cell r="Z48">
            <v>23.3306</v>
          </cell>
          <cell r="AA48">
            <v>23.2849</v>
          </cell>
          <cell r="AB48" t="e">
            <v>#N/A</v>
          </cell>
          <cell r="AC48" t="e">
            <v>#N/A</v>
          </cell>
          <cell r="AD48" t="str">
            <v>0135-31</v>
          </cell>
          <cell r="AE48" t="str">
    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    </cell>
        </row>
        <row r="49">
          <cell r="A49" t="str">
            <v>136-31</v>
          </cell>
          <cell r="B49">
            <v>4013</v>
          </cell>
          <cell r="C49" t="str">
            <v>DE.1.0.7.0</v>
          </cell>
          <cell r="D49" t="str">
            <v>204:233004</v>
          </cell>
          <cell r="E49">
            <v>42613.368460648147</v>
          </cell>
          <cell r="F49">
            <v>42613.372395833336</v>
          </cell>
          <cell r="G49">
            <v>1</v>
          </cell>
          <cell r="H49" t="str">
            <v>204:152</v>
          </cell>
          <cell r="I49">
            <v>42613.398865740739</v>
          </cell>
          <cell r="J49">
            <v>0</v>
          </cell>
          <cell r="K49" t="str">
            <v>4013/4014</v>
          </cell>
          <cell r="L49" t="str">
            <v>SPECTOR</v>
          </cell>
          <cell r="M49">
            <v>2.6469907403225079E-2</v>
          </cell>
          <cell r="N49">
            <v>38.116666660644114</v>
          </cell>
          <cell r="S49">
            <v>1</v>
          </cell>
          <cell r="T49" t="str">
            <v>Southbound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https://search-rtdc-monitor-bjffxe2xuh6vdkpspy63sjmuny.us-east-1.es.amazonaws.com/_plugin/kibana/#/discover/Steve-Slow-Train-Analysis-(2080s-and-2083s)?_g=(refreshInterval:(display:Off,section:0,value:0),time:(from:'2016-08-31 07:50:35-0600',mode:absolute,to:'2016-08-31 10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49" t="str">
            <v>N</v>
          </cell>
          <cell r="X49">
            <v>1</v>
          </cell>
          <cell r="Y49">
            <v>23.3004</v>
          </cell>
          <cell r="Z49">
            <v>1.52E-2</v>
          </cell>
          <cell r="AA49">
            <v>23.2852</v>
          </cell>
          <cell r="AB49" t="e">
            <v>#N/A</v>
          </cell>
          <cell r="AC49" t="e">
            <v>#N/A</v>
          </cell>
          <cell r="AD49" t="str">
            <v>0136-31</v>
          </cell>
          <cell r="AE49" t="str">
    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    </cell>
        </row>
        <row r="50">
          <cell r="A50" t="str">
            <v>137-31</v>
          </cell>
          <cell r="B50">
            <v>4011</v>
          </cell>
          <cell r="C50" t="str">
            <v>DE.1.0.7.0</v>
          </cell>
          <cell r="D50" t="str">
            <v>204:455</v>
          </cell>
          <cell r="E50">
            <v>42613.341168981482</v>
          </cell>
          <cell r="F50">
            <v>42613.3440625</v>
          </cell>
          <cell r="G50">
            <v>1</v>
          </cell>
          <cell r="H50" t="str">
            <v>204:233270</v>
          </cell>
          <cell r="I50">
            <v>42613.369305555556</v>
          </cell>
          <cell r="J50">
            <v>0</v>
          </cell>
          <cell r="K50" t="str">
            <v>4011/4012</v>
          </cell>
          <cell r="L50" t="str">
            <v>KILLION</v>
          </cell>
          <cell r="M50">
            <v>2.5243055555620231E-2</v>
          </cell>
          <cell r="N50">
            <v>36.350000000093132</v>
          </cell>
          <cell r="S50">
            <v>1</v>
          </cell>
          <cell r="T50" t="str">
            <v>NorthBound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https://search-rtdc-monitor-bjffxe2xuh6vdkpspy63sjmuny.us-east-1.es.amazonaws.com/_plugin/kibana/#/discover/Steve-Slow-Train-Analysis-(2080s-and-2083s)?_g=(refreshInterval:(display:Off,section:0,value:0),time:(from:'2016-08-31 07:11:17-0600',mode:absolute,to:'2016-08-31 09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50" t="str">
            <v>N</v>
          </cell>
          <cell r="X50">
            <v>1</v>
          </cell>
          <cell r="Y50">
            <v>4.5499999999999999E-2</v>
          </cell>
          <cell r="Z50">
            <v>23.327000000000002</v>
          </cell>
          <cell r="AA50">
            <v>23.281500000000001</v>
          </cell>
          <cell r="AB50" t="e">
            <v>#N/A</v>
          </cell>
          <cell r="AC50" t="e">
            <v>#N/A</v>
          </cell>
          <cell r="AD50" t="str">
            <v>0137-31</v>
          </cell>
          <cell r="AE50" t="str">
            <v>aws s3 cp s3://rtdc.mdm.uploadarchive/RTDC4011/2016-08-31/ "%USERPROFILE%\AppData\Local\Temp\OnboardLogs"\RTDC4011\2016-08-31 --recursive &amp; "%USERPROFILE%\Documents\GitHub\mrs-test-scripts\Headless Mode &amp; Sideloading\WalkAndUnGZ.bat" "%USERPROFILE%\AppData\Local\Temp\OnboardLogs"\RTDC4011\2016-08-31 &amp; 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</v>
          </cell>
        </row>
        <row r="51">
          <cell r="A51" t="str">
            <v>138-31</v>
          </cell>
          <cell r="B51">
            <v>4012</v>
          </cell>
          <cell r="C51" t="str">
            <v>DE.1.0.7.0</v>
          </cell>
          <cell r="D51" t="str">
            <v>204:232973</v>
          </cell>
          <cell r="E51">
            <v>42613.375254629631</v>
          </cell>
          <cell r="F51">
            <v>42613.382824074077</v>
          </cell>
          <cell r="G51">
            <v>1</v>
          </cell>
          <cell r="H51" t="str">
            <v>204:152</v>
          </cell>
          <cell r="I51">
            <v>42613.409722222219</v>
          </cell>
          <cell r="J51">
            <v>0</v>
          </cell>
          <cell r="K51" t="str">
            <v>4011/4012</v>
          </cell>
          <cell r="L51" t="str">
            <v>KILLION</v>
          </cell>
          <cell r="M51">
            <v>2.6898148142208811E-2</v>
          </cell>
          <cell r="N51">
            <v>38.733333324780688</v>
          </cell>
          <cell r="S51">
            <v>1</v>
          </cell>
          <cell r="T51" t="str">
            <v>Southbound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https://search-rtdc-monitor-bjffxe2xuh6vdkpspy63sjmuny.us-east-1.es.amazonaws.com/_plugin/kibana/#/discover/Steve-Slow-Train-Analysis-(2080s-and-2083s)?_g=(refreshInterval:(display:Off,section:0,value:0),time:(from:'2016-08-31 08:00:22-0600',mode:absolute,to:'2016-08-31 10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51" t="str">
            <v>N</v>
          </cell>
          <cell r="X51">
            <v>1</v>
          </cell>
          <cell r="Y51">
            <v>23.2973</v>
          </cell>
          <cell r="Z51">
            <v>1.52E-2</v>
          </cell>
          <cell r="AA51">
            <v>23.2821</v>
          </cell>
          <cell r="AB51" t="e">
            <v>#N/A</v>
          </cell>
          <cell r="AC51" t="e">
            <v>#N/A</v>
          </cell>
          <cell r="AD51" t="str">
            <v>0138-31</v>
          </cell>
          <cell r="AE51" t="str">
            <v>aws s3 cp s3://rtdc.mdm.uploadarchive/RTDC4012/2016-08-31/ "%USERPROFILE%\AppData\Local\Temp\OnboardLogs"\RTDC4012\2016-08-31 --recursive &amp; "%USERPROFILE%\Documents\GitHub\mrs-test-scripts\Headless Mode &amp; Sideloading\WalkAndUnGZ.bat" "%USERPROFILE%\AppData\Local\Temp\OnboardLogs"\RTDC4012\2016-08-31 &amp; 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</v>
          </cell>
        </row>
        <row r="52">
          <cell r="A52" t="str">
            <v>139-31</v>
          </cell>
          <cell r="B52">
            <v>4042</v>
          </cell>
          <cell r="C52" t="str">
            <v>DE.1.0.7.0</v>
          </cell>
          <cell r="D52" t="str">
            <v>204:464</v>
          </cell>
          <cell r="E52">
            <v>42613.350405092591</v>
          </cell>
          <cell r="F52">
            <v>42613.354432870372</v>
          </cell>
          <cell r="G52">
            <v>1</v>
          </cell>
          <cell r="H52" t="str">
            <v>204:233300</v>
          </cell>
          <cell r="I52">
            <v>42613.379942129628</v>
          </cell>
          <cell r="J52">
            <v>0</v>
          </cell>
          <cell r="K52" t="str">
            <v>4041/4042</v>
          </cell>
          <cell r="L52" t="str">
            <v>SANTIZO</v>
          </cell>
          <cell r="M52">
            <v>2.5509259256068617E-2</v>
          </cell>
          <cell r="N52">
            <v>36.733333328738809</v>
          </cell>
          <cell r="S52">
            <v>1</v>
          </cell>
          <cell r="T52" t="str">
            <v>NorthBound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https://search-rtdc-monitor-bjffxe2xuh6vdkpspy63sjmuny.us-east-1.es.amazonaws.com/_plugin/kibana/#/discover/Steve-Slow-Train-Analysis-(2080s-and-2083s)?_g=(refreshInterval:(display:Off,section:0,value:0),time:(from:'2016-08-31 07:24:35-0600',mode:absolute,to:'2016-08-31 10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52" t="str">
            <v>N</v>
          </cell>
          <cell r="X52">
            <v>1</v>
          </cell>
          <cell r="Y52">
            <v>4.6399999999999997E-2</v>
          </cell>
          <cell r="Z52">
            <v>23.33</v>
          </cell>
          <cell r="AA52">
            <v>23.2836</v>
          </cell>
          <cell r="AB52" t="e">
            <v>#N/A</v>
          </cell>
          <cell r="AC52" t="e">
            <v>#N/A</v>
          </cell>
          <cell r="AD52" t="str">
            <v>0139-31</v>
          </cell>
          <cell r="AE52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53">
          <cell r="A53" t="str">
            <v>140-31</v>
          </cell>
          <cell r="B53">
            <v>4041</v>
          </cell>
          <cell r="C53" t="str">
            <v>DE.1.0.7.0</v>
          </cell>
          <cell r="D53" t="str">
            <v>204:232993</v>
          </cell>
          <cell r="E53">
            <v>42613.381423611114</v>
          </cell>
          <cell r="F53">
            <v>42613.39335648148</v>
          </cell>
          <cell r="G53">
            <v>1</v>
          </cell>
          <cell r="H53" t="str">
            <v>204:147</v>
          </cell>
          <cell r="I53">
            <v>42613.421215277776</v>
          </cell>
          <cell r="J53">
            <v>0</v>
          </cell>
          <cell r="K53" t="str">
            <v>4041/4042</v>
          </cell>
          <cell r="L53" t="str">
            <v>SANTIZO</v>
          </cell>
          <cell r="M53">
            <v>2.7858796296641231E-2</v>
          </cell>
          <cell r="N53">
            <v>40.116666667163372</v>
          </cell>
          <cell r="S53">
            <v>1</v>
          </cell>
          <cell r="T53" t="str">
            <v>Southbound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https://search-rtdc-monitor-bjffxe2xuh6vdkpspy63sjmuny.us-east-1.es.amazonaws.com/_plugin/kibana/#/discover/Steve-Slow-Train-Analysis-(2080s-and-2083s)?_g=(refreshInterval:(display:Off,section:0,value:0),time:(from:'2016-08-31 08:09:15-0600',mode:absolute,to:'2016-08-31 11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53" t="str">
            <v>N</v>
          </cell>
          <cell r="X53">
            <v>1</v>
          </cell>
          <cell r="Y53">
            <v>23.299299999999999</v>
          </cell>
          <cell r="Z53">
            <v>1.47E-2</v>
          </cell>
          <cell r="AA53">
            <v>23.284599999999998</v>
          </cell>
          <cell r="AB53" t="e">
            <v>#N/A</v>
          </cell>
          <cell r="AC53" t="e">
            <v>#N/A</v>
          </cell>
          <cell r="AD53" t="str">
            <v>0140-31</v>
          </cell>
          <cell r="AE53" t="str">
    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    </cell>
        </row>
        <row r="54">
          <cell r="A54" t="str">
            <v>141-31</v>
          </cell>
          <cell r="B54">
            <v>4029</v>
          </cell>
          <cell r="C54" t="str">
            <v>DE.1.0.7.0</v>
          </cell>
          <cell r="D54" t="str">
            <v>204:446</v>
          </cell>
          <cell r="E54">
            <v>42613.362858796296</v>
          </cell>
          <cell r="F54">
            <v>42613.364861111113</v>
          </cell>
          <cell r="G54">
            <v>1</v>
          </cell>
          <cell r="H54" t="str">
            <v>204:233320</v>
          </cell>
          <cell r="I54">
            <v>42613.390208333331</v>
          </cell>
          <cell r="J54">
            <v>0</v>
          </cell>
          <cell r="K54" t="str">
            <v>4029/4030</v>
          </cell>
          <cell r="L54" t="str">
            <v>MAELZER</v>
          </cell>
          <cell r="M54">
            <v>2.5347222217533272E-2</v>
          </cell>
          <cell r="N54">
            <v>36.499999993247911</v>
          </cell>
          <cell r="S54">
            <v>1</v>
          </cell>
          <cell r="T54" t="str">
            <v>NorthBound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https://search-rtdc-monitor-bjffxe2xuh6vdkpspy63sjmuny.us-east-1.es.amazonaws.com/_plugin/kibana/#/discover/Steve-Slow-Train-Analysis-(2080s-and-2083s)?_g=(refreshInterval:(display:Off,section:0,value:0),time:(from:'2016-08-31 07:42:31-0600',mode:absolute,to:'2016-08-31 10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54" t="str">
            <v>N</v>
          </cell>
          <cell r="X54">
            <v>1</v>
          </cell>
          <cell r="Y54">
            <v>4.4600000000000001E-2</v>
          </cell>
          <cell r="Z54">
            <v>23.332000000000001</v>
          </cell>
          <cell r="AA54">
            <v>23.287400000000002</v>
          </cell>
          <cell r="AB54" t="e">
            <v>#N/A</v>
          </cell>
          <cell r="AC54" t="e">
            <v>#N/A</v>
          </cell>
          <cell r="AD54" t="str">
            <v>0141-31</v>
          </cell>
          <cell r="AE54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55">
          <cell r="A55" t="str">
            <v>142-31</v>
          </cell>
          <cell r="B55">
            <v>4030</v>
          </cell>
          <cell r="C55" t="str">
            <v>DE.1.0.7.0</v>
          </cell>
          <cell r="D55" t="str">
            <v>204:232990</v>
          </cell>
          <cell r="E55">
            <v>42613.396990740737</v>
          </cell>
          <cell r="F55">
            <v>42613.403692129628</v>
          </cell>
          <cell r="G55">
            <v>1</v>
          </cell>
          <cell r="H55" t="str">
            <v>204:150</v>
          </cell>
          <cell r="I55">
            <v>42613.430601851855</v>
          </cell>
          <cell r="J55">
            <v>0</v>
          </cell>
          <cell r="K55" t="str">
            <v>4029/4030</v>
          </cell>
          <cell r="L55" t="str">
            <v>MAELZER</v>
          </cell>
          <cell r="M55">
            <v>2.6909722226264421E-2</v>
          </cell>
          <cell r="N55">
            <v>38.750000005820766</v>
          </cell>
          <cell r="S55">
            <v>1</v>
          </cell>
          <cell r="T55" t="str">
            <v>Southbound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https://search-rtdc-monitor-bjffxe2xuh6vdkpspy63sjmuny.us-east-1.es.amazonaws.com/_plugin/kibana/#/discover/Steve-Slow-Train-Analysis-(2080s-and-2083s)?_g=(refreshInterval:(display:Off,section:0,value:0),time:(from:'2016-08-31 08:31:40-0600',mode:absolute,to:'2016-08-31 11:20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55" t="str">
            <v>N</v>
          </cell>
          <cell r="X55">
            <v>1</v>
          </cell>
          <cell r="Y55">
            <v>23.298999999999999</v>
          </cell>
          <cell r="Z55">
            <v>1.4999999999999999E-2</v>
          </cell>
          <cell r="AA55">
            <v>23.283999999999999</v>
          </cell>
          <cell r="AB55" t="e">
            <v>#N/A</v>
          </cell>
          <cell r="AC55" t="e">
            <v>#N/A</v>
          </cell>
          <cell r="AD55" t="str">
            <v>0142-31</v>
          </cell>
          <cell r="AE55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56">
          <cell r="A56" t="str">
            <v>143-31</v>
          </cell>
          <cell r="B56">
            <v>4044</v>
          </cell>
          <cell r="C56" t="str">
            <v>DE.1.0.7.0</v>
          </cell>
          <cell r="D56" t="str">
            <v>204:451</v>
          </cell>
          <cell r="E56">
            <v>42613.373333333337</v>
          </cell>
          <cell r="F56">
            <v>42613.375277777777</v>
          </cell>
          <cell r="G56">
            <v>1</v>
          </cell>
          <cell r="H56" t="str">
            <v>204:233314</v>
          </cell>
          <cell r="I56">
            <v>42613.401319444441</v>
          </cell>
          <cell r="J56">
            <v>0</v>
          </cell>
          <cell r="K56" t="str">
            <v>4043/4044</v>
          </cell>
          <cell r="L56" t="str">
            <v>SMITH</v>
          </cell>
          <cell r="M56">
            <v>2.6041666664241347E-2</v>
          </cell>
          <cell r="N56">
            <v>37.49999999650754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https://search-rtdc-monitor-bjffxe2xuh6vdkpspy63sjmuny.us-east-1.es.amazonaws.com/_plugin/kibana/#/discover/Steve-Slow-Train-Analysis-(2080s-and-2083s)?_g=(refreshInterval:(display:Off,section:0,value:0),time:(from:'2016-08-31 07:57:36-0600',mode:absolute,to:'2016-08-31 10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56" t="str">
            <v>N</v>
          </cell>
          <cell r="X56">
            <v>1</v>
          </cell>
          <cell r="Y56">
            <v>4.5100000000000001E-2</v>
          </cell>
          <cell r="Z56">
            <v>23.331399999999999</v>
          </cell>
          <cell r="AA56">
            <v>23.286299999999997</v>
          </cell>
          <cell r="AB56" t="e">
            <v>#N/A</v>
          </cell>
          <cell r="AC56" t="e">
            <v>#N/A</v>
          </cell>
          <cell r="AD56" t="str">
            <v>0143-31</v>
          </cell>
          <cell r="AE56" t="str">
            <v>aws s3 cp s3://rtdc.mdm.uploadarchive/RTDC4044/2016-08-31/ "%USERPROFILE%\AppData\Local\Temp\OnboardLogs"\RTDC4044\2016-08-31 --recursive &amp; "%USERPROFILE%\Documents\GitHub\mrs-test-scripts\Headless Mode &amp; Sideloading\WalkAndUnGZ.bat" "%USERPROFILE%\AppData\Local\Temp\OnboardLogs"\RTDC4044\2016-08-31 &amp; 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</v>
          </cell>
        </row>
        <row r="57">
          <cell r="A57" t="str">
            <v>144-31</v>
          </cell>
          <cell r="B57">
            <v>4043</v>
          </cell>
          <cell r="C57" t="str">
            <v>DE.1.0.7.0</v>
          </cell>
          <cell r="D57" t="str">
            <v>204:233010</v>
          </cell>
          <cell r="E57">
            <v>42613.410162037035</v>
          </cell>
          <cell r="F57">
            <v>42613.414166666669</v>
          </cell>
          <cell r="G57">
            <v>1</v>
          </cell>
          <cell r="H57" t="str">
            <v>204:158</v>
          </cell>
          <cell r="I57">
            <v>42613.441203703704</v>
          </cell>
          <cell r="J57">
            <v>0</v>
          </cell>
          <cell r="K57" t="str">
            <v>4043/4044</v>
          </cell>
          <cell r="L57" t="str">
            <v>SMITH</v>
          </cell>
          <cell r="M57">
            <v>2.7037037034460809E-2</v>
          </cell>
          <cell r="N57">
            <v>38.933333329623565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https://search-rtdc-monitor-bjffxe2xuh6vdkpspy63sjmuny.us-east-1.es.amazonaws.com/_plugin/kibana/#/discover/Steve-Slow-Train-Analysis-(2080s-and-2083s)?_g=(refreshInterval:(display:Off,section:0,value:0),time:(from:'2016-08-31 08:50:38-0600',mode:absolute,to:'2016-08-31 11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57" t="str">
            <v>N</v>
          </cell>
          <cell r="X57">
            <v>1</v>
          </cell>
          <cell r="Y57">
            <v>23.300999999999998</v>
          </cell>
          <cell r="Z57">
            <v>1.5800000000000002E-2</v>
          </cell>
          <cell r="AA57">
            <v>23.2852</v>
          </cell>
          <cell r="AB57" t="e">
            <v>#N/A</v>
          </cell>
          <cell r="AC57" t="e">
            <v>#N/A</v>
          </cell>
          <cell r="AD57" t="str">
            <v>0144-31</v>
          </cell>
          <cell r="AE57" t="str">
            <v>aws s3 cp s3://rtdc.mdm.uploadarchive/RTDC4043/2016-08-31/ "%USERPROFILE%\AppData\Local\Temp\OnboardLogs"\RTDC4043\2016-08-31 --recursive &amp; "%USERPROFILE%\Documents\GitHub\mrs-test-scripts\Headless Mode &amp; Sideloading\WalkAndUnGZ.bat" "%USERPROFILE%\AppData\Local\Temp\OnboardLogs"\RTDC4043\2016-08-31 &amp; 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</v>
          </cell>
        </row>
        <row r="58">
          <cell r="A58" t="str">
            <v>145-31</v>
          </cell>
          <cell r="B58">
            <v>4002</v>
          </cell>
          <cell r="C58" t="str">
            <v>DE.1.0.7.0</v>
          </cell>
          <cell r="D58" t="str">
            <v>204:458</v>
          </cell>
          <cell r="E58">
            <v>42613.382870370369</v>
          </cell>
          <cell r="F58">
            <v>42613.385972222219</v>
          </cell>
          <cell r="G58">
            <v>3</v>
          </cell>
          <cell r="H58" t="str">
            <v>204:233289</v>
          </cell>
          <cell r="I58">
            <v>42613.411539351851</v>
          </cell>
          <cell r="J58">
            <v>0</v>
          </cell>
          <cell r="K58" t="str">
            <v>4001/4002</v>
          </cell>
          <cell r="L58" t="str">
            <v>ARVIDSON</v>
          </cell>
          <cell r="M58">
            <v>2.5567129632690921E-2</v>
          </cell>
          <cell r="N58">
            <v>36.816666671074927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https://search-rtdc-monitor-bjffxe2xuh6vdkpspy63sjmuny.us-east-1.es.amazonaws.com/_plugin/kibana/#/discover/Steve-Slow-Train-Analysis-(2080s-and-2083s)?_g=(refreshInterval:(display:Off,section:0,value:0),time:(from:'2016-08-31 08:11:20-0600',mode:absolute,to:'2016-08-31 10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58" t="str">
            <v>N</v>
          </cell>
          <cell r="X58">
            <v>1</v>
          </cell>
          <cell r="Y58">
            <v>4.58E-2</v>
          </cell>
          <cell r="Z58">
            <v>23.328900000000001</v>
          </cell>
          <cell r="AA58">
            <v>23.283100000000001</v>
          </cell>
          <cell r="AB58" t="e">
            <v>#N/A</v>
          </cell>
          <cell r="AC58" t="e">
            <v>#N/A</v>
          </cell>
          <cell r="AD58" t="str">
            <v>0145-31</v>
          </cell>
          <cell r="AE58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59">
          <cell r="A59" t="str">
            <v>146-31</v>
          </cell>
          <cell r="B59">
            <v>4001</v>
          </cell>
          <cell r="C59" t="str">
            <v>DE.1.0.7.0</v>
          </cell>
          <cell r="D59" t="str">
            <v>204:232977</v>
          </cell>
          <cell r="E59">
            <v>42613.42046296296</v>
          </cell>
          <cell r="F59">
            <v>42613.424560185187</v>
          </cell>
          <cell r="G59">
            <v>1</v>
          </cell>
          <cell r="H59" t="str">
            <v>204:161</v>
          </cell>
          <cell r="I59">
            <v>42613.453217592592</v>
          </cell>
          <cell r="J59">
            <v>0</v>
          </cell>
          <cell r="K59" t="str">
            <v>4001/4002</v>
          </cell>
          <cell r="L59" t="str">
            <v>ARVIDSON</v>
          </cell>
          <cell r="M59">
            <v>2.8657407405262347E-2</v>
          </cell>
          <cell r="N59">
            <v>41.26666666357778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https://search-rtdc-monitor-bjffxe2xuh6vdkpspy63sjmuny.us-east-1.es.amazonaws.com/_plugin/kibana/#/discover/Steve-Slow-Train-Analysis-(2080s-and-2083s)?_g=(refreshInterval:(display:Off,section:0,value:0),time:(from:'2016-08-31 09:05:28-0600',mode:absolute,to:'2016-08-31 11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59" t="str">
            <v>N</v>
          </cell>
          <cell r="X59">
            <v>1</v>
          </cell>
          <cell r="Y59">
            <v>23.297699999999999</v>
          </cell>
          <cell r="Z59">
            <v>1.61E-2</v>
          </cell>
          <cell r="AA59">
            <v>23.281599999999997</v>
          </cell>
          <cell r="AB59" t="e">
            <v>#N/A</v>
          </cell>
          <cell r="AC59" t="e">
            <v>#N/A</v>
          </cell>
          <cell r="AD59" t="str">
            <v>0146-31</v>
          </cell>
          <cell r="AE59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60">
          <cell r="A60" t="str">
            <v>147-31</v>
          </cell>
          <cell r="B60">
            <v>4016</v>
          </cell>
          <cell r="C60" t="str">
            <v>DE.1.0.7.0</v>
          </cell>
          <cell r="D60" t="str">
            <v>204:460</v>
          </cell>
          <cell r="E60">
            <v>42613.393738425926</v>
          </cell>
          <cell r="F60">
            <v>42613.396377314813</v>
          </cell>
          <cell r="G60">
            <v>1</v>
          </cell>
          <cell r="H60" t="str">
            <v>204:233319</v>
          </cell>
          <cell r="I60">
            <v>42613.422800925924</v>
          </cell>
          <cell r="J60">
            <v>0</v>
          </cell>
          <cell r="K60" t="str">
            <v>4015/4016</v>
          </cell>
          <cell r="L60" t="str">
            <v>STRICKLAND</v>
          </cell>
          <cell r="M60">
            <v>2.6423611110658385E-2</v>
          </cell>
          <cell r="N60">
            <v>38.049999999348074</v>
          </cell>
          <cell r="S60">
            <v>1</v>
          </cell>
          <cell r="T60" t="str">
            <v>NorthBound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https://search-rtdc-monitor-bjffxe2xuh6vdkpspy63sjmuny.us-east-1.es.amazonaws.com/_plugin/kibana/#/discover/Steve-Slow-Train-Analysis-(2080s-and-2083s)?_g=(refreshInterval:(display:Off,section:0,value:0),time:(from:'2016-08-31 08:26:59-0600',mode:absolute,to:'2016-08-31 11:08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60" t="str">
            <v>N</v>
          </cell>
          <cell r="X60">
            <v>1</v>
          </cell>
          <cell r="Y60">
            <v>4.5999999999999999E-2</v>
          </cell>
          <cell r="Z60">
            <v>23.331900000000001</v>
          </cell>
          <cell r="AA60">
            <v>23.285900000000002</v>
          </cell>
          <cell r="AB60" t="e">
            <v>#N/A</v>
          </cell>
          <cell r="AC60" t="e">
            <v>#N/A</v>
          </cell>
          <cell r="AD60" t="str">
            <v>0147-31</v>
          </cell>
          <cell r="AE60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61">
          <cell r="A61" t="str">
            <v>148-31</v>
          </cell>
          <cell r="B61">
            <v>4015</v>
          </cell>
          <cell r="C61" t="str">
            <v>DE.1.0.7.0</v>
          </cell>
          <cell r="D61" t="str">
            <v>204:232987</v>
          </cell>
          <cell r="E61">
            <v>42613.431747685187</v>
          </cell>
          <cell r="F61">
            <v>42613.434918981482</v>
          </cell>
          <cell r="G61">
            <v>1</v>
          </cell>
          <cell r="H61" t="str">
            <v>204:149</v>
          </cell>
          <cell r="I61">
            <v>42613.462627314817</v>
          </cell>
          <cell r="J61">
            <v>0</v>
          </cell>
          <cell r="K61" t="str">
            <v>4015/4016</v>
          </cell>
          <cell r="L61" t="str">
            <v>STRICKLAND</v>
          </cell>
          <cell r="M61">
            <v>2.7708333334885538E-2</v>
          </cell>
          <cell r="N61">
            <v>39.900000002235174</v>
          </cell>
          <cell r="S61">
            <v>1</v>
          </cell>
          <cell r="T61" t="str">
            <v>Southbound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https://search-rtdc-monitor-bjffxe2xuh6vdkpspy63sjmuny.us-east-1.es.amazonaws.com/_plugin/kibana/#/discover/Steve-Slow-Train-Analysis-(2080s-and-2083s)?_g=(refreshInterval:(display:Off,section:0,value:0),time:(from:'2016-08-31 09:21:43-0600',mode:absolute,to:'2016-08-31 12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61" t="str">
            <v>N</v>
          </cell>
          <cell r="X61">
            <v>1</v>
          </cell>
          <cell r="Y61">
            <v>23.2987</v>
          </cell>
          <cell r="Z61">
            <v>1.49E-2</v>
          </cell>
          <cell r="AA61">
            <v>23.283799999999999</v>
          </cell>
          <cell r="AB61" t="e">
            <v>#N/A</v>
          </cell>
          <cell r="AC61" t="e">
            <v>#N/A</v>
          </cell>
          <cell r="AD61" t="str">
            <v>0148-31</v>
          </cell>
          <cell r="AE61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62">
          <cell r="A62" t="str">
            <v>149-31</v>
          </cell>
          <cell r="B62">
            <v>4014</v>
          </cell>
          <cell r="C62" t="str">
            <v>DE.1.0.7.0</v>
          </cell>
          <cell r="D62" t="str">
            <v>204:458</v>
          </cell>
          <cell r="E62">
            <v>42613.402442129627</v>
          </cell>
          <cell r="F62">
            <v>42613.406423611108</v>
          </cell>
          <cell r="G62">
            <v>1</v>
          </cell>
          <cell r="H62" t="str">
            <v>204:233324</v>
          </cell>
          <cell r="I62">
            <v>42613.431979166664</v>
          </cell>
          <cell r="J62">
            <v>0</v>
          </cell>
          <cell r="K62" t="str">
            <v>4013/4014</v>
          </cell>
          <cell r="L62" t="str">
            <v>SPECTOR</v>
          </cell>
          <cell r="M62">
            <v>2.5555555555911269E-2</v>
          </cell>
          <cell r="N62">
            <v>36.800000000512227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https://search-rtdc-monitor-bjffxe2xuh6vdkpspy63sjmuny.us-east-1.es.amazonaws.com/_plugin/kibana/#/discover/Steve-Slow-Train-Analysis-(2080s-and-2083s)?_g=(refreshInterval:(display:Off,section:0,value:0),time:(from:'2016-08-31 08:39:31-0600',mode:absolute,to:'2016-08-31 11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62" t="str">
            <v>N</v>
          </cell>
          <cell r="X62">
            <v>1</v>
          </cell>
          <cell r="Y62">
            <v>4.58E-2</v>
          </cell>
          <cell r="Z62">
            <v>23.3324</v>
          </cell>
          <cell r="AA62">
            <v>23.2866</v>
          </cell>
          <cell r="AB62" t="e">
            <v>#N/A</v>
          </cell>
          <cell r="AC62" t="e">
            <v>#N/A</v>
          </cell>
          <cell r="AD62" t="str">
            <v>0149-31</v>
          </cell>
          <cell r="AE62" t="str">
    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    </cell>
        </row>
        <row r="63">
          <cell r="A63" t="str">
            <v>150-31</v>
          </cell>
          <cell r="B63">
            <v>4013</v>
          </cell>
          <cell r="C63" t="str">
            <v>DE.1.0.7.0</v>
          </cell>
          <cell r="D63" t="str">
            <v>204:233001</v>
          </cell>
          <cell r="E63">
            <v>42613.438136574077</v>
          </cell>
          <cell r="F63">
            <v>42613.445335648146</v>
          </cell>
          <cell r="G63">
            <v>1</v>
          </cell>
          <cell r="H63" t="str">
            <v>204:152</v>
          </cell>
          <cell r="I63">
            <v>42613.471585648149</v>
          </cell>
          <cell r="J63">
            <v>0</v>
          </cell>
          <cell r="K63" t="str">
            <v>4013/4014</v>
          </cell>
          <cell r="L63" t="str">
            <v>SPECTOR</v>
          </cell>
          <cell r="M63">
            <v>2.6250000002619345E-2</v>
          </cell>
          <cell r="N63">
            <v>37.800000003771856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https://search-rtdc-monitor-bjffxe2xuh6vdkpspy63sjmuny.us-east-1.es.amazonaws.com/_plugin/kibana/#/discover/Steve-Slow-Train-Analysis-(2080s-and-2083s)?_g=(refreshInterval:(display:Off,section:0,value:0),time:(from:'2016-08-31 09:30:55-0600',mode:absolute,to:'2016-08-31 12:19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63" t="str">
            <v>N</v>
          </cell>
          <cell r="X63">
            <v>1</v>
          </cell>
          <cell r="Y63">
            <v>23.3001</v>
          </cell>
          <cell r="Z63">
            <v>1.52E-2</v>
          </cell>
          <cell r="AA63">
            <v>23.2849</v>
          </cell>
          <cell r="AB63" t="e">
            <v>#N/A</v>
          </cell>
          <cell r="AC63" t="e">
            <v>#N/A</v>
          </cell>
          <cell r="AD63" t="str">
            <v>0150-31</v>
          </cell>
          <cell r="AE63" t="str">
    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    </cell>
        </row>
        <row r="64">
          <cell r="A64" t="str">
            <v>151-31</v>
          </cell>
          <cell r="B64">
            <v>4011</v>
          </cell>
          <cell r="C64" t="str">
            <v>DE.1.0.7.0</v>
          </cell>
          <cell r="D64" t="str">
            <v>204:438</v>
          </cell>
          <cell r="E64">
            <v>42613.411365740743</v>
          </cell>
          <cell r="F64">
            <v>42613.416921296295</v>
          </cell>
          <cell r="G64">
            <v>1</v>
          </cell>
          <cell r="H64" t="str">
            <v>204:233298</v>
          </cell>
          <cell r="I64">
            <v>42613.441874999997</v>
          </cell>
          <cell r="J64">
            <v>0</v>
          </cell>
          <cell r="K64" t="str">
            <v>4011/4012</v>
          </cell>
          <cell r="L64" t="str">
            <v>KILLION</v>
          </cell>
          <cell r="M64">
            <v>2.495370370161254E-2</v>
          </cell>
          <cell r="N64">
            <v>35.933333330322057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https://search-rtdc-monitor-bjffxe2xuh6vdkpspy63sjmuny.us-east-1.es.amazonaws.com/_plugin/kibana/#/discover/Steve-Slow-Train-Analysis-(2080s-and-2083s)?_g=(refreshInterval:(display:Off,section:0,value:0),time:(from:'2016-08-31 08:52:22-0600',mode:absolute,to:'2016-08-31 11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64" t="str">
            <v>N</v>
          </cell>
          <cell r="X64">
            <v>1</v>
          </cell>
          <cell r="Y64">
            <v>4.3799999999999999E-2</v>
          </cell>
          <cell r="Z64">
            <v>23.329799999999999</v>
          </cell>
          <cell r="AA64">
            <v>23.285999999999998</v>
          </cell>
          <cell r="AB64" t="e">
            <v>#N/A</v>
          </cell>
          <cell r="AC64" t="e">
            <v>#N/A</v>
          </cell>
          <cell r="AD64" t="str">
            <v>0151-31</v>
          </cell>
          <cell r="AE64" t="str">
            <v>aws s3 cp s3://rtdc.mdm.uploadarchive/RTDC4011/2016-08-31/ "%USERPROFILE%\AppData\Local\Temp\OnboardLogs"\RTDC4011\2016-08-31 --recursive &amp; "%USERPROFILE%\Documents\GitHub\mrs-test-scripts\Headless Mode &amp; Sideloading\WalkAndUnGZ.bat" "%USERPROFILE%\AppData\Local\Temp\OnboardLogs"\RTDC4011\2016-08-31 &amp; 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</v>
          </cell>
        </row>
        <row r="65">
          <cell r="A65" t="str">
            <v>152-31</v>
          </cell>
          <cell r="B65">
            <v>4012</v>
          </cell>
          <cell r="C65" t="str">
            <v>DE.1.0.7.0</v>
          </cell>
          <cell r="D65" t="str">
            <v>204:232972</v>
          </cell>
          <cell r="E65">
            <v>42613.449861111112</v>
          </cell>
          <cell r="F65">
            <v>42613.455729166664</v>
          </cell>
          <cell r="G65">
            <v>1</v>
          </cell>
          <cell r="H65" t="str">
            <v>204:156</v>
          </cell>
          <cell r="I65">
            <v>42613.482951388891</v>
          </cell>
          <cell r="J65">
            <v>0</v>
          </cell>
          <cell r="K65" t="str">
            <v>4011/4012</v>
          </cell>
          <cell r="L65" t="str">
            <v>KILLION</v>
          </cell>
          <cell r="M65">
            <v>2.7222222226555459E-2</v>
          </cell>
          <cell r="N65">
            <v>39.200000006239861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https://search-rtdc-monitor-bjffxe2xuh6vdkpspy63sjmuny.us-east-1.es.amazonaws.com/_plugin/kibana/#/discover/Steve-Slow-Train-Analysis-(2080s-and-2083s)?_g=(refreshInterval:(display:Off,section:0,value:0),time:(from:'2016-08-31 09:47:48-0600',mode:absolute,to:'2016-08-31 12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65" t="str">
            <v>N</v>
          </cell>
          <cell r="X65">
            <v>1</v>
          </cell>
          <cell r="Y65">
            <v>23.2972</v>
          </cell>
          <cell r="Z65">
            <v>1.5599999999999999E-2</v>
          </cell>
          <cell r="AA65">
            <v>23.281600000000001</v>
          </cell>
          <cell r="AB65" t="e">
            <v>#N/A</v>
          </cell>
          <cell r="AC65" t="e">
            <v>#N/A</v>
          </cell>
          <cell r="AD65" t="str">
            <v>0152-31</v>
          </cell>
          <cell r="AE65" t="str">
            <v>aws s3 cp s3://rtdc.mdm.uploadarchive/RTDC4012/2016-08-31/ "%USERPROFILE%\AppData\Local\Temp\OnboardLogs"\RTDC4012\2016-08-31 --recursive &amp; "%USERPROFILE%\Documents\GitHub\mrs-test-scripts\Headless Mode &amp; Sideloading\WalkAndUnGZ.bat" "%USERPROFILE%\AppData\Local\Temp\OnboardLogs"\RTDC4012\2016-08-31 &amp; 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</v>
          </cell>
        </row>
        <row r="66">
          <cell r="A66" t="str">
            <v>153-31</v>
          </cell>
          <cell r="B66">
            <v>4042</v>
          </cell>
          <cell r="C66" t="str">
            <v>DE.1.0.7.0</v>
          </cell>
          <cell r="D66" t="str">
            <v>204:464</v>
          </cell>
          <cell r="E66">
            <v>42613.425208333334</v>
          </cell>
          <cell r="F66">
            <v>42613.427731481483</v>
          </cell>
          <cell r="G66">
            <v>1</v>
          </cell>
          <cell r="H66" t="str">
            <v>204:233289</v>
          </cell>
          <cell r="I66">
            <v>42613.451550925929</v>
          </cell>
          <cell r="J66">
            <v>0</v>
          </cell>
          <cell r="K66" t="str">
            <v>4041/4042</v>
          </cell>
          <cell r="L66" t="str">
            <v>ROCHA</v>
          </cell>
          <cell r="M66">
            <v>2.3819444446417037E-2</v>
          </cell>
          <cell r="N66">
            <v>34.300000002840534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https://search-rtdc-monitor-bjffxe2xuh6vdkpspy63sjmuny.us-east-1.es.amazonaws.com/_plugin/kibana/#/discover/Steve-Slow-Train-Analysis-(2080s-and-2083s)?_g=(refreshInterval:(display:Off,section:0,value:0),time:(from:'2016-08-31 09:12:18-0600',mode:absolute,to:'2016-08-31 11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66" t="str">
            <v>N</v>
          </cell>
          <cell r="X66">
            <v>1</v>
          </cell>
          <cell r="Y66">
            <v>4.6399999999999997E-2</v>
          </cell>
          <cell r="Z66">
            <v>23.328900000000001</v>
          </cell>
          <cell r="AA66">
            <v>23.282500000000002</v>
          </cell>
          <cell r="AB66" t="e">
            <v>#N/A</v>
          </cell>
          <cell r="AC66" t="e">
            <v>#N/A</v>
          </cell>
          <cell r="AD66" t="str">
            <v>0153-31</v>
          </cell>
          <cell r="AE66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67">
          <cell r="A67" t="str">
            <v>154-31</v>
          </cell>
          <cell r="B67">
            <v>4041</v>
          </cell>
          <cell r="C67" t="str">
            <v>DE.1.0.7.0</v>
          </cell>
          <cell r="D67" t="str">
            <v>204:232977</v>
          </cell>
          <cell r="E67">
            <v>42613.464363425926</v>
          </cell>
          <cell r="F67">
            <v>42613.467523148145</v>
          </cell>
          <cell r="G67">
            <v>1</v>
          </cell>
          <cell r="H67" t="str">
            <v>204:138</v>
          </cell>
          <cell r="I67">
            <v>42613.492349537039</v>
          </cell>
          <cell r="J67">
            <v>0</v>
          </cell>
          <cell r="K67" t="str">
            <v>4041/4042</v>
          </cell>
          <cell r="L67" t="str">
            <v>ROCHA</v>
          </cell>
          <cell r="M67">
            <v>2.4826388893416151E-2</v>
          </cell>
          <cell r="N67">
            <v>35.750000006519258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https://search-rtdc-monitor-bjffxe2xuh6vdkpspy63sjmuny.us-east-1.es.amazonaws.com/_plugin/kibana/#/discover/Steve-Slow-Train-Analysis-(2080s-and-2083s)?_g=(refreshInterval:(display:Off,section:0,value:0),time:(from:'2016-08-31 10:08:41-0600',mode:absolute,to:'2016-08-31 12:48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67" t="str">
            <v>N</v>
          </cell>
          <cell r="X67">
            <v>1</v>
          </cell>
          <cell r="Y67">
            <v>23.297699999999999</v>
          </cell>
          <cell r="Z67">
            <v>1.38E-2</v>
          </cell>
          <cell r="AA67">
            <v>23.283899999999999</v>
          </cell>
          <cell r="AB67" t="e">
            <v>#N/A</v>
          </cell>
          <cell r="AC67" t="e">
            <v>#N/A</v>
          </cell>
          <cell r="AD67" t="str">
            <v>0154-31</v>
          </cell>
          <cell r="AE67" t="str">
    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    </cell>
        </row>
        <row r="68">
          <cell r="A68" t="str">
            <v>155-31</v>
          </cell>
          <cell r="B68">
            <v>4029</v>
          </cell>
          <cell r="C68" t="str">
            <v>DE.1.0.7.0</v>
          </cell>
          <cell r="D68" t="str">
            <v>204:444</v>
          </cell>
          <cell r="E68">
            <v>42613.433113425926</v>
          </cell>
          <cell r="F68">
            <v>42613.437731481485</v>
          </cell>
          <cell r="G68">
            <v>1</v>
          </cell>
          <cell r="H68" t="str">
            <v>204:233272</v>
          </cell>
          <cell r="I68">
            <v>42613.463321759256</v>
          </cell>
          <cell r="J68">
            <v>0</v>
          </cell>
          <cell r="K68" t="str">
            <v>4029/4030</v>
          </cell>
          <cell r="L68" t="str">
            <v>STARKS</v>
          </cell>
          <cell r="M68">
            <v>2.5590277771698311E-2</v>
          </cell>
          <cell r="N68">
            <v>36.849999991245568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https://search-rtdc-monitor-bjffxe2xuh6vdkpspy63sjmuny.us-east-1.es.amazonaws.com/_plugin/kibana/#/discover/Steve-Slow-Train-Analysis-(2080s-and-2083s)?_g=(refreshInterval:(display:Off,section:0,value:0),time:(from:'2016-08-31 09:23:41-0600',mode:absolute,to:'2016-08-31 12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68" t="str">
            <v>N</v>
          </cell>
          <cell r="X68">
            <v>1</v>
          </cell>
          <cell r="Y68">
            <v>4.4400000000000002E-2</v>
          </cell>
          <cell r="Z68">
            <v>23.327200000000001</v>
          </cell>
          <cell r="AA68">
            <v>23.282800000000002</v>
          </cell>
          <cell r="AB68" t="e">
            <v>#N/A</v>
          </cell>
          <cell r="AC68" t="e">
            <v>#N/A</v>
          </cell>
          <cell r="AD68" t="str">
            <v>0155-31</v>
          </cell>
          <cell r="AE68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69">
          <cell r="A69" t="str">
            <v>156-31</v>
          </cell>
          <cell r="B69">
            <v>4030</v>
          </cell>
          <cell r="C69" t="str">
            <v>DE.1.0.7.0</v>
          </cell>
          <cell r="D69" t="str">
            <v>204:232979</v>
          </cell>
          <cell r="E69">
            <v>42613.472141203703</v>
          </cell>
          <cell r="F69">
            <v>42613.476527777777</v>
          </cell>
          <cell r="G69">
            <v>1</v>
          </cell>
          <cell r="H69" t="str">
            <v>204:165</v>
          </cell>
          <cell r="I69">
            <v>42613.509236111109</v>
          </cell>
          <cell r="J69">
            <v>0</v>
          </cell>
          <cell r="K69" t="str">
            <v>4029/4030</v>
          </cell>
          <cell r="L69" t="str">
            <v>STARKS</v>
          </cell>
          <cell r="M69">
            <v>3.2708333332266193E-2</v>
          </cell>
          <cell r="N69">
            <v>47.099999998463318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https://search-rtdc-monitor-bjffxe2xuh6vdkpspy63sjmuny.us-east-1.es.amazonaws.com/_plugin/kibana/#/discover/Steve-Slow-Train-Analysis-(2080s-and-2083s)?_g=(refreshInterval:(display:Off,section:0,value:0),time:(from:'2016-08-31 10:19:53-0600',mode:absolute,to:'2016-08-31 13:13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69" t="str">
            <v>N</v>
          </cell>
          <cell r="X69">
            <v>1</v>
          </cell>
          <cell r="Y69">
            <v>23.297899999999998</v>
          </cell>
          <cell r="Z69">
            <v>1.6500000000000001E-2</v>
          </cell>
          <cell r="AA69">
            <v>23.281399999999998</v>
          </cell>
          <cell r="AB69" t="e">
            <v>#N/A</v>
          </cell>
          <cell r="AC69" t="e">
            <v>#N/A</v>
          </cell>
          <cell r="AD69" t="str">
            <v>0156-31</v>
          </cell>
          <cell r="AE69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70">
          <cell r="A70" t="str">
            <v>157-31</v>
          </cell>
          <cell r="B70">
            <v>4044</v>
          </cell>
          <cell r="C70" t="str">
            <v>DE.1.0.7.0</v>
          </cell>
          <cell r="D70" t="str">
            <v>204:451</v>
          </cell>
          <cell r="E70">
            <v>42613.442916666667</v>
          </cell>
          <cell r="F70">
            <v>42613.448067129626</v>
          </cell>
          <cell r="G70">
            <v>1</v>
          </cell>
          <cell r="H70" t="str">
            <v>204:233408</v>
          </cell>
          <cell r="I70">
            <v>42613.473055555558</v>
          </cell>
          <cell r="J70">
            <v>0</v>
          </cell>
          <cell r="K70" t="str">
            <v>4043/4044</v>
          </cell>
          <cell r="L70" t="str">
            <v>SMITH</v>
          </cell>
          <cell r="M70">
            <v>2.4988425931951497E-2</v>
          </cell>
          <cell r="N70">
            <v>35.983333342010155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https://search-rtdc-monitor-bjffxe2xuh6vdkpspy63sjmuny.us-east-1.es.amazonaws.com/_plugin/kibana/#/discover/Steve-Slow-Train-Analysis-(2080s-and-2083s)?_g=(refreshInterval:(display:Off,section:0,value:0),time:(from:'2016-08-31 09:37:48-0600',mode:absolute,to:'2016-08-31 12:21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70" t="str">
            <v>N</v>
          </cell>
          <cell r="X70">
            <v>1</v>
          </cell>
          <cell r="Y70">
            <v>4.5100000000000001E-2</v>
          </cell>
          <cell r="Z70">
            <v>23.340800000000002</v>
          </cell>
          <cell r="AA70">
            <v>23.2957</v>
          </cell>
          <cell r="AB70" t="e">
            <v>#N/A</v>
          </cell>
          <cell r="AC70" t="e">
            <v>#N/A</v>
          </cell>
          <cell r="AD70" t="str">
            <v>0157-31</v>
          </cell>
          <cell r="AE70" t="str">
            <v>aws s3 cp s3://rtdc.mdm.uploadarchive/RTDC4044/2016-08-31/ "%USERPROFILE%\AppData\Local\Temp\OnboardLogs"\RTDC4044\2016-08-31 --recursive &amp; "%USERPROFILE%\Documents\GitHub\mrs-test-scripts\Headless Mode &amp; Sideloading\WalkAndUnGZ.bat" "%USERPROFILE%\AppData\Local\Temp\OnboardLogs"\RTDC4044\2016-08-31 &amp; 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</v>
          </cell>
        </row>
        <row r="71">
          <cell r="A71" t="str">
            <v>158-31</v>
          </cell>
          <cell r="B71">
            <v>4043</v>
          </cell>
          <cell r="C71" t="str">
            <v>DE.1.0.7.0</v>
          </cell>
          <cell r="D71" t="str">
            <v>204:233080</v>
          </cell>
          <cell r="E71">
            <v>42613.480023148149</v>
          </cell>
          <cell r="F71">
            <v>42613.486967592595</v>
          </cell>
          <cell r="G71">
            <v>1</v>
          </cell>
          <cell r="H71" t="str">
            <v>204:154</v>
          </cell>
          <cell r="I71">
            <v>42613.519675925927</v>
          </cell>
          <cell r="J71">
            <v>0</v>
          </cell>
          <cell r="K71" t="str">
            <v>4043/4044</v>
          </cell>
          <cell r="L71" t="str">
            <v>SMITH</v>
          </cell>
          <cell r="M71">
            <v>3.2708333332266193E-2</v>
          </cell>
          <cell r="N71">
            <v>47.099999998463318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https://search-rtdc-monitor-bjffxe2xuh6vdkpspy63sjmuny.us-east-1.es.amazonaws.com/_plugin/kibana/#/discover/Steve-Slow-Train-Analysis-(2080s-and-2083s)?_g=(refreshInterval:(display:Off,section:0,value:0),time:(from:'2016-08-31 10:31:14-0600',mode:absolute,to:'2016-08-31 13:28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71" t="str">
            <v>N</v>
          </cell>
          <cell r="X71">
            <v>1</v>
          </cell>
          <cell r="Y71">
            <v>23.308</v>
          </cell>
          <cell r="Z71">
            <v>1.54E-2</v>
          </cell>
          <cell r="AA71">
            <v>23.2926</v>
          </cell>
          <cell r="AB71">
            <v>109135</v>
          </cell>
          <cell r="AC71" t="str">
            <v>GRADE CROSSING</v>
          </cell>
          <cell r="AD71" t="str">
            <v>0158-31</v>
          </cell>
          <cell r="AE71" t="str">
            <v>aws s3 cp s3://rtdc.mdm.uploadarchive/RTDC4043/2016-08-31/ "%USERPROFILE%\AppData\Local\Temp\OnboardLogs"\RTDC4043\2016-08-31 --recursive &amp; "%USERPROFILE%\Documents\GitHub\mrs-test-scripts\Headless Mode &amp; Sideloading\WalkAndUnGZ.bat" "%USERPROFILE%\AppData\Local\Temp\OnboardLogs"\RTDC4043\2016-08-31 &amp; 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</v>
          </cell>
        </row>
        <row r="72">
          <cell r="A72" t="str">
            <v>159-31</v>
          </cell>
          <cell r="B72">
            <v>4002</v>
          </cell>
          <cell r="C72" t="str">
            <v>DE.1.0.7.0</v>
          </cell>
          <cell r="D72" t="str">
            <v>204:478</v>
          </cell>
          <cell r="E72">
            <v>42613.455254629633</v>
          </cell>
          <cell r="F72">
            <v>42613.458796296298</v>
          </cell>
          <cell r="G72">
            <v>1</v>
          </cell>
          <cell r="H72" t="str">
            <v>204:233310</v>
          </cell>
          <cell r="I72">
            <v>42613.485231481478</v>
          </cell>
          <cell r="J72">
            <v>0</v>
          </cell>
          <cell r="K72" t="str">
            <v>4001/4002</v>
          </cell>
          <cell r="L72" t="str">
            <v>ARVIDSON</v>
          </cell>
          <cell r="M72">
            <v>2.643518518016208E-2</v>
          </cell>
          <cell r="N72">
            <v>38.066666659433395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https://search-rtdc-monitor-bjffxe2xuh6vdkpspy63sjmuny.us-east-1.es.amazonaws.com/_plugin/kibana/#/discover/Steve-Slow-Train-Analysis-(2080s-and-2083s)?_g=(refreshInterval:(display:Off,section:0,value:0),time:(from:'2016-08-31 09:55:34-0600',mode:absolute,to:'2016-08-31 12:38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72" t="str">
            <v>N</v>
          </cell>
          <cell r="X72">
            <v>1</v>
          </cell>
          <cell r="Y72">
            <v>4.7800000000000002E-2</v>
          </cell>
          <cell r="Z72">
            <v>23.331</v>
          </cell>
          <cell r="AA72">
            <v>23.283200000000001</v>
          </cell>
          <cell r="AB72" t="e">
            <v>#N/A</v>
          </cell>
          <cell r="AC72" t="e">
            <v>#N/A</v>
          </cell>
          <cell r="AD72" t="str">
            <v>0159-31</v>
          </cell>
          <cell r="AE72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73">
          <cell r="A73" t="str">
            <v>160-31</v>
          </cell>
          <cell r="B73">
            <v>4001</v>
          </cell>
          <cell r="C73" t="str">
            <v>DE.1.0.7.0</v>
          </cell>
          <cell r="D73" t="str">
            <v>204:232983</v>
          </cell>
          <cell r="E73">
            <v>42613.48945601852</v>
          </cell>
          <cell r="F73">
            <v>42613.497395833336</v>
          </cell>
          <cell r="G73">
            <v>1</v>
          </cell>
          <cell r="H73" t="str">
            <v>204:145</v>
          </cell>
          <cell r="I73">
            <v>42613.529444444444</v>
          </cell>
          <cell r="J73">
            <v>0</v>
          </cell>
          <cell r="K73" t="str">
            <v>4001/4002</v>
          </cell>
          <cell r="L73" t="str">
            <v>ROBINSON</v>
          </cell>
          <cell r="M73">
            <v>3.2048611108621117E-2</v>
          </cell>
          <cell r="N73">
            <v>46.149999996414408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https://search-rtdc-monitor-bjffxe2xuh6vdkpspy63sjmuny.us-east-1.es.amazonaws.com/_plugin/kibana/#/discover/Steve-Slow-Train-Analysis-(2080s-and-2083s)?_g=(refreshInterval:(display:Off,section:0,value:0),time:(from:'2016-08-31 10:44:49-0600',mode:absolute,to:'2016-08-31 13:42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73" t="str">
            <v>N</v>
          </cell>
          <cell r="X73">
            <v>1</v>
          </cell>
          <cell r="Y73">
            <v>23.298300000000001</v>
          </cell>
          <cell r="Z73">
            <v>1.4500000000000001E-2</v>
          </cell>
          <cell r="AA73">
            <v>23.283799999999999</v>
          </cell>
          <cell r="AB73" t="e">
            <v>#N/A</v>
          </cell>
          <cell r="AC73" t="e">
            <v>#N/A</v>
          </cell>
          <cell r="AD73" t="str">
            <v>0160-31</v>
          </cell>
          <cell r="AE73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74">
          <cell r="A74" t="str">
            <v>161-31</v>
          </cell>
          <cell r="B74">
            <v>4016</v>
          </cell>
          <cell r="C74" t="str">
            <v>DE.1.0.7.0</v>
          </cell>
          <cell r="D74" t="str">
            <v>204:457</v>
          </cell>
          <cell r="E74">
            <v>42613.464409722219</v>
          </cell>
          <cell r="F74">
            <v>42613.468900462962</v>
          </cell>
          <cell r="G74">
            <v>2</v>
          </cell>
          <cell r="H74" t="str">
            <v>204:233360</v>
          </cell>
          <cell r="I74">
            <v>42613.498182870368</v>
          </cell>
          <cell r="J74">
            <v>0</v>
          </cell>
          <cell r="K74" t="str">
            <v>4015/4016</v>
          </cell>
          <cell r="L74" t="str">
            <v>BARTLETT</v>
          </cell>
          <cell r="M74">
            <v>2.9282407405844424E-2</v>
          </cell>
          <cell r="N74">
            <v>42.16666666441597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https://search-rtdc-monitor-bjffxe2xuh6vdkpspy63sjmuny.us-east-1.es.amazonaws.com/_plugin/kibana/#/discover/Steve-Slow-Train-Analysis-(2080s-and-2083s)?_g=(refreshInterval:(display:Off,section:0,value:0),time:(from:'2016-08-31 10:08:45-0600',mode:absolute,to:'2016-08-31 12:57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74" t="str">
            <v>N</v>
          </cell>
          <cell r="X74">
            <v>1</v>
          </cell>
          <cell r="Y74">
            <v>4.5699999999999998E-2</v>
          </cell>
          <cell r="Z74">
            <v>23.335999999999999</v>
          </cell>
          <cell r="AA74">
            <v>23.290299999999998</v>
          </cell>
          <cell r="AB74" t="e">
            <v>#N/A</v>
          </cell>
          <cell r="AC74" t="e">
            <v>#N/A</v>
          </cell>
          <cell r="AD74" t="str">
            <v>0161-31</v>
          </cell>
          <cell r="AE74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75">
          <cell r="A75" t="str">
            <v>162-31</v>
          </cell>
          <cell r="B75">
            <v>4015</v>
          </cell>
          <cell r="C75" t="str">
            <v>DE.1.0.7.0</v>
          </cell>
          <cell r="D75" t="str">
            <v>204:233069</v>
          </cell>
          <cell r="E75">
            <v>42613.500173611108</v>
          </cell>
          <cell r="F75">
            <v>42613.507881944446</v>
          </cell>
          <cell r="G75">
            <v>1</v>
          </cell>
          <cell r="H75" t="str">
            <v>204:214</v>
          </cell>
          <cell r="I75">
            <v>42613.538078703707</v>
          </cell>
          <cell r="J75">
            <v>0</v>
          </cell>
          <cell r="K75" t="str">
            <v>4015/4016</v>
          </cell>
          <cell r="L75" t="str">
            <v>BARTLETT</v>
          </cell>
          <cell r="M75">
            <v>3.0196759260434192E-2</v>
          </cell>
          <cell r="N75">
            <v>43.483333335025236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https://search-rtdc-monitor-bjffxe2xuh6vdkpspy63sjmuny.us-east-1.es.amazonaws.com/_plugin/kibana/#/discover/Steve-Slow-Train-Analysis-(2080s-and-2083s)?_g=(refreshInterval:(display:Off,section:0,value:0),time:(from:'2016-08-31 11:00:15-0600',mode:absolute,to:'2016-08-31 13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75" t="str">
            <v>N</v>
          </cell>
          <cell r="X75">
            <v>1</v>
          </cell>
          <cell r="Y75">
            <v>23.306899999999999</v>
          </cell>
          <cell r="Z75">
            <v>2.1399999999999999E-2</v>
          </cell>
          <cell r="AA75">
            <v>23.285499999999999</v>
          </cell>
          <cell r="AB75" t="e">
            <v>#N/A</v>
          </cell>
          <cell r="AC75" t="e">
            <v>#N/A</v>
          </cell>
          <cell r="AD75" t="str">
            <v>0162-31</v>
          </cell>
          <cell r="AE75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76">
          <cell r="A76" t="str">
            <v>163-31</v>
          </cell>
          <cell r="B76">
            <v>4014</v>
          </cell>
          <cell r="C76" t="str">
            <v>DE.1.0.7.0</v>
          </cell>
          <cell r="D76" t="str">
            <v>204:457</v>
          </cell>
          <cell r="E76">
            <v>42613.474085648151</v>
          </cell>
          <cell r="F76">
            <v>42613.479386574072</v>
          </cell>
          <cell r="G76">
            <v>2</v>
          </cell>
          <cell r="H76" t="str">
            <v>204:233283</v>
          </cell>
          <cell r="I76">
            <v>42613.512060185189</v>
          </cell>
          <cell r="J76">
            <v>0</v>
          </cell>
          <cell r="K76" t="str">
            <v>4013/4014</v>
          </cell>
          <cell r="L76" t="str">
            <v>MAHAN</v>
          </cell>
          <cell r="M76">
            <v>3.2673611116479151E-2</v>
          </cell>
          <cell r="N76">
            <v>47.050000007729977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https://search-rtdc-monitor-bjffxe2xuh6vdkpspy63sjmuny.us-east-1.es.amazonaws.com/_plugin/kibana/#/discover/Steve-Slow-Train-Analysis-(2080s-and-2083s)?_g=(refreshInterval:(display:Off,section:0,value:0),time:(from:'2016-08-31 10:22:41-0600',mode:absolute,to:'2016-08-31 13:17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76" t="str">
            <v>N</v>
          </cell>
          <cell r="X76">
            <v>1</v>
          </cell>
          <cell r="Y76">
            <v>4.5699999999999998E-2</v>
          </cell>
          <cell r="Z76">
            <v>23.328299999999999</v>
          </cell>
          <cell r="AA76">
            <v>23.282599999999999</v>
          </cell>
          <cell r="AB76" t="e">
            <v>#N/A</v>
          </cell>
          <cell r="AC76" t="e">
            <v>#N/A</v>
          </cell>
          <cell r="AD76" t="str">
            <v>0163-31</v>
          </cell>
          <cell r="AE76" t="str">
    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    </cell>
        </row>
        <row r="77">
          <cell r="A77" t="str">
            <v>164-31</v>
          </cell>
          <cell r="B77">
            <v>4013</v>
          </cell>
          <cell r="C77" t="str">
            <v>DE.1.0.7.0</v>
          </cell>
          <cell r="D77" t="str">
            <v>204:232976</v>
          </cell>
          <cell r="E77">
            <v>42613.515590277777</v>
          </cell>
          <cell r="F77">
            <v>42613.518935185188</v>
          </cell>
          <cell r="G77">
            <v>1</v>
          </cell>
          <cell r="H77" t="str">
            <v>204:136</v>
          </cell>
          <cell r="I77">
            <v>42613.553784722222</v>
          </cell>
          <cell r="J77">
            <v>0</v>
          </cell>
          <cell r="K77" t="str">
            <v>4013/4014</v>
          </cell>
          <cell r="L77" t="str">
            <v>MAHAN</v>
          </cell>
          <cell r="M77">
            <v>3.4849537034460809E-2</v>
          </cell>
          <cell r="N77">
            <v>50.183333329623565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https://search-rtdc-monitor-bjffxe2xuh6vdkpspy63sjmuny.us-east-1.es.amazonaws.com/_plugin/kibana/#/discover/Steve-Slow-Train-Analysis-(2080s-and-2083s)?_g=(refreshInterval:(display:Off,section:0,value:0),time:(from:'2016-08-31 11:22:27-0600',mode:absolute,to:'2016-08-31 14:17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77" t="str">
            <v>N</v>
          </cell>
          <cell r="X77">
            <v>1</v>
          </cell>
          <cell r="Y77">
            <v>23.297599999999999</v>
          </cell>
          <cell r="Z77">
            <v>1.3599999999999999E-2</v>
          </cell>
          <cell r="AA77">
            <v>23.283999999999999</v>
          </cell>
          <cell r="AB77" t="e">
            <v>#N/A</v>
          </cell>
          <cell r="AC77" t="e">
            <v>#N/A</v>
          </cell>
          <cell r="AD77" t="str">
            <v>0164-31</v>
          </cell>
          <cell r="AE77" t="str">
    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    </cell>
        </row>
        <row r="78">
          <cell r="A78" t="str">
            <v>165-31</v>
          </cell>
          <cell r="B78">
            <v>4011</v>
          </cell>
          <cell r="C78" t="str">
            <v>DE.1.0.7.0</v>
          </cell>
          <cell r="D78" t="str">
            <v>204:460</v>
          </cell>
          <cell r="E78">
            <v>42613.485856481479</v>
          </cell>
          <cell r="F78">
            <v>42613.489756944444</v>
          </cell>
          <cell r="G78">
            <v>1</v>
          </cell>
          <cell r="H78" t="str">
            <v>204:233288</v>
          </cell>
          <cell r="I78">
            <v>42613.521134259259</v>
          </cell>
          <cell r="J78">
            <v>0</v>
          </cell>
          <cell r="K78" t="str">
            <v>4011/4012</v>
          </cell>
          <cell r="L78" t="str">
            <v>ISHMAEL</v>
          </cell>
          <cell r="M78">
            <v>3.1377314815472346E-2</v>
          </cell>
          <cell r="N78">
            <v>45.183333334280178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https://search-rtdc-monitor-bjffxe2xuh6vdkpspy63sjmuny.us-east-1.es.amazonaws.com/_plugin/kibana/#/discover/Steve-Slow-Train-Analysis-(2080s-and-2083s)?_g=(refreshInterval:(display:Off,section:0,value:0),time:(from:'2016-08-31 10:39:38-0600',mode:absolute,to:'2016-08-31 13:30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78" t="str">
            <v>N</v>
          </cell>
          <cell r="X78">
            <v>1</v>
          </cell>
          <cell r="Y78">
            <v>4.5999999999999999E-2</v>
          </cell>
          <cell r="Z78">
            <v>23.328800000000001</v>
          </cell>
          <cell r="AA78">
            <v>23.282800000000002</v>
          </cell>
          <cell r="AB78" t="e">
            <v>#N/A</v>
          </cell>
          <cell r="AC78" t="e">
            <v>#N/A</v>
          </cell>
          <cell r="AD78" t="str">
            <v>0165-31</v>
          </cell>
          <cell r="AE78" t="str">
            <v>aws s3 cp s3://rtdc.mdm.uploadarchive/RTDC4011/2016-08-31/ "%USERPROFILE%\AppData\Local\Temp\OnboardLogs"\RTDC4011\2016-08-31 --recursive &amp; "%USERPROFILE%\Documents\GitHub\mrs-test-scripts\Headless Mode &amp; Sideloading\WalkAndUnGZ.bat" "%USERPROFILE%\AppData\Local\Temp\OnboardLogs"\RTDC4011\2016-08-31 &amp; 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</v>
          </cell>
        </row>
        <row r="79">
          <cell r="A79" t="str">
            <v>166-31</v>
          </cell>
          <cell r="B79">
            <v>4012</v>
          </cell>
          <cell r="C79" t="str">
            <v>DE.1.0.7.0</v>
          </cell>
          <cell r="D79" t="str">
            <v>204:232961</v>
          </cell>
          <cell r="E79">
            <v>42613.523020833331</v>
          </cell>
          <cell r="F79">
            <v>42613.529340277775</v>
          </cell>
          <cell r="G79">
            <v>1</v>
          </cell>
          <cell r="H79" t="str">
            <v>204:163</v>
          </cell>
          <cell r="I79">
            <v>42613.561122685183</v>
          </cell>
          <cell r="J79">
            <v>0</v>
          </cell>
          <cell r="K79" t="str">
            <v>4011/4012</v>
          </cell>
          <cell r="L79" t="str">
            <v>ISHMAEL</v>
          </cell>
          <cell r="M79">
            <v>3.178240740817273E-2</v>
          </cell>
          <cell r="N79">
            <v>45.766666667768732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https://search-rtdc-monitor-bjffxe2xuh6vdkpspy63sjmuny.us-east-1.es.amazonaws.com/_plugin/kibana/#/discover/Steve-Slow-Train-Analysis-(2080s-and-2083s)?_g=(refreshInterval:(display:Off,section:0,value:0),time:(from:'2016-08-31 11:33:09-0600',mode:absolute,to:'2016-08-31 14:28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79" t="str">
            <v>N</v>
          </cell>
          <cell r="X79">
            <v>1</v>
          </cell>
          <cell r="Y79">
            <v>23.296099999999999</v>
          </cell>
          <cell r="Z79">
            <v>1.6299999999999999E-2</v>
          </cell>
          <cell r="AA79">
            <v>23.279799999999998</v>
          </cell>
          <cell r="AB79" t="e">
            <v>#N/A</v>
          </cell>
          <cell r="AC79" t="e">
            <v>#N/A</v>
          </cell>
          <cell r="AD79" t="str">
            <v>0166-31</v>
          </cell>
          <cell r="AE79" t="str">
            <v>aws s3 cp s3://rtdc.mdm.uploadarchive/RTDC4012/2016-08-31/ "%USERPROFILE%\AppData\Local\Temp\OnboardLogs"\RTDC4012\2016-08-31 --recursive &amp; "%USERPROFILE%\Documents\GitHub\mrs-test-scripts\Headless Mode &amp; Sideloading\WalkAndUnGZ.bat" "%USERPROFILE%\AppData\Local\Temp\OnboardLogs"\RTDC4012\2016-08-31 &amp; 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</v>
          </cell>
        </row>
        <row r="80">
          <cell r="A80" t="str">
            <v>167-31</v>
          </cell>
          <cell r="B80">
            <v>4042</v>
          </cell>
          <cell r="C80" t="str">
            <v>DE.1.0.7.0</v>
          </cell>
          <cell r="D80" t="str">
            <v>204:464</v>
          </cell>
          <cell r="E80">
            <v>42613.495821759258</v>
          </cell>
          <cell r="F80">
            <v>42613.500335648147</v>
          </cell>
          <cell r="G80">
            <v>1</v>
          </cell>
          <cell r="H80" t="str">
            <v>204:233304</v>
          </cell>
          <cell r="I80">
            <v>42613.532604166663</v>
          </cell>
          <cell r="J80">
            <v>0</v>
          </cell>
          <cell r="K80" t="str">
            <v>4041/4042</v>
          </cell>
          <cell r="L80" t="str">
            <v>YOUNG</v>
          </cell>
          <cell r="M80">
            <v>3.2268518516502809E-2</v>
          </cell>
          <cell r="N80">
            <v>46.466666663764045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https://search-rtdc-monitor-bjffxe2xuh6vdkpspy63sjmuny.us-east-1.es.amazonaws.com/_plugin/kibana/#/discover/Steve-Slow-Train-Analysis-(2080s-and-2083s)?_g=(refreshInterval:(display:Off,section:0,value:0),time:(from:'2016-08-31 10:53:59-0600',mode:absolute,to:'2016-08-31 13:46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80" t="str">
            <v>N</v>
          </cell>
          <cell r="X80">
            <v>1</v>
          </cell>
          <cell r="Y80">
            <v>4.6399999999999997E-2</v>
          </cell>
          <cell r="Z80">
            <v>23.330400000000001</v>
          </cell>
          <cell r="AA80">
            <v>23.284000000000002</v>
          </cell>
          <cell r="AB80" t="e">
            <v>#N/A</v>
          </cell>
          <cell r="AC80" t="e">
            <v>#N/A</v>
          </cell>
          <cell r="AD80" t="str">
            <v>0167-31</v>
          </cell>
          <cell r="AE80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81">
          <cell r="A81" t="str">
            <v>168-31</v>
          </cell>
          <cell r="B81">
            <v>4041</v>
          </cell>
          <cell r="C81" t="str">
            <v>DE.1.0.7.0</v>
          </cell>
          <cell r="D81" t="str">
            <v>204:233011</v>
          </cell>
          <cell r="E81">
            <v>42613.536365740743</v>
          </cell>
          <cell r="F81">
            <v>42613.539259259262</v>
          </cell>
          <cell r="G81">
            <v>1</v>
          </cell>
          <cell r="H81" t="str">
            <v>204:216</v>
          </cell>
          <cell r="I81">
            <v>42613.57267361111</v>
          </cell>
          <cell r="J81">
            <v>0</v>
          </cell>
          <cell r="K81" t="str">
            <v>4041/4042</v>
          </cell>
          <cell r="L81" t="str">
            <v>YOUNG</v>
          </cell>
          <cell r="M81">
            <v>3.3414351848477963E-2</v>
          </cell>
          <cell r="N81">
            <v>48.116666661808267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https://search-rtdc-monitor-bjffxe2xuh6vdkpspy63sjmuny.us-east-1.es.amazonaws.com/_plugin/kibana/#/discover/Steve-Slow-Train-Analysis-(2080s-and-2083s)?_g=(refreshInterval:(display:Off,section:0,value:0),time:(from:'2016-08-31 11:52:22-0600',mode:absolute,to:'2016-08-31 14:44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81" t="str">
            <v>N</v>
          </cell>
          <cell r="X81">
            <v>1</v>
          </cell>
          <cell r="Y81">
            <v>23.301100000000002</v>
          </cell>
          <cell r="Z81">
            <v>2.1600000000000001E-2</v>
          </cell>
          <cell r="AA81">
            <v>23.279500000000002</v>
          </cell>
          <cell r="AB81" t="e">
            <v>#N/A</v>
          </cell>
          <cell r="AC81" t="e">
            <v>#N/A</v>
          </cell>
          <cell r="AD81" t="str">
            <v>0168-31</v>
          </cell>
          <cell r="AE81" t="str">
    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    </cell>
        </row>
        <row r="82">
          <cell r="A82" t="str">
            <v>169-31</v>
          </cell>
          <cell r="B82">
            <v>4029</v>
          </cell>
          <cell r="C82" t="str">
            <v>DE.1.0.7.0</v>
          </cell>
          <cell r="D82" t="str">
            <v>204:469</v>
          </cell>
          <cell r="E82">
            <v>42613.51090277778</v>
          </cell>
          <cell r="F82">
            <v>42613.513877314814</v>
          </cell>
          <cell r="G82">
            <v>1</v>
          </cell>
          <cell r="H82" t="str">
            <v>204:233268</v>
          </cell>
          <cell r="I82">
            <v>42613.544212962966</v>
          </cell>
          <cell r="J82">
            <v>0</v>
          </cell>
          <cell r="K82" t="str">
            <v>4029/4030</v>
          </cell>
          <cell r="L82" t="str">
            <v>BROWN</v>
          </cell>
          <cell r="M82">
            <v>3.033564815268619E-2</v>
          </cell>
          <cell r="N82">
            <v>43.683333339868113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https://search-rtdc-monitor-bjffxe2xuh6vdkpspy63sjmuny.us-east-1.es.amazonaws.com/_plugin/kibana/#/discover/Steve-Slow-Train-Analysis-(2080s-and-2083s)?_g=(refreshInterval:(display:Off,section:0,value:0),time:(from:'2016-08-31 11:15:42-0600',mode:absolute,to:'2016-08-31 14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82" t="str">
            <v>N</v>
          </cell>
          <cell r="X82">
            <v>1</v>
          </cell>
          <cell r="Y82">
            <v>4.6899999999999997E-2</v>
          </cell>
          <cell r="Z82">
            <v>23.326799999999999</v>
          </cell>
          <cell r="AA82">
            <v>23.279899999999998</v>
          </cell>
          <cell r="AB82" t="e">
            <v>#N/A</v>
          </cell>
          <cell r="AC82" t="e">
            <v>#N/A</v>
          </cell>
          <cell r="AD82" t="str">
            <v>0169-31</v>
          </cell>
          <cell r="AE82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83">
          <cell r="A83" t="str">
            <v>170-31</v>
          </cell>
          <cell r="B83">
            <v>4030</v>
          </cell>
          <cell r="C83" t="str">
            <v>DE.1.0.7.0</v>
          </cell>
          <cell r="D83" t="str">
            <v>204:232957</v>
          </cell>
          <cell r="E83">
            <v>42613.546689814815</v>
          </cell>
          <cell r="F83">
            <v>42613.549780092595</v>
          </cell>
          <cell r="G83">
            <v>2</v>
          </cell>
          <cell r="H83" t="str">
            <v>204:169</v>
          </cell>
          <cell r="I83">
            <v>42613.581979166665</v>
          </cell>
          <cell r="J83">
            <v>0</v>
          </cell>
          <cell r="K83" t="str">
            <v>4029/4030</v>
          </cell>
          <cell r="L83" t="str">
            <v>BROWN</v>
          </cell>
          <cell r="M83">
            <v>3.219907407037681E-2</v>
          </cell>
          <cell r="N83">
            <v>46.366666661342606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https://search-rtdc-monitor-bjffxe2xuh6vdkpspy63sjmuny.us-east-1.es.amazonaws.com/_plugin/kibana/#/discover/Steve-Slow-Train-Analysis-(2080s-and-2083s)?_g=(refreshInterval:(display:Off,section:0,value:0),time:(from:'2016-08-31 12:07:14-0600',mode:absolute,to:'2016-08-31 14:58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83" t="str">
            <v>N</v>
          </cell>
          <cell r="X83">
            <v>1</v>
          </cell>
          <cell r="Y83">
            <v>23.2957</v>
          </cell>
          <cell r="Z83">
            <v>1.6899999999999998E-2</v>
          </cell>
          <cell r="AA83">
            <v>23.2788</v>
          </cell>
          <cell r="AB83" t="e">
            <v>#N/A</v>
          </cell>
          <cell r="AC83" t="e">
            <v>#N/A</v>
          </cell>
          <cell r="AD83" t="str">
            <v>0170-31</v>
          </cell>
          <cell r="AE83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84">
          <cell r="A84" t="str">
            <v>171-31</v>
          </cell>
          <cell r="B84">
            <v>4044</v>
          </cell>
          <cell r="C84" t="str">
            <v>DE.1.0.7.0</v>
          </cell>
          <cell r="D84" t="str">
            <v>204:446</v>
          </cell>
          <cell r="E84">
            <v>42613.520833333336</v>
          </cell>
          <cell r="F84">
            <v>42613.522835648146</v>
          </cell>
          <cell r="G84">
            <v>1</v>
          </cell>
          <cell r="H84" t="str">
            <v>204:233310</v>
          </cell>
          <cell r="I84">
            <v>42613.555185185185</v>
          </cell>
          <cell r="J84">
            <v>0</v>
          </cell>
          <cell r="K84" t="str">
            <v>4043/4044</v>
          </cell>
          <cell r="L84" t="str">
            <v>DE LA ROSA</v>
          </cell>
          <cell r="M84">
            <v>3.234953703940846E-2</v>
          </cell>
          <cell r="N84">
            <v>46.583333336748183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https://search-rtdc-monitor-bjffxe2xuh6vdkpspy63sjmuny.us-east-1.es.amazonaws.com/_plugin/kibana/#/discover/Steve-Slow-Train-Analysis-(2080s-and-2083s)?_g=(refreshInterval:(display:Off,section:0,value:0),time:(from:'2016-08-31 11:30:00-0600',mode:absolute,to:'2016-08-31 14:19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84" t="str">
            <v>N</v>
          </cell>
          <cell r="X84">
            <v>1</v>
          </cell>
          <cell r="Y84">
            <v>4.4600000000000001E-2</v>
          </cell>
          <cell r="Z84">
            <v>23.331</v>
          </cell>
          <cell r="AA84">
            <v>23.2864</v>
          </cell>
          <cell r="AB84" t="e">
            <v>#N/A</v>
          </cell>
          <cell r="AC84" t="e">
            <v>#N/A</v>
          </cell>
          <cell r="AD84" t="str">
            <v>0171-31</v>
          </cell>
          <cell r="AE84" t="str">
            <v>aws s3 cp s3://rtdc.mdm.uploadarchive/RTDC4044/2016-08-31/ "%USERPROFILE%\AppData\Local\Temp\OnboardLogs"\RTDC4044\2016-08-31 --recursive &amp; "%USERPROFILE%\Documents\GitHub\mrs-test-scripts\Headless Mode &amp; Sideloading\WalkAndUnGZ.bat" "%USERPROFILE%\AppData\Local\Temp\OnboardLogs"\RTDC4044\2016-08-31 &amp; 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</v>
          </cell>
        </row>
        <row r="85">
          <cell r="A85" t="str">
            <v>172-31</v>
          </cell>
          <cell r="B85">
            <v>4043</v>
          </cell>
          <cell r="C85" t="str">
            <v>DE.1.0.7.0</v>
          </cell>
          <cell r="D85" t="str">
            <v>204:232993</v>
          </cell>
          <cell r="E85">
            <v>42613.557013888887</v>
          </cell>
          <cell r="F85">
            <v>42613.560324074075</v>
          </cell>
          <cell r="G85">
            <v>1</v>
          </cell>
          <cell r="H85" t="str">
            <v>204:152</v>
          </cell>
          <cell r="I85">
            <v>42613.589456018519</v>
          </cell>
          <cell r="J85">
            <v>0</v>
          </cell>
          <cell r="K85" t="str">
            <v>4043/4044</v>
          </cell>
          <cell r="L85" t="str">
            <v>DE LA ROSA</v>
          </cell>
          <cell r="M85">
            <v>2.9131944444088731E-2</v>
          </cell>
          <cell r="N85">
            <v>41.949999999487773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https://search-rtdc-monitor-bjffxe2xuh6vdkpspy63sjmuny.us-east-1.es.amazonaws.com/_plugin/kibana/#/discover/Steve-Slow-Train-Analysis-(2080s-and-2083s)?_g=(refreshInterval:(display:Off,section:0,value:0),time:(from:'2016-08-31 12:22:06-0600',mode:absolute,to:'2016-08-31 15:08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85" t="str">
            <v>N</v>
          </cell>
          <cell r="X85">
            <v>1</v>
          </cell>
          <cell r="Y85">
            <v>23.299299999999999</v>
          </cell>
          <cell r="Z85">
            <v>1.52E-2</v>
          </cell>
          <cell r="AA85">
            <v>23.284099999999999</v>
          </cell>
          <cell r="AB85" t="e">
            <v>#N/A</v>
          </cell>
          <cell r="AC85" t="e">
            <v>#N/A</v>
          </cell>
          <cell r="AD85" t="str">
            <v>0172-31</v>
          </cell>
          <cell r="AE85" t="str">
            <v>aws s3 cp s3://rtdc.mdm.uploadarchive/RTDC4043/2016-08-31/ "%USERPROFILE%\AppData\Local\Temp\OnboardLogs"\RTDC4043\2016-08-31 --recursive &amp; "%USERPROFILE%\Documents\GitHub\mrs-test-scripts\Headless Mode &amp; Sideloading\WalkAndUnGZ.bat" "%USERPROFILE%\AppData\Local\Temp\OnboardLogs"\RTDC4043\2016-08-31 &amp; 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</v>
          </cell>
        </row>
        <row r="86">
          <cell r="A86" t="str">
            <v>173-31</v>
          </cell>
          <cell r="B86">
            <v>4002</v>
          </cell>
          <cell r="C86" t="str">
            <v>DE.1.0.7.0</v>
          </cell>
          <cell r="D86" t="str">
            <v>204:447</v>
          </cell>
          <cell r="E86">
            <v>42613.530416666668</v>
          </cell>
          <cell r="F86">
            <v>42613.532048611109</v>
          </cell>
          <cell r="G86">
            <v>1</v>
          </cell>
          <cell r="H86" t="str">
            <v>204:233307</v>
          </cell>
          <cell r="I86">
            <v>42613.558796296296</v>
          </cell>
          <cell r="J86">
            <v>0</v>
          </cell>
          <cell r="K86" t="str">
            <v>4001/4002</v>
          </cell>
          <cell r="L86" t="str">
            <v>ARVIDSON</v>
          </cell>
          <cell r="M86">
            <v>2.6747685187729076E-2</v>
          </cell>
          <cell r="N86">
            <v>38.516666670329869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https://search-rtdc-monitor-bjffxe2xuh6vdkpspy63sjmuny.us-east-1.es.amazonaws.com/_plugin/kibana/#/discover/Steve-Slow-Train-Analysis-(2080s-and-2083s)?_g=(refreshInterval:(display:Off,section:0,value:0),time:(from:'2016-08-31 11:43:48-0600',mode:absolute,to:'2016-08-31 14:24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86" t="str">
            <v>N</v>
          </cell>
          <cell r="X86">
            <v>1</v>
          </cell>
          <cell r="Y86">
            <v>4.4699999999999997E-2</v>
          </cell>
          <cell r="Z86">
            <v>23.3307</v>
          </cell>
          <cell r="AA86">
            <v>23.286000000000001</v>
          </cell>
          <cell r="AB86" t="e">
            <v>#N/A</v>
          </cell>
          <cell r="AC86" t="e">
            <v>#N/A</v>
          </cell>
          <cell r="AD86" t="str">
            <v>0173-31</v>
          </cell>
          <cell r="AE86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87">
          <cell r="A87" t="str">
            <v>174-31</v>
          </cell>
          <cell r="B87">
            <v>4001</v>
          </cell>
          <cell r="C87" t="str">
            <v>DE.1.0.7.0</v>
          </cell>
          <cell r="D87" t="str">
            <v>204:232988</v>
          </cell>
          <cell r="E87">
            <v>42613.565358796295</v>
          </cell>
          <cell r="F87">
            <v>42613.570671296293</v>
          </cell>
          <cell r="G87">
            <v>1</v>
          </cell>
          <cell r="H87" t="str">
            <v>204:145</v>
          </cell>
          <cell r="I87">
            <v>42613.602071759262</v>
          </cell>
          <cell r="J87">
            <v>0</v>
          </cell>
          <cell r="K87" t="str">
            <v>4001/4002</v>
          </cell>
          <cell r="L87" t="str">
            <v>ROBINSON</v>
          </cell>
          <cell r="M87">
            <v>3.1400462969031651E-2</v>
          </cell>
          <cell r="N87">
            <v>45.216666675405577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https://search-rtdc-monitor-bjffxe2xuh6vdkpspy63sjmuny.us-east-1.es.amazonaws.com/_plugin/kibana/#/discover/Steve-Slow-Train-Analysis-(2080s-and-2083s)?_g=(refreshInterval:(display:Off,section:0,value:0),time:(from:'2016-08-31 12:34:07-0600',mode:absolute,to:'2016-08-31 15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87" t="str">
            <v>N</v>
          </cell>
          <cell r="X87">
            <v>1</v>
          </cell>
          <cell r="Y87">
            <v>23.2988</v>
          </cell>
          <cell r="Z87">
            <v>1.4500000000000001E-2</v>
          </cell>
          <cell r="AA87">
            <v>23.284299999999998</v>
          </cell>
          <cell r="AB87" t="e">
            <v>#N/A</v>
          </cell>
          <cell r="AC87" t="e">
            <v>#N/A</v>
          </cell>
          <cell r="AD87" t="str">
            <v>0174-31</v>
          </cell>
          <cell r="AE87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88">
          <cell r="A88" t="str">
            <v>175-31</v>
          </cell>
          <cell r="B88">
            <v>4016</v>
          </cell>
          <cell r="C88" t="str">
            <v>DE.1.0.7.0</v>
          </cell>
          <cell r="D88" t="str">
            <v>204:533</v>
          </cell>
          <cell r="E88">
            <v>42613.539467592593</v>
          </cell>
          <cell r="F88">
            <v>42613.542280092595</v>
          </cell>
          <cell r="G88">
            <v>1</v>
          </cell>
          <cell r="H88" t="str">
            <v>204:233321</v>
          </cell>
          <cell r="I88">
            <v>42613.570462962962</v>
          </cell>
          <cell r="J88">
            <v>0</v>
          </cell>
          <cell r="K88" t="str">
            <v>4015/4016</v>
          </cell>
          <cell r="L88" t="str">
            <v>BARTLETT</v>
          </cell>
          <cell r="M88">
            <v>2.8182870366435964E-2</v>
          </cell>
          <cell r="N88">
            <v>40.583333327667788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https://search-rtdc-monitor-bjffxe2xuh6vdkpspy63sjmuny.us-east-1.es.amazonaws.com/_plugin/kibana/#/discover/Steve-Slow-Train-Analysis-(2080s-and-2083s)?_g=(refreshInterval:(display:Off,section:0,value:0),time:(from:'2016-08-31 11:56:50-0600',mode:absolute,to:'2016-08-31 14:41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88" t="str">
            <v>N</v>
          </cell>
          <cell r="X88">
            <v>1</v>
          </cell>
          <cell r="Y88">
            <v>5.33E-2</v>
          </cell>
          <cell r="Z88">
            <v>23.332100000000001</v>
          </cell>
          <cell r="AA88">
            <v>23.2788</v>
          </cell>
          <cell r="AB88" t="e">
            <v>#N/A</v>
          </cell>
          <cell r="AC88" t="e">
            <v>#N/A</v>
          </cell>
          <cell r="AD88" t="str">
            <v>0175-31</v>
          </cell>
          <cell r="AE88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89">
          <cell r="A89" t="str">
            <v>176-31</v>
          </cell>
          <cell r="B89">
            <v>4015</v>
          </cell>
          <cell r="C89" t="str">
            <v>DE.1.0.7.0</v>
          </cell>
          <cell r="D89" t="str">
            <v>204:233002</v>
          </cell>
          <cell r="E89">
            <v>42613.574733796297</v>
          </cell>
          <cell r="F89">
            <v>42613.580717592595</v>
          </cell>
          <cell r="G89">
            <v>1</v>
          </cell>
          <cell r="H89" t="str">
            <v>204:147</v>
          </cell>
          <cell r="I89">
            <v>42613.612303240741</v>
          </cell>
          <cell r="J89">
            <v>0</v>
          </cell>
          <cell r="K89" t="str">
            <v>4015/4016</v>
          </cell>
          <cell r="L89" t="str">
            <v>BARTLETT</v>
          </cell>
          <cell r="M89">
            <v>3.1585648146574385E-2</v>
          </cell>
          <cell r="N89">
            <v>45.483333331067115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https://search-rtdc-monitor-bjffxe2xuh6vdkpspy63sjmuny.us-east-1.es.amazonaws.com/_plugin/kibana/#/discover/Steve-Slow-Train-Analysis-(2080s-and-2083s)?_g=(refreshInterval:(display:Off,section:0,value:0),time:(from:'2016-08-31 12:47:37-0600',mode:absolute,to:'2016-08-31 15:41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89" t="str">
            <v>N</v>
          </cell>
          <cell r="X89">
            <v>1</v>
          </cell>
          <cell r="Y89">
            <v>23.3002</v>
          </cell>
          <cell r="Z89">
            <v>1.47E-2</v>
          </cell>
          <cell r="AA89">
            <v>23.285499999999999</v>
          </cell>
          <cell r="AB89" t="e">
            <v>#N/A</v>
          </cell>
          <cell r="AC89" t="e">
            <v>#N/A</v>
          </cell>
          <cell r="AD89" t="str">
            <v>0176-31</v>
          </cell>
          <cell r="AE89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90">
          <cell r="A90" t="str">
            <v>177-31</v>
          </cell>
          <cell r="B90">
            <v>4014</v>
          </cell>
          <cell r="C90" t="str">
            <v>DE.1.0.7.0</v>
          </cell>
          <cell r="D90" t="str">
            <v>204:442</v>
          </cell>
          <cell r="E90">
            <v>42613.555902777778</v>
          </cell>
          <cell r="F90">
            <v>42613.558194444442</v>
          </cell>
          <cell r="G90">
            <v>1</v>
          </cell>
          <cell r="H90" t="str">
            <v>204:233314</v>
          </cell>
          <cell r="I90">
            <v>42613.589629629627</v>
          </cell>
          <cell r="J90">
            <v>0</v>
          </cell>
          <cell r="K90" t="str">
            <v>4013/4014</v>
          </cell>
          <cell r="L90" t="str">
            <v>MAHAN</v>
          </cell>
          <cell r="M90">
            <v>3.1435185184818693E-2</v>
          </cell>
          <cell r="N90">
            <v>45.266666666138917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https://search-rtdc-monitor-bjffxe2xuh6vdkpspy63sjmuny.us-east-1.es.amazonaws.com/_plugin/kibana/#/discover/Steve-Slow-Train-Analysis-(2080s-and-2083s)?_g=(refreshInterval:(display:Off,section:0,value:0),time:(from:'2016-08-31 12:20:30-0600',mode:absolute,to:'2016-08-31 15:09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90" t="str">
            <v>N</v>
          </cell>
          <cell r="X90">
            <v>1</v>
          </cell>
          <cell r="Y90">
            <v>4.4200000000000003E-2</v>
          </cell>
          <cell r="Z90">
            <v>23.331399999999999</v>
          </cell>
          <cell r="AA90">
            <v>23.287199999999999</v>
          </cell>
          <cell r="AB90">
            <v>33137</v>
          </cell>
          <cell r="AC90" t="str">
            <v>GRADE CROSSING</v>
          </cell>
          <cell r="AD90" t="str">
            <v>0177-31</v>
          </cell>
          <cell r="AE90" t="str">
    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    </cell>
        </row>
        <row r="91">
          <cell r="A91" t="str">
            <v>178-31</v>
          </cell>
          <cell r="B91">
            <v>4013</v>
          </cell>
          <cell r="C91" t="str">
            <v>DE.1.0.7.0</v>
          </cell>
          <cell r="D91" t="str">
            <v>204:232975</v>
          </cell>
          <cell r="E91">
            <v>42613.592499999999</v>
          </cell>
          <cell r="F91">
            <v>42613.594641203701</v>
          </cell>
          <cell r="G91">
            <v>1</v>
          </cell>
          <cell r="H91" t="str">
            <v>204:150</v>
          </cell>
          <cell r="I91">
            <v>42613.628460648149</v>
          </cell>
          <cell r="J91">
            <v>0</v>
          </cell>
          <cell r="K91" t="str">
            <v>4013/4014</v>
          </cell>
          <cell r="L91" t="str">
            <v>MAHAN</v>
          </cell>
          <cell r="M91">
            <v>3.3819444448454306E-2</v>
          </cell>
          <cell r="N91">
            <v>48.7000000057742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https://search-rtdc-monitor-bjffxe2xuh6vdkpspy63sjmuny.us-east-1.es.amazonaws.com/_plugin/kibana/#/discover/Steve-Slow-Train-Analysis-(2080s-and-2083s)?_g=(refreshInterval:(display:Off,section:0,value:0),time:(from:'2016-08-31 13:13:12-0600',mode:absolute,to:'2016-08-31 16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91" t="str">
            <v>N</v>
          </cell>
          <cell r="X91">
            <v>1</v>
          </cell>
          <cell r="Y91">
            <v>23.297499999999999</v>
          </cell>
          <cell r="Z91">
            <v>1.4999999999999999E-2</v>
          </cell>
          <cell r="AA91">
            <v>23.282499999999999</v>
          </cell>
          <cell r="AB91">
            <v>58301</v>
          </cell>
          <cell r="AC91" t="str">
            <v>GRADE CROSSING</v>
          </cell>
          <cell r="AD91" t="str">
            <v>0178-31</v>
          </cell>
          <cell r="AE91" t="str">
    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    </cell>
        </row>
        <row r="92">
          <cell r="A92" t="str">
            <v>179-31</v>
          </cell>
          <cell r="B92">
            <v>4011</v>
          </cell>
          <cell r="C92" t="str">
            <v>DE.1.0.7.0</v>
          </cell>
          <cell r="D92" t="str">
            <v>204:440</v>
          </cell>
          <cell r="E92">
            <v>42613.562418981484</v>
          </cell>
          <cell r="F92">
            <v>42613.564444444448</v>
          </cell>
          <cell r="G92">
            <v>1</v>
          </cell>
          <cell r="H92" t="str">
            <v>204:233302</v>
          </cell>
          <cell r="I92">
            <v>42613.591539351852</v>
          </cell>
          <cell r="J92">
            <v>0</v>
          </cell>
          <cell r="K92" t="str">
            <v>4011/4012</v>
          </cell>
          <cell r="L92" t="str">
            <v>ISHMAEL</v>
          </cell>
          <cell r="M92">
            <v>2.7094907403807156E-2</v>
          </cell>
          <cell r="N92">
            <v>39.016666661482304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https://search-rtdc-monitor-bjffxe2xuh6vdkpspy63sjmuny.us-east-1.es.amazonaws.com/_plugin/kibana/#/discover/Steve-Slow-Train-Analysis-(2080s-and-2083s)?_g=(refreshInterval:(display:Off,section:0,value:0),time:(from:'2016-08-31 12:29:53-0600',mode:absolute,to:'2016-08-31 15:11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92" t="str">
            <v>N</v>
          </cell>
          <cell r="X92">
            <v>1</v>
          </cell>
          <cell r="Y92">
            <v>4.3999999999999997E-2</v>
          </cell>
          <cell r="Z92">
            <v>23.330200000000001</v>
          </cell>
          <cell r="AA92">
            <v>23.286200000000001</v>
          </cell>
          <cell r="AB92" t="e">
            <v>#N/A</v>
          </cell>
          <cell r="AC92" t="e">
            <v>#N/A</v>
          </cell>
          <cell r="AD92" t="str">
            <v>0179-31</v>
          </cell>
          <cell r="AE92" t="str">
            <v>aws s3 cp s3://rtdc.mdm.uploadarchive/RTDC4011/2016-08-31/ "%USERPROFILE%\AppData\Local\Temp\OnboardLogs"\RTDC4011\2016-08-31 --recursive &amp; "%USERPROFILE%\Documents\GitHub\mrs-test-scripts\Headless Mode &amp; Sideloading\WalkAndUnGZ.bat" "%USERPROFILE%\AppData\Local\Temp\OnboardLogs"\RTDC4011\2016-08-31 &amp; 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</v>
          </cell>
        </row>
        <row r="93">
          <cell r="A93" t="str">
            <v>180-31</v>
          </cell>
          <cell r="B93">
            <v>4012</v>
          </cell>
          <cell r="C93" t="str">
            <v>DE.1.0.7.0</v>
          </cell>
          <cell r="D93" t="str">
            <v>204:232993</v>
          </cell>
          <cell r="E93">
            <v>42613.595960648148</v>
          </cell>
          <cell r="F93">
            <v>42613.60193287037</v>
          </cell>
          <cell r="G93">
            <v>1</v>
          </cell>
          <cell r="H93" t="str">
            <v>204:901</v>
          </cell>
          <cell r="I93">
            <v>42613.63318287037</v>
          </cell>
          <cell r="J93">
            <v>0</v>
          </cell>
          <cell r="K93" t="str">
            <v>4011/4012</v>
          </cell>
          <cell r="L93" t="str">
            <v>ISHMAEL</v>
          </cell>
          <cell r="M93">
            <v>3.125E-2</v>
          </cell>
          <cell r="N93">
            <v>45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https://search-rtdc-monitor-bjffxe2xuh6vdkpspy63sjmuny.us-east-1.es.amazonaws.com/_plugin/kibana/#/discover/Steve-Slow-Train-Analysis-(2080s-and-2083s)?_g=(refreshInterval:(display:Off,section:0,value:0),time:(from:'2016-08-31 13:18:11-0600',mode:absolute,to:'2016-08-31 16:11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93" t="str">
            <v>N</v>
          </cell>
          <cell r="X93">
            <v>1</v>
          </cell>
          <cell r="Y93">
            <v>23.299299999999999</v>
          </cell>
          <cell r="Z93">
            <v>9.01E-2</v>
          </cell>
          <cell r="AA93">
            <v>23.209199999999999</v>
          </cell>
          <cell r="AB93" t="e">
            <v>#N/A</v>
          </cell>
          <cell r="AC93" t="e">
            <v>#N/A</v>
          </cell>
          <cell r="AD93" t="str">
            <v>0180-31</v>
          </cell>
          <cell r="AE93" t="str">
            <v>aws s3 cp s3://rtdc.mdm.uploadarchive/RTDC4012/2016-08-31/ "%USERPROFILE%\AppData\Local\Temp\OnboardLogs"\RTDC4012\2016-08-31 --recursive &amp; "%USERPROFILE%\Documents\GitHub\mrs-test-scripts\Headless Mode &amp; Sideloading\WalkAndUnGZ.bat" "%USERPROFILE%\AppData\Local\Temp\OnboardLogs"\RTDC4012\2016-08-31 &amp; 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</v>
          </cell>
        </row>
        <row r="94">
          <cell r="A94" t="str">
            <v>181-31</v>
          </cell>
          <cell r="B94">
            <v>4042</v>
          </cell>
          <cell r="C94" t="str">
            <v>DE.1.0.7.0</v>
          </cell>
          <cell r="D94" t="str">
            <v>204:559</v>
          </cell>
          <cell r="E94">
            <v>42613.574490740742</v>
          </cell>
          <cell r="F94">
            <v>42613.577106481483</v>
          </cell>
          <cell r="G94">
            <v>1</v>
          </cell>
          <cell r="H94" t="str">
            <v>204:233326</v>
          </cell>
          <cell r="I94">
            <v>42613.60359953704</v>
          </cell>
          <cell r="J94">
            <v>0</v>
          </cell>
          <cell r="K94" t="str">
            <v>4041/4042</v>
          </cell>
          <cell r="L94" t="str">
            <v>YOUNG</v>
          </cell>
          <cell r="M94">
            <v>2.6493055556784384E-2</v>
          </cell>
          <cell r="N94">
            <v>38.150000001769513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https://search-rtdc-monitor-bjffxe2xuh6vdkpspy63sjmuny.us-east-1.es.amazonaws.com/_plugin/kibana/#/discover/Steve-Slow-Train-Analysis-(2080s-and-2083s)?_g=(refreshInterval:(display:Off,section:0,value:0),time:(from:'2016-08-31 12:47:16-0600',mode:absolute,to:'2016-08-31 15:29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94" t="str">
            <v>N</v>
          </cell>
          <cell r="X94">
            <v>1</v>
          </cell>
          <cell r="Y94">
            <v>5.5899999999999998E-2</v>
          </cell>
          <cell r="Z94">
            <v>23.332599999999999</v>
          </cell>
          <cell r="AA94">
            <v>23.276699999999998</v>
          </cell>
          <cell r="AB94" t="e">
            <v>#N/A</v>
          </cell>
          <cell r="AC94" t="e">
            <v>#N/A</v>
          </cell>
          <cell r="AD94" t="str">
            <v>0181-31</v>
          </cell>
          <cell r="AE94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95">
          <cell r="A95" t="str">
            <v>182-31</v>
          </cell>
          <cell r="B95">
            <v>4041</v>
          </cell>
          <cell r="C95" t="str">
            <v>DE.1.0.7.0</v>
          </cell>
          <cell r="D95" t="str">
            <v>204:232990</v>
          </cell>
          <cell r="E95">
            <v>42613.614768518521</v>
          </cell>
          <cell r="F95">
            <v>42613.616296296299</v>
          </cell>
          <cell r="G95">
            <v>1</v>
          </cell>
          <cell r="H95" t="str">
            <v>204:149</v>
          </cell>
          <cell r="I95">
            <v>42613.653773148151</v>
          </cell>
          <cell r="J95">
            <v>0</v>
          </cell>
          <cell r="K95" t="str">
            <v>4041/4042</v>
          </cell>
          <cell r="L95" t="str">
            <v>YOUNG</v>
          </cell>
          <cell r="M95">
            <v>3.7476851852261461E-2</v>
          </cell>
          <cell r="N95">
            <v>53.966666667256504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https://search-rtdc-monitor-bjffxe2xuh6vdkpspy63sjmuny.us-east-1.es.amazonaws.com/_plugin/kibana/#/discover/Steve-Slow-Train-Analysis-(2080s-and-2083s)?_g=(refreshInterval:(display:Off,section:0,value:0),time:(from:'2016-08-31 13:45:16-0600',mode:absolute,to:'2016-08-31 16:41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95" t="str">
            <v>N</v>
          </cell>
          <cell r="X95">
            <v>1</v>
          </cell>
          <cell r="Y95">
            <v>23.298999999999999</v>
          </cell>
          <cell r="Z95">
            <v>1.49E-2</v>
          </cell>
          <cell r="AA95">
            <v>23.284099999999999</v>
          </cell>
          <cell r="AB95" t="e">
            <v>#N/A</v>
          </cell>
          <cell r="AC95" t="e">
            <v>#N/A</v>
          </cell>
          <cell r="AD95" t="str">
            <v>0182-31</v>
          </cell>
          <cell r="AE95" t="str">
    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    </cell>
        </row>
        <row r="96">
          <cell r="A96" t="str">
            <v>183-31</v>
          </cell>
          <cell r="B96">
            <v>4029</v>
          </cell>
          <cell r="C96" t="str">
            <v>DE.1.0.7.0</v>
          </cell>
          <cell r="D96" t="str">
            <v>204:484</v>
          </cell>
          <cell r="E96">
            <v>42613.582870370374</v>
          </cell>
          <cell r="F96">
            <v>42613.585023148145</v>
          </cell>
          <cell r="G96">
            <v>1</v>
          </cell>
          <cell r="H96" t="str">
            <v>204:233302</v>
          </cell>
          <cell r="I96">
            <v>42613.610219907408</v>
          </cell>
          <cell r="J96">
            <v>0</v>
          </cell>
          <cell r="K96" t="str">
            <v>4029/4030</v>
          </cell>
          <cell r="L96" t="str">
            <v>BROWN</v>
          </cell>
          <cell r="M96">
            <v>2.5196759263053536E-2</v>
          </cell>
          <cell r="N96">
            <v>36.283333338797092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https://search-rtdc-monitor-bjffxe2xuh6vdkpspy63sjmuny.us-east-1.es.amazonaws.com/_plugin/kibana/#/discover/Steve-Slow-Train-Analysis-(2080s-and-2083s)?_g=(refreshInterval:(display:Off,section:0,value:0),time:(from:'2016-08-31 12:59:20-0600',mode:absolute,to:'2016-08-31 15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96" t="str">
            <v>N</v>
          </cell>
          <cell r="X96">
            <v>1</v>
          </cell>
          <cell r="Y96">
            <v>4.8399999999999999E-2</v>
          </cell>
          <cell r="Z96">
            <v>23.330200000000001</v>
          </cell>
          <cell r="AA96">
            <v>23.2818</v>
          </cell>
          <cell r="AB96" t="e">
            <v>#N/A</v>
          </cell>
          <cell r="AC96" t="e">
            <v>#N/A</v>
          </cell>
          <cell r="AD96" t="str">
            <v>0183-31</v>
          </cell>
          <cell r="AE96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97">
          <cell r="A97" t="str">
            <v>184-31</v>
          </cell>
          <cell r="B97">
            <v>4030</v>
          </cell>
          <cell r="C97" t="str">
            <v>DE.1.0.7.0</v>
          </cell>
          <cell r="D97" t="str">
            <v>204:232983</v>
          </cell>
          <cell r="E97">
            <v>42613.615613425929</v>
          </cell>
          <cell r="F97">
            <v>42613.622534722221</v>
          </cell>
          <cell r="G97">
            <v>2</v>
          </cell>
          <cell r="H97" t="str">
            <v>204:415</v>
          </cell>
          <cell r="I97">
            <v>42613.656944444447</v>
          </cell>
          <cell r="J97">
            <v>0</v>
          </cell>
          <cell r="K97" t="str">
            <v>4029/4030</v>
          </cell>
          <cell r="L97" t="str">
            <v>BROWN</v>
          </cell>
          <cell r="M97">
            <v>3.4409722225973383E-2</v>
          </cell>
          <cell r="N97">
            <v>49.550000005401671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https://search-rtdc-monitor-bjffxe2xuh6vdkpspy63sjmuny.us-east-1.es.amazonaws.com/_plugin/kibana/#/discover/Steve-Slow-Train-Analysis-(2080s-and-2083s)?_g=(refreshInterval:(display:Off,section:0,value:0),time:(from:'2016-08-31 13:46:29-0600',mode:absolute,to:'2016-08-31 16:46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97" t="str">
            <v>N</v>
          </cell>
          <cell r="X97">
            <v>1</v>
          </cell>
          <cell r="Y97">
            <v>23.298300000000001</v>
          </cell>
          <cell r="Z97">
            <v>4.1500000000000002E-2</v>
          </cell>
          <cell r="AA97">
            <v>23.256800000000002</v>
          </cell>
          <cell r="AB97" t="e">
            <v>#N/A</v>
          </cell>
          <cell r="AC97" t="e">
            <v>#N/A</v>
          </cell>
          <cell r="AD97" t="str">
            <v>0184-31</v>
          </cell>
          <cell r="AE97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98">
          <cell r="A98" t="str">
            <v>185-31</v>
          </cell>
          <cell r="B98">
            <v>4044</v>
          </cell>
          <cell r="C98" t="str">
            <v>DE.1.0.7.0</v>
          </cell>
          <cell r="D98" t="str">
            <v>204:458</v>
          </cell>
          <cell r="E98">
            <v>42613.590949074074</v>
          </cell>
          <cell r="F98">
            <v>42613.594050925924</v>
          </cell>
          <cell r="G98">
            <v>1</v>
          </cell>
          <cell r="H98" t="str">
            <v>204:233303</v>
          </cell>
          <cell r="I98">
            <v>42613.621296296296</v>
          </cell>
          <cell r="J98">
            <v>0</v>
          </cell>
          <cell r="K98" t="str">
            <v>4043/4044</v>
          </cell>
          <cell r="L98" t="str">
            <v>DE LA ROSA</v>
          </cell>
          <cell r="M98">
            <v>2.7245370372838806E-2</v>
          </cell>
          <cell r="N98">
            <v>39.233333336887881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https://search-rtdc-monitor-bjffxe2xuh6vdkpspy63sjmuny.us-east-1.es.amazonaws.com/_plugin/kibana/#/discover/Steve-Slow-Train-Analysis-(2080s-and-2083s)?_g=(refreshInterval:(display:Off,section:0,value:0),time:(from:'2016-08-31 13:10:58-0600',mode:absolute,to:'2016-08-31 15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98" t="str">
            <v>N</v>
          </cell>
          <cell r="X98">
            <v>1</v>
          </cell>
          <cell r="Y98">
            <v>4.58E-2</v>
          </cell>
          <cell r="Z98">
            <v>23.330300000000001</v>
          </cell>
          <cell r="AA98">
            <v>23.284500000000001</v>
          </cell>
          <cell r="AB98" t="e">
            <v>#N/A</v>
          </cell>
          <cell r="AC98" t="e">
            <v>#N/A</v>
          </cell>
          <cell r="AD98" t="str">
            <v>0185-31</v>
          </cell>
          <cell r="AE98" t="str">
            <v>aws s3 cp s3://rtdc.mdm.uploadarchive/RTDC4044/2016-08-31/ "%USERPROFILE%\AppData\Local\Temp\OnboardLogs"\RTDC4044\2016-08-31 --recursive &amp; "%USERPROFILE%\Documents\GitHub\mrs-test-scripts\Headless Mode &amp; Sideloading\WalkAndUnGZ.bat" "%USERPROFILE%\AppData\Local\Temp\OnboardLogs"\RTDC4044\2016-08-31 &amp; 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</v>
          </cell>
        </row>
        <row r="99">
          <cell r="A99" t="str">
            <v>186-31</v>
          </cell>
          <cell r="B99">
            <v>4043</v>
          </cell>
          <cell r="C99" t="str">
            <v>DE.1.0.7.0</v>
          </cell>
          <cell r="D99" t="str">
            <v>204:232973</v>
          </cell>
          <cell r="E99">
            <v>42613.628101851849</v>
          </cell>
          <cell r="F99">
            <v>42613.633194444446</v>
          </cell>
          <cell r="G99">
            <v>1</v>
          </cell>
          <cell r="H99" t="str">
            <v>204:1232</v>
          </cell>
          <cell r="I99">
            <v>42613.661770833336</v>
          </cell>
          <cell r="J99">
            <v>0</v>
          </cell>
          <cell r="K99" t="str">
            <v>4043/4044</v>
          </cell>
          <cell r="L99" t="str">
            <v>DE LA ROSA</v>
          </cell>
          <cell r="M99">
            <v>2.8576388889632653E-2</v>
          </cell>
          <cell r="N99">
            <v>41.150000001071021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https://search-rtdc-monitor-bjffxe2xuh6vdkpspy63sjmuny.us-east-1.es.amazonaws.com/_plugin/kibana/#/discover/Steve-Slow-Train-Analysis-(2080s-and-2083s)?_g=(refreshInterval:(display:Off,section:0,value:0),time:(from:'2016-08-31 14:04:28-0600',mode:absolute,to:'2016-08-31 16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99" t="str">
            <v>N</v>
          </cell>
          <cell r="X99">
            <v>1</v>
          </cell>
          <cell r="Y99">
            <v>23.2973</v>
          </cell>
          <cell r="Z99">
            <v>0.1232</v>
          </cell>
          <cell r="AA99">
            <v>23.174099999999999</v>
          </cell>
          <cell r="AB99" t="e">
            <v>#N/A</v>
          </cell>
          <cell r="AC99" t="e">
            <v>#N/A</v>
          </cell>
          <cell r="AD99" t="str">
            <v>0186-31</v>
          </cell>
          <cell r="AE99" t="str">
            <v>aws s3 cp s3://rtdc.mdm.uploadarchive/RTDC4043/2016-08-31/ "%USERPROFILE%\AppData\Local\Temp\OnboardLogs"\RTDC4043\2016-08-31 --recursive &amp; "%USERPROFILE%\Documents\GitHub\mrs-test-scripts\Headless Mode &amp; Sideloading\WalkAndUnGZ.bat" "%USERPROFILE%\AppData\Local\Temp\OnboardLogs"\RTDC4043\2016-08-31 &amp; 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</v>
          </cell>
        </row>
        <row r="100">
          <cell r="A100" t="str">
            <v>187-31</v>
          </cell>
          <cell r="B100">
            <v>4002</v>
          </cell>
          <cell r="C100" t="str">
            <v>DE.1.0.7.0</v>
          </cell>
          <cell r="D100" t="str">
            <v>204:447</v>
          </cell>
          <cell r="E100">
            <v>42613.603009259263</v>
          </cell>
          <cell r="F100">
            <v>42613.604490740741</v>
          </cell>
          <cell r="G100">
            <v>1</v>
          </cell>
          <cell r="H100" t="str">
            <v>204:233302</v>
          </cell>
          <cell r="I100">
            <v>42613.631331018521</v>
          </cell>
          <cell r="J100">
            <v>0</v>
          </cell>
          <cell r="K100" t="str">
            <v>4001/4002</v>
          </cell>
          <cell r="L100" t="str">
            <v>ARVIDSON</v>
          </cell>
          <cell r="M100">
            <v>2.6840277780138422E-2</v>
          </cell>
          <cell r="N100">
            <v>38.650000003399327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https://search-rtdc-monitor-bjffxe2xuh6vdkpspy63sjmuny.us-east-1.es.amazonaws.com/_plugin/kibana/#/discover/Steve-Slow-Train-Analysis-(2080s-and-2083s)?_g=(refreshInterval:(display:Off,section:0,value:0),time:(from:'2016-08-31 13:28:20-0600',mode:absolute,to:'2016-08-31 16:09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00" t="str">
            <v>N</v>
          </cell>
          <cell r="X100">
            <v>1</v>
          </cell>
          <cell r="Y100">
            <v>4.4699999999999997E-2</v>
          </cell>
          <cell r="Z100">
            <v>23.330200000000001</v>
          </cell>
          <cell r="AA100">
            <v>23.285500000000003</v>
          </cell>
          <cell r="AB100">
            <v>230436</v>
          </cell>
          <cell r="AC100" t="str">
            <v>PERMANENT SPEED RESTRICTION</v>
          </cell>
          <cell r="AD100" t="str">
            <v>0187-31</v>
          </cell>
          <cell r="AE100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101">
          <cell r="A101" t="str">
            <v>188-31</v>
          </cell>
          <cell r="B101">
            <v>4001</v>
          </cell>
          <cell r="C101" t="str">
            <v>DE.1.0.7.0</v>
          </cell>
          <cell r="D101" t="str">
            <v>204:232985</v>
          </cell>
          <cell r="E101">
            <v>42613.638784722221</v>
          </cell>
          <cell r="F101">
            <v>42613.7266087963</v>
          </cell>
          <cell r="G101">
            <v>1</v>
          </cell>
          <cell r="H101" t="str">
            <v>204:169</v>
          </cell>
          <cell r="I101">
            <v>42613.755856481483</v>
          </cell>
          <cell r="J101">
            <v>0</v>
          </cell>
          <cell r="K101" t="str">
            <v>4001/4002</v>
          </cell>
          <cell r="L101" t="str">
            <v>ROBINSON</v>
          </cell>
          <cell r="M101">
            <v>2.9247685182781424E-2</v>
          </cell>
          <cell r="N101">
            <v>42.116666663205251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https://search-rtdc-monitor-bjffxe2xuh6vdkpspy63sjmuny.us-east-1.es.amazonaws.com/_plugin/kibana/#/discover/Steve-Slow-Train-Analysis-(2080s-and-2083s)?_g=(refreshInterval:(display:Off,section:0,value:0),time:(from:'2016-08-31 14:19:51-0600',mode:absolute,to:'2016-08-31 19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01" t="str">
            <v>N</v>
          </cell>
          <cell r="X101">
            <v>1</v>
          </cell>
          <cell r="Y101">
            <v>23.298500000000001</v>
          </cell>
          <cell r="Z101">
            <v>1.6899999999999998E-2</v>
          </cell>
          <cell r="AA101">
            <v>23.281600000000001</v>
          </cell>
          <cell r="AB101">
            <v>21848</v>
          </cell>
          <cell r="AC101" t="str">
            <v>PERMANENT SPEED RESTRICTION</v>
          </cell>
          <cell r="AD101" t="str">
            <v>0188-31</v>
          </cell>
          <cell r="AE101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102">
          <cell r="A102" t="str">
            <v>189-31</v>
          </cell>
          <cell r="B102">
            <v>4016</v>
          </cell>
          <cell r="C102" t="str">
            <v>DE.1.0.7.0</v>
          </cell>
          <cell r="D102" t="str">
            <v>204:460</v>
          </cell>
          <cell r="E102">
            <v>42613.61341435185</v>
          </cell>
          <cell r="F102">
            <v>42613.615023148152</v>
          </cell>
          <cell r="G102">
            <v>1</v>
          </cell>
          <cell r="H102" t="str">
            <v>204:233291</v>
          </cell>
          <cell r="I102">
            <v>42613.642395833333</v>
          </cell>
          <cell r="J102">
            <v>0</v>
          </cell>
          <cell r="K102" t="str">
            <v>4015/4016</v>
          </cell>
          <cell r="L102" t="str">
            <v>BARTLETT</v>
          </cell>
          <cell r="M102">
            <v>2.7372685181035195E-2</v>
          </cell>
          <cell r="N102">
            <v>39.41666666069068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https://search-rtdc-monitor-bjffxe2xuh6vdkpspy63sjmuny.us-east-1.es.amazonaws.com/_plugin/kibana/#/discover/Steve-Slow-Train-Analysis-(2080s-and-2083s)?_g=(refreshInterval:(display:Off,section:0,value:0),time:(from:'2016-08-31 13:43:19-0600',mode:absolute,to:'2016-08-31 16:25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02" t="str">
            <v>N</v>
          </cell>
          <cell r="X102">
            <v>1</v>
          </cell>
          <cell r="Y102">
            <v>4.5999999999999999E-2</v>
          </cell>
          <cell r="Z102">
            <v>23.3291</v>
          </cell>
          <cell r="AA102">
            <v>23.283100000000001</v>
          </cell>
          <cell r="AB102" t="e">
            <v>#N/A</v>
          </cell>
          <cell r="AC102" t="e">
            <v>#N/A</v>
          </cell>
          <cell r="AD102" t="str">
            <v>0189-31</v>
          </cell>
          <cell r="AE102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103">
          <cell r="A103" t="str">
            <v>190-31</v>
          </cell>
          <cell r="B103">
            <v>4015</v>
          </cell>
          <cell r="C103" t="str">
            <v>DE.1.0.7.0</v>
          </cell>
          <cell r="D103" t="str">
            <v>204:232980</v>
          </cell>
          <cell r="E103">
            <v>42613.644895833335</v>
          </cell>
          <cell r="F103">
            <v>42613.654039351852</v>
          </cell>
          <cell r="G103">
            <v>1</v>
          </cell>
          <cell r="H103" t="str">
            <v>204:176</v>
          </cell>
          <cell r="I103">
            <v>42613.687037037038</v>
          </cell>
          <cell r="J103">
            <v>0</v>
          </cell>
          <cell r="K103" t="str">
            <v>4015/4016</v>
          </cell>
          <cell r="L103" t="str">
            <v>BARTLETT</v>
          </cell>
          <cell r="M103">
            <v>3.2997685186273884E-2</v>
          </cell>
          <cell r="N103">
            <v>47.516666668234393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https://search-rtdc-monitor-bjffxe2xuh6vdkpspy63sjmuny.us-east-1.es.amazonaws.com/_plugin/kibana/#/discover/Steve-Slow-Train-Analysis-(2080s-and-2083s)?_g=(refreshInterval:(display:Off,section:0,value:0),time:(from:'2016-08-31 14:28:39-0600',mode:absolute,to:'2016-08-31 17:29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03" t="str">
            <v>N</v>
          </cell>
          <cell r="X103">
            <v>1</v>
          </cell>
          <cell r="Y103">
            <v>23.297999999999998</v>
          </cell>
          <cell r="Z103">
            <v>1.7600000000000001E-2</v>
          </cell>
          <cell r="AA103">
            <v>23.280399999999997</v>
          </cell>
          <cell r="AB103" t="e">
            <v>#N/A</v>
          </cell>
          <cell r="AC103" t="e">
            <v>#N/A</v>
          </cell>
          <cell r="AD103" t="str">
            <v>0190-31</v>
          </cell>
          <cell r="AE103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104">
          <cell r="A104" t="str">
            <v>191-31</v>
          </cell>
          <cell r="B104">
            <v>4014</v>
          </cell>
          <cell r="C104" t="str">
            <v>DE.1.0.7.0</v>
          </cell>
          <cell r="D104" t="str">
            <v>204:469</v>
          </cell>
          <cell r="E104">
            <v>42613.629259259258</v>
          </cell>
          <cell r="F104">
            <v>42613.633379629631</v>
          </cell>
          <cell r="G104">
            <v>1</v>
          </cell>
          <cell r="H104" t="str">
            <v>204:233317</v>
          </cell>
          <cell r="I104">
            <v>42613.664050925923</v>
          </cell>
          <cell r="J104">
            <v>0</v>
          </cell>
          <cell r="K104" t="str">
            <v>4013/4014</v>
          </cell>
          <cell r="L104" t="str">
            <v>MAHAN</v>
          </cell>
          <cell r="M104">
            <v>3.0671296291984618E-2</v>
          </cell>
          <cell r="N104">
            <v>44.16666666045785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https://search-rtdc-monitor-bjffxe2xuh6vdkpspy63sjmuny.us-east-1.es.amazonaws.com/_plugin/kibana/#/discover/Steve-Slow-Train-Analysis-(2080s-and-2083s)?_g=(refreshInterval:(display:Off,section:0,value:0),time:(from:'2016-08-31 14:06:08-0600',mode:absolute,to:'2016-08-31 16:56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04" t="str">
            <v>N</v>
          </cell>
          <cell r="X104">
            <v>1</v>
          </cell>
          <cell r="Y104">
            <v>4.6899999999999997E-2</v>
          </cell>
          <cell r="Z104">
            <v>23.331700000000001</v>
          </cell>
          <cell r="AA104">
            <v>23.284800000000001</v>
          </cell>
          <cell r="AB104" t="e">
            <v>#N/A</v>
          </cell>
          <cell r="AC104" t="e">
            <v>#N/A</v>
          </cell>
          <cell r="AD104" t="str">
            <v>0191-31</v>
          </cell>
          <cell r="AE104" t="str">
    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    </cell>
        </row>
        <row r="105">
          <cell r="A105" t="str">
            <v>192-31</v>
          </cell>
          <cell r="B105">
            <v>4013</v>
          </cell>
          <cell r="C105" t="str">
            <v>DE.1.0.7.0</v>
          </cell>
          <cell r="D105" t="str">
            <v>204:232989</v>
          </cell>
          <cell r="E105">
            <v>42613.667766203704</v>
          </cell>
          <cell r="F105">
            <v>42613.669120370374</v>
          </cell>
          <cell r="G105">
            <v>1</v>
          </cell>
          <cell r="H105" t="str">
            <v>204:156</v>
          </cell>
          <cell r="I105">
            <v>42613.699120370373</v>
          </cell>
          <cell r="J105">
            <v>0</v>
          </cell>
          <cell r="K105" t="str">
            <v>4013/4014</v>
          </cell>
          <cell r="L105" t="str">
            <v>MAHAN</v>
          </cell>
          <cell r="M105">
            <v>2.9999999998835847E-2</v>
          </cell>
          <cell r="N105">
            <v>43.199999998323619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https://search-rtdc-monitor-bjffxe2xuh6vdkpspy63sjmuny.us-east-1.es.amazonaws.com/_plugin/kibana/#/discover/Steve-Slow-Train-Analysis-(2080s-and-2083s)?_g=(refreshInterval:(display:Off,section:0,value:0),time:(from:'2016-08-31 15:01:35-0600',mode:absolute,to:'2016-08-31 17:46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05" t="str">
            <v>N</v>
          </cell>
          <cell r="X105">
            <v>1</v>
          </cell>
          <cell r="Y105">
            <v>23.2989</v>
          </cell>
          <cell r="Z105">
            <v>1.5599999999999999E-2</v>
          </cell>
          <cell r="AA105">
            <v>23.283300000000001</v>
          </cell>
          <cell r="AB105" t="e">
            <v>#N/A</v>
          </cell>
          <cell r="AC105" t="e">
            <v>#N/A</v>
          </cell>
          <cell r="AD105" t="str">
            <v>0192-31</v>
          </cell>
          <cell r="AE105" t="str">
    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    </cell>
        </row>
        <row r="106">
          <cell r="A106" t="str">
            <v>193-31</v>
          </cell>
          <cell r="B106">
            <v>4027</v>
          </cell>
          <cell r="C106" t="str">
            <v>DE.1.0.7.0</v>
          </cell>
          <cell r="D106" t="str">
            <v>204:734</v>
          </cell>
          <cell r="E106">
            <v>42613.633587962962</v>
          </cell>
          <cell r="F106">
            <v>42613.638668981483</v>
          </cell>
          <cell r="G106">
            <v>5</v>
          </cell>
          <cell r="H106" t="str">
            <v>204:233288</v>
          </cell>
          <cell r="I106">
            <v>42613.670729166668</v>
          </cell>
          <cell r="J106">
            <v>0</v>
          </cell>
          <cell r="K106" t="str">
            <v>4027/4028</v>
          </cell>
          <cell r="L106" t="str">
            <v>ISHMAEL</v>
          </cell>
          <cell r="M106">
            <v>3.2060185185400769E-2</v>
          </cell>
          <cell r="N106">
            <v>46.166666666977108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https://search-rtdc-monitor-bjffxe2xuh6vdkpspy63sjmuny.us-east-1.es.amazonaws.com/_plugin/kibana/#/discover/Steve-Slow-Train-Analysis-(2080s-and-2083s)?_g=(refreshInterval:(display:Off,section:0,value:0),time:(from:'2016-08-31 14:12:22-0600',mode:absolute,to:'2016-08-31 17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06" t="str">
            <v>N</v>
          </cell>
          <cell r="X106">
            <v>1</v>
          </cell>
          <cell r="Y106">
            <v>7.3400000000000007E-2</v>
          </cell>
          <cell r="Z106">
            <v>23.328800000000001</v>
          </cell>
          <cell r="AA106">
            <v>23.255400000000002</v>
          </cell>
          <cell r="AB106" t="e">
            <v>#N/A</v>
          </cell>
          <cell r="AC106" t="e">
            <v>#N/A</v>
          </cell>
          <cell r="AD106" t="str">
            <v>0193-31</v>
          </cell>
          <cell r="AE106" t="str">
            <v>aws s3 cp s3://rtdc.mdm.uploadarchive/RTDC4027/2016-08-31/ "%USERPROFILE%\AppData\Local\Temp\OnboardLogs"\RTDC4027\2016-08-31 --recursive &amp; "%USERPROFILE%\Documents\GitHub\mrs-test-scripts\Headless Mode &amp; Sideloading\WalkAndUnGZ.bat" "%USERPROFILE%\AppData\Local\Temp\OnboardLogs"\RTDC4027\2016-08-31 &amp; aws s3 cp s3://rtdc.mdm.uploadarchive/RTDC4027/2016-09-01/ "%USERPROFILE%\AppData\Local\Temp\OnboardLogs"\RTDC4027\2016-09-01 --recursive &amp; "%USERPROFILE%\Documents\GitHub\mrs-test-scripts\Headless Mode &amp; Sideloading\WalkAndUnGZ.bat" "%USERPROFILE%\AppData\Local\Temp\OnboardLogs"\RTDC4027\2016-09-01</v>
          </cell>
        </row>
        <row r="107">
          <cell r="A107" t="str">
            <v>194-31</v>
          </cell>
          <cell r="B107">
            <v>4028</v>
          </cell>
          <cell r="C107" t="str">
            <v>DE.1.0.7.0</v>
          </cell>
          <cell r="D107" t="str">
            <v>204:232978</v>
          </cell>
          <cell r="E107">
            <v>42613.671932870369</v>
          </cell>
          <cell r="F107">
            <v>42613.67465277778</v>
          </cell>
          <cell r="G107">
            <v>1</v>
          </cell>
          <cell r="H107" t="str">
            <v>204:154</v>
          </cell>
          <cell r="I107">
            <v>42613.706944444442</v>
          </cell>
          <cell r="J107">
            <v>0</v>
          </cell>
          <cell r="K107" t="str">
            <v>4027/4028</v>
          </cell>
          <cell r="L107" t="str">
            <v>ISHMAEL</v>
          </cell>
          <cell r="M107">
            <v>3.2291666662786156E-2</v>
          </cell>
          <cell r="N107">
            <v>46.499999994412065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https://search-rtdc-monitor-bjffxe2xuh6vdkpspy63sjmuny.us-east-1.es.amazonaws.com/_plugin/kibana/#/discover/Steve-Slow-Train-Analysis-(2080s-and-2083s)?_g=(refreshInterval:(display:Off,section:0,value:0),time:(from:'2016-08-31 15:07:35-0600',mode:absolute,to:'2016-08-31 17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07" t="str">
            <v>N</v>
          </cell>
          <cell r="X107">
            <v>1</v>
          </cell>
          <cell r="Y107">
            <v>23.297799999999999</v>
          </cell>
          <cell r="Z107">
            <v>1.54E-2</v>
          </cell>
          <cell r="AA107">
            <v>23.282399999999999</v>
          </cell>
          <cell r="AB107" t="e">
            <v>#N/A</v>
          </cell>
          <cell r="AC107" t="e">
            <v>#N/A</v>
          </cell>
          <cell r="AD107" t="str">
            <v>0194-31</v>
          </cell>
          <cell r="AE107" t="str">
            <v>aws s3 cp s3://rtdc.mdm.uploadarchive/RTDC4028/2016-08-31/ "%USERPROFILE%\AppData\Local\Temp\OnboardLogs"\RTDC4028\2016-08-31 --recursive &amp; "%USERPROFILE%\Documents\GitHub\mrs-test-scripts\Headless Mode &amp; Sideloading\WalkAndUnGZ.bat" "%USERPROFILE%\AppData\Local\Temp\OnboardLogs"\RTDC4028\2016-08-31 &amp; 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</v>
          </cell>
        </row>
        <row r="108">
          <cell r="A108" t="str">
            <v>197-31</v>
          </cell>
          <cell r="B108">
            <v>4042</v>
          </cell>
          <cell r="C108" t="str">
            <v>DE.1.0.7.0</v>
          </cell>
          <cell r="D108" t="str">
            <v>204:462</v>
          </cell>
          <cell r="E108">
            <v>42613.655324074076</v>
          </cell>
          <cell r="F108">
            <v>42613.656956018516</v>
          </cell>
          <cell r="G108">
            <v>1</v>
          </cell>
          <cell r="H108" t="str">
            <v>204:233293</v>
          </cell>
          <cell r="I108">
            <v>42613.689456018517</v>
          </cell>
          <cell r="J108">
            <v>0</v>
          </cell>
          <cell r="K108" t="str">
            <v>4041/4042</v>
          </cell>
          <cell r="L108" t="str">
            <v>YOUNG</v>
          </cell>
          <cell r="M108">
            <v>3.2500000001164153E-2</v>
          </cell>
          <cell r="N108">
            <v>46.800000001676381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https://search-rtdc-monitor-bjffxe2xuh6vdkpspy63sjmuny.us-east-1.es.amazonaws.com/_plugin/kibana/#/discover/Steve-Slow-Train-Analysis-(2080s-and-2083s)?_g=(refreshInterval:(display:Off,section:0,value:0),time:(from:'2016-08-31 14:43:40-0600',mode:absolute,to:'2016-08-31 17:32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08" t="str">
            <v>N</v>
          </cell>
          <cell r="X108">
            <v>3</v>
          </cell>
          <cell r="Y108">
            <v>4.6199999999999998E-2</v>
          </cell>
          <cell r="Z108">
            <v>23.3293</v>
          </cell>
          <cell r="AA108">
            <v>23.283100000000001</v>
          </cell>
          <cell r="AB108" t="e">
            <v>#N/A</v>
          </cell>
          <cell r="AC108" t="e">
            <v>#N/A</v>
          </cell>
          <cell r="AD108" t="str">
            <v>0197-31</v>
          </cell>
          <cell r="AE108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109">
          <cell r="A109" t="str">
            <v>198-31</v>
          </cell>
          <cell r="B109">
            <v>4041</v>
          </cell>
          <cell r="C109" t="str">
            <v>DE.1.0.7.0</v>
          </cell>
          <cell r="D109" t="str">
            <v>204:232974</v>
          </cell>
          <cell r="E109">
            <v>42613.691203703704</v>
          </cell>
          <cell r="F109">
            <v>42613.695324074077</v>
          </cell>
          <cell r="G109">
            <v>1</v>
          </cell>
          <cell r="H109" t="str">
            <v>204:169</v>
          </cell>
          <cell r="I109">
            <v>42613.726493055554</v>
          </cell>
          <cell r="J109">
            <v>0</v>
          </cell>
          <cell r="K109" t="str">
            <v>4041/4042</v>
          </cell>
          <cell r="L109" t="str">
            <v>YOUNG</v>
          </cell>
          <cell r="M109">
            <v>3.1168981477094349E-2</v>
          </cell>
          <cell r="N109">
            <v>44.883333327015862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https://search-rtdc-monitor-bjffxe2xuh6vdkpspy63sjmuny.us-east-1.es.amazonaws.com/_plugin/kibana/#/discover/Steve-Slow-Train-Analysis-(2080s-and-2083s)?_g=(refreshInterval:(display:Off,section:0,value:0),time:(from:'2016-08-31 15:35:20-0600',mode:absolute,to:'2016-08-31 18:26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09" t="str">
            <v>N</v>
          </cell>
          <cell r="X109">
            <v>1</v>
          </cell>
          <cell r="Y109">
            <v>23.2974</v>
          </cell>
          <cell r="Z109">
            <v>1.6899999999999998E-2</v>
          </cell>
          <cell r="AA109">
            <v>23.2805</v>
          </cell>
          <cell r="AB109" t="e">
            <v>#N/A</v>
          </cell>
          <cell r="AC109" t="e">
            <v>#N/A</v>
          </cell>
          <cell r="AD109" t="str">
            <v>0198-31</v>
          </cell>
          <cell r="AE109" t="str">
    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    </cell>
        </row>
        <row r="110">
          <cell r="A110" t="str">
            <v>199-31</v>
          </cell>
          <cell r="B110">
            <v>4029</v>
          </cell>
          <cell r="C110" t="str">
            <v>DE.1.0.7.0</v>
          </cell>
          <cell r="D110" t="str">
            <v>204:770</v>
          </cell>
          <cell r="E110">
            <v>42613.659629629627</v>
          </cell>
          <cell r="F110">
            <v>42613.667083333334</v>
          </cell>
          <cell r="G110">
            <v>2</v>
          </cell>
          <cell r="H110" t="str">
            <v>204:233303</v>
          </cell>
          <cell r="I110">
            <v>42613.695636574077</v>
          </cell>
          <cell r="J110">
            <v>0</v>
          </cell>
          <cell r="K110" t="str">
            <v>4029/4030</v>
          </cell>
          <cell r="L110" t="str">
            <v>BROWN</v>
          </cell>
          <cell r="M110">
            <v>2.8553240743349306E-2</v>
          </cell>
          <cell r="N110">
            <v>41.116666670423001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https://search-rtdc-monitor-bjffxe2xuh6vdkpspy63sjmuny.us-east-1.es.amazonaws.com/_plugin/kibana/#/discover/Steve-Slow-Train-Analysis-(2080s-and-2083s)?_g=(refreshInterval:(display:Off,section:0,value:0),time:(from:'2016-08-31 14:49:52-0600',mode:absolute,to:'2016-08-31 17:41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10" t="str">
            <v>N</v>
          </cell>
          <cell r="X110">
            <v>1</v>
          </cell>
          <cell r="Y110">
            <v>7.6999999999999999E-2</v>
          </cell>
          <cell r="Z110">
            <v>23.330300000000001</v>
          </cell>
          <cell r="AA110">
            <v>23.253299999999999</v>
          </cell>
          <cell r="AB110" t="e">
            <v>#N/A</v>
          </cell>
          <cell r="AC110" t="e">
            <v>#N/A</v>
          </cell>
          <cell r="AD110" t="str">
            <v>0199-31</v>
          </cell>
          <cell r="AE110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111">
          <cell r="A111" t="str">
            <v>200-31</v>
          </cell>
          <cell r="B111">
            <v>4030</v>
          </cell>
          <cell r="C111" t="str">
            <v>DE.1.0.7.0</v>
          </cell>
          <cell r="D111" t="str">
            <v>204:232971</v>
          </cell>
          <cell r="E111">
            <v>42613.698113425926</v>
          </cell>
          <cell r="F111">
            <v>42613.705752314818</v>
          </cell>
          <cell r="G111">
            <v>1</v>
          </cell>
          <cell r="H111" t="str">
            <v>204:152</v>
          </cell>
          <cell r="I111">
            <v>42613.73400462963</v>
          </cell>
          <cell r="J111">
            <v>0</v>
          </cell>
          <cell r="K111" t="str">
            <v>4029/4030</v>
          </cell>
          <cell r="L111" t="str">
            <v>BROWN</v>
          </cell>
          <cell r="M111">
            <v>2.8252314812561963E-2</v>
          </cell>
          <cell r="N111">
            <v>40.683333330089226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https://search-rtdc-monitor-bjffxe2xuh6vdkpspy63sjmuny.us-east-1.es.amazonaws.com/_plugin/kibana/#/discover/Steve-Slow-Train-Analysis-(2080s-and-2083s)?_g=(refreshInterval:(display:Off,section:0,value:0),time:(from:'2016-08-31 15:45:17-0600',mode:absolute,to:'2016-08-31 18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11" t="str">
            <v>N</v>
          </cell>
          <cell r="X111">
            <v>1</v>
          </cell>
          <cell r="Y111">
            <v>23.2971</v>
          </cell>
          <cell r="Z111">
            <v>1.52E-2</v>
          </cell>
          <cell r="AA111">
            <v>23.2819</v>
          </cell>
          <cell r="AB111" t="e">
            <v>#N/A</v>
          </cell>
          <cell r="AC111" t="e">
            <v>#N/A</v>
          </cell>
          <cell r="AD111" t="str">
            <v>0200-31</v>
          </cell>
          <cell r="AE111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112">
          <cell r="A112" t="str">
            <v>201-31</v>
          </cell>
          <cell r="B112">
            <v>4009</v>
          </cell>
          <cell r="C112" t="str">
            <v>DE.1.0.7.0</v>
          </cell>
          <cell r="D112" t="str">
            <v>204:416</v>
          </cell>
          <cell r="E112">
            <v>42613.669386574074</v>
          </cell>
          <cell r="F112">
            <v>42613.67765046296</v>
          </cell>
          <cell r="G112">
            <v>2</v>
          </cell>
          <cell r="H112" t="str">
            <v>204:233291</v>
          </cell>
          <cell r="I112">
            <v>42613.704074074078</v>
          </cell>
          <cell r="J112">
            <v>0</v>
          </cell>
          <cell r="K112" t="str">
            <v>4009/4010</v>
          </cell>
          <cell r="L112" t="str">
            <v>DE LA ROSA</v>
          </cell>
          <cell r="M112">
            <v>2.6423611117934342E-2</v>
          </cell>
          <cell r="N112">
            <v>38.050000009825453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https://search-rtdc-monitor-bjffxe2xuh6vdkpspy63sjmuny.us-east-1.es.amazonaws.com/_plugin/kibana/#/discover/Steve-Slow-Train-Analysis-(2080s-and-2083s)?_g=(refreshInterval:(display:Off,section:0,value:0),time:(from:'2016-08-31 15:03:55-0600',mode:absolute,to:'2016-08-31 17:53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12" t="str">
            <v>N</v>
          </cell>
          <cell r="X112">
            <v>1</v>
          </cell>
          <cell r="Y112">
            <v>4.1599999999999998E-2</v>
          </cell>
          <cell r="Z112">
            <v>23.3291</v>
          </cell>
          <cell r="AA112">
            <v>23.287500000000001</v>
          </cell>
          <cell r="AB112" t="e">
            <v>#N/A</v>
          </cell>
          <cell r="AC112" t="e">
            <v>#N/A</v>
          </cell>
          <cell r="AD112" t="str">
            <v>0201-31</v>
          </cell>
          <cell r="AE112" t="str">
            <v>aws s3 cp s3://rtdc.mdm.uploadarchive/RTDC4009/2016-08-31/ "%USERPROFILE%\AppData\Local\Temp\OnboardLogs"\RTDC4009\2016-08-31 --recursive &amp; "%USERPROFILE%\Documents\GitHub\mrs-test-scripts\Headless Mode &amp; Sideloading\WalkAndUnGZ.bat" "%USERPROFILE%\AppData\Local\Temp\OnboardLogs"\RTDC4009\2016-08-31 &amp; 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</v>
          </cell>
        </row>
        <row r="113">
          <cell r="A113" t="str">
            <v>202-31</v>
          </cell>
          <cell r="B113">
            <v>4010</v>
          </cell>
          <cell r="C113" t="str">
            <v>DE.1.0.7.0</v>
          </cell>
          <cell r="D113" t="str">
            <v>204:232989</v>
          </cell>
          <cell r="E113">
            <v>42613.711493055554</v>
          </cell>
          <cell r="F113">
            <v>42613.716261574074</v>
          </cell>
          <cell r="G113">
            <v>1</v>
          </cell>
          <cell r="H113" t="str">
            <v>204:160</v>
          </cell>
          <cell r="I113">
            <v>42613.744386574072</v>
          </cell>
          <cell r="J113">
            <v>0</v>
          </cell>
          <cell r="K113" t="str">
            <v>4009/4010</v>
          </cell>
          <cell r="L113" t="str">
            <v>DE LA ROSA</v>
          </cell>
          <cell r="M113">
            <v>2.8124999997089617E-2</v>
          </cell>
          <cell r="N113">
            <v>40.499999995809048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https://search-rtdc-monitor-bjffxe2xuh6vdkpspy63sjmuny.us-east-1.es.amazonaws.com/_plugin/kibana/#/discover/Steve-Slow-Train-Analysis-(2080s-and-2083s)?_g=(refreshInterval:(display:Off,section:0,value:0),time:(from:'2016-08-31 16:04:33-0600',mode:absolute,to:'2016-08-31 18:51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13" t="str">
            <v>N</v>
          </cell>
          <cell r="X113">
            <v>1</v>
          </cell>
          <cell r="Y113">
            <v>23.2989</v>
          </cell>
          <cell r="Z113">
            <v>1.6E-2</v>
          </cell>
          <cell r="AA113">
            <v>23.282900000000001</v>
          </cell>
          <cell r="AB113" t="e">
            <v>#N/A</v>
          </cell>
          <cell r="AC113" t="e">
            <v>#N/A</v>
          </cell>
          <cell r="AD113" t="str">
            <v>0202-31</v>
          </cell>
          <cell r="AE113" t="str">
            <v>aws s3 cp s3://rtdc.mdm.uploadarchive/RTDC4010/2016-08-31/ "%USERPROFILE%\AppData\Local\Temp\OnboardLogs"\RTDC4010\2016-08-31 --recursive &amp; "%USERPROFILE%\Documents\GitHub\mrs-test-scripts\Headless Mode &amp; Sideloading\WalkAndUnGZ.bat" "%USERPROFILE%\AppData\Local\Temp\OnboardLogs"\RTDC4010\2016-08-31 &amp; 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</v>
          </cell>
        </row>
        <row r="114">
          <cell r="A114" t="str">
            <v>203-31</v>
          </cell>
          <cell r="B114">
            <v>4002</v>
          </cell>
          <cell r="C114" t="str">
            <v>DE.1.0.7.0</v>
          </cell>
          <cell r="D114" t="str">
            <v>204:469</v>
          </cell>
          <cell r="E114">
            <v>42613.679166666669</v>
          </cell>
          <cell r="F114">
            <v>42613.687696759262</v>
          </cell>
          <cell r="G114">
            <v>1</v>
          </cell>
          <cell r="H114" t="str">
            <v>204:233297</v>
          </cell>
          <cell r="I114">
            <v>42613.714166666665</v>
          </cell>
          <cell r="J114">
            <v>0</v>
          </cell>
          <cell r="K114" t="str">
            <v>4001/4002</v>
          </cell>
          <cell r="L114" t="str">
            <v>ARVIDSON</v>
          </cell>
          <cell r="M114">
            <v>2.6469907403225079E-2</v>
          </cell>
          <cell r="N114">
            <v>38.116666660644114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https://search-rtdc-monitor-bjffxe2xuh6vdkpspy63sjmuny.us-east-1.es.amazonaws.com/_plugin/kibana/#/discover/Steve-Slow-Train-Analysis-(2080s-and-2083s)?_g=(refreshInterval:(display:Off,section:0,value:0),time:(from:'2016-08-31 15:18:00-0600',mode:absolute,to:'2016-08-31 18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14" t="str">
            <v>N</v>
          </cell>
          <cell r="X114">
            <v>1</v>
          </cell>
          <cell r="Y114">
            <v>4.6899999999999997E-2</v>
          </cell>
          <cell r="Z114">
            <v>23.329699999999999</v>
          </cell>
          <cell r="AA114">
            <v>23.282799999999998</v>
          </cell>
          <cell r="AB114" t="e">
            <v>#N/A</v>
          </cell>
          <cell r="AC114" t="e">
            <v>#N/A</v>
          </cell>
          <cell r="AD114" t="str">
            <v>0203-31</v>
          </cell>
          <cell r="AE114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115">
          <cell r="A115" t="str">
            <v>204-31</v>
          </cell>
          <cell r="B115">
            <v>4001</v>
          </cell>
          <cell r="C115" t="str">
            <v>DE.1.0.7.0</v>
          </cell>
          <cell r="D115" t="str">
            <v>204:232988</v>
          </cell>
          <cell r="E115">
            <v>42613.72016203704</v>
          </cell>
          <cell r="F115">
            <v>42613.7266087963</v>
          </cell>
          <cell r="G115">
            <v>1</v>
          </cell>
          <cell r="H115" t="str">
            <v>204:139</v>
          </cell>
          <cell r="I115">
            <v>42613.755856481483</v>
          </cell>
          <cell r="J115">
            <v>0</v>
          </cell>
          <cell r="K115" t="str">
            <v>4001/4002</v>
          </cell>
          <cell r="L115" t="str">
            <v>ROBINSON</v>
          </cell>
          <cell r="M115">
            <v>2.9247685182781424E-2</v>
          </cell>
          <cell r="N115">
            <v>42.116666663205251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https://search-rtdc-monitor-bjffxe2xuh6vdkpspy63sjmuny.us-east-1.es.amazonaws.com/_plugin/kibana/#/discover/Steve-Slow-Train-Analysis-(2080s-and-2083s)?_g=(refreshInterval:(display:Off,section:0,value:0),time:(from:'2016-08-31 16:17:02-0600',mode:absolute,to:'2016-08-31 19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15" t="str">
            <v>N</v>
          </cell>
          <cell r="X115">
            <v>1</v>
          </cell>
          <cell r="Y115">
            <v>23.2988</v>
          </cell>
          <cell r="Z115">
            <v>1.3899999999999999E-2</v>
          </cell>
          <cell r="AA115">
            <v>23.2849</v>
          </cell>
          <cell r="AB115" t="e">
            <v>#N/A</v>
          </cell>
          <cell r="AC115" t="e">
            <v>#N/A</v>
          </cell>
          <cell r="AD115" t="str">
            <v>0204-31</v>
          </cell>
          <cell r="AE115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116">
          <cell r="A116" t="str">
            <v>205-31</v>
          </cell>
          <cell r="B116">
            <v>4016</v>
          </cell>
          <cell r="C116" t="str">
            <v>DE.1.0.7.0</v>
          </cell>
          <cell r="D116" t="str">
            <v>204:498</v>
          </cell>
          <cell r="E116">
            <v>42613.690428240741</v>
          </cell>
          <cell r="F116">
            <v>42613.698298611111</v>
          </cell>
          <cell r="G116">
            <v>4</v>
          </cell>
          <cell r="H116" t="str">
            <v>204:233381</v>
          </cell>
          <cell r="I116">
            <v>42613.724583333336</v>
          </cell>
          <cell r="J116">
            <v>0</v>
          </cell>
          <cell r="K116" t="str">
            <v>4015/4016</v>
          </cell>
          <cell r="L116" t="str">
            <v>BARTLETT</v>
          </cell>
          <cell r="M116">
            <v>2.6284722225682344E-2</v>
          </cell>
          <cell r="N116">
            <v>37.850000004982576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https://search-rtdc-monitor-bjffxe2xuh6vdkpspy63sjmuny.us-east-1.es.amazonaws.com/_plugin/kibana/#/discover/Steve-Slow-Train-Analysis-(2080s-and-2083s)?_g=(refreshInterval:(display:Off,section:0,value:0),time:(from:'2016-08-31 15:34:13-0600',mode:absolute,to:'2016-08-31 18:23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16" t="str">
            <v>N</v>
          </cell>
          <cell r="X116">
            <v>1</v>
          </cell>
          <cell r="Y116">
            <v>4.9799999999999997E-2</v>
          </cell>
          <cell r="Z116">
            <v>23.338100000000001</v>
          </cell>
          <cell r="AA116">
            <v>23.2883</v>
          </cell>
          <cell r="AB116" t="e">
            <v>#N/A</v>
          </cell>
          <cell r="AC116" t="e">
            <v>#N/A</v>
          </cell>
          <cell r="AD116" t="str">
            <v>0205-31</v>
          </cell>
          <cell r="AE116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117">
          <cell r="A117" t="str">
            <v>206-31</v>
          </cell>
          <cell r="B117">
            <v>4015</v>
          </cell>
          <cell r="C117" t="str">
            <v>DE.1.0.7.0</v>
          </cell>
          <cell r="D117" t="str">
            <v>204:233047</v>
          </cell>
          <cell r="E117">
            <v>42613.726331018515</v>
          </cell>
          <cell r="F117">
            <v>42613.737175925926</v>
          </cell>
          <cell r="G117">
            <v>1</v>
          </cell>
          <cell r="H117" t="str">
            <v>204:150</v>
          </cell>
          <cell r="I117">
            <v>42613.769456018519</v>
          </cell>
          <cell r="J117">
            <v>0</v>
          </cell>
          <cell r="K117" t="str">
            <v>4015/4016</v>
          </cell>
          <cell r="L117" t="str">
            <v>BARTLETT</v>
          </cell>
          <cell r="M117">
            <v>3.2280092593282461E-2</v>
          </cell>
          <cell r="N117">
            <v>46.483333334326744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https://search-rtdc-monitor-bjffxe2xuh6vdkpspy63sjmuny.us-east-1.es.amazonaws.com/_plugin/kibana/#/discover/Steve-Slow-Train-Analysis-(2080s-and-2083s)?_g=(refreshInterval:(display:Off,section:0,value:0),time:(from:'2016-08-31 16:25:55-0600',mode:absolute,to:'2016-08-31 19:28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17" t="str">
            <v>N</v>
          </cell>
          <cell r="X117">
            <v>1</v>
          </cell>
          <cell r="Y117">
            <v>23.3047</v>
          </cell>
          <cell r="Z117">
            <v>1.4999999999999999E-2</v>
          </cell>
          <cell r="AA117">
            <v>23.2897</v>
          </cell>
          <cell r="AB117" t="e">
            <v>#N/A</v>
          </cell>
          <cell r="AC117" t="e">
            <v>#N/A</v>
          </cell>
          <cell r="AD117" t="str">
            <v>0206-31</v>
          </cell>
          <cell r="AE117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118">
          <cell r="A118" t="str">
            <v>207-31</v>
          </cell>
          <cell r="B118">
            <v>4014</v>
          </cell>
          <cell r="C118" t="str">
            <v>DE.1.0.7.0</v>
          </cell>
          <cell r="D118" t="str">
            <v>204:19121</v>
          </cell>
          <cell r="E118">
            <v>42613.716782407406</v>
          </cell>
          <cell r="F118">
            <v>42613.718206018515</v>
          </cell>
          <cell r="G118">
            <v>0</v>
          </cell>
          <cell r="H118" t="str">
            <v>204:233291</v>
          </cell>
          <cell r="I118">
            <v>42613.743194444447</v>
          </cell>
          <cell r="J118">
            <v>0</v>
          </cell>
          <cell r="K118" t="str">
            <v>4013/4014</v>
          </cell>
          <cell r="L118" t="str">
            <v>MAHAN</v>
          </cell>
          <cell r="M118">
            <v>2.4988425931951497E-2</v>
          </cell>
          <cell r="P118">
            <v>35.983333342010155</v>
          </cell>
          <cell r="R118" t="str">
            <v>Onboard in-route failure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https://search-rtdc-monitor-bjffxe2xuh6vdkpspy63sjmuny.us-east-1.es.amazonaws.com/_plugin/kibana/#/discover/Steve-Slow-Train-Analysis-(2080s-and-2083s)?_g=(refreshInterval:(display:Off,section:0,value:0),time:(from:'2016-08-31 16:12:10-0600',mode:absolute,to:'2016-08-31 18:50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18" t="str">
            <v>Y</v>
          </cell>
          <cell r="X118">
            <v>1</v>
          </cell>
          <cell r="Y118">
            <v>1.9120999999999999</v>
          </cell>
          <cell r="Z118">
            <v>23.3291</v>
          </cell>
          <cell r="AA118">
            <v>21.417000000000002</v>
          </cell>
          <cell r="AB118" t="e">
            <v>#N/A</v>
          </cell>
          <cell r="AC118" t="e">
            <v>#N/A</v>
          </cell>
          <cell r="AD118" t="str">
            <v>0207-31</v>
          </cell>
          <cell r="AE118" t="str">
    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    </cell>
        </row>
        <row r="119">
          <cell r="A119" t="str">
            <v>208-31</v>
          </cell>
          <cell r="B119">
            <v>4013</v>
          </cell>
          <cell r="C119" t="str">
            <v>DE.1.0.7.0</v>
          </cell>
          <cell r="D119" t="str">
            <v>204:232980</v>
          </cell>
          <cell r="E119">
            <v>42613.745671296296</v>
          </cell>
          <cell r="F119">
            <v>42613.748784722222</v>
          </cell>
          <cell r="G119">
            <v>1</v>
          </cell>
          <cell r="H119" t="str">
            <v>204:180</v>
          </cell>
          <cell r="I119">
            <v>42613.778877314813</v>
          </cell>
          <cell r="J119">
            <v>0</v>
          </cell>
          <cell r="K119" t="str">
            <v>4013/4014</v>
          </cell>
          <cell r="L119" t="str">
            <v>MAHAN</v>
          </cell>
          <cell r="M119">
            <v>3.0092592591245193E-2</v>
          </cell>
          <cell r="N119">
            <v>43.333333331393078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https://search-rtdc-monitor-bjffxe2xuh6vdkpspy63sjmuny.us-east-1.es.amazonaws.com/_plugin/kibana/#/discover/Steve-Slow-Train-Analysis-(2080s-and-2083s)?_g=(refreshInterval:(display:Off,section:0,value:0),time:(from:'2016-08-31 16:53:46-0600',mode:absolute,to:'2016-08-31 19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19" t="str">
            <v>N</v>
          </cell>
          <cell r="X119">
            <v>1</v>
          </cell>
          <cell r="Y119">
            <v>23.297999999999998</v>
          </cell>
          <cell r="Z119">
            <v>1.7999999999999999E-2</v>
          </cell>
          <cell r="AA119">
            <v>23.279999999999998</v>
          </cell>
          <cell r="AB119" t="e">
            <v>#N/A</v>
          </cell>
          <cell r="AC119" t="e">
            <v>#N/A</v>
          </cell>
          <cell r="AD119" t="str">
            <v>0208-31</v>
          </cell>
          <cell r="AE119" t="str">
    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    </cell>
        </row>
        <row r="120">
          <cell r="A120" t="str">
            <v>209-31</v>
          </cell>
          <cell r="B120">
            <v>4027</v>
          </cell>
          <cell r="C120" t="str">
            <v>DE.1.0.7.0</v>
          </cell>
          <cell r="D120" t="str">
            <v>204:466</v>
          </cell>
          <cell r="E120">
            <v>42613.711793981478</v>
          </cell>
          <cell r="F120">
            <v>42613.719305555554</v>
          </cell>
          <cell r="G120">
            <v>6</v>
          </cell>
          <cell r="H120" t="str">
            <v>204:233300</v>
          </cell>
          <cell r="I120">
            <v>42613.746319444443</v>
          </cell>
          <cell r="J120">
            <v>0</v>
          </cell>
          <cell r="K120" t="str">
            <v>4027/4028</v>
          </cell>
          <cell r="L120" t="str">
            <v>STURGEON</v>
          </cell>
          <cell r="M120">
            <v>2.7013888888177462E-2</v>
          </cell>
          <cell r="N120">
            <v>38.899999998975545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https://search-rtdc-monitor-bjffxe2xuh6vdkpspy63sjmuny.us-east-1.es.amazonaws.com/_plugin/kibana/#/discover/Steve-Slow-Train-Analysis-(2080s-and-2083s)?_g=(refreshInterval:(display:Off,section:0,value:0),time:(from:'2016-08-31 16:04:59-0600',mode:absolute,to:'2016-08-31 18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20" t="str">
            <v>N</v>
          </cell>
          <cell r="X120">
            <v>1</v>
          </cell>
          <cell r="Y120">
            <v>4.6600000000000003E-2</v>
          </cell>
          <cell r="Z120">
            <v>23.33</v>
          </cell>
          <cell r="AA120">
            <v>23.283399999999997</v>
          </cell>
          <cell r="AB120" t="e">
            <v>#N/A</v>
          </cell>
          <cell r="AC120" t="e">
            <v>#N/A</v>
          </cell>
          <cell r="AD120" t="str">
            <v>0209-31</v>
          </cell>
          <cell r="AE120" t="str">
            <v>aws s3 cp s3://rtdc.mdm.uploadarchive/RTDC4027/2016-08-31/ "%USERPROFILE%\AppData\Local\Temp\OnboardLogs"\RTDC4027\2016-08-31 --recursive &amp; "%USERPROFILE%\Documents\GitHub\mrs-test-scripts\Headless Mode &amp; Sideloading\WalkAndUnGZ.bat" "%USERPROFILE%\AppData\Local\Temp\OnboardLogs"\RTDC4027\2016-08-31 &amp; aws s3 cp s3://rtdc.mdm.uploadarchive/RTDC4027/2016-09-01/ "%USERPROFILE%\AppData\Local\Temp\OnboardLogs"\RTDC4027\2016-09-01 --recursive &amp; "%USERPROFILE%\Documents\GitHub\mrs-test-scripts\Headless Mode &amp; Sideloading\WalkAndUnGZ.bat" "%USERPROFILE%\AppData\Local\Temp\OnboardLogs"\RTDC4027\2016-09-01</v>
          </cell>
        </row>
        <row r="121">
          <cell r="A121" t="str">
            <v>210-31</v>
          </cell>
          <cell r="B121">
            <v>4028</v>
          </cell>
          <cell r="C121" t="str">
            <v>DE.1.0.7.0</v>
          </cell>
          <cell r="D121" t="str">
            <v>204:232977</v>
          </cell>
          <cell r="E121">
            <v>42613.751331018517</v>
          </cell>
          <cell r="F121">
            <v>42613.757835648146</v>
          </cell>
          <cell r="G121">
            <v>1</v>
          </cell>
          <cell r="H121" t="str">
            <v>204:169</v>
          </cell>
          <cell r="I121">
            <v>42613.786585648151</v>
          </cell>
          <cell r="J121">
            <v>0</v>
          </cell>
          <cell r="K121" t="str">
            <v>4027/4028</v>
          </cell>
          <cell r="L121" t="str">
            <v>STURGEON</v>
          </cell>
          <cell r="M121">
            <v>2.8750000004947651E-2</v>
          </cell>
          <cell r="N121">
            <v>41.400000007124618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https://search-rtdc-monitor-bjffxe2xuh6vdkpspy63sjmuny.us-east-1.es.amazonaws.com/_plugin/kibana/#/discover/Steve-Slow-Train-Analysis-(2080s-and-2083s)?_g=(refreshInterval:(display:Off,section:0,value:0),time:(from:'2016-08-31 17:01:55-0600',mode:absolute,to:'2016-08-31 19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21" t="str">
            <v>N</v>
          </cell>
          <cell r="X121">
            <v>1</v>
          </cell>
          <cell r="Y121">
            <v>23.297699999999999</v>
          </cell>
          <cell r="Z121">
            <v>1.6899999999999998E-2</v>
          </cell>
          <cell r="AA121">
            <v>23.280799999999999</v>
          </cell>
          <cell r="AB121">
            <v>183829</v>
          </cell>
          <cell r="AC121" t="str">
            <v>PERMANENT SPEED RESTRICTION</v>
          </cell>
          <cell r="AD121" t="str">
            <v>0210-31</v>
          </cell>
          <cell r="AE121" t="str">
            <v>aws s3 cp s3://rtdc.mdm.uploadarchive/RTDC4028/2016-08-31/ "%USERPROFILE%\AppData\Local\Temp\OnboardLogs"\RTDC4028\2016-08-31 --recursive &amp; "%USERPROFILE%\Documents\GitHub\mrs-test-scripts\Headless Mode &amp; Sideloading\WalkAndUnGZ.bat" "%USERPROFILE%\AppData\Local\Temp\OnboardLogs"\RTDC4028\2016-08-31 &amp; 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</v>
          </cell>
        </row>
        <row r="122">
          <cell r="A122" t="str">
            <v>211-31</v>
          </cell>
          <cell r="B122">
            <v>4042</v>
          </cell>
          <cell r="C122" t="str">
            <v>DE.1.0.7.0</v>
          </cell>
          <cell r="D122" t="str">
            <v>204:453</v>
          </cell>
          <cell r="E122">
            <v>42613.728541666664</v>
          </cell>
          <cell r="F122">
            <v>42613.730115740742</v>
          </cell>
          <cell r="G122">
            <v>1</v>
          </cell>
          <cell r="H122" t="str">
            <v>204:233334</v>
          </cell>
          <cell r="I122">
            <v>42613.757754629631</v>
          </cell>
          <cell r="J122">
            <v>0</v>
          </cell>
          <cell r="K122" t="str">
            <v>4041/4042</v>
          </cell>
          <cell r="L122" t="str">
            <v>YOUNG</v>
          </cell>
          <cell r="M122">
            <v>2.7638888888759539E-2</v>
          </cell>
          <cell r="N122">
            <v>39.799999999813735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https://search-rtdc-monitor-bjffxe2xuh6vdkpspy63sjmuny.us-east-1.es.amazonaws.com/_plugin/kibana/#/discover/Steve-Slow-Train-Analysis-(2080s-and-2083s)?_g=(refreshInterval:(display:Off,section:0,value:0),time:(from:'2016-08-31 16:29:06-0600',mode:absolute,to:'2016-08-31 19:11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22" t="str">
            <v>N</v>
          </cell>
          <cell r="X122">
            <v>1</v>
          </cell>
          <cell r="Y122">
            <v>4.53E-2</v>
          </cell>
          <cell r="Z122">
            <v>23.333400000000001</v>
          </cell>
          <cell r="AA122">
            <v>23.2881</v>
          </cell>
          <cell r="AB122" t="e">
            <v>#N/A</v>
          </cell>
          <cell r="AC122" t="e">
            <v>#N/A</v>
          </cell>
          <cell r="AD122" t="str">
            <v>0211-31</v>
          </cell>
          <cell r="AE122" t="str">
    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    </cell>
        </row>
        <row r="123">
          <cell r="A123" t="str">
            <v>212-31</v>
          </cell>
          <cell r="B123">
            <v>4041</v>
          </cell>
          <cell r="C123" t="str">
            <v>DE.1.0.7.0</v>
          </cell>
          <cell r="D123" t="str">
            <v>204:453</v>
          </cell>
          <cell r="E123">
            <v>42613.728541666664</v>
          </cell>
          <cell r="F123">
            <v>42613.763032407405</v>
          </cell>
          <cell r="G123">
            <v>1</v>
          </cell>
          <cell r="H123" t="str">
            <v>204:233334</v>
          </cell>
          <cell r="I123">
            <v>42613.780868055554</v>
          </cell>
          <cell r="J123">
            <v>0</v>
          </cell>
          <cell r="K123" t="str">
            <v>4041/4042</v>
          </cell>
          <cell r="L123" t="str">
            <v>YOUNG</v>
          </cell>
          <cell r="M123">
            <v>1.7835648148320615E-2</v>
          </cell>
          <cell r="P123">
            <v>25.683333333581686</v>
          </cell>
          <cell r="R123" t="str">
            <v>Onboard in-route failure</v>
          </cell>
          <cell r="S123">
            <v>0</v>
          </cell>
          <cell r="T123" t="str">
            <v>Southbound</v>
          </cell>
          <cell r="U123">
            <v>0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https://search-rtdc-monitor-bjffxe2xuh6vdkpspy63sjmuny.us-east-1.es.amazonaws.com/_plugin/kibana/#/discover/Steve-Slow-Train-Analysis-(2080s-and-2083s)?_g=(refreshInterval:(display:Off,section:0,value:0),time:(from:'2016-08-31 16:29:06-0600',mode:absolute,to:'2016-08-31 19:44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23" t="str">
            <v>N</v>
          </cell>
          <cell r="X123">
            <v>1</v>
          </cell>
          <cell r="Y123">
            <v>4.53E-2</v>
          </cell>
          <cell r="Z123">
            <v>23.333400000000001</v>
          </cell>
          <cell r="AA123">
            <v>23.2881</v>
          </cell>
          <cell r="AB123" t="e">
            <v>#N/A</v>
          </cell>
          <cell r="AC123" t="e">
            <v>#N/A</v>
          </cell>
          <cell r="AD123" t="str">
            <v>0212-31</v>
          </cell>
          <cell r="AE123" t="str">
    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    </cell>
        </row>
        <row r="124">
          <cell r="A124" t="str">
            <v>213-31</v>
          </cell>
          <cell r="B124">
            <v>4029</v>
          </cell>
          <cell r="C124" t="str">
            <v>DE.1.0.7.0</v>
          </cell>
          <cell r="D124" t="str">
            <v>204:460</v>
          </cell>
          <cell r="E124">
            <v>42613.736168981479</v>
          </cell>
          <cell r="F124">
            <v>42613.739733796298</v>
          </cell>
          <cell r="G124">
            <v>2</v>
          </cell>
          <cell r="H124" t="str">
            <v>204:233310</v>
          </cell>
          <cell r="I124">
            <v>42613.764444444445</v>
          </cell>
          <cell r="J124">
            <v>0</v>
          </cell>
          <cell r="K124" t="str">
            <v>4029/4030</v>
          </cell>
          <cell r="L124" t="str">
            <v>YANAI</v>
          </cell>
          <cell r="M124">
            <v>2.47106481474475E-2</v>
          </cell>
          <cell r="N124">
            <v>35.583333332324401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https://search-rtdc-monitor-bjffxe2xuh6vdkpspy63sjmuny.us-east-1.es.amazonaws.com/_plugin/kibana/#/discover/Steve-Slow-Train-Analysis-(2080s-and-2083s)?_g=(refreshInterval:(display:Off,section:0,value:0),time:(from:'2016-08-31 16:40:05-0600',mode:absolute,to:'2016-08-31 19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24" t="str">
            <v>N</v>
          </cell>
          <cell r="X124">
            <v>1</v>
          </cell>
          <cell r="Y124">
            <v>4.5999999999999999E-2</v>
          </cell>
          <cell r="Z124">
            <v>23.331</v>
          </cell>
          <cell r="AA124">
            <v>23.285</v>
          </cell>
          <cell r="AB124" t="e">
            <v>#N/A</v>
          </cell>
          <cell r="AC124" t="e">
            <v>#N/A</v>
          </cell>
          <cell r="AD124" t="str">
            <v>0213-31</v>
          </cell>
          <cell r="AE124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125">
          <cell r="A125" t="str">
            <v>214-31</v>
          </cell>
          <cell r="B125">
            <v>4030</v>
          </cell>
          <cell r="C125" t="str">
            <v>DE.1.0.7.0</v>
          </cell>
          <cell r="D125" t="str">
            <v>204:233004</v>
          </cell>
          <cell r="E125">
            <v>42613.772928240738</v>
          </cell>
          <cell r="F125">
            <v>42613.778645833336</v>
          </cell>
          <cell r="G125">
            <v>1</v>
          </cell>
          <cell r="H125" t="str">
            <v>204:172</v>
          </cell>
          <cell r="I125">
            <v>42613.806875000002</v>
          </cell>
          <cell r="J125">
            <v>0</v>
          </cell>
          <cell r="K125" t="str">
            <v>4029/4030</v>
          </cell>
          <cell r="L125" t="str">
            <v>YANAI</v>
          </cell>
          <cell r="M125">
            <v>2.8229166666278616E-2</v>
          </cell>
          <cell r="N125">
            <v>40.649999999441206</v>
          </cell>
          <cell r="S125">
            <v>1</v>
          </cell>
          <cell r="T125" t="str">
            <v>Southbound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https://search-rtdc-monitor-bjffxe2xuh6vdkpspy63sjmuny.us-east-1.es.amazonaws.com/_plugin/kibana/#/discover/Steve-Slow-Train-Analysis-(2080s-and-2083s)?_g=(refreshInterval:(display:Off,section:0,value:0),time:(from:'2016-08-31 17:33:01-0600',mode:absolute,to:'2016-08-31 20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25" t="str">
            <v>N</v>
          </cell>
          <cell r="X125">
            <v>1</v>
          </cell>
          <cell r="Y125">
            <v>23.3004</v>
          </cell>
          <cell r="Z125">
            <v>1.72E-2</v>
          </cell>
          <cell r="AA125">
            <v>23.283200000000001</v>
          </cell>
          <cell r="AB125" t="e">
            <v>#N/A</v>
          </cell>
          <cell r="AC125" t="e">
            <v>#N/A</v>
          </cell>
          <cell r="AD125" t="str">
            <v>0214-31</v>
          </cell>
          <cell r="AE125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126">
          <cell r="A126" t="str">
            <v>215-31</v>
          </cell>
          <cell r="B126">
            <v>4009</v>
          </cell>
          <cell r="C126" t="str">
            <v>DE.1.0.7.0</v>
          </cell>
          <cell r="D126" t="str">
            <v>204:488</v>
          </cell>
          <cell r="E126">
            <v>42613.746574074074</v>
          </cell>
          <cell r="F126">
            <v>42613.750300925924</v>
          </cell>
          <cell r="G126">
            <v>1</v>
          </cell>
          <cell r="H126" t="str">
            <v>204:233282</v>
          </cell>
          <cell r="I126">
            <v>42613.776365740741</v>
          </cell>
          <cell r="J126">
            <v>0</v>
          </cell>
          <cell r="K126" t="str">
            <v>4009/4010</v>
          </cell>
          <cell r="L126" t="str">
            <v>DE LA ROSA</v>
          </cell>
          <cell r="M126">
            <v>2.6064814817800652E-2</v>
          </cell>
          <cell r="N126">
            <v>37.533333337632939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https://search-rtdc-monitor-bjffxe2xuh6vdkpspy63sjmuny.us-east-1.es.amazonaws.com/_plugin/kibana/#/discover/Steve-Slow-Train-Analysis-(2080s-and-2083s)?_g=(refreshInterval:(display:Off,section:0,value:0),time:(from:'2016-08-31 16:55:04-0600',mode:absolute,to:'2016-08-31 19:37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26" t="str">
            <v>N</v>
          </cell>
          <cell r="X126">
            <v>1</v>
          </cell>
          <cell r="Y126">
            <v>4.8800000000000003E-2</v>
          </cell>
          <cell r="Z126">
            <v>23.328199999999999</v>
          </cell>
          <cell r="AA126">
            <v>23.279399999999999</v>
          </cell>
          <cell r="AB126" t="e">
            <v>#N/A</v>
          </cell>
          <cell r="AC126" t="e">
            <v>#N/A</v>
          </cell>
          <cell r="AD126" t="str">
            <v>0215-31</v>
          </cell>
          <cell r="AE126" t="str">
            <v>aws s3 cp s3://rtdc.mdm.uploadarchive/RTDC4009/2016-08-31/ "%USERPROFILE%\AppData\Local\Temp\OnboardLogs"\RTDC4009\2016-08-31 --recursive &amp; "%USERPROFILE%\Documents\GitHub\mrs-test-scripts\Headless Mode &amp; Sideloading\WalkAndUnGZ.bat" "%USERPROFILE%\AppData\Local\Temp\OnboardLogs"\RTDC4009\2016-08-31 &amp; 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</v>
          </cell>
        </row>
        <row r="127">
          <cell r="A127" t="str">
            <v>216-31</v>
          </cell>
          <cell r="B127">
            <v>4010</v>
          </cell>
          <cell r="C127" t="str">
            <v>DE.1.0.7.0</v>
          </cell>
          <cell r="D127" t="str">
            <v>204:232982</v>
          </cell>
          <cell r="E127">
            <v>42613.785034722219</v>
          </cell>
          <cell r="F127">
            <v>42613.786203703705</v>
          </cell>
          <cell r="G127">
            <v>1</v>
          </cell>
          <cell r="H127" t="str">
            <v>204:178</v>
          </cell>
          <cell r="I127">
            <v>42613.818298611113</v>
          </cell>
          <cell r="J127">
            <v>0</v>
          </cell>
          <cell r="K127" t="str">
            <v>4009/4010</v>
          </cell>
          <cell r="L127" t="str">
            <v>DE LA ROSA</v>
          </cell>
          <cell r="M127">
            <v>3.2094907408463769E-2</v>
          </cell>
          <cell r="N127">
            <v>46.216666668187827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https://search-rtdc-monitor-bjffxe2xuh6vdkpspy63sjmuny.us-east-1.es.amazonaws.com/_plugin/kibana/#/discover/Steve-Slow-Train-Analysis-(2080s-and-2083s)?_g=(refreshInterval:(display:Off,section:0,value:0),time:(from:'2016-08-31 17:50:27-0600',mode:absolute,to:'2016-08-31 20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27" t="str">
            <v>N</v>
          </cell>
          <cell r="X127">
            <v>1</v>
          </cell>
          <cell r="Y127">
            <v>23.298200000000001</v>
          </cell>
          <cell r="Z127">
            <v>1.78E-2</v>
          </cell>
          <cell r="AA127">
            <v>23.2804</v>
          </cell>
          <cell r="AB127" t="e">
            <v>#N/A</v>
          </cell>
          <cell r="AC127" t="e">
            <v>#N/A</v>
          </cell>
          <cell r="AD127" t="str">
            <v>0216-31</v>
          </cell>
          <cell r="AE127" t="str">
            <v>aws s3 cp s3://rtdc.mdm.uploadarchive/RTDC4010/2016-08-31/ "%USERPROFILE%\AppData\Local\Temp\OnboardLogs"\RTDC4010\2016-08-31 --recursive &amp; "%USERPROFILE%\Documents\GitHub\mrs-test-scripts\Headless Mode &amp; Sideloading\WalkAndUnGZ.bat" "%USERPROFILE%\AppData\Local\Temp\OnboardLogs"\RTDC4010\2016-08-31 &amp; 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</v>
          </cell>
        </row>
        <row r="128">
          <cell r="A128" t="str">
            <v>217-31</v>
          </cell>
          <cell r="B128">
            <v>4002</v>
          </cell>
          <cell r="C128" t="str">
            <v>DE.1.0.7.0</v>
          </cell>
          <cell r="D128" t="str">
            <v>204:455</v>
          </cell>
          <cell r="E128">
            <v>42613.757604166669</v>
          </cell>
          <cell r="F128">
            <v>42613.761759259258</v>
          </cell>
          <cell r="G128">
            <v>1</v>
          </cell>
          <cell r="H128" t="str">
            <v>204:233331</v>
          </cell>
          <cell r="I128">
            <v>42613.786979166667</v>
          </cell>
          <cell r="J128">
            <v>0</v>
          </cell>
          <cell r="K128" t="str">
            <v>4001/4002</v>
          </cell>
          <cell r="L128" t="str">
            <v>STAMBAUGH</v>
          </cell>
          <cell r="M128">
            <v>2.5219907409336884E-2</v>
          </cell>
          <cell r="N128">
            <v>36.316666669445112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https://search-rtdc-monitor-bjffxe2xuh6vdkpspy63sjmuny.us-east-1.es.amazonaws.com/_plugin/kibana/#/discover/Steve-Slow-Train-Analysis-(2080s-and-2083s)?_g=(refreshInterval:(display:Off,section:0,value:0),time:(from:'2016-08-31 17:10:57-0600',mode:absolute,to:'2016-08-31 19:53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28" t="str">
            <v>N</v>
          </cell>
          <cell r="X128">
            <v>1</v>
          </cell>
          <cell r="Y128">
            <v>4.5499999999999999E-2</v>
          </cell>
          <cell r="Z128">
            <v>23.333100000000002</v>
          </cell>
          <cell r="AA128">
            <v>23.287600000000001</v>
          </cell>
          <cell r="AB128" t="e">
            <v>#N/A</v>
          </cell>
          <cell r="AC128" t="e">
            <v>#N/A</v>
          </cell>
          <cell r="AD128" t="str">
            <v>0217-31</v>
          </cell>
          <cell r="AE128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129">
          <cell r="A129" t="str">
            <v>218-31</v>
          </cell>
          <cell r="B129">
            <v>4001</v>
          </cell>
          <cell r="C129" t="str">
            <v>DE.1.0.7.0</v>
          </cell>
          <cell r="D129" t="str">
            <v>204:233019</v>
          </cell>
          <cell r="E129">
            <v>42613.795636574076</v>
          </cell>
          <cell r="F129">
            <v>42613.800254629627</v>
          </cell>
          <cell r="G129">
            <v>1</v>
          </cell>
          <cell r="H129" t="str">
            <v>204:145</v>
          </cell>
          <cell r="I129">
            <v>42613.825810185182</v>
          </cell>
          <cell r="J129">
            <v>0</v>
          </cell>
          <cell r="K129" t="str">
            <v>4001/4002</v>
          </cell>
          <cell r="L129" t="str">
            <v>STAMBAUGH</v>
          </cell>
          <cell r="M129">
            <v>2.5555555555911269E-2</v>
          </cell>
          <cell r="N129">
            <v>36.800000000512227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https://search-rtdc-monitor-bjffxe2xuh6vdkpspy63sjmuny.us-east-1.es.amazonaws.com/_plugin/kibana/#/discover/Steve-Slow-Train-Analysis-(2080s-and-2083s)?_g=(refreshInterval:(display:Off,section:0,value:0),time:(from:'2016-08-31 18:05:43-0600',mode:absolute,to:'2016-08-31 20:49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29" t="str">
            <v>N</v>
          </cell>
          <cell r="X129">
            <v>1</v>
          </cell>
          <cell r="Y129">
            <v>23.3019</v>
          </cell>
          <cell r="Z129">
            <v>1.4500000000000001E-2</v>
          </cell>
          <cell r="AA129">
            <v>23.287399999999998</v>
          </cell>
          <cell r="AB129" t="e">
            <v>#N/A</v>
          </cell>
          <cell r="AC129" t="e">
            <v>#N/A</v>
          </cell>
          <cell r="AD129" t="str">
            <v>0218-31</v>
          </cell>
          <cell r="AE129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130">
          <cell r="A130" t="str">
            <v>219-31</v>
          </cell>
          <cell r="B130">
            <v>4016</v>
          </cell>
          <cell r="C130" t="str">
            <v>DE.1.0.7.0</v>
          </cell>
          <cell r="D130" t="str">
            <v>204:19126</v>
          </cell>
          <cell r="E130">
            <v>42613.776747685188</v>
          </cell>
          <cell r="F130">
            <v>42613.778298611112</v>
          </cell>
          <cell r="G130">
            <v>1</v>
          </cell>
          <cell r="H130" t="str">
            <v>204:233318</v>
          </cell>
          <cell r="I130">
            <v>42613.802245370367</v>
          </cell>
          <cell r="J130">
            <v>0</v>
          </cell>
          <cell r="K130" t="str">
            <v>4015/4016</v>
          </cell>
          <cell r="L130" t="str">
            <v>COOLAHAN</v>
          </cell>
          <cell r="M130">
            <v>2.3946759254613426E-2</v>
          </cell>
          <cell r="P130">
            <v>34.483333326643333</v>
          </cell>
          <cell r="R130" t="str">
            <v>Went active too close to DUS 2N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https://search-rtdc-monitor-bjffxe2xuh6vdkpspy63sjmuny.us-east-1.es.amazonaws.com/_plugin/kibana/#/discover/Steve-Slow-Train-Analysis-(2080s-and-2083s)?_g=(refreshInterval:(display:Off,section:0,value:0),time:(from:'2016-08-31 17:38:31-0600',mode:absolute,to:'2016-08-31 20:15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30" t="str">
            <v>Y</v>
          </cell>
          <cell r="X130">
            <v>1</v>
          </cell>
          <cell r="Y130">
            <v>1.9126000000000001</v>
          </cell>
          <cell r="Z130">
            <v>23.331800000000001</v>
          </cell>
          <cell r="AA130">
            <v>21.4192</v>
          </cell>
          <cell r="AB130" t="e">
            <v>#N/A</v>
          </cell>
          <cell r="AC130" t="e">
            <v>#N/A</v>
          </cell>
          <cell r="AD130" t="str">
            <v>0219-31</v>
          </cell>
          <cell r="AE130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131">
          <cell r="A131" t="str">
            <v>219-31</v>
          </cell>
          <cell r="B131">
            <v>4016</v>
          </cell>
          <cell r="C131" t="str">
            <v>DE.1.0.7.0</v>
          </cell>
          <cell r="D131" t="str">
            <v>204:467</v>
          </cell>
          <cell r="E131">
            <v>42613.770937499998</v>
          </cell>
          <cell r="F131">
            <v>42613.778298611112</v>
          </cell>
          <cell r="G131">
            <v>2</v>
          </cell>
          <cell r="H131" t="str">
            <v>204:1901</v>
          </cell>
          <cell r="I131">
            <v>42613.802245370367</v>
          </cell>
          <cell r="J131">
            <v>0</v>
          </cell>
          <cell r="K131" t="str">
            <v>4015/4016</v>
          </cell>
          <cell r="L131" t="str">
            <v>COOLAHAN</v>
          </cell>
          <cell r="M131">
            <v>2.3946759254613426E-2</v>
          </cell>
          <cell r="T131" t="str">
            <v>NorthBound</v>
          </cell>
          <cell r="U131">
            <v>0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https://search-rtdc-monitor-bjffxe2xuh6vdkpspy63sjmuny.us-east-1.es.amazonaws.com/_plugin/kibana/#/discover/Steve-Slow-Train-Analysis-(2080s-and-2083s)?_g=(refreshInterval:(display:Off,section:0,value:0),time:(from:'2016-08-31 17:30:09-0600',mode:absolute,to:'2016-08-31 20:15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31" t="str">
            <v>Y</v>
          </cell>
          <cell r="X131">
            <v>0</v>
          </cell>
          <cell r="Y131">
            <v>4.6699999999999998E-2</v>
          </cell>
          <cell r="Z131">
            <v>0.19009999999999999</v>
          </cell>
          <cell r="AA131">
            <v>0.1434</v>
          </cell>
          <cell r="AB131" t="e">
            <v>#N/A</v>
          </cell>
          <cell r="AC131" t="e">
            <v>#N/A</v>
          </cell>
          <cell r="AD131" t="str">
            <v>0219-31</v>
          </cell>
          <cell r="AE131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132">
          <cell r="A132" t="str">
            <v>220-31</v>
          </cell>
          <cell r="B132">
            <v>4015</v>
          </cell>
          <cell r="C132" t="str">
            <v>DE.1.0.7.0</v>
          </cell>
          <cell r="D132" t="str">
            <v>204:232990</v>
          </cell>
          <cell r="E132">
            <v>42613.807025462964</v>
          </cell>
          <cell r="F132">
            <v>42613.809895833336</v>
          </cell>
          <cell r="G132">
            <v>1</v>
          </cell>
          <cell r="H132" t="str">
            <v>204:143</v>
          </cell>
          <cell r="I132">
            <v>42613.835729166669</v>
          </cell>
          <cell r="J132">
            <v>0</v>
          </cell>
          <cell r="K132" t="str">
            <v>4015/4016</v>
          </cell>
          <cell r="L132" t="str">
            <v>COOLAHAN</v>
          </cell>
          <cell r="M132">
            <v>2.5833333333139308E-2</v>
          </cell>
          <cell r="N132">
            <v>37.199999999720603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https://search-rtdc-monitor-bjffxe2xuh6vdkpspy63sjmuny.us-east-1.es.amazonaws.com/_plugin/kibana/#/discover/Steve-Slow-Train-Analysis-(2080s-and-2083s)?_g=(refreshInterval:(display:Off,section:0,value:0),time:(from:'2016-08-31 18:22:07-0600',mode:absolute,to:'2016-08-31 21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32" t="str">
            <v>N</v>
          </cell>
          <cell r="X132">
            <v>1</v>
          </cell>
          <cell r="Y132">
            <v>23.298999999999999</v>
          </cell>
          <cell r="Z132">
            <v>1.43E-2</v>
          </cell>
          <cell r="AA132">
            <v>23.284700000000001</v>
          </cell>
          <cell r="AB132" t="e">
            <v>#N/A</v>
          </cell>
          <cell r="AC132" t="e">
            <v>#N/A</v>
          </cell>
          <cell r="AD132" t="str">
            <v>0220-31</v>
          </cell>
          <cell r="AE132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133">
          <cell r="A133" t="str">
            <v>221-31</v>
          </cell>
          <cell r="B133">
            <v>4027</v>
          </cell>
          <cell r="C133" t="str">
            <v>DE.1.0.7.0</v>
          </cell>
          <cell r="D133" t="str">
            <v>204:480</v>
          </cell>
          <cell r="E133">
            <v>42613.788414351853</v>
          </cell>
          <cell r="F133">
            <v>42613.792002314818</v>
          </cell>
          <cell r="G133">
            <v>1</v>
          </cell>
          <cell r="H133" t="str">
            <v>204:233287</v>
          </cell>
          <cell r="I133">
            <v>42613.817870370367</v>
          </cell>
          <cell r="J133">
            <v>0</v>
          </cell>
          <cell r="K133" t="str">
            <v>4027/4028</v>
          </cell>
          <cell r="L133" t="str">
            <v>STURGEON</v>
          </cell>
          <cell r="M133">
            <v>2.586805554892635E-2</v>
          </cell>
          <cell r="N133">
            <v>37.249999990453944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https://search-rtdc-monitor-bjffxe2xuh6vdkpspy63sjmuny.us-east-1.es.amazonaws.com/_plugin/kibana/#/discover/Steve-Slow-Train-Analysis-(2080s-and-2083s)?_g=(refreshInterval:(display:Off,section:0,value:0),time:(from:'2016-08-31 17:55:19-0600',mode:absolute,to:'2016-08-31 20:37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33" t="str">
            <v>N</v>
          </cell>
          <cell r="X133">
            <v>1</v>
          </cell>
          <cell r="Y133">
            <v>4.8000000000000001E-2</v>
          </cell>
          <cell r="Z133">
            <v>23.328700000000001</v>
          </cell>
          <cell r="AA133">
            <v>23.280700000000003</v>
          </cell>
          <cell r="AB133" t="e">
            <v>#N/A</v>
          </cell>
          <cell r="AC133" t="e">
            <v>#N/A</v>
          </cell>
          <cell r="AD133" t="str">
            <v>0221-31</v>
          </cell>
          <cell r="AE133" t="str">
            <v>aws s3 cp s3://rtdc.mdm.uploadarchive/RTDC4027/2016-08-31/ "%USERPROFILE%\AppData\Local\Temp\OnboardLogs"\RTDC4027\2016-08-31 --recursive &amp; "%USERPROFILE%\Documents\GitHub\mrs-test-scripts\Headless Mode &amp; Sideloading\WalkAndUnGZ.bat" "%USERPROFILE%\AppData\Local\Temp\OnboardLogs"\RTDC4027\2016-08-31 &amp; aws s3 cp s3://rtdc.mdm.uploadarchive/RTDC4027/2016-09-01/ "%USERPROFILE%\AppData\Local\Temp\OnboardLogs"\RTDC4027\2016-09-01 --recursive &amp; "%USERPROFILE%\Documents\GitHub\mrs-test-scripts\Headless Mode &amp; Sideloading\WalkAndUnGZ.bat" "%USERPROFILE%\AppData\Local\Temp\OnboardLogs"\RTDC4027\2016-09-01</v>
          </cell>
        </row>
        <row r="134">
          <cell r="A134" t="str">
            <v>222-31</v>
          </cell>
          <cell r="B134">
            <v>4028</v>
          </cell>
          <cell r="C134" t="str">
            <v>DE.1.0.7.0</v>
          </cell>
          <cell r="D134" t="str">
            <v>204:232970</v>
          </cell>
          <cell r="E134">
            <v>42613.821631944447</v>
          </cell>
          <cell r="F134">
            <v>42613.830763888887</v>
          </cell>
          <cell r="G134">
            <v>1</v>
          </cell>
          <cell r="H134" t="str">
            <v>204:156</v>
          </cell>
          <cell r="I134">
            <v>42613.857951388891</v>
          </cell>
          <cell r="J134">
            <v>0</v>
          </cell>
          <cell r="K134" t="str">
            <v>4027/4028</v>
          </cell>
          <cell r="L134" t="str">
            <v>STURGEON</v>
          </cell>
          <cell r="M134">
            <v>2.718750000349246E-2</v>
          </cell>
          <cell r="N134">
            <v>39.150000005029142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https://search-rtdc-monitor-bjffxe2xuh6vdkpspy63sjmuny.us-east-1.es.amazonaws.com/_plugin/kibana/#/discover/Steve-Slow-Train-Analysis-(2080s-and-2083s)?_g=(refreshInterval:(display:Off,section:0,value:0),time:(from:'2016-08-31 18:43:09-0600',mode:absolute,to:'2016-08-31 21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34" t="str">
            <v>N</v>
          </cell>
          <cell r="X134">
            <v>1</v>
          </cell>
          <cell r="Y134">
            <v>23.297000000000001</v>
          </cell>
          <cell r="Z134">
            <v>1.5599999999999999E-2</v>
          </cell>
          <cell r="AA134">
            <v>23.281400000000001</v>
          </cell>
          <cell r="AB134" t="e">
            <v>#N/A</v>
          </cell>
          <cell r="AC134" t="e">
            <v>#N/A</v>
          </cell>
          <cell r="AD134" t="str">
            <v>0222-31</v>
          </cell>
          <cell r="AE134" t="str">
            <v>aws s3 cp s3://rtdc.mdm.uploadarchive/RTDC4028/2016-08-31/ "%USERPROFILE%\AppData\Local\Temp\OnboardLogs"\RTDC4028\2016-08-31 --recursive &amp; "%USERPROFILE%\Documents\GitHub\mrs-test-scripts\Headless Mode &amp; Sideloading\WalkAndUnGZ.bat" "%USERPROFILE%\AppData\Local\Temp\OnboardLogs"\RTDC4028\2016-08-31 &amp; 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</v>
          </cell>
        </row>
        <row r="135">
          <cell r="A135" t="str">
            <v>223-31</v>
          </cell>
          <cell r="B135">
            <v>4029</v>
          </cell>
          <cell r="C135" t="str">
            <v>DE.1.0.7.0</v>
          </cell>
          <cell r="D135" t="str">
            <v>204:426</v>
          </cell>
          <cell r="E135">
            <v>42613.808946759258</v>
          </cell>
          <cell r="F135">
            <v>42613.812627314815</v>
          </cell>
          <cell r="G135">
            <v>1</v>
          </cell>
          <cell r="H135" t="str">
            <v>204:233308</v>
          </cell>
          <cell r="I135">
            <v>42613.836967592593</v>
          </cell>
          <cell r="J135">
            <v>0</v>
          </cell>
          <cell r="K135" t="str">
            <v>4029/4030</v>
          </cell>
          <cell r="L135" t="str">
            <v>YANAI</v>
          </cell>
          <cell r="M135">
            <v>2.4340277777810115E-2</v>
          </cell>
          <cell r="N135">
            <v>35.050000000046566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https://search-rtdc-monitor-bjffxe2xuh6vdkpspy63sjmuny.us-east-1.es.amazonaws.com/_plugin/kibana/#/discover/Steve-Slow-Train-Analysis-(2080s-and-2083s)?_g=(refreshInterval:(display:Off,section:0,value:0),time:(from:'2016-08-31 18:24:53-0600',mode:absolute,to:'2016-08-31 21:05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35" t="str">
            <v>N</v>
          </cell>
          <cell r="X135">
            <v>1</v>
          </cell>
          <cell r="Y135">
            <v>4.2599999999999999E-2</v>
          </cell>
          <cell r="Z135">
            <v>23.3308</v>
          </cell>
          <cell r="AA135">
            <v>23.2882</v>
          </cell>
          <cell r="AB135" t="e">
            <v>#N/A</v>
          </cell>
          <cell r="AC135" t="e">
            <v>#N/A</v>
          </cell>
          <cell r="AD135" t="str">
            <v>0223-31</v>
          </cell>
          <cell r="AE135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136">
          <cell r="A136" t="str">
            <v>224-31</v>
          </cell>
          <cell r="B136">
            <v>4030</v>
          </cell>
          <cell r="C136" t="str">
            <v>DE.1.0.7.0</v>
          </cell>
          <cell r="D136" t="str">
            <v>204:232981</v>
          </cell>
          <cell r="E136">
            <v>42613.847337962965</v>
          </cell>
          <cell r="F136">
            <v>42613.851712962962</v>
          </cell>
          <cell r="G136">
            <v>1</v>
          </cell>
          <cell r="H136" t="str">
            <v>204:156</v>
          </cell>
          <cell r="I136">
            <v>42613.877430555556</v>
          </cell>
          <cell r="J136">
            <v>0</v>
          </cell>
          <cell r="K136" t="str">
            <v>4029/4030</v>
          </cell>
          <cell r="L136" t="str">
            <v>YANAI</v>
          </cell>
          <cell r="M136">
            <v>2.5717592594446614E-2</v>
          </cell>
          <cell r="N136">
            <v>37.033333336003125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https://search-rtdc-monitor-bjffxe2xuh6vdkpspy63sjmuny.us-east-1.es.amazonaws.com/_plugin/kibana/#/discover/Steve-Slow-Train-Analysis-(2080s-and-2083s)?_g=(refreshInterval:(display:Off,section:0,value:0),time:(from:'2016-08-31 19:20:10-0600',mode:absolute,to:'2016-08-31 22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36" t="str">
            <v>N</v>
          </cell>
          <cell r="X136">
            <v>1</v>
          </cell>
          <cell r="Y136">
            <v>23.298100000000002</v>
          </cell>
          <cell r="Z136">
            <v>1.5599999999999999E-2</v>
          </cell>
          <cell r="AA136">
            <v>23.282500000000002</v>
          </cell>
          <cell r="AB136" t="e">
            <v>#N/A</v>
          </cell>
          <cell r="AC136" t="e">
            <v>#N/A</v>
          </cell>
          <cell r="AD136" t="str">
            <v>0224-31</v>
          </cell>
          <cell r="AE136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137">
          <cell r="A137" t="str">
            <v>225-31</v>
          </cell>
          <cell r="B137">
            <v>4002</v>
          </cell>
          <cell r="C137" t="str">
            <v>DE.1.0.7.0</v>
          </cell>
          <cell r="D137" t="str">
            <v>204:433</v>
          </cell>
          <cell r="E137">
            <v>42613.828796296293</v>
          </cell>
          <cell r="F137">
            <v>42613.833935185183</v>
          </cell>
          <cell r="G137">
            <v>1</v>
          </cell>
          <cell r="H137" t="str">
            <v>204:233331</v>
          </cell>
          <cell r="I137">
            <v>42613.858576388891</v>
          </cell>
          <cell r="J137">
            <v>0</v>
          </cell>
          <cell r="K137" t="str">
            <v>4001/4002</v>
          </cell>
          <cell r="L137" t="str">
            <v>STAMBAUGH</v>
          </cell>
          <cell r="M137">
            <v>2.4641203708597459E-2</v>
          </cell>
          <cell r="N137">
            <v>35.483333340380341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https://search-rtdc-monitor-bjffxe2xuh6vdkpspy63sjmuny.us-east-1.es.amazonaws.com/_plugin/kibana/#/discover/Steve-Slow-Train-Analysis-(2080s-and-2083s)?_g=(refreshInterval:(display:Off,section:0,value:0),time:(from:'2016-08-31 18:53:28-0600',mode:absolute,to:'2016-08-31 21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37" t="str">
            <v>N</v>
          </cell>
          <cell r="X137">
            <v>1</v>
          </cell>
          <cell r="Y137">
            <v>4.3299999999999998E-2</v>
          </cell>
          <cell r="Z137">
            <v>23.333100000000002</v>
          </cell>
          <cell r="AA137">
            <v>23.289800000000003</v>
          </cell>
          <cell r="AB137" t="e">
            <v>#N/A</v>
          </cell>
          <cell r="AC137" t="e">
            <v>#N/A</v>
          </cell>
          <cell r="AD137" t="str">
            <v>0225-31</v>
          </cell>
          <cell r="AE137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138">
          <cell r="A138" t="str">
            <v>226-31</v>
          </cell>
          <cell r="B138">
            <v>4001</v>
          </cell>
          <cell r="C138" t="str">
            <v>DE.1.0.7.0</v>
          </cell>
          <cell r="D138" t="str">
            <v>204:232994</v>
          </cell>
          <cell r="E138">
            <v>42613.869270833333</v>
          </cell>
          <cell r="F138">
            <v>42613.872800925928</v>
          </cell>
          <cell r="G138">
            <v>1</v>
          </cell>
          <cell r="H138" t="str">
            <v>204:147</v>
          </cell>
          <cell r="I138">
            <v>42613.898472222223</v>
          </cell>
          <cell r="J138">
            <v>0</v>
          </cell>
          <cell r="K138" t="str">
            <v>4001/4002</v>
          </cell>
          <cell r="L138" t="str">
            <v>STAMBAUGH</v>
          </cell>
          <cell r="M138">
            <v>2.5671296294603962E-2</v>
          </cell>
          <cell r="N138">
            <v>36.966666664229706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https://search-rtdc-monitor-bjffxe2xuh6vdkpspy63sjmuny.us-east-1.es.amazonaws.com/_plugin/kibana/#/discover/Steve-Slow-Train-Analysis-(2080s-and-2083s)?_g=(refreshInterval:(display:Off,section:0,value:0),time:(from:'2016-08-31 19:51:45-0600',mode:absolute,to:'2016-08-31 22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38" t="str">
            <v>N</v>
          </cell>
          <cell r="X138">
            <v>1</v>
          </cell>
          <cell r="Y138">
            <v>23.299399999999999</v>
          </cell>
          <cell r="Z138">
            <v>1.47E-2</v>
          </cell>
          <cell r="AA138">
            <v>23.284699999999997</v>
          </cell>
          <cell r="AB138" t="e">
            <v>#N/A</v>
          </cell>
          <cell r="AC138" t="e">
            <v>#N/A</v>
          </cell>
          <cell r="AD138" t="str">
            <v>0226-31</v>
          </cell>
          <cell r="AE138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139">
          <cell r="A139" t="str">
            <v>227-31</v>
          </cell>
          <cell r="B139">
            <v>4016</v>
          </cell>
          <cell r="C139" t="str">
            <v>DE.1.0.7.0</v>
          </cell>
          <cell r="D139" t="str">
            <v>204:431</v>
          </cell>
          <cell r="E139">
            <v>42613.852048611108</v>
          </cell>
          <cell r="F139">
            <v>42613.854583333334</v>
          </cell>
          <cell r="G139">
            <v>2</v>
          </cell>
          <cell r="H139" t="str">
            <v>204:233270</v>
          </cell>
          <cell r="I139">
            <v>42613.879525462966</v>
          </cell>
          <cell r="J139">
            <v>0</v>
          </cell>
          <cell r="K139" t="str">
            <v>4015/4016</v>
          </cell>
          <cell r="L139" t="str">
            <v>COOLAHAN</v>
          </cell>
          <cell r="M139">
            <v>2.4942129632108845E-2</v>
          </cell>
          <cell r="N139">
            <v>35.916666670236737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https://search-rtdc-monitor-bjffxe2xuh6vdkpspy63sjmuny.us-east-1.es.amazonaws.com/_plugin/kibana/#/discover/Steve-Slow-Train-Analysis-(2080s-and-2083s)?_g=(refreshInterval:(display:Off,section:0,value:0),time:(from:'2016-08-31 19:26:57-0600',mode:absolute,to:'2016-08-31 22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39" t="str">
            <v>N</v>
          </cell>
          <cell r="X139">
            <v>1</v>
          </cell>
          <cell r="Y139">
            <v>4.3099999999999999E-2</v>
          </cell>
          <cell r="Z139">
            <v>23.327000000000002</v>
          </cell>
          <cell r="AA139">
            <v>23.283900000000003</v>
          </cell>
          <cell r="AB139">
            <v>42779</v>
          </cell>
          <cell r="AC139" t="str">
            <v>GRADE CROSSING</v>
          </cell>
          <cell r="AD139" t="str">
            <v>0227-31</v>
          </cell>
          <cell r="AE139" t="str">
    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    </cell>
        </row>
        <row r="140">
          <cell r="A140" t="str">
            <v>228-31</v>
          </cell>
          <cell r="B140">
            <v>4015</v>
          </cell>
          <cell r="C140" t="str">
            <v>DE.1.0.7.0</v>
          </cell>
          <cell r="D140" t="str">
            <v>204:232977</v>
          </cell>
          <cell r="E140">
            <v>42613.888391203705</v>
          </cell>
          <cell r="F140">
            <v>42613.894016203703</v>
          </cell>
          <cell r="G140">
            <v>1</v>
          </cell>
          <cell r="H140" t="str">
            <v>204:260</v>
          </cell>
          <cell r="I140">
            <v>42613.919872685183</v>
          </cell>
          <cell r="J140">
            <v>0</v>
          </cell>
          <cell r="K140" t="str">
            <v>4015/4016</v>
          </cell>
          <cell r="L140" t="str">
            <v>COOLAHAN</v>
          </cell>
          <cell r="M140">
            <v>2.5856481479422655E-2</v>
          </cell>
          <cell r="N140">
            <v>37.233333330368623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https://search-rtdc-monitor-bjffxe2xuh6vdkpspy63sjmuny.us-east-1.es.amazonaws.com/_plugin/kibana/#/discover/Steve-Slow-Train-Analysis-(2080s-and-2083s)?_g=(refreshInterval:(display:Off,section:0,value:0),time:(from:'2016-08-31 20:19:17-0600',mode:absolute,to:'2016-08-31 23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40" t="str">
            <v>N</v>
          </cell>
          <cell r="X140">
            <v>1</v>
          </cell>
          <cell r="Y140">
            <v>23.297699999999999</v>
          </cell>
          <cell r="Z140">
            <v>2.5999999999999999E-2</v>
          </cell>
          <cell r="AA140">
            <v>23.271699999999999</v>
          </cell>
          <cell r="AB140">
            <v>63309</v>
          </cell>
          <cell r="AC140" t="str">
            <v>GRADE CROSSING</v>
          </cell>
          <cell r="AD140" t="str">
            <v>0228-31</v>
          </cell>
          <cell r="AE140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141">
          <cell r="A141" t="str">
            <v>229-31</v>
          </cell>
          <cell r="B141">
            <v>4027</v>
          </cell>
          <cell r="C141" t="str">
            <v>DE.1.0.7.0</v>
          </cell>
          <cell r="D141" t="str">
            <v>204:469</v>
          </cell>
          <cell r="E141">
            <v>42613.869317129633</v>
          </cell>
          <cell r="F141">
            <v>42613.875393518516</v>
          </cell>
          <cell r="G141">
            <v>2</v>
          </cell>
          <cell r="H141" t="str">
            <v>204:233304</v>
          </cell>
          <cell r="I141">
            <v>42613.901064814818</v>
          </cell>
          <cell r="J141">
            <v>0</v>
          </cell>
          <cell r="K141" t="str">
            <v>4027/4028</v>
          </cell>
          <cell r="L141" t="str">
            <v>STURGEON</v>
          </cell>
          <cell r="M141">
            <v>2.567129630187992E-2</v>
          </cell>
          <cell r="N141">
            <v>36.966666674707085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https://search-rtdc-monitor-bjffxe2xuh6vdkpspy63sjmuny.us-east-1.es.amazonaws.com/_plugin/kibana/#/discover/Steve-Slow-Train-Analysis-(2080s-and-2083s)?_g=(refreshInterval:(display:Off,section:0,value:0),time:(from:'2016-08-31 19:51:49-0600',mode:absolute,to:'2016-08-31 22:37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41" t="str">
            <v>N</v>
          </cell>
          <cell r="X141">
            <v>1</v>
          </cell>
          <cell r="Y141">
            <v>4.6899999999999997E-2</v>
          </cell>
          <cell r="Z141">
            <v>23.330400000000001</v>
          </cell>
          <cell r="AA141">
            <v>23.2835</v>
          </cell>
          <cell r="AB141" t="e">
            <v>#N/A</v>
          </cell>
          <cell r="AC141" t="e">
            <v>#N/A</v>
          </cell>
          <cell r="AD141" t="str">
            <v>0229-31</v>
          </cell>
          <cell r="AE141" t="str">
            <v>aws s3 cp s3://rtdc.mdm.uploadarchive/RTDC4027/2016-08-31/ "%USERPROFILE%\AppData\Local\Temp\OnboardLogs"\RTDC4027\2016-08-31 --recursive &amp; "%USERPROFILE%\Documents\GitHub\mrs-test-scripts\Headless Mode &amp; Sideloading\WalkAndUnGZ.bat" "%USERPROFILE%\AppData\Local\Temp\OnboardLogs"\RTDC4027\2016-08-31 &amp; aws s3 cp s3://rtdc.mdm.uploadarchive/RTDC4027/2016-09-01/ "%USERPROFILE%\AppData\Local\Temp\OnboardLogs"\RTDC4027\2016-09-01 --recursive &amp; "%USERPROFILE%\Documents\GitHub\mrs-test-scripts\Headless Mode &amp; Sideloading\WalkAndUnGZ.bat" "%USERPROFILE%\AppData\Local\Temp\OnboardLogs"\RTDC4027\2016-09-01</v>
          </cell>
        </row>
        <row r="142">
          <cell r="A142" t="str">
            <v>230-31</v>
          </cell>
          <cell r="B142">
            <v>4028</v>
          </cell>
          <cell r="C142" t="str">
            <v>DE.1.0.7.0</v>
          </cell>
          <cell r="D142" t="str">
            <v>204:232983</v>
          </cell>
          <cell r="E142">
            <v>42613.910081018519</v>
          </cell>
          <cell r="F142">
            <v>42613.914120370369</v>
          </cell>
          <cell r="G142">
            <v>1</v>
          </cell>
          <cell r="H142" t="str">
            <v>204:152</v>
          </cell>
          <cell r="I142">
            <v>42613.940937500003</v>
          </cell>
          <cell r="J142">
            <v>0</v>
          </cell>
          <cell r="K142" t="str">
            <v>4027/4028</v>
          </cell>
          <cell r="L142" t="str">
            <v>STURGEON</v>
          </cell>
          <cell r="M142">
            <v>2.6817129633855075E-2</v>
          </cell>
          <cell r="N142">
            <v>38.616666672751307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https://search-rtdc-monitor-bjffxe2xuh6vdkpspy63sjmuny.us-east-1.es.amazonaws.com/_plugin/kibana/#/discover/Steve-Slow-Train-Analysis-(2080s-and-2083s)?_g=(refreshInterval:(display:Off,section:0,value:0),time:(from:'2016-08-31 20:50:31-0600',mode:absolute,to:'2016-08-31 23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42" t="str">
            <v>N</v>
          </cell>
          <cell r="X142">
            <v>1</v>
          </cell>
          <cell r="Y142">
            <v>23.298300000000001</v>
          </cell>
          <cell r="Z142">
            <v>1.52E-2</v>
          </cell>
          <cell r="AA142">
            <v>23.283100000000001</v>
          </cell>
          <cell r="AB142" t="e">
            <v>#N/A</v>
          </cell>
          <cell r="AC142" t="e">
            <v>#N/A</v>
          </cell>
          <cell r="AD142" t="str">
            <v>0230-31</v>
          </cell>
          <cell r="AE142" t="str">
            <v>aws s3 cp s3://rtdc.mdm.uploadarchive/RTDC4028/2016-08-31/ "%USERPROFILE%\AppData\Local\Temp\OnboardLogs"\RTDC4028\2016-08-31 --recursive &amp; "%USERPROFILE%\Documents\GitHub\mrs-test-scripts\Headless Mode &amp; Sideloading\WalkAndUnGZ.bat" "%USERPROFILE%\AppData\Local\Temp\OnboardLogs"\RTDC4028\2016-08-31 &amp; 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</v>
          </cell>
        </row>
        <row r="143">
          <cell r="A143" t="str">
            <v>231-31</v>
          </cell>
          <cell r="B143">
            <v>4029</v>
          </cell>
          <cell r="C143" t="str">
            <v>DE.1.0.7.0</v>
          </cell>
          <cell r="D143" t="str">
            <v>204:429</v>
          </cell>
          <cell r="E143">
            <v>42613.892870370371</v>
          </cell>
          <cell r="F143">
            <v>42613.895983796298</v>
          </cell>
          <cell r="G143">
            <v>1</v>
          </cell>
          <cell r="H143" t="str">
            <v>204:233300</v>
          </cell>
          <cell r="I143">
            <v>42613.920428240737</v>
          </cell>
          <cell r="J143">
            <v>0</v>
          </cell>
          <cell r="K143" t="str">
            <v>4029/4030</v>
          </cell>
          <cell r="L143" t="str">
            <v>YANAI</v>
          </cell>
          <cell r="M143">
            <v>2.4444444439723156E-2</v>
          </cell>
          <cell r="N143">
            <v>35.199999993201345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https://search-rtdc-monitor-bjffxe2xuh6vdkpspy63sjmuny.us-east-1.es.amazonaws.com/_plugin/kibana/#/discover/Steve-Slow-Train-Analysis-(2080s-and-2083s)?_g=(refreshInterval:(display:Off,section:0,value:0),time:(from:'2016-08-31 20:25:44-0600',mode:absolute,to:'2016-08-31 23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43" t="str">
            <v>N</v>
          </cell>
          <cell r="X143">
            <v>1</v>
          </cell>
          <cell r="Y143">
            <v>4.2900000000000001E-2</v>
          </cell>
          <cell r="Z143">
            <v>23.33</v>
          </cell>
          <cell r="AA143">
            <v>23.287099999999999</v>
          </cell>
          <cell r="AB143" t="e">
            <v>#N/A</v>
          </cell>
          <cell r="AC143" t="e">
            <v>#N/A</v>
          </cell>
          <cell r="AD143" t="str">
            <v>0231-31</v>
          </cell>
          <cell r="AE143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144">
          <cell r="A144" t="str">
            <v>232-31</v>
          </cell>
          <cell r="B144">
            <v>4030</v>
          </cell>
          <cell r="C144" t="str">
            <v>DE.1.0.7.0</v>
          </cell>
          <cell r="D144" t="str">
            <v>204:127852</v>
          </cell>
          <cell r="E144">
            <v>42613.945428240739</v>
          </cell>
          <cell r="F144">
            <v>42613.946504629632</v>
          </cell>
          <cell r="G144">
            <v>1</v>
          </cell>
          <cell r="H144" t="str">
            <v>204:152</v>
          </cell>
          <cell r="I144">
            <v>42613.962187500001</v>
          </cell>
          <cell r="J144">
            <v>0</v>
          </cell>
          <cell r="K144" t="str">
            <v>4029/4030</v>
          </cell>
          <cell r="L144" t="str">
            <v>YANAI</v>
          </cell>
          <cell r="M144">
            <v>1.5682870369346347E-2</v>
          </cell>
          <cell r="P144">
            <v>22.583333331858739</v>
          </cell>
          <cell r="R144" t="str">
            <v>Onboard in-route failure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https://search-rtdc-monitor-bjffxe2xuh6vdkpspy63sjmuny.us-east-1.es.amazonaws.com/_plugin/kibana/#/discover/Steve-Slow-Train-Analysis-(2080s-and-2083s)?_g=(refreshInterval:(display:Off,section:0,value:0),time:(from:'2016-08-31 21:41:25-0600',mode:absolute,to:'2016-09-01 00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44" t="str">
            <v>Y</v>
          </cell>
          <cell r="X144">
            <v>1</v>
          </cell>
          <cell r="Y144">
            <v>12.7852</v>
          </cell>
          <cell r="Z144">
            <v>1.52E-2</v>
          </cell>
          <cell r="AA144">
            <v>12.77</v>
          </cell>
          <cell r="AB144" t="e">
            <v>#N/A</v>
          </cell>
          <cell r="AC144" t="e">
            <v>#N/A</v>
          </cell>
          <cell r="AD144" t="str">
            <v>0232-31</v>
          </cell>
          <cell r="AE144" t="str">
    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    </cell>
        </row>
        <row r="145">
          <cell r="A145" t="str">
            <v>233-31</v>
          </cell>
          <cell r="B145">
            <v>4002</v>
          </cell>
          <cell r="C145" t="str">
            <v>DE.1.0.7.0</v>
          </cell>
          <cell r="D145" t="str">
            <v>204:480</v>
          </cell>
          <cell r="E145">
            <v>42613.913865740738</v>
          </cell>
          <cell r="F145">
            <v>42613.917361111111</v>
          </cell>
          <cell r="G145">
            <v>2</v>
          </cell>
          <cell r="H145" t="str">
            <v>204:233303</v>
          </cell>
          <cell r="I145">
            <v>42613.94190972222</v>
          </cell>
          <cell r="J145">
            <v>0</v>
          </cell>
          <cell r="K145" t="str">
            <v>4001/4002</v>
          </cell>
          <cell r="L145" t="str">
            <v>STAMBAUGH</v>
          </cell>
          <cell r="M145">
            <v>2.4548611108912155E-2</v>
          </cell>
          <cell r="N145">
            <v>35.349999996833503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https://search-rtdc-monitor-bjffxe2xuh6vdkpspy63sjmuny.us-east-1.es.amazonaws.com/_plugin/kibana/#/discover/Steve-Slow-Train-Analysis-(2080s-and-2083s)?_g=(refreshInterval:(display:Off,section:0,value:0),time:(from:'2016-08-31 20:55:58-0600',mode:absolute,to:'2016-08-31 23:36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45" t="str">
            <v>N</v>
          </cell>
          <cell r="X145">
            <v>1</v>
          </cell>
          <cell r="Y145">
            <v>4.8000000000000001E-2</v>
          </cell>
          <cell r="Z145">
            <v>23.330300000000001</v>
          </cell>
          <cell r="AA145">
            <v>23.282300000000003</v>
          </cell>
          <cell r="AB145" t="e">
            <v>#N/A</v>
          </cell>
          <cell r="AC145" t="e">
            <v>#N/A</v>
          </cell>
          <cell r="AD145" t="str">
            <v>0233-31</v>
          </cell>
          <cell r="AE145" t="str">
    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    </cell>
        </row>
        <row r="146">
          <cell r="A146" t="str">
            <v>234-31</v>
          </cell>
          <cell r="B146">
            <v>4001</v>
          </cell>
          <cell r="C146" t="str">
            <v>DE.1.0.7.0</v>
          </cell>
          <cell r="D146" t="str">
            <v>204:232996</v>
          </cell>
          <cell r="E146">
            <v>42613.953032407408</v>
          </cell>
          <cell r="F146">
            <v>42613.956134259257</v>
          </cell>
          <cell r="G146">
            <v>1</v>
          </cell>
          <cell r="H146" t="str">
            <v>204:123</v>
          </cell>
          <cell r="I146">
            <v>42613.982465277775</v>
          </cell>
          <cell r="J146">
            <v>0</v>
          </cell>
          <cell r="K146" t="str">
            <v>4001/4002</v>
          </cell>
          <cell r="L146" t="str">
            <v>STAMBAUGH</v>
          </cell>
          <cell r="M146">
            <v>2.6331018518249039E-2</v>
          </cell>
          <cell r="N146">
            <v>37.916666666278616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https://search-rtdc-monitor-bjffxe2xuh6vdkpspy63sjmuny.us-east-1.es.amazonaws.com/_plugin/kibana/#/discover/Steve-Slow-Train-Analysis-(2080s-and-2083s)?_g=(refreshInterval:(display:Off,section:0,value:0),time:(from:'2016-08-31 21:52:22-0600',mode:absolute,to:'2016-09-01 00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46" t="str">
            <v>N</v>
          </cell>
          <cell r="X146">
            <v>1</v>
          </cell>
          <cell r="Y146">
            <v>23.299600000000002</v>
          </cell>
          <cell r="Z146">
            <v>1.23E-2</v>
          </cell>
          <cell r="AA146">
            <v>23.287300000000002</v>
          </cell>
          <cell r="AB146" t="e">
            <v>#N/A</v>
          </cell>
          <cell r="AC146" t="e">
            <v>#N/A</v>
          </cell>
          <cell r="AD146" t="str">
            <v>0234-31</v>
          </cell>
          <cell r="AE146" t="str">
    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    </cell>
        </row>
        <row r="147">
          <cell r="A147" t="str">
            <v>235-31</v>
          </cell>
          <cell r="B147">
            <v>4016</v>
          </cell>
          <cell r="C147" t="str">
            <v>DE.1.0.7.0</v>
          </cell>
          <cell r="D147" t="str">
            <v>204:562</v>
          </cell>
          <cell r="E147">
            <v>42613.935324074075</v>
          </cell>
          <cell r="F147">
            <v>42614.021099537036</v>
          </cell>
          <cell r="G147">
            <v>3</v>
          </cell>
          <cell r="H147" t="str">
            <v>204:233303</v>
          </cell>
          <cell r="I147">
            <v>42614.045763888891</v>
          </cell>
          <cell r="J147">
            <v>0</v>
          </cell>
          <cell r="K147" t="str">
            <v>4015/4016</v>
          </cell>
          <cell r="L147" t="str">
            <v>COOLAHAN</v>
          </cell>
          <cell r="M147">
            <v>2.4664351854880806E-2</v>
          </cell>
          <cell r="N147">
            <v>35.516666671028361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https://search-rtdc-monitor-bjffxe2xuh6vdkpspy63sjmuny.us-east-1.es.amazonaws.com/_plugin/kibana/#/discover/Steve-Slow-Train-Analysis-(2080s-and-2083s)?_g=(refreshInterval:(display:Off,section:0,value:0),time:(from:'2016-08-31 21:26:52-0600',mode:absolute,to:'2016-09-01 02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47" t="str">
            <v>N</v>
          </cell>
          <cell r="X147">
            <v>1</v>
          </cell>
          <cell r="Y147">
            <v>5.62E-2</v>
          </cell>
          <cell r="Z147">
            <v>23.330300000000001</v>
          </cell>
          <cell r="AA147">
            <v>23.274100000000001</v>
          </cell>
          <cell r="AB147" t="e">
            <v>#N/A</v>
          </cell>
          <cell r="AC147" t="e">
            <v>#N/A</v>
          </cell>
          <cell r="AD147" t="str">
            <v>0235-31</v>
          </cell>
          <cell r="AE147" t="str">
            <v>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 &amp; 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</v>
          </cell>
        </row>
        <row r="148">
          <cell r="A148" t="str">
            <v>236-31</v>
          </cell>
          <cell r="B148">
            <v>4015</v>
          </cell>
          <cell r="C148" t="str">
            <v>DE.1.0.7.0</v>
          </cell>
          <cell r="D148" t="str">
            <v>204:233001</v>
          </cell>
          <cell r="E148">
            <v>42613.970717592594</v>
          </cell>
          <cell r="F148">
            <v>42613.976620370369</v>
          </cell>
          <cell r="G148">
            <v>2</v>
          </cell>
          <cell r="H148" t="str">
            <v>204:191</v>
          </cell>
          <cell r="I148">
            <v>42614.002569444441</v>
          </cell>
          <cell r="J148">
            <v>0</v>
          </cell>
          <cell r="K148" t="str">
            <v>4015/4016</v>
          </cell>
          <cell r="L148" t="str">
            <v>COOLAHAN</v>
          </cell>
          <cell r="M148">
            <v>2.5949074071832001E-2</v>
          </cell>
          <cell r="N148">
            <v>37.366666663438082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https://search-rtdc-monitor-bjffxe2xuh6vdkpspy63sjmuny.us-east-1.es.amazonaws.com/_plugin/kibana/#/discover/Steve-Slow-Train-Analysis-(2080s-and-2083s)?_g=(refreshInterval:(display:Off,section:0,value:0),time:(from:'2016-08-31 22:17:50-0600',mode:absolute,to:'2016-09-01 01:03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48" t="str">
            <v>N</v>
          </cell>
          <cell r="X148">
            <v>1</v>
          </cell>
          <cell r="Y148">
            <v>23.3001</v>
          </cell>
          <cell r="Z148">
            <v>1.9099999999999999E-2</v>
          </cell>
          <cell r="AA148">
            <v>23.280999999999999</v>
          </cell>
          <cell r="AB148" t="e">
            <v>#N/A</v>
          </cell>
          <cell r="AC148" t="e">
            <v>#N/A</v>
          </cell>
          <cell r="AD148" t="str">
            <v>0236-31</v>
          </cell>
          <cell r="AE148" t="str">
    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    </cell>
        </row>
        <row r="149">
          <cell r="A149" t="str">
            <v>237-31</v>
          </cell>
          <cell r="B149">
            <v>4027</v>
          </cell>
          <cell r="C149" t="str">
            <v>DE.1.0.7.0</v>
          </cell>
          <cell r="D149" t="str">
            <v>204:462</v>
          </cell>
          <cell r="E149">
            <v>42613.952175925922</v>
          </cell>
          <cell r="F149">
            <v>42613.958587962959</v>
          </cell>
          <cell r="G149">
            <v>1</v>
          </cell>
          <cell r="H149" t="str">
            <v>204:233286</v>
          </cell>
          <cell r="I149">
            <v>42613.983252314814</v>
          </cell>
          <cell r="J149">
            <v>0</v>
          </cell>
          <cell r="K149" t="str">
            <v>4027/4028</v>
          </cell>
          <cell r="L149" t="str">
            <v>STURGEON</v>
          </cell>
          <cell r="M149">
            <v>2.4664351854880806E-2</v>
          </cell>
          <cell r="N149">
            <v>35.516666671028361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https://search-rtdc-monitor-bjffxe2xuh6vdkpspy63sjmuny.us-east-1.es.amazonaws.com/_plugin/kibana/#/discover/Steve-Slow-Train-Analysis-(2080s-and-2083s)?_g=(refreshInterval:(display:Off,section:0,value:0),time:(from:'2016-08-31 21:51:08-0600',mode:absolute,to:'2016-09-01 00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49" t="str">
            <v>N</v>
          </cell>
          <cell r="X149">
            <v>1</v>
          </cell>
          <cell r="Y149">
            <v>4.6199999999999998E-2</v>
          </cell>
          <cell r="Z149">
            <v>23.328600000000002</v>
          </cell>
          <cell r="AA149">
            <v>23.282400000000003</v>
          </cell>
          <cell r="AB149" t="e">
            <v>#N/A</v>
          </cell>
          <cell r="AC149" t="e">
            <v>#N/A</v>
          </cell>
          <cell r="AD149" t="str">
            <v>0237-31</v>
          </cell>
          <cell r="AE149" t="str">
            <v>aws s3 cp s3://rtdc.mdm.uploadarchive/RTDC4027/2016-08-31/ "%USERPROFILE%\AppData\Local\Temp\OnboardLogs"\RTDC4027\2016-08-31 --recursive &amp; "%USERPROFILE%\Documents\GitHub\mrs-test-scripts\Headless Mode &amp; Sideloading\WalkAndUnGZ.bat" "%USERPROFILE%\AppData\Local\Temp\OnboardLogs"\RTDC4027\2016-08-31 &amp; aws s3 cp s3://rtdc.mdm.uploadarchive/RTDC4027/2016-09-01/ "%USERPROFILE%\AppData\Local\Temp\OnboardLogs"\RTDC4027\2016-09-01 --recursive &amp; "%USERPROFILE%\Documents\GitHub\mrs-test-scripts\Headless Mode &amp; Sideloading\WalkAndUnGZ.bat" "%USERPROFILE%\AppData\Local\Temp\OnboardLogs"\RTDC4027\2016-09-01</v>
          </cell>
        </row>
        <row r="150">
          <cell r="A150" t="str">
            <v>238-31</v>
          </cell>
          <cell r="B150">
            <v>4028</v>
          </cell>
          <cell r="C150" t="str">
            <v>DE.1.0.7.0</v>
          </cell>
          <cell r="D150" t="str">
            <v>204:232971</v>
          </cell>
          <cell r="E150">
            <v>42613.992152777777</v>
          </cell>
          <cell r="F150">
            <v>42613.997430555559</v>
          </cell>
          <cell r="G150">
            <v>1</v>
          </cell>
          <cell r="H150" t="str">
            <v>204:169</v>
          </cell>
          <cell r="I150">
            <v>42614.024513888886</v>
          </cell>
          <cell r="J150">
            <v>0</v>
          </cell>
          <cell r="K150" t="str">
            <v>4027/4028</v>
          </cell>
          <cell r="L150" t="str">
            <v>STURGEON</v>
          </cell>
          <cell r="M150">
            <v>2.7083333327027503E-2</v>
          </cell>
          <cell r="N150">
            <v>38.999999990919605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https://search-rtdc-monitor-bjffxe2xuh6vdkpspy63sjmuny.us-east-1.es.amazonaws.com/_plugin/kibana/#/discover/Steve-Slow-Train-Analysis-(2080s-and-2083s)?_g=(refreshInterval:(display:Off,section:0,value:0),time:(from:'2016-08-31 22:48:42-0600',mode:absolute,to:'2016-09-01 01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50" t="str">
            <v>N</v>
          </cell>
          <cell r="X150">
            <v>1</v>
          </cell>
          <cell r="Y150">
            <v>23.2971</v>
          </cell>
          <cell r="Z150">
            <v>1.6899999999999998E-2</v>
          </cell>
          <cell r="AA150">
            <v>23.280200000000001</v>
          </cell>
          <cell r="AB150" t="e">
            <v>#N/A</v>
          </cell>
          <cell r="AC150" t="e">
            <v>#N/A</v>
          </cell>
          <cell r="AD150" t="str">
            <v>0238-31</v>
          </cell>
          <cell r="AE150" t="str">
            <v>aws s3 cp s3://rtdc.mdm.uploadarchive/RTDC4028/2016-08-31/ "%USERPROFILE%\AppData\Local\Temp\OnboardLogs"\RTDC4028\2016-08-31 --recursive &amp; "%USERPROFILE%\Documents\GitHub\mrs-test-scripts\Headless Mode &amp; Sideloading\WalkAndUnGZ.bat" "%USERPROFILE%\AppData\Local\Temp\OnboardLogs"\RTDC4028\2016-08-31 &amp; 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</v>
          </cell>
        </row>
        <row r="151">
          <cell r="A151" t="str">
            <v>239-31</v>
          </cell>
          <cell r="B151">
            <v>4029</v>
          </cell>
          <cell r="C151" t="str">
            <v>DE.1.0.7.0</v>
          </cell>
          <cell r="D151" t="str">
            <v>204:467</v>
          </cell>
          <cell r="E151">
            <v>42613.976041666669</v>
          </cell>
          <cell r="F151">
            <v>42613.979317129626</v>
          </cell>
          <cell r="G151">
            <v>1</v>
          </cell>
          <cell r="H151" t="str">
            <v>204:233318</v>
          </cell>
          <cell r="I151">
            <v>42614.00409722222</v>
          </cell>
          <cell r="J151">
            <v>0</v>
          </cell>
          <cell r="K151" t="str">
            <v>4029/4030</v>
          </cell>
          <cell r="L151" t="str">
            <v>YANAI</v>
          </cell>
          <cell r="M151">
            <v>2.4780092593573499E-2</v>
          </cell>
          <cell r="N151">
            <v>35.683333334745839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https://search-rtdc-monitor-bjffxe2xuh6vdkpspy63sjmuny.us-east-1.es.amazonaws.com/_plugin/kibana/#/discover/Steve-Slow-Train-Analysis-(2080s-and-2083s)?_g=(refreshInterval:(display:Off,section:0,value:0),time:(from:'2016-08-31 22:25:30-0600',mode:absolute,to:'2016-09-01 01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51" t="str">
            <v>N</v>
          </cell>
          <cell r="X151">
            <v>1</v>
          </cell>
          <cell r="Y151">
            <v>4.6699999999999998E-2</v>
          </cell>
          <cell r="Z151">
            <v>23.331800000000001</v>
          </cell>
          <cell r="AA151">
            <v>23.2851</v>
          </cell>
          <cell r="AB151" t="e">
            <v>#N/A</v>
          </cell>
          <cell r="AC151" t="e">
            <v>#N/A</v>
          </cell>
          <cell r="AD151" t="str">
            <v>0239-31</v>
          </cell>
          <cell r="AE151" t="str">
    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    </cell>
        </row>
        <row r="152">
          <cell r="A152" t="str">
            <v>240-31</v>
          </cell>
          <cell r="B152">
            <v>4030</v>
          </cell>
          <cell r="C152" t="str">
            <v>DE.1.0.7.0</v>
          </cell>
          <cell r="D152" t="str">
            <v>204:232982</v>
          </cell>
          <cell r="E152">
            <v>42614.00540509259</v>
          </cell>
          <cell r="F152">
            <v>42614.006435185183</v>
          </cell>
          <cell r="G152">
            <v>1</v>
          </cell>
          <cell r="H152" t="str">
            <v>204:4592</v>
          </cell>
          <cell r="I152">
            <v>42614.043287037035</v>
          </cell>
          <cell r="J152">
            <v>0</v>
          </cell>
          <cell r="K152" t="str">
            <v>4029/4030</v>
          </cell>
          <cell r="L152" t="str">
            <v>YANAI</v>
          </cell>
          <cell r="M152">
            <v>3.6851851851679385E-2</v>
          </cell>
          <cell r="N152">
            <v>53.066666666418314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https://search-rtdc-monitor-bjffxe2xuh6vdkpspy63sjmuny.us-east-1.es.amazonaws.com/_plugin/kibana/#/discover/Steve-Slow-Train-Analysis-(2080s-and-2083s)?_g=(refreshInterval:(display:Off,section:0,value:0),time:(from:'2016-08-31 23:07:47-0600',mode:absolute,to:'2016-09-01 02:02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52" t="str">
            <v>Y</v>
          </cell>
          <cell r="X152">
            <v>1</v>
          </cell>
          <cell r="Y152">
            <v>23.298200000000001</v>
          </cell>
          <cell r="Z152">
            <v>0.4592</v>
          </cell>
          <cell r="AA152">
            <v>22.839000000000002</v>
          </cell>
          <cell r="AB152" t="e">
            <v>#N/A</v>
          </cell>
          <cell r="AC152" t="e">
            <v>#N/A</v>
          </cell>
          <cell r="AD152" t="str">
            <v>0240-31</v>
          </cell>
          <cell r="AE152" t="str">
            <v>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 &amp; 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</v>
          </cell>
        </row>
        <row r="153">
          <cell r="A153" t="str">
            <v>241-31</v>
          </cell>
          <cell r="B153">
            <v>4002</v>
          </cell>
          <cell r="C153" t="str">
            <v>DE.1.0.7.0</v>
          </cell>
          <cell r="D153" t="str">
            <v>204:457</v>
          </cell>
          <cell r="E153">
            <v>42613.99359953704</v>
          </cell>
          <cell r="F153">
            <v>42614.001006944447</v>
          </cell>
          <cell r="G153">
            <v>1</v>
          </cell>
          <cell r="H153" t="str">
            <v>204:233320</v>
          </cell>
          <cell r="I153">
            <v>42614.025462962964</v>
          </cell>
          <cell r="J153">
            <v>0</v>
          </cell>
          <cell r="K153" t="str">
            <v>4001/4002</v>
          </cell>
          <cell r="L153" t="str">
            <v>STAMBAUGH</v>
          </cell>
          <cell r="M153">
            <v>2.4456018516502809E-2</v>
          </cell>
          <cell r="N153">
            <v>35.216666663764045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https://search-rtdc-monitor-bjffxe2xuh6vdkpspy63sjmuny.us-east-1.es.amazonaws.com/_plugin/kibana/#/discover/Steve-Slow-Train-Analysis-(2080s-and-2083s)?_g=(refreshInterval:(display:Off,section:0,value:0),time:(from:'2016-08-31 22:50:47-0600',mode:absolute,to:'2016-09-01 01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53" t="str">
            <v>N</v>
          </cell>
          <cell r="X153">
            <v>1</v>
          </cell>
          <cell r="Y153">
            <v>4.5699999999999998E-2</v>
          </cell>
          <cell r="Z153">
            <v>23.332000000000001</v>
          </cell>
          <cell r="AA153">
            <v>23.286300000000001</v>
          </cell>
          <cell r="AB153" t="e">
            <v>#N/A</v>
          </cell>
          <cell r="AC153" t="e">
            <v>#N/A</v>
          </cell>
          <cell r="AD153" t="str">
            <v>0241-31</v>
          </cell>
          <cell r="AE153" t="str">
            <v>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 &amp; aws s3 cp s3://rtdc.mdm.uploadarchive/RTDC4002/2016-09-02/ "%USERPROFILE%\AppData\Local\Temp\OnboardLogs"\RTDC4002\2016-09-02 --recursive &amp; "%USERPROFILE%\Documents\GitHub\mrs-test-scripts\Headless Mode &amp; Sideloading\WalkAndUnGZ.bat" "%USERPROFILE%\AppData\Local\Temp\OnboardLogs"\RTDC4002\2016-09-02</v>
          </cell>
        </row>
        <row r="154">
          <cell r="A154" t="str">
            <v>242-31</v>
          </cell>
          <cell r="B154">
            <v>4001</v>
          </cell>
          <cell r="C154" t="str">
            <v>DE.1.0.7.0</v>
          </cell>
          <cell r="D154" t="str">
            <v>204:233028</v>
          </cell>
          <cell r="E154">
            <v>42614.035925925928</v>
          </cell>
          <cell r="F154">
            <v>42614.039212962962</v>
          </cell>
          <cell r="G154">
            <v>2</v>
          </cell>
          <cell r="H154" t="str">
            <v>204:160</v>
          </cell>
          <cell r="I154">
            <v>42614.065798611111</v>
          </cell>
          <cell r="J154">
            <v>0</v>
          </cell>
          <cell r="K154" t="str">
            <v>4001/4002</v>
          </cell>
          <cell r="L154" t="str">
            <v>STAMBAUGH</v>
          </cell>
          <cell r="M154">
            <v>2.658564814919373E-2</v>
          </cell>
          <cell r="N154">
            <v>38.283333334838971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https://search-rtdc-monitor-bjffxe2xuh6vdkpspy63sjmuny.us-east-1.es.amazonaws.com/_plugin/kibana/#/discover/Steve-Slow-Train-Analysis-(2080s-and-2083s)?_g=(refreshInterval:(display:Off,section:0,value:0),time:(from:'2016-08-31 23:51:44-0600',mode:absolute,to:'2016-09-01 02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54" t="str">
            <v>N</v>
          </cell>
          <cell r="X154">
            <v>1</v>
          </cell>
          <cell r="Y154">
            <v>23.302800000000001</v>
          </cell>
          <cell r="Z154">
            <v>1.6E-2</v>
          </cell>
          <cell r="AA154">
            <v>23.286800000000003</v>
          </cell>
          <cell r="AB154">
            <v>21848</v>
          </cell>
          <cell r="AC154" t="str">
            <v>PERMANENT SPEED RESTRICTION</v>
          </cell>
          <cell r="AD154" t="str">
            <v>0242-31</v>
          </cell>
          <cell r="AE154" t="str">
            <v>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 &amp; aws s3 cp s3://rtdc.mdm.uploadarchive/RTDC4001/2016-09-02/ "%USERPROFILE%\AppData\Local\Temp\OnboardLogs"\RTDC4001\2016-09-02 --recursive &amp; "%USERPROFILE%\Documents\GitHub\mrs-test-scripts\Headless Mode &amp; Sideloading\WalkAndUnGZ.bat" "%USERPROFILE%\AppData\Local\Temp\OnboardLogs"\RTDC4001\2016-09-02</v>
          </cell>
        </row>
        <row r="155">
          <cell r="A155" t="str">
            <v>243-31</v>
          </cell>
          <cell r="B155">
            <v>4016</v>
          </cell>
          <cell r="C155" t="str">
            <v>DE.1.0.7.0</v>
          </cell>
          <cell r="D155" t="str">
            <v>204:508</v>
          </cell>
          <cell r="E155">
            <v>42614.018425925926</v>
          </cell>
          <cell r="F155">
            <v>42614.021099537036</v>
          </cell>
          <cell r="G155">
            <v>2</v>
          </cell>
          <cell r="H155" t="str">
            <v>204:233303</v>
          </cell>
          <cell r="I155">
            <v>42614.045763888891</v>
          </cell>
          <cell r="J155">
            <v>0</v>
          </cell>
          <cell r="K155" t="str">
            <v>4015/4016</v>
          </cell>
          <cell r="L155" t="str">
            <v>COOLAHAN</v>
          </cell>
          <cell r="M155">
            <v>2.4664351854880806E-2</v>
          </cell>
          <cell r="N155">
            <v>35.516666671028361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https://search-rtdc-monitor-bjffxe2xuh6vdkpspy63sjmuny.us-east-1.es.amazonaws.com/_plugin/kibana/#/discover/Steve-Slow-Train-Analysis-(2080s-and-2083s)?_g=(refreshInterval:(display:Off,section:0,value:0),time:(from:'2016-08-31 23:26:32-0600',mode:absolute,to:'2016-09-01 02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55" t="str">
            <v>N</v>
          </cell>
          <cell r="X155">
            <v>1</v>
          </cell>
          <cell r="Y155">
            <v>5.0799999999999998E-2</v>
          </cell>
          <cell r="Z155">
            <v>23.330300000000001</v>
          </cell>
          <cell r="AA155">
            <v>23.279500000000002</v>
          </cell>
          <cell r="AB155" t="e">
            <v>#N/A</v>
          </cell>
          <cell r="AC155" t="e">
            <v>#N/A</v>
          </cell>
          <cell r="AD155" t="str">
            <v>0243-31</v>
          </cell>
          <cell r="AE155" t="str">
            <v>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 &amp; 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</v>
          </cell>
        </row>
        <row r="156">
          <cell r="A156" t="str">
            <v>244-31</v>
          </cell>
          <cell r="B156">
            <v>4015</v>
          </cell>
          <cell r="C156" t="str">
            <v>DE.1.0.7.0</v>
          </cell>
          <cell r="D156" t="str">
            <v>204:232990</v>
          </cell>
          <cell r="E156">
            <v>42614.054861111108</v>
          </cell>
          <cell r="F156">
            <v>42614.059965277775</v>
          </cell>
          <cell r="G156">
            <v>1</v>
          </cell>
          <cell r="H156" t="str">
            <v>204:160</v>
          </cell>
          <cell r="I156">
            <v>42614.086134259262</v>
          </cell>
          <cell r="J156">
            <v>0</v>
          </cell>
          <cell r="K156" t="str">
            <v>4015/4016</v>
          </cell>
          <cell r="L156" t="str">
            <v>COOLAHAN</v>
          </cell>
          <cell r="M156">
            <v>2.6168981486989651E-2</v>
          </cell>
          <cell r="N156">
            <v>37.683333341265097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https://search-rtdc-monitor-bjffxe2xuh6vdkpspy63sjmuny.us-east-1.es.amazonaws.com/_plugin/kibana/#/discover/Steve-Slow-Train-Analysis-(2080s-and-2083s)?_g=(refreshInterval:(display:Off,section:0,value:0),time:(from:'2016-09-01 00:19:00-0600',mode:absolute,to:'2016-09-01 03:04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56" t="str">
            <v>N</v>
          </cell>
          <cell r="X156">
            <v>1</v>
          </cell>
          <cell r="Y156">
            <v>23.298999999999999</v>
          </cell>
          <cell r="Z156">
            <v>1.6E-2</v>
          </cell>
          <cell r="AA156">
            <v>23.283000000000001</v>
          </cell>
          <cell r="AB156" t="e">
            <v>#N/A</v>
          </cell>
          <cell r="AC156" t="e">
            <v>#N/A</v>
          </cell>
          <cell r="AD156" t="str">
            <v>0244-31</v>
          </cell>
          <cell r="AE156" t="str">
            <v>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 &amp; 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</v>
          </cell>
        </row>
        <row r="157">
          <cell r="A157" t="str">
            <v>800-31</v>
          </cell>
          <cell r="B157">
            <v>4032</v>
          </cell>
          <cell r="C157" t="str">
            <v>DE.1.0.7.0</v>
          </cell>
          <cell r="D157" t="str">
            <v>300:58628</v>
          </cell>
          <cell r="E157">
            <v>42613.214421296296</v>
          </cell>
          <cell r="F157">
            <v>42613.216006944444</v>
          </cell>
          <cell r="G157">
            <v>1</v>
          </cell>
          <cell r="H157" t="str">
            <v>204:738</v>
          </cell>
          <cell r="I157">
            <v>42613.226643518516</v>
          </cell>
          <cell r="J157">
            <v>0</v>
          </cell>
          <cell r="K157" t="str">
            <v>4031/4032</v>
          </cell>
          <cell r="L157" t="str">
            <v>STARKS</v>
          </cell>
          <cell r="M157">
            <v>1.063657407212304E-2</v>
          </cell>
          <cell r="N157">
            <v>15.316666663857177</v>
          </cell>
          <cell r="S157">
            <v>1</v>
          </cell>
          <cell r="T157" t="str">
            <v>Southbound</v>
          </cell>
          <cell r="U157">
            <v>1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https://search-rtdc-monitor-bjffxe2xuh6vdkpspy63sjmuny.us-east-1.es.amazonaws.com/_plugin/kibana/#/discover/Steve-Slow-Train-Analysis-(2080s-and-2083s)?_g=(refreshInterval:(display:Off,section:0,value:0),time:(from:'2016-08-31 04:08:46-0600',mode:absolute,to:'2016-08-31 06:26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57" t="str">
            <v>N</v>
          </cell>
          <cell r="X157">
            <v>556</v>
          </cell>
          <cell r="Y157">
            <v>5.8628</v>
          </cell>
          <cell r="Z157">
            <v>7.3800000000000004E-2</v>
          </cell>
          <cell r="AA157">
            <v>5.7889999999999997</v>
          </cell>
          <cell r="AB157" t="e">
            <v>#N/A</v>
          </cell>
          <cell r="AC157" t="e">
            <v>#N/A</v>
          </cell>
          <cell r="AD157" t="str">
            <v>0800-31</v>
          </cell>
          <cell r="AE157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158">
          <cell r="A158" t="str">
            <v>801-31</v>
          </cell>
          <cell r="B158">
            <v>4031</v>
          </cell>
          <cell r="C158" t="str">
            <v>DE.1.0.7.0</v>
          </cell>
          <cell r="D158" t="str">
            <v>204:1034</v>
          </cell>
          <cell r="E158">
            <v>42613.240659722222</v>
          </cell>
          <cell r="F158">
            <v>42613.243935185186</v>
          </cell>
          <cell r="G158">
            <v>2</v>
          </cell>
          <cell r="H158" t="str">
            <v>300:58931</v>
          </cell>
          <cell r="I158">
            <v>42613.254317129627</v>
          </cell>
          <cell r="J158">
            <v>0</v>
          </cell>
          <cell r="K158" t="str">
            <v>4031/4032</v>
          </cell>
          <cell r="L158" t="str">
            <v>STARKS</v>
          </cell>
          <cell r="M158">
            <v>1.0381944441178348E-2</v>
          </cell>
          <cell r="N158">
            <v>14.949999995296821</v>
          </cell>
          <cell r="S158">
            <v>1</v>
          </cell>
          <cell r="T158" t="str">
            <v>NorthBound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https://search-rtdc-monitor-bjffxe2xuh6vdkpspy63sjmuny.us-east-1.es.amazonaws.com/_plugin/kibana/#/discover/Steve-Slow-Train-Analysis-(2080s-and-2083s)?_g=(refreshInterval:(display:Off,section:0,value:0),time:(from:'2016-08-31 04:46:33-0600',mode:absolute,to:'2016-08-31 07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58" t="str">
            <v>N</v>
          </cell>
          <cell r="X158">
            <v>1</v>
          </cell>
          <cell r="Y158">
            <v>0.10340000000000001</v>
          </cell>
          <cell r="Z158">
            <v>5.8930999999999996</v>
          </cell>
          <cell r="AA158">
            <v>5.7896999999999998</v>
          </cell>
          <cell r="AB158" t="e">
            <v>#N/A</v>
          </cell>
          <cell r="AC158" t="e">
            <v>#N/A</v>
          </cell>
          <cell r="AD158" t="str">
            <v>0801-31</v>
          </cell>
          <cell r="AE158" t="str">
    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    </cell>
        </row>
        <row r="159">
          <cell r="A159" t="str">
            <v>802-31</v>
          </cell>
          <cell r="B159">
            <v>4032</v>
          </cell>
          <cell r="C159" t="str">
            <v>DE.1.0.7.0</v>
          </cell>
          <cell r="D159" t="str">
            <v>300:58617</v>
          </cell>
          <cell r="E159">
            <v>42613.255474537036</v>
          </cell>
          <cell r="F159">
            <v>42613.256828703707</v>
          </cell>
          <cell r="G159">
            <v>1</v>
          </cell>
          <cell r="H159" t="str">
            <v>204:740</v>
          </cell>
          <cell r="I159">
            <v>42613.26840277778</v>
          </cell>
          <cell r="J159">
            <v>0</v>
          </cell>
          <cell r="K159" t="str">
            <v>4031/4032</v>
          </cell>
          <cell r="L159" t="str">
            <v>STARKS</v>
          </cell>
          <cell r="M159">
            <v>1.1574074072996154E-2</v>
          </cell>
          <cell r="N159">
            <v>16.666666665114462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https://search-rtdc-monitor-bjffxe2xuh6vdkpspy63sjmuny.us-east-1.es.amazonaws.com/_plugin/kibana/#/discover/Steve-Slow-Train-Analysis-(2080s-and-2083s)?_g=(refreshInterval:(display:Off,section:0,value:0),time:(from:'2016-08-31 05:07:53-0600',mode:absolute,to:'2016-08-31 07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59" t="str">
            <v>N</v>
          </cell>
          <cell r="X159">
            <v>1</v>
          </cell>
          <cell r="Y159">
            <v>5.8616999999999999</v>
          </cell>
          <cell r="Z159">
            <v>7.3999999999999996E-2</v>
          </cell>
          <cell r="AA159">
            <v>5.7877000000000001</v>
          </cell>
          <cell r="AB159" t="e">
            <v>#N/A</v>
          </cell>
          <cell r="AC159" t="e">
            <v>#N/A</v>
          </cell>
          <cell r="AD159" t="str">
            <v>0802-31</v>
          </cell>
          <cell r="AE159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160">
          <cell r="A160" t="str">
            <v>803-31</v>
          </cell>
          <cell r="B160">
            <v>4007</v>
          </cell>
          <cell r="C160" t="str">
            <v>DE.1.0.7.0</v>
          </cell>
          <cell r="D160" t="str">
            <v>204:962</v>
          </cell>
          <cell r="E160">
            <v>42613.259259259263</v>
          </cell>
          <cell r="F160">
            <v>42613.264803240738</v>
          </cell>
          <cell r="G160">
            <v>1</v>
          </cell>
          <cell r="H160" t="str">
            <v>300:59005</v>
          </cell>
          <cell r="I160">
            <v>42613.274027777778</v>
          </cell>
          <cell r="J160">
            <v>0</v>
          </cell>
          <cell r="K160" t="str">
            <v>4007/4008</v>
          </cell>
          <cell r="L160" t="str">
            <v>GEBRETEKLE</v>
          </cell>
          <cell r="M160">
            <v>9.2245370396994986E-3</v>
          </cell>
          <cell r="N160">
            <v>13.283333337167278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https://search-rtdc-monitor-bjffxe2xuh6vdkpspy63sjmuny.us-east-1.es.amazonaws.com/_plugin/kibana/#/discover/Steve-Slow-Train-Analysis-(2080s-and-2083s)?_g=(refreshInterval:(display:Off,section:0,value:0),time:(from:'2016-08-31 05:13:20-0600',mode:absolute,to:'2016-08-31 07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0" t="str">
            <v>N</v>
          </cell>
          <cell r="X160">
            <v>1</v>
          </cell>
          <cell r="Y160">
            <v>9.6199999999999994E-2</v>
          </cell>
          <cell r="Z160">
            <v>5.9005000000000001</v>
          </cell>
          <cell r="AA160">
            <v>5.8043000000000005</v>
          </cell>
          <cell r="AB160" t="e">
            <v>#N/A</v>
          </cell>
          <cell r="AC160" t="e">
            <v>#N/A</v>
          </cell>
          <cell r="AD160" t="str">
            <v>0803-31</v>
          </cell>
          <cell r="AE160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61">
          <cell r="A161" t="str">
            <v>804-31</v>
          </cell>
          <cell r="B161">
            <v>4008</v>
          </cell>
          <cell r="C161" t="str">
            <v>DE.1.0.7.0</v>
          </cell>
          <cell r="D161" t="str">
            <v>300:58689</v>
          </cell>
          <cell r="E161">
            <v>42613.275277777779</v>
          </cell>
          <cell r="F161">
            <v>42613.277349537035</v>
          </cell>
          <cell r="G161">
            <v>1</v>
          </cell>
          <cell r="H161" t="str">
            <v>204:691</v>
          </cell>
          <cell r="I161">
            <v>42613.288726851853</v>
          </cell>
          <cell r="J161">
            <v>0</v>
          </cell>
          <cell r="K161" t="str">
            <v>4007/4008</v>
          </cell>
          <cell r="L161" t="str">
            <v>GEBRETEKLE</v>
          </cell>
          <cell r="M161">
            <v>1.1377314818673767E-2</v>
          </cell>
          <cell r="N161">
            <v>16.383333338890225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https://search-rtdc-monitor-bjffxe2xuh6vdkpspy63sjmuny.us-east-1.es.amazonaws.com/_plugin/kibana/#/discover/Steve-Slow-Train-Analysis-(2080s-and-2083s)?_g=(refreshInterval:(display:Off,section:0,value:0),time:(from:'2016-08-31 05:36:24-0600',mode:absolute,to:'2016-08-31 07:55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1" t="str">
            <v>N</v>
          </cell>
          <cell r="X161">
            <v>1</v>
          </cell>
          <cell r="Y161">
            <v>5.8689</v>
          </cell>
          <cell r="Z161">
            <v>6.9099999999999995E-2</v>
          </cell>
          <cell r="AA161">
            <v>5.7998000000000003</v>
          </cell>
          <cell r="AB161" t="e">
            <v>#N/A</v>
          </cell>
          <cell r="AC161" t="e">
            <v>#N/A</v>
          </cell>
          <cell r="AD161" t="str">
            <v>0804-31</v>
          </cell>
          <cell r="AE161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62">
          <cell r="A162" t="str">
            <v>805-31</v>
          </cell>
          <cell r="B162">
            <v>4031</v>
          </cell>
          <cell r="C162" t="str">
            <v>DE.1.0.7.0</v>
          </cell>
          <cell r="D162" t="str">
            <v>204:1020</v>
          </cell>
          <cell r="E162">
            <v>42613.281608796293</v>
          </cell>
          <cell r="F162">
            <v>42613.28564814815</v>
          </cell>
          <cell r="G162">
            <v>1</v>
          </cell>
          <cell r="H162" t="str">
            <v>300:58927</v>
          </cell>
          <cell r="I162">
            <v>42613.288483796299</v>
          </cell>
          <cell r="J162">
            <v>0</v>
          </cell>
          <cell r="K162" t="str">
            <v>4031/4032</v>
          </cell>
          <cell r="L162" t="str">
            <v>STARKS</v>
          </cell>
          <cell r="M162">
            <v>2.8356481489026919E-3</v>
          </cell>
          <cell r="P162">
            <v>4.0833333344198763</v>
          </cell>
          <cell r="R162" t="str">
            <v>Wi-MAX outage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https://search-rtdc-monitor-bjffxe2xuh6vdkpspy63sjmuny.us-east-1.es.amazonaws.com/_plugin/kibana/#/discover/Steve-Slow-Train-Analysis-(2080s-and-2083s)?_g=(refreshInterval:(display:Off,section:0,value:0),time:(from:'2016-08-31 05:45:31-0600',mode:absolute,to:'2016-08-31 07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62" t="str">
            <v>Y</v>
          </cell>
          <cell r="X162">
            <v>1</v>
          </cell>
          <cell r="Y162">
            <v>0.10199999999999999</v>
          </cell>
          <cell r="Z162">
            <v>1.1100000000000001</v>
          </cell>
          <cell r="AA162">
            <v>1.008</v>
          </cell>
          <cell r="AB162" t="e">
            <v>#N/A</v>
          </cell>
          <cell r="AC162" t="e">
            <v>#N/A</v>
          </cell>
          <cell r="AD162" t="str">
            <v>0805-31</v>
          </cell>
          <cell r="AE162" t="str">
    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    </cell>
        </row>
        <row r="163">
          <cell r="A163" t="str">
            <v>806-31</v>
          </cell>
          <cell r="B163">
            <v>4032</v>
          </cell>
          <cell r="C163" t="str">
            <v>DE.1.0.7.0</v>
          </cell>
          <cell r="D163" t="str">
            <v>300:58613</v>
          </cell>
          <cell r="E163">
            <v>42613.298391203702</v>
          </cell>
          <cell r="F163">
            <v>42613.299502314818</v>
          </cell>
          <cell r="G163">
            <v>1</v>
          </cell>
          <cell r="H163" t="str">
            <v>204:734</v>
          </cell>
          <cell r="I163">
            <v>42613.31177083333</v>
          </cell>
          <cell r="J163">
            <v>0</v>
          </cell>
          <cell r="K163" t="str">
            <v>4031/4032</v>
          </cell>
          <cell r="L163" t="str">
            <v>STARKS</v>
          </cell>
          <cell r="M163">
            <v>1.2268518512428273E-2</v>
          </cell>
          <cell r="N163">
            <v>17.666666657896712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https://search-rtdc-monitor-bjffxe2xuh6vdkpspy63sjmuny.us-east-1.es.amazonaws.com/_plugin/kibana/#/discover/Steve-Slow-Train-Analysis-(2080s-and-2083s)?_g=(refreshInterval:(display:Off,section:0,value:0),time:(from:'2016-08-31 06:09:41-0600',mode:absolute,to:'2016-08-31 08:28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63" t="str">
            <v>N</v>
          </cell>
          <cell r="X163">
            <v>1</v>
          </cell>
          <cell r="Y163">
            <v>5.8613</v>
          </cell>
          <cell r="Z163">
            <v>7.3400000000000007E-2</v>
          </cell>
          <cell r="AA163">
            <v>5.7878999999999996</v>
          </cell>
          <cell r="AB163" t="e">
            <v>#N/A</v>
          </cell>
          <cell r="AC163" t="e">
            <v>#N/A</v>
          </cell>
          <cell r="AD163" t="str">
            <v>0806-31</v>
          </cell>
          <cell r="AE163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164">
          <cell r="A164" t="str">
            <v>807-31</v>
          </cell>
          <cell r="B164">
            <v>4007</v>
          </cell>
          <cell r="C164" t="str">
            <v>DE.1.0.7.0</v>
          </cell>
          <cell r="D164" t="str">
            <v>204:972</v>
          </cell>
          <cell r="E164">
            <v>42613.303935185184</v>
          </cell>
          <cell r="F164">
            <v>42613.306550925925</v>
          </cell>
          <cell r="G164">
            <v>1</v>
          </cell>
          <cell r="H164" t="str">
            <v>300:58992</v>
          </cell>
          <cell r="I164">
            <v>42613.316099537034</v>
          </cell>
          <cell r="J164">
            <v>0</v>
          </cell>
          <cell r="K164" t="str">
            <v>4007/4008</v>
          </cell>
          <cell r="L164" t="str">
            <v>GEBRETEKLE</v>
          </cell>
          <cell r="M164">
            <v>9.5486111094942316E-3</v>
          </cell>
          <cell r="N164">
            <v>13.749999997671694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https://search-rtdc-monitor-bjffxe2xuh6vdkpspy63sjmuny.us-east-1.es.amazonaws.com/_plugin/kibana/#/discover/Steve-Slow-Train-Analysis-(2080s-and-2083s)?_g=(refreshInterval:(display:Off,section:0,value:0),time:(from:'2016-08-31 06:17:40-0600',mode:absolute,to:'2016-08-31 08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4" t="str">
            <v>N</v>
          </cell>
          <cell r="X164">
            <v>1</v>
          </cell>
          <cell r="Y164">
            <v>9.7199999999999995E-2</v>
          </cell>
          <cell r="Z164">
            <v>5.8992000000000004</v>
          </cell>
          <cell r="AA164">
            <v>5.8020000000000005</v>
          </cell>
          <cell r="AB164" t="e">
            <v>#N/A</v>
          </cell>
          <cell r="AC164" t="e">
            <v>#N/A</v>
          </cell>
          <cell r="AD164" t="str">
            <v>0807-31</v>
          </cell>
          <cell r="AE164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65">
          <cell r="A165" t="str">
            <v>808-31</v>
          </cell>
          <cell r="B165">
            <v>4008</v>
          </cell>
          <cell r="C165" t="str">
            <v>DE.1.0.7.0</v>
          </cell>
          <cell r="D165" t="str">
            <v>300:58668</v>
          </cell>
          <cell r="E165">
            <v>42613.317314814813</v>
          </cell>
          <cell r="F165">
            <v>42613.318958333337</v>
          </cell>
          <cell r="G165">
            <v>1</v>
          </cell>
          <cell r="H165" t="str">
            <v>204:692</v>
          </cell>
          <cell r="I165">
            <v>42613.330324074072</v>
          </cell>
          <cell r="J165">
            <v>0</v>
          </cell>
          <cell r="K165" t="str">
            <v>4007/4008</v>
          </cell>
          <cell r="L165" t="str">
            <v>GEBRETEKLE</v>
          </cell>
          <cell r="M165">
            <v>1.1365740734618157E-2</v>
          </cell>
          <cell r="N165">
            <v>16.366666657850146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https://search-rtdc-monitor-bjffxe2xuh6vdkpspy63sjmuny.us-east-1.es.amazonaws.com/_plugin/kibana/#/discover/Steve-Slow-Train-Analysis-(2080s-and-2083s)?_g=(refreshInterval:(display:Off,section:0,value:0),time:(from:'2016-08-31 06:36:56-0600',mode:absolute,to:'2016-08-31 08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5" t="str">
            <v>N</v>
          </cell>
          <cell r="X165">
            <v>1</v>
          </cell>
          <cell r="Y165">
            <v>5.8667999999999996</v>
          </cell>
          <cell r="Z165">
            <v>6.9199999999999998E-2</v>
          </cell>
          <cell r="AA165">
            <v>5.7975999999999992</v>
          </cell>
          <cell r="AB165" t="e">
            <v>#N/A</v>
          </cell>
          <cell r="AC165" t="e">
            <v>#N/A</v>
          </cell>
          <cell r="AD165" t="str">
            <v>0808-31</v>
          </cell>
          <cell r="AE165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66">
          <cell r="A166" t="str">
            <v>809-31</v>
          </cell>
          <cell r="B166">
            <v>4031</v>
          </cell>
          <cell r="C166" t="str">
            <v>DE.1.0.7.0</v>
          </cell>
          <cell r="D166" t="str">
            <v>204:1016</v>
          </cell>
          <cell r="E166">
            <v>42613.323958333334</v>
          </cell>
          <cell r="F166">
            <v>42613.327256944445</v>
          </cell>
          <cell r="G166">
            <v>1</v>
          </cell>
          <cell r="H166" t="str">
            <v>300:58927</v>
          </cell>
          <cell r="I166">
            <v>42613.339131944442</v>
          </cell>
          <cell r="J166">
            <v>0</v>
          </cell>
          <cell r="K166" t="str">
            <v>4031/4032</v>
          </cell>
          <cell r="L166" t="str">
            <v>STARKS</v>
          </cell>
          <cell r="M166">
            <v>1.187499999650754E-2</v>
          </cell>
          <cell r="N166">
            <v>17.099999994970858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https://search-rtdc-monitor-bjffxe2xuh6vdkpspy63sjmuny.us-east-1.es.amazonaws.com/_plugin/kibana/#/discover/Steve-Slow-Train-Analysis-(2080s-and-2083s)?_g=(refreshInterval:(display:Off,section:0,value:0),time:(from:'2016-08-31 06:46:30-0600',mode:absolute,to:'2016-08-31 09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66" t="str">
            <v>N</v>
          </cell>
          <cell r="X166">
            <v>1</v>
          </cell>
          <cell r="Y166">
            <v>0.1016</v>
          </cell>
          <cell r="Z166">
            <v>5.8926999999999996</v>
          </cell>
          <cell r="AA166">
            <v>5.7910999999999992</v>
          </cell>
          <cell r="AB166" t="e">
            <v>#N/A</v>
          </cell>
          <cell r="AC166" t="e">
            <v>#N/A</v>
          </cell>
          <cell r="AD166" t="str">
            <v>0809-31</v>
          </cell>
          <cell r="AE166" t="str">
    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    </cell>
        </row>
        <row r="167">
          <cell r="A167" t="str">
            <v>810-31</v>
          </cell>
          <cell r="B167">
            <v>4032</v>
          </cell>
          <cell r="C167" t="str">
            <v>DE.1.0.7.0</v>
          </cell>
          <cell r="D167" t="str">
            <v>300:58600</v>
          </cell>
          <cell r="E167">
            <v>42613.340381944443</v>
          </cell>
          <cell r="F167">
            <v>42613.341932870368</v>
          </cell>
          <cell r="G167">
            <v>1</v>
          </cell>
          <cell r="H167" t="str">
            <v>204:771</v>
          </cell>
          <cell r="I167">
            <v>42613.35224537037</v>
          </cell>
          <cell r="J167">
            <v>0</v>
          </cell>
          <cell r="K167" t="str">
            <v>4031/4032</v>
          </cell>
          <cell r="L167" t="str">
            <v>STARKS</v>
          </cell>
          <cell r="M167">
            <v>1.0312500002328306E-2</v>
          </cell>
          <cell r="N167">
            <v>14.850000003352761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https://search-rtdc-monitor-bjffxe2xuh6vdkpspy63sjmuny.us-east-1.es.amazonaws.com/_plugin/kibana/#/discover/Steve-Slow-Train-Analysis-(2080s-and-2083s)?_g=(refreshInterval:(display:Off,section:0,value:0),time:(from:'2016-08-31 07:10:09-0600',mode:absolute,to:'2016-08-31 09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67" t="str">
            <v>N</v>
          </cell>
          <cell r="X167">
            <v>1</v>
          </cell>
          <cell r="Y167">
            <v>5.86</v>
          </cell>
          <cell r="Z167">
            <v>7.7100000000000002E-2</v>
          </cell>
          <cell r="AA167">
            <v>5.7829000000000006</v>
          </cell>
          <cell r="AB167" t="e">
            <v>#N/A</v>
          </cell>
          <cell r="AC167" t="e">
            <v>#N/A</v>
          </cell>
          <cell r="AD167" t="str">
            <v>0810-31</v>
          </cell>
          <cell r="AE167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168">
          <cell r="A168" t="str">
            <v>811-31</v>
          </cell>
          <cell r="B168">
            <v>4007</v>
          </cell>
          <cell r="C168" t="str">
            <v>DE.1.0.7.0</v>
          </cell>
          <cell r="D168" t="str">
            <v>204:985</v>
          </cell>
          <cell r="E168">
            <v>42613.345694444448</v>
          </cell>
          <cell r="F168">
            <v>42613.348090277781</v>
          </cell>
          <cell r="G168">
            <v>1</v>
          </cell>
          <cell r="H168" t="str">
            <v>300:58971</v>
          </cell>
          <cell r="I168">
            <v>42613.357592592591</v>
          </cell>
          <cell r="J168">
            <v>0</v>
          </cell>
          <cell r="K168" t="str">
            <v>4007/4008</v>
          </cell>
          <cell r="L168" t="str">
            <v>GEBRETEKLE</v>
          </cell>
          <cell r="M168">
            <v>9.5023148096515797E-3</v>
          </cell>
          <cell r="N168">
            <v>13.683333325898275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https://search-rtdc-monitor-bjffxe2xuh6vdkpspy63sjmuny.us-east-1.es.amazonaws.com/_plugin/kibana/#/discover/Steve-Slow-Train-Analysis-(2080s-and-2083s)?_g=(refreshInterval:(display:Off,section:0,value:0),time:(from:'2016-08-31 07:17:48-0600',mode:absolute,to:'2016-08-31 09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8" t="str">
            <v>N</v>
          </cell>
          <cell r="X168">
            <v>1</v>
          </cell>
          <cell r="Y168">
            <v>9.8500000000000004E-2</v>
          </cell>
          <cell r="Z168">
            <v>5.8971</v>
          </cell>
          <cell r="AA168">
            <v>5.7986000000000004</v>
          </cell>
          <cell r="AB168" t="e">
            <v>#N/A</v>
          </cell>
          <cell r="AC168" t="e">
            <v>#N/A</v>
          </cell>
          <cell r="AD168" t="str">
            <v>0811-31</v>
          </cell>
          <cell r="AE168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69">
          <cell r="A169" t="str">
            <v>812-31</v>
          </cell>
          <cell r="B169">
            <v>4008</v>
          </cell>
          <cell r="C169" t="str">
            <v>DE.1.0.7.0</v>
          </cell>
          <cell r="D169" t="str">
            <v>300:58657</v>
          </cell>
          <cell r="E169">
            <v>42613.358912037038</v>
          </cell>
          <cell r="F169">
            <v>42613.360717592594</v>
          </cell>
          <cell r="G169">
            <v>1</v>
          </cell>
          <cell r="H169" t="str">
            <v>204:687</v>
          </cell>
          <cell r="I169">
            <v>42613.371400462966</v>
          </cell>
          <cell r="J169">
            <v>0</v>
          </cell>
          <cell r="K169" t="str">
            <v>4007/4008</v>
          </cell>
          <cell r="L169" t="str">
            <v>GEBRETEKLE</v>
          </cell>
          <cell r="M169">
            <v>1.0682870371965691E-2</v>
          </cell>
          <cell r="N169">
            <v>15.383333335630596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https://search-rtdc-monitor-bjffxe2xuh6vdkpspy63sjmuny.us-east-1.es.amazonaws.com/_plugin/kibana/#/discover/Steve-Slow-Train-Analysis-(2080s-and-2083s)?_g=(refreshInterval:(display:Off,section:0,value:0),time:(from:'2016-08-31 07:36:50-0600',mode:absolute,to:'2016-08-31 09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9" t="str">
            <v>N</v>
          </cell>
          <cell r="X169">
            <v>1</v>
          </cell>
          <cell r="Y169">
            <v>5.8657000000000004</v>
          </cell>
          <cell r="Z169">
            <v>6.8699999999999997E-2</v>
          </cell>
          <cell r="AA169">
            <v>5.7970000000000006</v>
          </cell>
          <cell r="AB169" t="e">
            <v>#N/A</v>
          </cell>
          <cell r="AC169" t="e">
            <v>#N/A</v>
          </cell>
          <cell r="AD169" t="str">
            <v>0812-31</v>
          </cell>
          <cell r="AE169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70">
          <cell r="A170" t="str">
            <v>813-31</v>
          </cell>
          <cell r="B170">
            <v>4007</v>
          </cell>
          <cell r="C170" t="str">
            <v>DE.1.0.7.0</v>
          </cell>
          <cell r="D170" t="str">
            <v>204:971</v>
          </cell>
          <cell r="E170">
            <v>42613.388043981482</v>
          </cell>
          <cell r="F170">
            <v>42613.390497685185</v>
          </cell>
          <cell r="G170">
            <v>1</v>
          </cell>
          <cell r="H170" t="str">
            <v>300:58982</v>
          </cell>
          <cell r="I170">
            <v>42613.400752314818</v>
          </cell>
          <cell r="J170">
            <v>0</v>
          </cell>
          <cell r="K170" t="str">
            <v>4007/4008</v>
          </cell>
          <cell r="L170" t="str">
            <v>GEBRETEKLE</v>
          </cell>
          <cell r="M170">
            <v>1.025462963298196E-2</v>
          </cell>
          <cell r="N170">
            <v>14.766666671494022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https://search-rtdc-monitor-bjffxe2xuh6vdkpspy63sjmuny.us-east-1.es.amazonaws.com/_plugin/kibana/#/discover/Steve-Slow-Train-Analysis-(2080s-and-2083s)?_g=(refreshInterval:(display:Off,section:0,value:0),time:(from:'2016-08-31 08:18:47-0600',mode:absolute,to:'2016-08-31 10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0" t="str">
            <v>N</v>
          </cell>
          <cell r="X170">
            <v>1</v>
          </cell>
          <cell r="Y170">
            <v>9.7100000000000006E-2</v>
          </cell>
          <cell r="Z170">
            <v>5.8982000000000001</v>
          </cell>
          <cell r="AA170">
            <v>5.8010999999999999</v>
          </cell>
          <cell r="AB170" t="e">
            <v>#N/A</v>
          </cell>
          <cell r="AC170" t="e">
            <v>#N/A</v>
          </cell>
          <cell r="AD170" t="str">
            <v>0813-31</v>
          </cell>
          <cell r="AE170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71">
          <cell r="A171" t="str">
            <v>814-31</v>
          </cell>
          <cell r="B171">
            <v>4008</v>
          </cell>
          <cell r="C171" t="str">
            <v>DE.1.0.7.0</v>
          </cell>
          <cell r="D171" t="str">
            <v>300:58668</v>
          </cell>
          <cell r="E171">
            <v>42613.401817129627</v>
          </cell>
          <cell r="F171">
            <v>42613.403425925928</v>
          </cell>
          <cell r="G171">
            <v>1</v>
          </cell>
          <cell r="H171" t="str">
            <v>204:694</v>
          </cell>
          <cell r="I171">
            <v>42613.412986111114</v>
          </cell>
          <cell r="J171">
            <v>0</v>
          </cell>
          <cell r="K171" t="str">
            <v>4007/4008</v>
          </cell>
          <cell r="L171" t="str">
            <v>GEBRETEKLE</v>
          </cell>
          <cell r="M171">
            <v>9.560185186273884E-3</v>
          </cell>
          <cell r="N171">
            <v>13.766666668234393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https://search-rtdc-monitor-bjffxe2xuh6vdkpspy63sjmuny.us-east-1.es.amazonaws.com/_plugin/kibana/#/discover/Steve-Slow-Train-Analysis-(2080s-and-2083s)?_g=(refreshInterval:(display:Off,section:0,value:0),time:(from:'2016-08-31 08:38:37-0600',mode:absolute,to:'2016-08-31 10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1" t="str">
            <v>N</v>
          </cell>
          <cell r="X171">
            <v>1</v>
          </cell>
          <cell r="Y171">
            <v>5.8667999999999996</v>
          </cell>
          <cell r="Z171">
            <v>6.9400000000000003E-2</v>
          </cell>
          <cell r="AA171">
            <v>5.7973999999999997</v>
          </cell>
          <cell r="AB171" t="e">
            <v>#N/A</v>
          </cell>
          <cell r="AC171" t="e">
            <v>#N/A</v>
          </cell>
          <cell r="AD171" t="str">
            <v>0814-31</v>
          </cell>
          <cell r="AE171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72">
          <cell r="A172" t="str">
            <v>815-31</v>
          </cell>
          <cell r="B172">
            <v>4007</v>
          </cell>
          <cell r="C172" t="str">
            <v>DE.1.0.7.0</v>
          </cell>
          <cell r="D172" t="str">
            <v>204:985</v>
          </cell>
          <cell r="E172">
            <v>42613.429293981484</v>
          </cell>
          <cell r="F172">
            <v>42613.43141203704</v>
          </cell>
          <cell r="G172">
            <v>1</v>
          </cell>
          <cell r="H172" t="str">
            <v>300:58971</v>
          </cell>
          <cell r="I172">
            <v>42613.440625000003</v>
          </cell>
          <cell r="J172">
            <v>0</v>
          </cell>
          <cell r="K172" t="str">
            <v>4007/4008</v>
          </cell>
          <cell r="L172" t="str">
            <v>GEBRETEKLE</v>
          </cell>
          <cell r="M172">
            <v>9.2129629629198462E-3</v>
          </cell>
          <cell r="N172">
            <v>13.266666666604578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https://search-rtdc-monitor-bjffxe2xuh6vdkpspy63sjmuny.us-east-1.es.amazonaws.com/_plugin/kibana/#/discover/Steve-Slow-Train-Analysis-(2080s-and-2083s)?_g=(refreshInterval:(display:Off,section:0,value:0),time:(from:'2016-08-31 09:18:11-0600',mode:absolute,to:'2016-08-31 11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2" t="str">
            <v>N</v>
          </cell>
          <cell r="X172">
            <v>1</v>
          </cell>
          <cell r="Y172">
            <v>9.8500000000000004E-2</v>
          </cell>
          <cell r="Z172">
            <v>5.8971</v>
          </cell>
          <cell r="AA172">
            <v>5.7986000000000004</v>
          </cell>
          <cell r="AB172" t="e">
            <v>#N/A</v>
          </cell>
          <cell r="AC172" t="e">
            <v>#N/A</v>
          </cell>
          <cell r="AD172" t="str">
            <v>0815-31</v>
          </cell>
          <cell r="AE172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73">
          <cell r="A173" t="str">
            <v>816-31</v>
          </cell>
          <cell r="B173">
            <v>4008</v>
          </cell>
          <cell r="C173" t="str">
            <v>DE.1.0.7.0</v>
          </cell>
          <cell r="D173" t="str">
            <v>300:58645</v>
          </cell>
          <cell r="E173">
            <v>42613.441620370373</v>
          </cell>
          <cell r="F173">
            <v>42613.443356481483</v>
          </cell>
          <cell r="G173">
            <v>1</v>
          </cell>
          <cell r="H173" t="str">
            <v>204:694</v>
          </cell>
          <cell r="I173">
            <v>42613.454618055555</v>
          </cell>
          <cell r="J173">
            <v>0</v>
          </cell>
          <cell r="K173" t="str">
            <v>4007/4008</v>
          </cell>
          <cell r="L173" t="str">
            <v>GEBRETEKLE</v>
          </cell>
          <cell r="M173">
            <v>1.1261574072705116E-2</v>
          </cell>
          <cell r="N173">
            <v>16.216666664695367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https://search-rtdc-monitor-bjffxe2xuh6vdkpspy63sjmuny.us-east-1.es.amazonaws.com/_plugin/kibana/#/discover/Steve-Slow-Train-Analysis-(2080s-and-2083s)?_g=(refreshInterval:(display:Off,section:0,value:0),time:(from:'2016-08-31 09:35:56-0600',mode:absolute,to:'2016-08-31 11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3" t="str">
            <v>N</v>
          </cell>
          <cell r="X173">
            <v>1</v>
          </cell>
          <cell r="Y173">
            <v>5.8644999999999996</v>
          </cell>
          <cell r="Z173">
            <v>6.9400000000000003E-2</v>
          </cell>
          <cell r="AA173">
            <v>5.7950999999999997</v>
          </cell>
          <cell r="AB173" t="e">
            <v>#N/A</v>
          </cell>
          <cell r="AC173" t="e">
            <v>#N/A</v>
          </cell>
          <cell r="AD173" t="str">
            <v>0816-31</v>
          </cell>
          <cell r="AE173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74">
          <cell r="A174" t="str">
            <v>817-31</v>
          </cell>
          <cell r="B174">
            <v>4007</v>
          </cell>
          <cell r="C174" t="str">
            <v>DE.1.0.7.0</v>
          </cell>
          <cell r="D174" t="str">
            <v>204:992</v>
          </cell>
          <cell r="E174">
            <v>42613.469895833332</v>
          </cell>
          <cell r="F174">
            <v>42613.473344907405</v>
          </cell>
          <cell r="G174">
            <v>1</v>
          </cell>
          <cell r="H174" t="str">
            <v>300:58980</v>
          </cell>
          <cell r="I174">
            <v>42613.483055555553</v>
          </cell>
          <cell r="J174">
            <v>0</v>
          </cell>
          <cell r="K174" t="str">
            <v>4007/4008</v>
          </cell>
          <cell r="L174" t="str">
            <v>GEBRETEKLE</v>
          </cell>
          <cell r="M174">
            <v>9.710648148029577E-3</v>
          </cell>
          <cell r="N174">
            <v>13.983333333162591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https://search-rtdc-monitor-bjffxe2xuh6vdkpspy63sjmuny.us-east-1.es.amazonaws.com/_plugin/kibana/#/discover/Steve-Slow-Train-Analysis-(2080s-and-2083s)?_g=(refreshInterval:(display:Off,section:0,value:0),time:(from:'2016-08-31 10:16:39-0600',mode:absolute,to:'2016-08-31 12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4" t="str">
            <v>N</v>
          </cell>
          <cell r="X174">
            <v>1</v>
          </cell>
          <cell r="Y174">
            <v>9.9199999999999997E-2</v>
          </cell>
          <cell r="Z174">
            <v>5.8979999999999997</v>
          </cell>
          <cell r="AA174">
            <v>5.7988</v>
          </cell>
          <cell r="AB174" t="e">
            <v>#N/A</v>
          </cell>
          <cell r="AC174" t="e">
            <v>#N/A</v>
          </cell>
          <cell r="AD174" t="str">
            <v>0817-31</v>
          </cell>
          <cell r="AE174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75">
          <cell r="A175" t="str">
            <v>818-31</v>
          </cell>
          <cell r="B175">
            <v>4008</v>
          </cell>
          <cell r="C175" t="str">
            <v>DE.1.0.7.0</v>
          </cell>
          <cell r="D175" t="str">
            <v>300:58664</v>
          </cell>
          <cell r="E175">
            <v>42613.484375</v>
          </cell>
          <cell r="F175">
            <v>42613.485763888886</v>
          </cell>
          <cell r="G175">
            <v>1</v>
          </cell>
          <cell r="H175" t="str">
            <v>204:715</v>
          </cell>
          <cell r="I175">
            <v>42613.496967592589</v>
          </cell>
          <cell r="J175">
            <v>0</v>
          </cell>
          <cell r="K175" t="str">
            <v>4007/4008</v>
          </cell>
          <cell r="L175" t="str">
            <v>GEBRETEKLE</v>
          </cell>
          <cell r="M175">
            <v>1.1203703703358769E-2</v>
          </cell>
          <cell r="N175">
            <v>16.133333332836628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https://search-rtdc-monitor-bjffxe2xuh6vdkpspy63sjmuny.us-east-1.es.amazonaws.com/_plugin/kibana/#/discover/Steve-Slow-Train-Analysis-(2080s-and-2083s)?_g=(refreshInterval:(display:Off,section:0,value:0),time:(from:'2016-08-31 10:37:30-0600',mode:absolute,to:'2016-08-31 12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5" t="str">
            <v>N</v>
          </cell>
          <cell r="X175">
            <v>1</v>
          </cell>
          <cell r="Y175">
            <v>5.8663999999999996</v>
          </cell>
          <cell r="Z175">
            <v>7.1499999999999994E-2</v>
          </cell>
          <cell r="AA175">
            <v>5.7948999999999993</v>
          </cell>
          <cell r="AB175" t="e">
            <v>#N/A</v>
          </cell>
          <cell r="AC175" t="e">
            <v>#N/A</v>
          </cell>
          <cell r="AD175" t="str">
            <v>0818-31</v>
          </cell>
          <cell r="AE175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76">
          <cell r="A176" t="str">
            <v>819-31</v>
          </cell>
          <cell r="B176">
            <v>4007</v>
          </cell>
          <cell r="C176" t="str">
            <v>DE.1.0.7.0</v>
          </cell>
          <cell r="D176" t="str">
            <v>204:985</v>
          </cell>
          <cell r="E176">
            <v>42613.512048611112</v>
          </cell>
          <cell r="F176">
            <v>42613.514814814815</v>
          </cell>
          <cell r="G176">
            <v>1</v>
          </cell>
          <cell r="H176" t="str">
            <v>300:58969</v>
          </cell>
          <cell r="I176">
            <v>42613.524050925924</v>
          </cell>
          <cell r="J176">
            <v>0</v>
          </cell>
          <cell r="K176" t="str">
            <v>4007/4008</v>
          </cell>
          <cell r="L176" t="str">
            <v>GEBRETEKLE</v>
          </cell>
          <cell r="M176">
            <v>9.2361111092031933E-3</v>
          </cell>
          <cell r="N176">
            <v>13.299999997252598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https://search-rtdc-monitor-bjffxe2xuh6vdkpspy63sjmuny.us-east-1.es.amazonaws.com/_plugin/kibana/#/discover/Steve-Slow-Train-Analysis-(2080s-and-2083s)?_g=(refreshInterval:(display:Off,section:0,value:0),time:(from:'2016-08-31 11:17:21-0600',mode:absolute,to:'2016-08-31 13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6" t="str">
            <v>N</v>
          </cell>
          <cell r="X176">
            <v>1</v>
          </cell>
          <cell r="Y176">
            <v>9.8500000000000004E-2</v>
          </cell>
          <cell r="Z176">
            <v>5.8968999999999996</v>
          </cell>
          <cell r="AA176">
            <v>5.7984</v>
          </cell>
          <cell r="AB176" t="e">
            <v>#N/A</v>
          </cell>
          <cell r="AC176" t="e">
            <v>#N/A</v>
          </cell>
          <cell r="AD176" t="str">
            <v>0819-31</v>
          </cell>
          <cell r="AE176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77">
          <cell r="A177" t="str">
            <v>820-31</v>
          </cell>
          <cell r="B177">
            <v>4008</v>
          </cell>
          <cell r="C177" t="str">
            <v>DE.1.0.7.0</v>
          </cell>
          <cell r="D177" t="str">
            <v>300:58656</v>
          </cell>
          <cell r="E177">
            <v>42613.525601851848</v>
          </cell>
          <cell r="F177">
            <v>42613.527222222219</v>
          </cell>
          <cell r="G177">
            <v>1</v>
          </cell>
          <cell r="H177" t="str">
            <v>204:678</v>
          </cell>
          <cell r="I177">
            <v>42613.537905092591</v>
          </cell>
          <cell r="J177">
            <v>0</v>
          </cell>
          <cell r="K177" t="str">
            <v>4007/4008</v>
          </cell>
          <cell r="L177" t="str">
            <v>GEBRETEKLE</v>
          </cell>
          <cell r="M177">
            <v>1.0682870371965691E-2</v>
          </cell>
          <cell r="N177">
            <v>15.383333335630596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https://search-rtdc-monitor-bjffxe2xuh6vdkpspy63sjmuny.us-east-1.es.amazonaws.com/_plugin/kibana/#/discover/Steve-Slow-Train-Analysis-(2080s-and-2083s)?_g=(refreshInterval:(display:Off,section:0,value:0),time:(from:'2016-08-31 11:36:52-0600',mode:absolute,to:'2016-08-31 13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7" t="str">
            <v>N</v>
          </cell>
          <cell r="X177">
            <v>1</v>
          </cell>
          <cell r="Y177">
            <v>5.8655999999999997</v>
          </cell>
          <cell r="Z177">
            <v>6.7799999999999999E-2</v>
          </cell>
          <cell r="AA177">
            <v>5.7977999999999996</v>
          </cell>
          <cell r="AB177" t="e">
            <v>#N/A</v>
          </cell>
          <cell r="AC177" t="e">
            <v>#N/A</v>
          </cell>
          <cell r="AD177" t="str">
            <v>0820-31</v>
          </cell>
          <cell r="AE177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78">
          <cell r="A178" t="str">
            <v>821-31</v>
          </cell>
          <cell r="B178">
            <v>4007</v>
          </cell>
          <cell r="C178" t="str">
            <v>DE.1.0.7.0</v>
          </cell>
          <cell r="D178" t="str">
            <v>204:979</v>
          </cell>
          <cell r="E178">
            <v>42613.549907407411</v>
          </cell>
          <cell r="F178">
            <v>42613.556539351855</v>
          </cell>
          <cell r="G178">
            <v>1</v>
          </cell>
          <cell r="H178" t="str">
            <v>300:58992</v>
          </cell>
          <cell r="I178">
            <v>42613.56653935185</v>
          </cell>
          <cell r="J178">
            <v>0</v>
          </cell>
          <cell r="K178" t="str">
            <v>4007/4008</v>
          </cell>
          <cell r="L178" t="str">
            <v>MOSES</v>
          </cell>
          <cell r="M178">
            <v>9.9999999947613105E-3</v>
          </cell>
          <cell r="N178">
            <v>14.399999992456287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https://search-rtdc-monitor-bjffxe2xuh6vdkpspy63sjmuny.us-east-1.es.amazonaws.com/_plugin/kibana/#/discover/Steve-Slow-Train-Analysis-(2080s-and-2083s)?_g=(refreshInterval:(display:Off,section:0,value:0),time:(from:'2016-08-31 12:11:52-0600',mode:absolute,to:'2016-08-31 14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78" t="str">
            <v>N</v>
          </cell>
          <cell r="X178">
            <v>1</v>
          </cell>
          <cell r="Y178">
            <v>9.7900000000000001E-2</v>
          </cell>
          <cell r="Z178">
            <v>5.8992000000000004</v>
          </cell>
          <cell r="AA178">
            <v>5.8013000000000003</v>
          </cell>
          <cell r="AB178" t="e">
            <v>#N/A</v>
          </cell>
          <cell r="AC178" t="e">
            <v>#N/A</v>
          </cell>
          <cell r="AD178" t="str">
            <v>0821-31</v>
          </cell>
          <cell r="AE178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79">
          <cell r="A179" t="str">
            <v>822-31</v>
          </cell>
          <cell r="B179">
            <v>4008</v>
          </cell>
          <cell r="C179" t="str">
            <v>DE.1.0.7.0</v>
          </cell>
          <cell r="D179" t="str">
            <v>300:58674</v>
          </cell>
          <cell r="E179">
            <v>42613.568009259259</v>
          </cell>
          <cell r="F179">
            <v>42613.569756944446</v>
          </cell>
          <cell r="G179">
            <v>1</v>
          </cell>
          <cell r="H179" t="str">
            <v>204:635</v>
          </cell>
          <cell r="I179">
            <v>42613.580509259256</v>
          </cell>
          <cell r="J179">
            <v>0</v>
          </cell>
          <cell r="K179" t="str">
            <v>4007/4008</v>
          </cell>
          <cell r="L179" t="str">
            <v>MOSES</v>
          </cell>
          <cell r="M179">
            <v>1.0752314810815733E-2</v>
          </cell>
          <cell r="N179">
            <v>15.483333327574655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https://search-rtdc-monitor-bjffxe2xuh6vdkpspy63sjmuny.us-east-1.es.amazonaws.com/_plugin/kibana/#/discover/Steve-Slow-Train-Analysis-(2080s-and-2083s)?_g=(refreshInterval:(display:Off,section:0,value:0),time:(from:'2016-08-31 12:37:56-0600',mode:absolute,to:'2016-08-31 14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79" t="str">
            <v>N</v>
          </cell>
          <cell r="X179">
            <v>1</v>
          </cell>
          <cell r="Y179">
            <v>5.8673999999999999</v>
          </cell>
          <cell r="Z179">
            <v>6.3500000000000001E-2</v>
          </cell>
          <cell r="AA179">
            <v>5.8038999999999996</v>
          </cell>
          <cell r="AB179" t="e">
            <v>#N/A</v>
          </cell>
          <cell r="AC179" t="e">
            <v>#N/A</v>
          </cell>
          <cell r="AD179" t="str">
            <v>0822-31</v>
          </cell>
          <cell r="AE179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80">
          <cell r="A180" t="str">
            <v>823-31</v>
          </cell>
          <cell r="B180">
            <v>4007</v>
          </cell>
          <cell r="C180" t="str">
            <v>DE.1.0.7.0</v>
          </cell>
          <cell r="D180" t="str">
            <v>204:925</v>
          </cell>
          <cell r="E180">
            <v>42613.590439814812</v>
          </cell>
          <cell r="F180">
            <v>42613.598101851851</v>
          </cell>
          <cell r="G180">
            <v>1</v>
          </cell>
          <cell r="H180" t="str">
            <v>300:58990</v>
          </cell>
          <cell r="I180">
            <v>42613.607789351852</v>
          </cell>
          <cell r="J180">
            <v>0</v>
          </cell>
          <cell r="K180" t="str">
            <v>4007/4008</v>
          </cell>
          <cell r="L180" t="str">
            <v>MOSES</v>
          </cell>
          <cell r="M180">
            <v>9.6875000017462298E-3</v>
          </cell>
          <cell r="N180">
            <v>13.950000002514571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https://search-rtdc-monitor-bjffxe2xuh6vdkpspy63sjmuny.us-east-1.es.amazonaws.com/_plugin/kibana/#/discover/Steve-Slow-Train-Analysis-(2080s-and-2083s)?_g=(refreshInterval:(display:Off,section:0,value:0),time:(from:'2016-08-31 13:10:14-0600',mode:absolute,to:'2016-08-31 15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80" t="str">
            <v>N</v>
          </cell>
          <cell r="X180">
            <v>1</v>
          </cell>
          <cell r="Y180">
            <v>9.2499999999999999E-2</v>
          </cell>
          <cell r="Z180">
            <v>5.899</v>
          </cell>
          <cell r="AA180">
            <v>5.8064999999999998</v>
          </cell>
          <cell r="AB180" t="e">
            <v>#N/A</v>
          </cell>
          <cell r="AC180" t="e">
            <v>#N/A</v>
          </cell>
          <cell r="AD180" t="str">
            <v>0823-31</v>
          </cell>
          <cell r="AE180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81">
          <cell r="A181" t="str">
            <v>824-31</v>
          </cell>
          <cell r="B181">
            <v>4008</v>
          </cell>
          <cell r="C181" t="str">
            <v>DE.1.0.7.0</v>
          </cell>
          <cell r="D181" t="str">
            <v>300:58668</v>
          </cell>
          <cell r="E181">
            <v>42613.609097222223</v>
          </cell>
          <cell r="F181">
            <v>42613.610914351855</v>
          </cell>
          <cell r="G181">
            <v>1</v>
          </cell>
          <cell r="H181" t="str">
            <v>204:629</v>
          </cell>
          <cell r="I181">
            <v>42613.621423611112</v>
          </cell>
          <cell r="J181">
            <v>0</v>
          </cell>
          <cell r="K181" t="str">
            <v>4007/4008</v>
          </cell>
          <cell r="L181" t="str">
            <v>MOSES</v>
          </cell>
          <cell r="M181">
            <v>1.0509259256650694E-2</v>
          </cell>
          <cell r="N181">
            <v>15.133333329576999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https://search-rtdc-monitor-bjffxe2xuh6vdkpspy63sjmuny.us-east-1.es.amazonaws.com/_plugin/kibana/#/discover/Steve-Slow-Train-Analysis-(2080s-and-2083s)?_g=(refreshInterval:(display:Off,section:0,value:0),time:(from:'2016-08-31 13:37:06-0600',mode:absolute,to:'2016-08-31 15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81" t="str">
            <v>N</v>
          </cell>
          <cell r="X181">
            <v>1</v>
          </cell>
          <cell r="Y181">
            <v>5.8667999999999996</v>
          </cell>
          <cell r="Z181">
            <v>6.2899999999999998E-2</v>
          </cell>
          <cell r="AA181">
            <v>5.8038999999999996</v>
          </cell>
          <cell r="AB181" t="e">
            <v>#N/A</v>
          </cell>
          <cell r="AC181" t="e">
            <v>#N/A</v>
          </cell>
          <cell r="AD181" t="str">
            <v>0824-31</v>
          </cell>
          <cell r="AE181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82">
          <cell r="A182" t="str">
            <v>825-31</v>
          </cell>
          <cell r="B182">
            <v>4007</v>
          </cell>
          <cell r="C182" t="str">
            <v>DE.1.0.7.0</v>
          </cell>
          <cell r="D182" t="str">
            <v>204:939</v>
          </cell>
          <cell r="E182">
            <v>42613.636145833334</v>
          </cell>
          <cell r="F182">
            <v>42613.639837962961</v>
          </cell>
          <cell r="G182">
            <v>1</v>
          </cell>
          <cell r="H182" t="str">
            <v>300:59001</v>
          </cell>
          <cell r="I182">
            <v>42613.650185185186</v>
          </cell>
          <cell r="J182">
            <v>0</v>
          </cell>
          <cell r="K182" t="str">
            <v>4007/4008</v>
          </cell>
          <cell r="L182" t="str">
            <v>MOSES</v>
          </cell>
          <cell r="M182">
            <v>1.0347222225391306E-2</v>
          </cell>
          <cell r="N182">
            <v>14.900000004563481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https://search-rtdc-monitor-bjffxe2xuh6vdkpspy63sjmuny.us-east-1.es.amazonaws.com/_plugin/kibana/#/discover/Steve-Slow-Train-Analysis-(2080s-and-2083s)?_g=(refreshInterval:(display:Off,section:0,value:0),time:(from:'2016-08-31 14:16:03-0600',mode:absolute,to:'2016-08-31 16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82" t="str">
            <v>N</v>
          </cell>
          <cell r="X182">
            <v>1</v>
          </cell>
          <cell r="Y182">
            <v>9.3899999999999997E-2</v>
          </cell>
          <cell r="Z182">
            <v>5.9001000000000001</v>
          </cell>
          <cell r="AA182">
            <v>5.8062000000000005</v>
          </cell>
          <cell r="AB182" t="e">
            <v>#N/A</v>
          </cell>
          <cell r="AC182" t="e">
            <v>#N/A</v>
          </cell>
          <cell r="AD182" t="str">
            <v>0825-31</v>
          </cell>
          <cell r="AE182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83">
          <cell r="A183" t="str">
            <v>826-31</v>
          </cell>
          <cell r="B183">
            <v>4008</v>
          </cell>
          <cell r="C183" t="str">
            <v>DE.1.0.7.0</v>
          </cell>
          <cell r="D183" t="str">
            <v>300:58685</v>
          </cell>
          <cell r="E183">
            <v>42613.65152777778</v>
          </cell>
          <cell r="F183">
            <v>42613.652986111112</v>
          </cell>
          <cell r="G183">
            <v>1</v>
          </cell>
          <cell r="H183" t="str">
            <v>204:705</v>
          </cell>
          <cell r="I183">
            <v>42613.663923611108</v>
          </cell>
          <cell r="J183">
            <v>0</v>
          </cell>
          <cell r="K183" t="str">
            <v>4007/4008</v>
          </cell>
          <cell r="L183" t="str">
            <v>MOSES</v>
          </cell>
          <cell r="M183">
            <v>1.0937499995634425E-2</v>
          </cell>
          <cell r="N183">
            <v>15.749999993713573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https://search-rtdc-monitor-bjffxe2xuh6vdkpspy63sjmuny.us-east-1.es.amazonaws.com/_plugin/kibana/#/discover/Steve-Slow-Train-Analysis-(2080s-and-2083s)?_g=(refreshInterval:(display:Off,section:0,value:0),time:(from:'2016-08-31 14:38:12-0600',mode:absolute,to:'2016-08-31 16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83" t="str">
            <v>N</v>
          </cell>
          <cell r="X183">
            <v>1</v>
          </cell>
          <cell r="Y183">
            <v>5.8685</v>
          </cell>
          <cell r="Z183">
            <v>7.0499999999999993E-2</v>
          </cell>
          <cell r="AA183">
            <v>5.798</v>
          </cell>
          <cell r="AB183" t="e">
            <v>#N/A</v>
          </cell>
          <cell r="AC183" t="e">
            <v>#N/A</v>
          </cell>
          <cell r="AD183" t="str">
            <v>0826-31</v>
          </cell>
          <cell r="AE183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84">
          <cell r="A184" t="str">
            <v>827-31</v>
          </cell>
          <cell r="B184">
            <v>4031</v>
          </cell>
          <cell r="C184" t="str">
            <v>DE.1.0.7.0</v>
          </cell>
          <cell r="D184" t="str">
            <v>204:988</v>
          </cell>
          <cell r="E184">
            <v>42613.656331018516</v>
          </cell>
          <cell r="F184">
            <v>42613.660613425927</v>
          </cell>
          <cell r="G184">
            <v>1</v>
          </cell>
          <cell r="H184" t="str">
            <v>300:58986</v>
          </cell>
          <cell r="I184">
            <v>42613.671944444446</v>
          </cell>
          <cell r="J184">
            <v>0</v>
          </cell>
          <cell r="K184" t="str">
            <v>4031/4032</v>
          </cell>
          <cell r="L184" t="str">
            <v>HILLS</v>
          </cell>
          <cell r="M184">
            <v>1.1331018518831115E-2</v>
          </cell>
          <cell r="N184">
            <v>16.316666667116806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https://search-rtdc-monitor-bjffxe2xuh6vdkpspy63sjmuny.us-east-1.es.amazonaws.com/_plugin/kibana/#/discover/Steve-Slow-Train-Analysis-(2080s-and-2083s)?_g=(refreshInterval:(display:Off,section:0,value:0),time:(from:'2016-08-31 14:45:07-0600',mode:absolute,to:'2016-08-31 17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84" t="str">
            <v>N</v>
          </cell>
          <cell r="X184">
            <v>1</v>
          </cell>
          <cell r="Y184">
            <v>9.8799999999999999E-2</v>
          </cell>
          <cell r="Z184">
            <v>5.8986000000000001</v>
          </cell>
          <cell r="AA184">
            <v>5.7998000000000003</v>
          </cell>
          <cell r="AB184" t="e">
            <v>#N/A</v>
          </cell>
          <cell r="AC184" t="e">
            <v>#N/A</v>
          </cell>
          <cell r="AD184" t="str">
            <v>0827-31</v>
          </cell>
          <cell r="AE184" t="str">
    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    </cell>
        </row>
        <row r="185">
          <cell r="A185" t="str">
            <v>828-31</v>
          </cell>
          <cell r="B185">
            <v>4032</v>
          </cell>
          <cell r="C185" t="str">
            <v>DE.1.0.7.0</v>
          </cell>
          <cell r="D185" t="str">
            <v>300:58670</v>
          </cell>
          <cell r="E185">
            <v>42613.673125000001</v>
          </cell>
          <cell r="F185">
            <v>42613.674583333333</v>
          </cell>
          <cell r="G185">
            <v>1</v>
          </cell>
          <cell r="H185" t="str">
            <v>204:657</v>
          </cell>
          <cell r="I185">
            <v>42613.685115740744</v>
          </cell>
          <cell r="J185">
            <v>0</v>
          </cell>
          <cell r="K185" t="str">
            <v>4031/4032</v>
          </cell>
          <cell r="L185" t="str">
            <v>HILLS</v>
          </cell>
          <cell r="M185">
            <v>1.0532407410209998E-2</v>
          </cell>
          <cell r="N185">
            <v>15.166666670702398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https://search-rtdc-monitor-bjffxe2xuh6vdkpspy63sjmuny.us-east-1.es.amazonaws.com/_plugin/kibana/#/discover/Steve-Slow-Train-Analysis-(2080s-and-2083s)?_g=(refreshInterval:(display:Off,section:0,value:0),time:(from:'2016-08-31 15:09:18-0600',mode:absolute,to:'2016-08-31 17:26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85" t="str">
            <v>N</v>
          </cell>
          <cell r="X185">
            <v>1</v>
          </cell>
          <cell r="Y185">
            <v>5.867</v>
          </cell>
          <cell r="Z185">
            <v>6.5699999999999995E-2</v>
          </cell>
          <cell r="AA185">
            <v>5.8013000000000003</v>
          </cell>
          <cell r="AB185" t="e">
            <v>#N/A</v>
          </cell>
          <cell r="AC185" t="e">
            <v>#N/A</v>
          </cell>
          <cell r="AD185" t="str">
            <v>0828-31</v>
          </cell>
          <cell r="AE185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186">
          <cell r="A186" t="str">
            <v>829-31</v>
          </cell>
          <cell r="B186">
            <v>4007</v>
          </cell>
          <cell r="C186" t="str">
            <v>DE.1.0.7.0</v>
          </cell>
          <cell r="D186" t="str">
            <v>204:983</v>
          </cell>
          <cell r="E186">
            <v>42613.676840277774</v>
          </cell>
          <cell r="F186">
            <v>42613.681875000002</v>
          </cell>
          <cell r="G186">
            <v>1</v>
          </cell>
          <cell r="H186" t="str">
            <v>300:59007</v>
          </cell>
          <cell r="I186">
            <v>42613.691793981481</v>
          </cell>
          <cell r="J186">
            <v>0</v>
          </cell>
          <cell r="K186" t="str">
            <v>4007/4008</v>
          </cell>
          <cell r="L186" t="str">
            <v>MOSES</v>
          </cell>
          <cell r="M186">
            <v>9.9189814791316167E-3</v>
          </cell>
          <cell r="N186">
            <v>14.283333329949528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https://search-rtdc-monitor-bjffxe2xuh6vdkpspy63sjmuny.us-east-1.es.amazonaws.com/_plugin/kibana/#/discover/Steve-Slow-Train-Analysis-(2080s-and-2083s)?_g=(refreshInterval:(display:Off,section:0,value:0),time:(from:'2016-08-31 15:14:39-0600',mode:absolute,to:'2016-08-31 17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86" t="str">
            <v>N</v>
          </cell>
          <cell r="X186">
            <v>1</v>
          </cell>
          <cell r="Y186">
            <v>9.8299999999999998E-2</v>
          </cell>
          <cell r="Z186">
            <v>5.9006999999999996</v>
          </cell>
          <cell r="AA186">
            <v>5.8023999999999996</v>
          </cell>
          <cell r="AB186" t="e">
            <v>#N/A</v>
          </cell>
          <cell r="AC186" t="e">
            <v>#N/A</v>
          </cell>
          <cell r="AD186" t="str">
            <v>0829-31</v>
          </cell>
          <cell r="AE186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87">
          <cell r="A187" t="str">
            <v>830-31</v>
          </cell>
          <cell r="B187">
            <v>4008</v>
          </cell>
          <cell r="C187" t="str">
            <v>DE.1.0.7.0</v>
          </cell>
          <cell r="D187" t="str">
            <v>300:58694</v>
          </cell>
          <cell r="E187">
            <v>42613.692939814813</v>
          </cell>
          <cell r="F187">
            <v>42613.694664351853</v>
          </cell>
          <cell r="G187">
            <v>1</v>
          </cell>
          <cell r="H187" t="str">
            <v>204:670</v>
          </cell>
          <cell r="I187">
            <v>42613.706134259257</v>
          </cell>
          <cell r="J187">
            <v>0</v>
          </cell>
          <cell r="K187" t="str">
            <v>4007/4008</v>
          </cell>
          <cell r="L187" t="str">
            <v>MOSES</v>
          </cell>
          <cell r="M187">
            <v>1.1469907403807156E-2</v>
          </cell>
          <cell r="N187">
            <v>16.516666661482304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https://search-rtdc-monitor-bjffxe2xuh6vdkpspy63sjmuny.us-east-1.es.amazonaws.com/_plugin/kibana/#/discover/Steve-Slow-Train-Analysis-(2080s-and-2083s)?_g=(refreshInterval:(display:Off,section:0,value:0),time:(from:'2016-08-31 15:37:50-0600',mode:absolute,to:'2016-08-31 17:56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87" t="str">
            <v>N</v>
          </cell>
          <cell r="X187">
            <v>1</v>
          </cell>
          <cell r="Y187">
            <v>5.8693999999999997</v>
          </cell>
          <cell r="Z187">
            <v>6.7000000000000004E-2</v>
          </cell>
          <cell r="AA187">
            <v>5.8023999999999996</v>
          </cell>
          <cell r="AB187" t="e">
            <v>#N/A</v>
          </cell>
          <cell r="AC187" t="e">
            <v>#N/A</v>
          </cell>
          <cell r="AD187" t="str">
            <v>0830-31</v>
          </cell>
          <cell r="AE187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88">
          <cell r="A188" t="str">
            <v>831-31</v>
          </cell>
          <cell r="B188">
            <v>4031</v>
          </cell>
          <cell r="C188" t="str">
            <v>DE.1.0.7.0</v>
          </cell>
          <cell r="D188" t="str">
            <v>204:950</v>
          </cell>
          <cell r="E188">
            <v>42613.690868055557</v>
          </cell>
          <cell r="F188">
            <v>42613.702256944445</v>
          </cell>
          <cell r="G188">
            <v>1</v>
          </cell>
          <cell r="H188" t="str">
            <v>300:58958</v>
          </cell>
          <cell r="I188">
            <v>42613.712731481479</v>
          </cell>
          <cell r="J188">
            <v>0</v>
          </cell>
          <cell r="K188" t="str">
            <v>4031/4032</v>
          </cell>
          <cell r="L188" t="str">
            <v>HILLS</v>
          </cell>
          <cell r="M188">
            <v>1.0474537033587694E-2</v>
          </cell>
          <cell r="N188">
            <v>15.08333332836628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https://search-rtdc-monitor-bjffxe2xuh6vdkpspy63sjmuny.us-east-1.es.amazonaws.com/_plugin/kibana/#/discover/Steve-Slow-Train-Analysis-(2080s-and-2083s)?_g=(refreshInterval:(display:Off,section:0,value:0),time:(from:'2016-08-31 15:34:51-0600',mode:absolute,to:'2016-08-31 18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88" t="str">
            <v>N</v>
          </cell>
          <cell r="X188">
            <v>1</v>
          </cell>
          <cell r="Y188">
            <v>9.5000000000000001E-2</v>
          </cell>
          <cell r="Z188">
            <v>5.8958000000000004</v>
          </cell>
          <cell r="AA188">
            <v>5.8008000000000006</v>
          </cell>
          <cell r="AB188" t="e">
            <v>#N/A</v>
          </cell>
          <cell r="AC188" t="e">
            <v>#N/A</v>
          </cell>
          <cell r="AD188" t="str">
            <v>0831-31</v>
          </cell>
          <cell r="AE188" t="str">
    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    </cell>
        </row>
        <row r="189">
          <cell r="A189" t="str">
            <v>832-31</v>
          </cell>
          <cell r="B189">
            <v>4032</v>
          </cell>
          <cell r="C189" t="str">
            <v>DE.1.0.7.0</v>
          </cell>
          <cell r="D189" t="str">
            <v>300:58655</v>
          </cell>
          <cell r="E189">
            <v>42613.713969907411</v>
          </cell>
          <cell r="F189">
            <v>42613.715902777774</v>
          </cell>
          <cell r="G189">
            <v>1</v>
          </cell>
          <cell r="H189" t="str">
            <v>204:694</v>
          </cell>
          <cell r="I189">
            <v>42613.727222222224</v>
          </cell>
          <cell r="J189">
            <v>0</v>
          </cell>
          <cell r="K189" t="str">
            <v>4031/4032</v>
          </cell>
          <cell r="L189" t="str">
            <v>HILLS</v>
          </cell>
          <cell r="M189">
            <v>1.131944444932742E-2</v>
          </cell>
          <cell r="N189">
            <v>16.300000007031485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https://search-rtdc-monitor-bjffxe2xuh6vdkpspy63sjmuny.us-east-1.es.amazonaws.com/_plugin/kibana/#/discover/Steve-Slow-Train-Analysis-(2080s-and-2083s)?_g=(refreshInterval:(display:Off,section:0,value:0),time:(from:'2016-08-31 16:08:07-0600',mode:absolute,to:'2016-08-31 18:27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89" t="str">
            <v>N</v>
          </cell>
          <cell r="X189">
            <v>1</v>
          </cell>
          <cell r="Y189">
            <v>5.8654999999999999</v>
          </cell>
          <cell r="Z189">
            <v>6.9400000000000003E-2</v>
          </cell>
          <cell r="AA189">
            <v>5.7961</v>
          </cell>
          <cell r="AB189" t="e">
            <v>#N/A</v>
          </cell>
          <cell r="AC189" t="e">
            <v>#N/A</v>
          </cell>
          <cell r="AD189" t="str">
            <v>0832-31</v>
          </cell>
          <cell r="AE189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190">
          <cell r="A190" t="str">
            <v>833-31</v>
          </cell>
          <cell r="B190">
            <v>4007</v>
          </cell>
          <cell r="C190" t="str">
            <v>DE.1.0.7.0</v>
          </cell>
          <cell r="D190" t="str">
            <v>204:948</v>
          </cell>
          <cell r="E190">
            <v>42613.719236111108</v>
          </cell>
          <cell r="F190">
            <v>42613.723356481481</v>
          </cell>
          <cell r="G190">
            <v>1</v>
          </cell>
          <cell r="H190" t="str">
            <v>300:58918</v>
          </cell>
          <cell r="I190">
            <v>42613.732870370368</v>
          </cell>
          <cell r="J190">
            <v>0</v>
          </cell>
          <cell r="K190" t="str">
            <v>4007/4008</v>
          </cell>
          <cell r="L190" t="str">
            <v>MOSES</v>
          </cell>
          <cell r="M190">
            <v>9.5138888864312321E-3</v>
          </cell>
          <cell r="N190">
            <v>13.699999996460974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https://search-rtdc-monitor-bjffxe2xuh6vdkpspy63sjmuny.us-east-1.es.amazonaws.com/_plugin/kibana/#/discover/Steve-Slow-Train-Analysis-(2080s-and-2083s)?_g=(refreshInterval:(display:Off,section:0,value:0),time:(from:'2016-08-31 16:15:42-0600',mode:absolute,to:'2016-08-31 18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0" t="str">
            <v>N</v>
          </cell>
          <cell r="X190">
            <v>1</v>
          </cell>
          <cell r="Y190">
            <v>9.4799999999999995E-2</v>
          </cell>
          <cell r="Z190">
            <v>5.8917999999999999</v>
          </cell>
          <cell r="AA190">
            <v>5.7969999999999997</v>
          </cell>
          <cell r="AB190" t="e">
            <v>#N/A</v>
          </cell>
          <cell r="AC190" t="e">
            <v>#N/A</v>
          </cell>
          <cell r="AD190" t="str">
            <v>0833-31</v>
          </cell>
          <cell r="AE190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91">
          <cell r="A191" t="str">
            <v>834-31</v>
          </cell>
          <cell r="B191">
            <v>4008</v>
          </cell>
          <cell r="C191" t="str">
            <v>DE.1.0.7.0</v>
          </cell>
          <cell r="D191" t="str">
            <v>300:58606</v>
          </cell>
          <cell r="E191">
            <v>42613.733935185184</v>
          </cell>
          <cell r="F191">
            <v>42613.735810185186</v>
          </cell>
          <cell r="G191">
            <v>1</v>
          </cell>
          <cell r="H191" t="str">
            <v>204:633</v>
          </cell>
          <cell r="I191">
            <v>42613.748379629629</v>
          </cell>
          <cell r="J191">
            <v>0</v>
          </cell>
          <cell r="K191" t="str">
            <v>4007/4008</v>
          </cell>
          <cell r="L191" t="str">
            <v>MOSES</v>
          </cell>
          <cell r="M191">
            <v>1.2569444443215616E-2</v>
          </cell>
          <cell r="N191">
            <v>18.099999998230487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https://search-rtdc-monitor-bjffxe2xuh6vdkpspy63sjmuny.us-east-1.es.amazonaws.com/_plugin/kibana/#/discover/Steve-Slow-Train-Analysis-(2080s-and-2083s)?_g=(refreshInterval:(display:Off,section:0,value:0),time:(from:'2016-08-31 16:36:52-0600',mode:absolute,to:'2016-08-31 18:57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1" t="str">
            <v>N</v>
          </cell>
          <cell r="X191">
            <v>1</v>
          </cell>
          <cell r="Y191">
            <v>5.8605999999999998</v>
          </cell>
          <cell r="Z191">
            <v>6.3299999999999995E-2</v>
          </cell>
          <cell r="AA191">
            <v>5.7972999999999999</v>
          </cell>
          <cell r="AB191" t="e">
            <v>#N/A</v>
          </cell>
          <cell r="AC191" t="e">
            <v>#N/A</v>
          </cell>
          <cell r="AD191" t="str">
            <v>0834-31</v>
          </cell>
          <cell r="AE191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92">
          <cell r="A192" t="str">
            <v>835-31</v>
          </cell>
          <cell r="B192">
            <v>4031</v>
          </cell>
          <cell r="C192" t="str">
            <v>DE.1.0.7.0</v>
          </cell>
          <cell r="D192" t="str">
            <v>204:983</v>
          </cell>
          <cell r="E192">
            <v>42613.739444444444</v>
          </cell>
          <cell r="F192">
            <v>42613.743993055556</v>
          </cell>
          <cell r="G192">
            <v>1</v>
          </cell>
          <cell r="H192" t="str">
            <v>300:58980</v>
          </cell>
          <cell r="I192">
            <v>42613.754201388889</v>
          </cell>
          <cell r="J192">
            <v>0</v>
          </cell>
          <cell r="K192" t="str">
            <v>4031/4032</v>
          </cell>
          <cell r="L192" t="str">
            <v>HILLS</v>
          </cell>
          <cell r="M192">
            <v>1.0208333333139308E-2</v>
          </cell>
          <cell r="N192">
            <v>14.699999999720603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https://search-rtdc-monitor-bjffxe2xuh6vdkpspy63sjmuny.us-east-1.es.amazonaws.com/_plugin/kibana/#/discover/Steve-Slow-Train-Analysis-(2080s-and-2083s)?_g=(refreshInterval:(display:Off,section:0,value:0),time:(from:'2016-08-31 16:44:48-0600',mode:absolute,to:'2016-08-31 19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92" t="str">
            <v>N</v>
          </cell>
          <cell r="X192">
            <v>1</v>
          </cell>
          <cell r="Y192">
            <v>9.8299999999999998E-2</v>
          </cell>
          <cell r="Z192">
            <v>5.8979999999999997</v>
          </cell>
          <cell r="AA192">
            <v>5.7996999999999996</v>
          </cell>
          <cell r="AB192" t="e">
            <v>#N/A</v>
          </cell>
          <cell r="AC192" t="e">
            <v>#N/A</v>
          </cell>
          <cell r="AD192" t="str">
            <v>0835-31</v>
          </cell>
          <cell r="AE192" t="str">
    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    </cell>
        </row>
        <row r="193">
          <cell r="A193" t="str">
            <v>836-31</v>
          </cell>
          <cell r="B193">
            <v>4032</v>
          </cell>
          <cell r="C193" t="str">
            <v>DE.1.0.7.0</v>
          </cell>
          <cell r="D193" t="str">
            <v>300:58658</v>
          </cell>
          <cell r="E193">
            <v>42613.755439814813</v>
          </cell>
          <cell r="F193">
            <v>42613.757199074076</v>
          </cell>
          <cell r="G193">
            <v>1</v>
          </cell>
          <cell r="H193" t="str">
            <v>204:713</v>
          </cell>
          <cell r="I193">
            <v>42613.769259259258</v>
          </cell>
          <cell r="J193">
            <v>0</v>
          </cell>
          <cell r="K193" t="str">
            <v>4031/4032</v>
          </cell>
          <cell r="L193" t="str">
            <v>HILLS</v>
          </cell>
          <cell r="M193">
            <v>1.2060185181326233E-2</v>
          </cell>
          <cell r="N193">
            <v>17.366666661109775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https://search-rtdc-monitor-bjffxe2xuh6vdkpspy63sjmuny.us-east-1.es.amazonaws.com/_plugin/kibana/#/discover/Steve-Slow-Train-Analysis-(2080s-and-2083s)?_g=(refreshInterval:(display:Off,section:0,value:0),time:(from:'2016-08-31 17:07:50-0600',mode:absolute,to:'2016-08-31 19:27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93" t="str">
            <v>N</v>
          </cell>
          <cell r="X193">
            <v>1</v>
          </cell>
          <cell r="Y193">
            <v>5.8658000000000001</v>
          </cell>
          <cell r="Z193">
            <v>7.1300000000000002E-2</v>
          </cell>
          <cell r="AA193">
            <v>5.7945000000000002</v>
          </cell>
          <cell r="AB193" t="e">
            <v>#N/A</v>
          </cell>
          <cell r="AC193" t="e">
            <v>#N/A</v>
          </cell>
          <cell r="AD193" t="str">
            <v>0836-31</v>
          </cell>
          <cell r="AE193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194">
          <cell r="A194" t="str">
            <v>837-31</v>
          </cell>
          <cell r="B194">
            <v>4007</v>
          </cell>
          <cell r="C194" t="str">
            <v>DE.1.0.7.0</v>
          </cell>
          <cell r="D194" t="str">
            <v>204:927</v>
          </cell>
          <cell r="E194">
            <v>42613.763749999998</v>
          </cell>
          <cell r="F194">
            <v>42613.765023148146</v>
          </cell>
          <cell r="G194">
            <v>1</v>
          </cell>
          <cell r="H194" t="str">
            <v>300:58992</v>
          </cell>
          <cell r="I194">
            <v>42613.774861111109</v>
          </cell>
          <cell r="J194">
            <v>0</v>
          </cell>
          <cell r="K194" t="str">
            <v>4007/4008</v>
          </cell>
          <cell r="L194" t="str">
            <v>MOSES</v>
          </cell>
          <cell r="M194">
            <v>9.8379629635019228E-3</v>
          </cell>
          <cell r="N194">
            <v>14.166666667442769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https://search-rtdc-monitor-bjffxe2xuh6vdkpspy63sjmuny.us-east-1.es.amazonaws.com/_plugin/kibana/#/discover/Steve-Slow-Train-Analysis-(2080s-and-2083s)?_g=(refreshInterval:(display:Off,section:0,value:0),time:(from:'2016-08-31 17:19:48-0600',mode:absolute,to:'2016-08-31 19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4" t="str">
            <v>N</v>
          </cell>
          <cell r="X194">
            <v>1</v>
          </cell>
          <cell r="Y194">
            <v>9.2700000000000005E-2</v>
          </cell>
          <cell r="Z194">
            <v>5.8992000000000004</v>
          </cell>
          <cell r="AA194">
            <v>5.8065000000000007</v>
          </cell>
          <cell r="AB194" t="e">
            <v>#N/A</v>
          </cell>
          <cell r="AC194" t="e">
            <v>#N/A</v>
          </cell>
          <cell r="AD194" t="str">
            <v>0837-31</v>
          </cell>
          <cell r="AE194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95">
          <cell r="A195" t="str">
            <v>838-31</v>
          </cell>
          <cell r="B195">
            <v>4008</v>
          </cell>
          <cell r="C195" t="str">
            <v>DE.1.0.7.0</v>
          </cell>
          <cell r="D195" t="str">
            <v>300:58675</v>
          </cell>
          <cell r="E195">
            <v>42613.776886574073</v>
          </cell>
          <cell r="F195">
            <v>42613.778414351851</v>
          </cell>
          <cell r="G195">
            <v>1</v>
          </cell>
          <cell r="H195" t="str">
            <v>204:649</v>
          </cell>
          <cell r="I195">
            <v>42613.789074074077</v>
          </cell>
          <cell r="J195">
            <v>0</v>
          </cell>
          <cell r="K195" t="str">
            <v>4007/4008</v>
          </cell>
          <cell r="L195" t="str">
            <v>MOSES</v>
          </cell>
          <cell r="M195">
            <v>1.0659722225682344E-2</v>
          </cell>
          <cell r="N195">
            <v>15.350000004982576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https://search-rtdc-monitor-bjffxe2xuh6vdkpspy63sjmuny.us-east-1.es.amazonaws.com/_plugin/kibana/#/discover/Steve-Slow-Train-Analysis-(2080s-and-2083s)?_g=(refreshInterval:(display:Off,section:0,value:0),time:(from:'2016-08-31 17:38:43-0600',mode:absolute,to:'2016-08-31 19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5" t="str">
            <v>N</v>
          </cell>
          <cell r="X195">
            <v>1</v>
          </cell>
          <cell r="Y195">
            <v>5.8674999999999997</v>
          </cell>
          <cell r="Z195">
            <v>6.4899999999999999E-2</v>
          </cell>
          <cell r="AA195">
            <v>5.8026</v>
          </cell>
          <cell r="AB195" t="e">
            <v>#N/A</v>
          </cell>
          <cell r="AC195" t="e">
            <v>#N/A</v>
          </cell>
          <cell r="AD195" t="str">
            <v>0838-31</v>
          </cell>
          <cell r="AE195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96">
          <cell r="A196" t="str">
            <v>839-31</v>
          </cell>
          <cell r="B196">
            <v>4031</v>
          </cell>
          <cell r="C196" t="str">
            <v>DE.1.0.7.0</v>
          </cell>
          <cell r="D196" t="str">
            <v>204:1002</v>
          </cell>
          <cell r="E196">
            <v>42613.782604166663</v>
          </cell>
          <cell r="F196">
            <v>42613.785694444443</v>
          </cell>
          <cell r="G196">
            <v>1</v>
          </cell>
          <cell r="H196" t="str">
            <v>300:58969</v>
          </cell>
          <cell r="I196">
            <v>42613.796319444446</v>
          </cell>
          <cell r="J196">
            <v>0</v>
          </cell>
          <cell r="K196" t="str">
            <v>4031/4032</v>
          </cell>
          <cell r="L196" t="str">
            <v>HILLS</v>
          </cell>
          <cell r="M196">
            <v>1.0625000002619345E-2</v>
          </cell>
          <cell r="N196">
            <v>15.300000003771856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https://search-rtdc-monitor-bjffxe2xuh6vdkpspy63sjmuny.us-east-1.es.amazonaws.com/_plugin/kibana/#/discover/Steve-Slow-Train-Analysis-(2080s-and-2083s)?_g=(refreshInterval:(display:Off,section:0,value:0),time:(from:'2016-08-31 17:46:57-0600',mode:absolute,to:'2016-08-31 20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96" t="str">
            <v>N</v>
          </cell>
          <cell r="X196">
            <v>1</v>
          </cell>
          <cell r="Y196">
            <v>0.1002</v>
          </cell>
          <cell r="Z196">
            <v>5.8968999999999996</v>
          </cell>
          <cell r="AA196">
            <v>5.7966999999999995</v>
          </cell>
          <cell r="AB196" t="e">
            <v>#N/A</v>
          </cell>
          <cell r="AC196" t="e">
            <v>#N/A</v>
          </cell>
          <cell r="AD196" t="str">
            <v>0839-31</v>
          </cell>
          <cell r="AE196" t="str">
    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    </cell>
        </row>
        <row r="197">
          <cell r="A197" t="str">
            <v>840-31</v>
          </cell>
          <cell r="B197">
            <v>4008</v>
          </cell>
          <cell r="C197" t="str">
            <v>DE.1.0.7.0</v>
          </cell>
          <cell r="D197" t="str">
            <v>300:58685</v>
          </cell>
          <cell r="E197">
            <v>42613.818124999998</v>
          </cell>
          <cell r="F197">
            <v>42613.819571759261</v>
          </cell>
          <cell r="G197">
            <v>1</v>
          </cell>
          <cell r="H197" t="str">
            <v>204:673</v>
          </cell>
          <cell r="I197">
            <v>42613.830810185187</v>
          </cell>
          <cell r="J197">
            <v>0</v>
          </cell>
          <cell r="K197" t="str">
            <v>4007/4008</v>
          </cell>
          <cell r="L197" t="str">
            <v>MOSES</v>
          </cell>
          <cell r="M197">
            <v>1.1238425926421769E-2</v>
          </cell>
          <cell r="N197">
            <v>16.183333334047347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https://search-rtdc-monitor-bjffxe2xuh6vdkpspy63sjmuny.us-east-1.es.amazonaws.com/_plugin/kibana/#/discover/Steve-Slow-Train-Analysis-(2080s-and-2083s)?_g=(refreshInterval:(display:Off,section:0,value:0),time:(from:'2016-08-31 18:38:06-0600',mode:absolute,to:'2016-08-31 20:56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7" t="str">
            <v>N</v>
          </cell>
          <cell r="X197">
            <v>1</v>
          </cell>
          <cell r="Y197">
            <v>5.8685</v>
          </cell>
          <cell r="Z197">
            <v>6.7299999999999999E-2</v>
          </cell>
          <cell r="AA197">
            <v>5.8011999999999997</v>
          </cell>
          <cell r="AB197" t="e">
            <v>#N/A</v>
          </cell>
          <cell r="AC197" t="e">
            <v>#N/A</v>
          </cell>
          <cell r="AD197" t="str">
            <v>0840-31</v>
          </cell>
          <cell r="AE197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198">
          <cell r="A198" t="str">
            <v>841-31</v>
          </cell>
          <cell r="B198">
            <v>4007</v>
          </cell>
          <cell r="C198" t="str">
            <v>DE.1.0.7.0</v>
          </cell>
          <cell r="D198" t="str">
            <v>204:939</v>
          </cell>
          <cell r="E198">
            <v>42613.801365740743</v>
          </cell>
          <cell r="F198">
            <v>42613.806458333333</v>
          </cell>
          <cell r="G198">
            <v>1</v>
          </cell>
          <cell r="H198" t="str">
            <v>300:59003</v>
          </cell>
          <cell r="I198">
            <v>42613.816400462965</v>
          </cell>
          <cell r="J198">
            <v>0</v>
          </cell>
          <cell r="K198" t="str">
            <v>4007/4008</v>
          </cell>
          <cell r="L198" t="str">
            <v>MOSES</v>
          </cell>
          <cell r="M198">
            <v>9.9421296326909214E-3</v>
          </cell>
          <cell r="N198">
            <v>14.316666671074927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https://search-rtdc-monitor-bjffxe2xuh6vdkpspy63sjmuny.us-east-1.es.amazonaws.com/_plugin/kibana/#/discover/Steve-Slow-Train-Analysis-(2080s-and-2083s)?_g=(refreshInterval:(display:Off,section:0,value:0),time:(from:'2016-08-31 18:13:58-0600',mode:absolute,to:'2016-08-31 20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8" t="str">
            <v>N</v>
          </cell>
          <cell r="X198">
            <v>1</v>
          </cell>
          <cell r="Y198">
            <v>9.3899999999999997E-2</v>
          </cell>
          <cell r="Z198">
            <v>5.9002999999999997</v>
          </cell>
          <cell r="AA198">
            <v>5.8064</v>
          </cell>
          <cell r="AB198" t="e">
            <v>#N/A</v>
          </cell>
          <cell r="AC198" t="e">
            <v>#N/A</v>
          </cell>
          <cell r="AD198" t="str">
            <v>0841-31</v>
          </cell>
          <cell r="AE198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199">
          <cell r="A199" t="str">
            <v>842-31</v>
          </cell>
          <cell r="B199">
            <v>4008</v>
          </cell>
          <cell r="C199" t="str">
            <v>DE.1.0.7.0</v>
          </cell>
          <cell r="D199" t="str">
            <v>300:58662</v>
          </cell>
          <cell r="E199">
            <v>42613.86277777778</v>
          </cell>
          <cell r="F199">
            <v>42613.864085648151</v>
          </cell>
          <cell r="G199">
            <v>1</v>
          </cell>
          <cell r="H199" t="str">
            <v>204:661</v>
          </cell>
          <cell r="I199">
            <v>42613.873576388891</v>
          </cell>
          <cell r="J199">
            <v>0</v>
          </cell>
          <cell r="K199" t="str">
            <v>4007/4008</v>
          </cell>
          <cell r="L199" t="str">
            <v>MOSES</v>
          </cell>
          <cell r="M199">
            <v>9.4907407401478849E-3</v>
          </cell>
          <cell r="N199">
            <v>13.666666665812954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https://search-rtdc-monitor-bjffxe2xuh6vdkpspy63sjmuny.us-east-1.es.amazonaws.com/_plugin/kibana/#/discover/Steve-Slow-Train-Analysis-(2080s-and-2083s)?_g=(refreshInterval:(display:Off,section:0,value:0),time:(from:'2016-08-31 19:42:24-0600',mode:absolute,to:'2016-08-31 21:57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9" t="str">
            <v>N</v>
          </cell>
          <cell r="X199">
            <v>1</v>
          </cell>
          <cell r="Y199">
            <v>5.8662000000000001</v>
          </cell>
          <cell r="Z199">
            <v>6.6100000000000006E-2</v>
          </cell>
          <cell r="AA199">
            <v>5.8001000000000005</v>
          </cell>
          <cell r="AB199" t="e">
            <v>#N/A</v>
          </cell>
          <cell r="AC199" t="e">
            <v>#N/A</v>
          </cell>
          <cell r="AD199" t="str">
            <v>0842-31</v>
          </cell>
          <cell r="AE199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200">
          <cell r="A200" t="str">
            <v>843-31</v>
          </cell>
          <cell r="B200">
            <v>4007</v>
          </cell>
          <cell r="C200" t="str">
            <v>DE.1.0.7.0</v>
          </cell>
          <cell r="D200" t="str">
            <v>204:953</v>
          </cell>
          <cell r="E200">
            <v>42613.844837962963</v>
          </cell>
          <cell r="F200">
            <v>42613.889791666668</v>
          </cell>
          <cell r="G200">
            <v>1</v>
          </cell>
          <cell r="H200" t="str">
            <v>300:58995</v>
          </cell>
          <cell r="I200">
            <v>42613.899895833332</v>
          </cell>
          <cell r="J200">
            <v>0</v>
          </cell>
          <cell r="K200" t="str">
            <v>4007/4008</v>
          </cell>
          <cell r="L200" t="str">
            <v>MOSES</v>
          </cell>
          <cell r="M200">
            <v>1.0104166663950309E-2</v>
          </cell>
          <cell r="N200">
            <v>14.549999996088445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https://search-rtdc-monitor-bjffxe2xuh6vdkpspy63sjmuny.us-east-1.es.amazonaws.com/_plugin/kibana/#/discover/Steve-Slow-Train-Analysis-(2080s-and-2083s)?_g=(refreshInterval:(display:Off,section:0,value:0),time:(from:'2016-08-31 19:16:34-0600',mode:absolute,to:'2016-08-31 22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00" t="str">
            <v>N</v>
          </cell>
          <cell r="X200">
            <v>1</v>
          </cell>
          <cell r="Y200">
            <v>9.5299999999999996E-2</v>
          </cell>
          <cell r="Z200">
            <v>5.8994999999999997</v>
          </cell>
          <cell r="AA200">
            <v>5.8041999999999998</v>
          </cell>
          <cell r="AB200" t="e">
            <v>#N/A</v>
          </cell>
          <cell r="AC200" t="e">
            <v>#N/A</v>
          </cell>
          <cell r="AD200" t="str">
            <v>0843-31</v>
          </cell>
          <cell r="AE200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201">
          <cell r="A201" t="str">
            <v>844-31</v>
          </cell>
          <cell r="B201">
            <v>4008</v>
          </cell>
          <cell r="C201" t="str">
            <v>DE.1.0.7.0</v>
          </cell>
          <cell r="D201" t="str">
            <v>300:58649</v>
          </cell>
          <cell r="E201">
            <v>42613.900902777779</v>
          </cell>
          <cell r="F201">
            <v>42613.902812499997</v>
          </cell>
          <cell r="G201">
            <v>1</v>
          </cell>
          <cell r="H201" t="str">
            <v>204:675</v>
          </cell>
          <cell r="I201">
            <v>42613.913124999999</v>
          </cell>
          <cell r="J201">
            <v>0</v>
          </cell>
          <cell r="K201" t="str">
            <v>4007/4008</v>
          </cell>
          <cell r="L201" t="str">
            <v>HILLS</v>
          </cell>
          <cell r="M201">
            <v>1.0312500002328306E-2</v>
          </cell>
          <cell r="N201">
            <v>14.850000003352761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https://search-rtdc-monitor-bjffxe2xuh6vdkpspy63sjmuny.us-east-1.es.amazonaws.com/_plugin/kibana/#/discover/Steve-Slow-Train-Analysis-(2080s-and-2083s)?_g=(refreshInterval:(display:Off,section:0,value:0),time:(from:'2016-08-31 20:37:18-0600',mode:absolute,to:'2016-08-31 22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201" t="str">
            <v>N</v>
          </cell>
          <cell r="X201">
            <v>1</v>
          </cell>
          <cell r="Y201">
            <v>5.8648999999999996</v>
          </cell>
          <cell r="Z201">
            <v>6.7500000000000004E-2</v>
          </cell>
          <cell r="AA201">
            <v>5.7973999999999997</v>
          </cell>
          <cell r="AB201" t="e">
            <v>#N/A</v>
          </cell>
          <cell r="AC201" t="e">
            <v>#N/A</v>
          </cell>
          <cell r="AD201" t="str">
            <v>0844-31</v>
          </cell>
          <cell r="AE201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202">
          <cell r="A202" t="str">
            <v>845-31</v>
          </cell>
          <cell r="B202">
            <v>4007</v>
          </cell>
          <cell r="C202" t="str">
            <v>DE.1.0.7.0</v>
          </cell>
          <cell r="D202" t="str">
            <v>204:960</v>
          </cell>
          <cell r="E202">
            <v>42613.881284722222</v>
          </cell>
          <cell r="F202">
            <v>42613.889791666668</v>
          </cell>
          <cell r="G202">
            <v>1</v>
          </cell>
          <cell r="H202" t="str">
            <v>300:58956</v>
          </cell>
          <cell r="I202">
            <v>42613.899895833332</v>
          </cell>
          <cell r="J202">
            <v>0</v>
          </cell>
          <cell r="K202" t="str">
            <v>4007/4008</v>
          </cell>
          <cell r="L202" t="str">
            <v>HILLS</v>
          </cell>
          <cell r="M202">
            <v>1.0104166663950309E-2</v>
          </cell>
          <cell r="N202">
            <v>14.549999996088445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https://search-rtdc-monitor-bjffxe2xuh6vdkpspy63sjmuny.us-east-1.es.amazonaws.com/_plugin/kibana/#/discover/Steve-Slow-Train-Analysis-(2080s-and-2083s)?_g=(refreshInterval:(display:Off,section:0,value:0),time:(from:'2016-08-31 20:09:03-0600',mode:absolute,to:'2016-08-31 22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02" t="str">
            <v>N</v>
          </cell>
          <cell r="X202">
            <v>1</v>
          </cell>
          <cell r="Y202">
            <v>9.6000000000000002E-2</v>
          </cell>
          <cell r="Z202">
            <v>5.8956</v>
          </cell>
          <cell r="AA202">
            <v>5.7995999999999999</v>
          </cell>
          <cell r="AB202" t="e">
            <v>#N/A</v>
          </cell>
          <cell r="AC202" t="e">
            <v>#N/A</v>
          </cell>
          <cell r="AD202" t="str">
            <v>0845-31</v>
          </cell>
          <cell r="AE202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203">
          <cell r="A203" t="str">
            <v>847-31</v>
          </cell>
          <cell r="B203">
            <v>4007</v>
          </cell>
          <cell r="C203" t="str">
            <v>DE.1.0.7.0</v>
          </cell>
          <cell r="D203" t="str">
            <v>204:969</v>
          </cell>
          <cell r="E203">
            <v>42613.925335648149</v>
          </cell>
          <cell r="F203">
            <v>42613.931400462963</v>
          </cell>
          <cell r="G203">
            <v>1</v>
          </cell>
          <cell r="H203" t="str">
            <v>300:58986</v>
          </cell>
          <cell r="I203">
            <v>42613.941504629627</v>
          </cell>
          <cell r="J203">
            <v>0</v>
          </cell>
          <cell r="K203" t="str">
            <v>4007/4008</v>
          </cell>
          <cell r="L203" t="str">
            <v>HILLS</v>
          </cell>
          <cell r="M203">
            <v>1.0104166663950309E-2</v>
          </cell>
          <cell r="N203">
            <v>14.549999996088445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https://search-rtdc-monitor-bjffxe2xuh6vdkpspy63sjmuny.us-east-1.es.amazonaws.com/_plugin/kibana/#/discover/Steve-Slow-Train-Analysis-(2080s-and-2083s)?_g=(refreshInterval:(display:Off,section:0,value:0),time:(from:'2016-08-31 21:12:29-0600',mode:absolute,to:'2016-08-31 23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03" t="str">
            <v>N</v>
          </cell>
          <cell r="X203">
            <v>2</v>
          </cell>
          <cell r="Y203">
            <v>9.69E-2</v>
          </cell>
          <cell r="Z203">
            <v>5.8986000000000001</v>
          </cell>
          <cell r="AA203">
            <v>5.8017000000000003</v>
          </cell>
          <cell r="AB203" t="e">
            <v>#N/A</v>
          </cell>
          <cell r="AC203" t="e">
            <v>#N/A</v>
          </cell>
          <cell r="AD203" t="str">
            <v>0847-31</v>
          </cell>
          <cell r="AE203" t="str">
    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    </cell>
        </row>
        <row r="204">
          <cell r="A204" t="str">
            <v>303-31</v>
          </cell>
          <cell r="B204">
            <v>4014</v>
          </cell>
          <cell r="C204" t="str">
            <v>DE.1.0.7.0</v>
          </cell>
          <cell r="D204" t="str">
            <v>204:497</v>
          </cell>
          <cell r="E204">
            <v>42613.783541666664</v>
          </cell>
          <cell r="F204">
            <v>25568.958333333332</v>
          </cell>
          <cell r="G204">
            <v>1</v>
          </cell>
          <cell r="H204" t="str">
            <v>300:23306</v>
          </cell>
          <cell r="I204">
            <v>25568.958333333332</v>
          </cell>
          <cell r="J204">
            <v>0</v>
          </cell>
          <cell r="K204" t="str">
            <v>4013/4014</v>
          </cell>
          <cell r="L204" t="str">
            <v>MAHAN</v>
          </cell>
          <cell r="M204">
            <v>0</v>
          </cell>
          <cell r="N204">
            <v>0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https://search-rtdc-monitor-bjffxe2xuh6vdkpspy63sjmuny.us-east-1.es.amazonaws.com/_plugin/kibana/#/discover/Steve-Slow-Train-Analysis-(2080s-and-2083s)?_g=(refreshInterval:(display:Off,section:0,value:0),time:(from:'2016-08-31 17:48:18-0600',mode:absolute,to:'1970-01-01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04" t="str">
            <v>Y</v>
          </cell>
          <cell r="X204">
            <v>-544</v>
          </cell>
          <cell r="Y204">
            <v>4.9700000000000001E-2</v>
          </cell>
          <cell r="Z204">
            <v>2.3306</v>
          </cell>
          <cell r="AA204">
            <v>2.2808999999999999</v>
          </cell>
          <cell r="AB204" t="e">
            <v>#N/A</v>
          </cell>
          <cell r="AC204" t="e">
            <v>#N/A</v>
          </cell>
          <cell r="AD204" t="str">
            <v>0303-31</v>
          </cell>
          <cell r="AE204" t="str">
            <v>aws s3 cp s3://rtdc.mdm.uploadarchive/RTDC4014/1969-12-31/ "%USERPROFILE%\AppData\Local\Temp\OnboardLogs"\RTDC4014\1969-12-31 --recursive &amp; "%USERPROFILE%\Documents\GitHub\mrs-test-scripts\Headless Mode &amp; Sideloading\WalkAndUnGZ.bat" "%USERPROFILE%\AppData\Local\Temp\OnboardLogs"\RTDC4014\1969-12-31 &amp; aws s3 cp s3://rtdc.mdm.uploadarchive/RTDC4014/1970-01-01/ "%USERPROFILE%\AppData\Local\Temp\OnboardLogs"\RTDC4014\1970-01-01 --recursive &amp; "%USERPROFILE%\Documents\GitHub\mrs-test-scripts\Headless Mode &amp; Sideloading\WalkAndUnGZ.bat" "%USERPROFILE%\AppData\Local\Temp\OnboardLogs"\RTDC4014\1970-01-01</v>
          </cell>
        </row>
        <row r="205">
          <cell r="A205" t="str">
            <v>309-31</v>
          </cell>
          <cell r="B205">
            <v>4027</v>
          </cell>
          <cell r="C205" t="str">
            <v>DE.1.0.7.0</v>
          </cell>
          <cell r="D205" t="str">
            <v>204:475</v>
          </cell>
          <cell r="E205">
            <v>42614.02684027778</v>
          </cell>
          <cell r="F205">
            <v>42614.028773148151</v>
          </cell>
          <cell r="G205">
            <v>2</v>
          </cell>
          <cell r="H205" t="str">
            <v>300:22589</v>
          </cell>
          <cell r="I205">
            <v>42614.034780092596</v>
          </cell>
          <cell r="J205">
            <v>0</v>
          </cell>
          <cell r="K205" t="str">
            <v>4027/4028</v>
          </cell>
          <cell r="L205" t="str">
            <v>STURGEON</v>
          </cell>
          <cell r="M205">
            <v>6.0069444443797693E-3</v>
          </cell>
          <cell r="N205">
            <v>8.6499999999068677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https://search-rtdc-monitor-bjffxe2xuh6vdkpspy63sjmuny.us-east-1.es.amazonaws.com/_plugin/kibana/#/discover/Steve-Slow-Train-Analysis-(2080s-and-2083s)?_g=(refreshInterval:(display:Off,section:0,value:0),time:(from:'2016-08-31 23:38:39-0600',mode:absolute,to:'2016-09-01 01:50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205" t="str">
            <v>Y</v>
          </cell>
          <cell r="X205">
            <v>6</v>
          </cell>
          <cell r="Y205">
            <v>4.7500000000000001E-2</v>
          </cell>
          <cell r="Z205">
            <v>2.2589000000000001</v>
          </cell>
          <cell r="AA205">
            <v>2.2114000000000003</v>
          </cell>
          <cell r="AB205" t="e">
            <v>#N/A</v>
          </cell>
          <cell r="AC205" t="e">
            <v>#N/A</v>
          </cell>
          <cell r="AD205" t="str">
            <v>0309-31</v>
          </cell>
          <cell r="AE205" t="str">
            <v>aws s3 cp s3://rtdc.mdm.uploadarchive/RTDC4027/2016-09-01/ "%USERPROFILE%\AppData\Local\Temp\OnboardLogs"\RTDC4027\2016-09-01 --recursive &amp; "%USERPROFILE%\Documents\GitHub\mrs-test-scripts\Headless Mode &amp; Sideloading\WalkAndUnGZ.bat" "%USERPROFILE%\AppData\Local\Temp\OnboardLogs"\RTDC4027\2016-09-01 &amp; aws s3 cp s3://rtdc.mdm.uploadarchive/RTDC4027/2016-09-02/ "%USERPROFILE%\AppData\Local\Temp\OnboardLogs"\RTDC4027\2016-09-02 --recursive &amp; "%USERPROFILE%\Documents\GitHub\mrs-test-scripts\Headless Mode &amp; Sideloading\WalkAndUnGZ.bat" "%USERPROFILE%\AppData\Local\Temp\OnboardLogs"\RTDC4027\2016-09-02</v>
          </cell>
        </row>
        <row r="206">
          <cell r="A206" t="str">
            <v>311-31</v>
          </cell>
          <cell r="B206">
            <v>4029</v>
          </cell>
          <cell r="C206" t="str">
            <v>DE.1.0.7.0</v>
          </cell>
          <cell r="D206" t="str">
            <v>204:471</v>
          </cell>
          <cell r="E206">
            <v>42614.047129629631</v>
          </cell>
          <cell r="F206">
            <v>25568.958333333332</v>
          </cell>
          <cell r="G206">
            <v>1</v>
          </cell>
          <cell r="H206" t="str">
            <v>300:23301</v>
          </cell>
          <cell r="I206">
            <v>25568.958333333332</v>
          </cell>
          <cell r="J206">
            <v>0</v>
          </cell>
          <cell r="K206" t="str">
            <v>4029/4030</v>
          </cell>
          <cell r="L206" t="str">
            <v>YANAI</v>
          </cell>
          <cell r="M206">
            <v>0</v>
          </cell>
          <cell r="N206">
            <v>0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https://search-rtdc-monitor-bjffxe2xuh6vdkpspy63sjmuny.us-east-1.es.amazonaws.com/_plugin/kibana/#/discover/Steve-Slow-Train-Analysis-(2080s-and-2083s)?_g=(refreshInterval:(display:Off,section:0,value:0),time:(from:'2016-09-01 00:07:52-0600',mode:absolute,to:'1970-01-01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06" t="str">
            <v>Y</v>
          </cell>
          <cell r="X206">
            <v>2</v>
          </cell>
          <cell r="Y206">
            <v>4.7100000000000003E-2</v>
          </cell>
          <cell r="Z206">
            <v>2.3300999999999998</v>
          </cell>
          <cell r="AA206">
            <v>2.2829999999999999</v>
          </cell>
          <cell r="AB206" t="e">
            <v>#N/A</v>
          </cell>
          <cell r="AC206" t="e">
            <v>#N/A</v>
          </cell>
          <cell r="AD206" t="str">
            <v>0311-31</v>
          </cell>
          <cell r="AE206" t="str">
            <v>aws s3 cp s3://rtdc.mdm.uploadarchive/RTDC4029/1969-12-31/ "%USERPROFILE%\AppData\Local\Temp\OnboardLogs"\RTDC4029\1969-12-31 --recursive &amp; "%USERPROFILE%\Documents\GitHub\mrs-test-scripts\Headless Mode &amp; Sideloading\WalkAndUnGZ.bat" "%USERPROFILE%\AppData\Local\Temp\OnboardLogs"\RTDC4029\1969-12-31 &amp; aws s3 cp s3://rtdc.mdm.uploadarchive/RTDC4029/1970-01-01/ "%USERPROFILE%\AppData\Local\Temp\OnboardLogs"\RTDC4029\1970-01-01 --recursive &amp; "%USERPROFILE%\Documents\GitHub\mrs-test-scripts\Headless Mode &amp; Sideloading\WalkAndUnGZ.bat" "%USERPROFILE%\AppData\Local\Temp\OnboardLogs"\RTDC4029\1970-01-01</v>
          </cell>
        </row>
        <row r="207">
          <cell r="A207" t="str">
            <v>313-30</v>
          </cell>
          <cell r="B207">
            <v>4020</v>
          </cell>
          <cell r="C207" t="str">
            <v>DE.1.0.7.0</v>
          </cell>
          <cell r="D207" t="str">
            <v>300:23346</v>
          </cell>
          <cell r="E207">
            <v>42613.067743055559</v>
          </cell>
          <cell r="F207">
            <v>25568.958333333332</v>
          </cell>
          <cell r="G207">
            <v>11</v>
          </cell>
          <cell r="H207" t="str">
            <v>300:23346</v>
          </cell>
          <cell r="I207">
            <v>25568.958333333332</v>
          </cell>
          <cell r="J207">
            <v>0</v>
          </cell>
          <cell r="K207" t="str">
            <v>4019/4020</v>
          </cell>
          <cell r="L207" t="str">
            <v>YANAI</v>
          </cell>
          <cell r="M207">
            <v>0</v>
          </cell>
          <cell r="N207">
            <v>0</v>
          </cell>
          <cell r="S207">
            <v>0</v>
          </cell>
          <cell r="T207" t="str">
            <v>NorthBound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https://search-rtdc-monitor-bjffxe2xuh6vdkpspy63sjmuny.us-east-1.es.amazonaws.com/_plugin/kibana/#/discover/Steve-Slow-Train-Analysis-(2080s-and-2083s)?_g=(refreshInterval:(display:Off,section:0,value:0),time:(from:'2016-08-31 00:37:33-0600',mode:absolute,to:'1970-01-01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07" t="str">
            <v>Y</v>
          </cell>
          <cell r="X207">
            <v>2</v>
          </cell>
          <cell r="Y207">
            <v>2.3346</v>
          </cell>
          <cell r="Z207">
            <v>2.3346</v>
          </cell>
          <cell r="AA207">
            <v>0</v>
          </cell>
          <cell r="AB207" t="e">
            <v>#N/A</v>
          </cell>
          <cell r="AC207" t="e">
            <v>#N/A</v>
          </cell>
          <cell r="AD207" t="str">
            <v>0313-30</v>
          </cell>
          <cell r="AE207" t="str">
    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    </cell>
        </row>
        <row r="208">
          <cell r="A208" t="str">
            <v>313-31</v>
          </cell>
          <cell r="B208">
            <v>4002</v>
          </cell>
          <cell r="C208" t="str">
            <v>DE.1.0.7.0</v>
          </cell>
          <cell r="D208" t="str">
            <v>204:469</v>
          </cell>
          <cell r="E208">
            <v>42614.067685185182</v>
          </cell>
          <cell r="F208">
            <v>25568.958333333332</v>
          </cell>
          <cell r="G208">
            <v>1</v>
          </cell>
          <cell r="H208" t="str">
            <v>300:23056</v>
          </cell>
          <cell r="I208">
            <v>25568.958333333332</v>
          </cell>
          <cell r="J208">
            <v>0</v>
          </cell>
          <cell r="K208" t="str">
            <v>4001/4002</v>
          </cell>
          <cell r="L208" t="str">
            <v>STAMBAUGH</v>
          </cell>
          <cell r="M208">
            <v>0</v>
          </cell>
          <cell r="N208">
            <v>0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https://search-rtdc-monitor-bjffxe2xuh6vdkpspy63sjmuny.us-east-1.es.amazonaws.com/_plugin/kibana/#/discover/Steve-Slow-Train-Analysis-(2080s-and-2083s)?_g=(refreshInterval:(display:Off,section:0,value:0),time:(from:'2016-09-01 00:37:28-0600',mode:absolute,to:'1970-01-01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08" t="str">
            <v>Y</v>
          </cell>
          <cell r="X208">
            <v>0</v>
          </cell>
          <cell r="Y208">
            <v>4.6899999999999997E-2</v>
          </cell>
          <cell r="Z208">
            <v>2.3056000000000001</v>
          </cell>
          <cell r="AA208">
            <v>2.2587000000000002</v>
          </cell>
          <cell r="AB208" t="e">
            <v>#N/A</v>
          </cell>
          <cell r="AC208" t="e">
            <v>#N/A</v>
          </cell>
          <cell r="AD208" t="str">
            <v>0313-31</v>
          </cell>
          <cell r="AE208" t="str">
    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    </cell>
        </row>
        <row r="209">
          <cell r="A209" t="str">
            <v>315-30</v>
          </cell>
          <cell r="B209">
            <v>4018</v>
          </cell>
          <cell r="C209" t="str">
            <v>DE.1.0.7.0</v>
          </cell>
          <cell r="D209" t="str">
            <v>204:462</v>
          </cell>
          <cell r="E209">
            <v>42613.089872685188</v>
          </cell>
          <cell r="F209">
            <v>42613.091516203705</v>
          </cell>
          <cell r="G209">
            <v>1</v>
          </cell>
          <cell r="H209" t="str">
            <v>300:22877</v>
          </cell>
          <cell r="I209">
            <v>42613.097638888888</v>
          </cell>
          <cell r="J209">
            <v>0</v>
          </cell>
          <cell r="K209" t="str">
            <v>4017/4018</v>
          </cell>
          <cell r="L209" t="str">
            <v>CHANDLER</v>
          </cell>
          <cell r="M209">
            <v>6.1226851830724627E-3</v>
          </cell>
          <cell r="N209">
            <v>8.8166666636243463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https://search-rtdc-monitor-bjffxe2xuh6vdkpspy63sjmuny.us-east-1.es.amazonaws.com/_plugin/kibana/#/discover/Steve-Slow-Train-Analysis-(2080s-and-2083s)?_g=(refreshInterval:(display:Off,section:0,value:0),time:(from:'2016-08-31 01:09:25-0600',mode:absolute,to:'2016-08-31 03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209" t="str">
            <v>Y</v>
          </cell>
          <cell r="X209">
            <v>2</v>
          </cell>
          <cell r="Y209">
            <v>4.6199999999999998E-2</v>
          </cell>
          <cell r="Z209">
            <v>2.2877000000000001</v>
          </cell>
          <cell r="AA209">
            <v>2.2415000000000003</v>
          </cell>
          <cell r="AB209" t="e">
            <v>#N/A</v>
          </cell>
          <cell r="AC209" t="e">
            <v>#N/A</v>
          </cell>
          <cell r="AD209" t="str">
            <v>0315-30</v>
          </cell>
          <cell r="AE209" t="str">
            <v>aws s3 cp s3://rtdc.mdm.uploadarchive/RTDC4018/2016-08-31/ "%USERPROFILE%\AppData\Local\Temp\OnboardLogs"\RTDC4018\2016-08-31 --recursive &amp; "%USERPROFILE%\Documents\GitHub\mrs-test-scripts\Headless Mode &amp; Sideloading\WalkAndUnGZ.bat" "%USERPROFILE%\AppData\Local\Temp\OnboardLogs"\RTDC4018\2016-08-31 &amp; 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</v>
          </cell>
        </row>
        <row r="210">
          <cell r="A210" t="str">
            <v>315-31</v>
          </cell>
          <cell r="B210">
            <v>4016</v>
          </cell>
          <cell r="C210" t="str">
            <v>DE.1.0.7.0</v>
          </cell>
          <cell r="D210" t="str">
            <v>204:455</v>
          </cell>
          <cell r="E210">
            <v>42614.088194444441</v>
          </cell>
          <cell r="F210">
            <v>25568.958333333332</v>
          </cell>
          <cell r="G210">
            <v>2</v>
          </cell>
          <cell r="H210" t="str">
            <v>300:23312</v>
          </cell>
          <cell r="I210">
            <v>25568.958333333332</v>
          </cell>
          <cell r="J210">
            <v>0</v>
          </cell>
          <cell r="K210" t="str">
            <v>4015/4016</v>
          </cell>
          <cell r="L210" t="str">
            <v>COOLAHAN</v>
          </cell>
          <cell r="M210">
            <v>0</v>
          </cell>
          <cell r="N210">
            <v>0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https://search-rtdc-monitor-bjffxe2xuh6vdkpspy63sjmuny.us-east-1.es.amazonaws.com/_plugin/kibana/#/discover/Steve-Slow-Train-Analysis-(2080s-and-2083s)?_g=(refreshInterval:(display:Off,section:0,value:0),time:(from:'2016-09-01 01:07:00-0600',mode:absolute,to:'1970-01-01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210" t="str">
            <v>Y</v>
          </cell>
          <cell r="X210">
            <v>0</v>
          </cell>
          <cell r="Y210">
            <v>4.5499999999999999E-2</v>
          </cell>
          <cell r="Z210">
            <v>2.3311999999999999</v>
          </cell>
          <cell r="AA210">
            <v>2.2856999999999998</v>
          </cell>
          <cell r="AB210" t="e">
            <v>#N/A</v>
          </cell>
          <cell r="AC210" t="e">
            <v>#N/A</v>
          </cell>
          <cell r="AD210" t="str">
            <v>0315-31</v>
          </cell>
          <cell r="AE210" t="str">
    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    </cell>
        </row>
        <row r="211">
          <cell r="A211" t="str">
            <v>903-31</v>
          </cell>
          <cell r="B211">
            <v>4031</v>
          </cell>
          <cell r="C211" t="str">
            <v>DE.1.0.7.0</v>
          </cell>
          <cell r="D211" t="str">
            <v>204:1083</v>
          </cell>
          <cell r="E211">
            <v>42613.355243055557</v>
          </cell>
          <cell r="F211">
            <v>42613.356620370374</v>
          </cell>
          <cell r="G211">
            <v>1</v>
          </cell>
          <cell r="H211" t="str">
            <v>300:24239</v>
          </cell>
          <cell r="I211">
            <v>42613.363402777781</v>
          </cell>
          <cell r="J211">
            <v>0</v>
          </cell>
          <cell r="K211" t="str">
            <v>4031/4032</v>
          </cell>
          <cell r="L211" t="str">
            <v>STARKS</v>
          </cell>
          <cell r="M211">
            <v>6.7824074067175388E-3</v>
          </cell>
          <cell r="N211">
            <v>9.7666666656732559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https://search-rtdc-monitor-bjffxe2xuh6vdkpspy63sjmuny.us-east-1.es.amazonaws.com/_plugin/kibana/#/discover/Steve-Slow-Train-Analysis-(2080s-and-2083s)?_g=(refreshInterval:(display:Off,section:0,value:0),time:(from:'2016-08-31 07:31:33-0600',mode:absolute,to:'2016-08-31 09:43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11" t="str">
            <v>Y</v>
          </cell>
          <cell r="X211">
            <v>588</v>
          </cell>
          <cell r="Y211">
            <v>0.10829999999999999</v>
          </cell>
          <cell r="Z211">
            <v>2.4239000000000002</v>
          </cell>
          <cell r="AA211">
            <v>2.3156000000000003</v>
          </cell>
          <cell r="AB211" t="e">
            <v>#N/A</v>
          </cell>
          <cell r="AC211" t="e">
            <v>#N/A</v>
          </cell>
          <cell r="AD211" t="str">
            <v>0903-31</v>
          </cell>
          <cell r="AE211" t="str">
    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    </cell>
        </row>
        <row r="212">
          <cell r="A212" t="str">
            <v>904-31</v>
          </cell>
          <cell r="B212">
            <v>4032</v>
          </cell>
          <cell r="C212" t="str">
            <v>DE.1.0.7.0</v>
          </cell>
          <cell r="D212" t="str">
            <v>300:23154</v>
          </cell>
          <cell r="E212">
            <v>42613.647199074076</v>
          </cell>
          <cell r="F212">
            <v>42613.6484837963</v>
          </cell>
          <cell r="G212">
            <v>1</v>
          </cell>
          <cell r="H212" t="str">
            <v>204:678</v>
          </cell>
          <cell r="I212">
            <v>42613.654351851852</v>
          </cell>
          <cell r="J212">
            <v>0</v>
          </cell>
          <cell r="K212" t="str">
            <v>4031/4032</v>
          </cell>
          <cell r="L212" t="str">
            <v>HILLS</v>
          </cell>
          <cell r="M212">
            <v>5.8680555521277711E-3</v>
          </cell>
          <cell r="N212">
            <v>8.4499999950639904</v>
          </cell>
          <cell r="S212">
            <v>1</v>
          </cell>
          <cell r="T212" t="str">
            <v>Southbound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https://search-rtdc-monitor-bjffxe2xuh6vdkpspy63sjmuny.us-east-1.es.amazonaws.com/_plugin/kibana/#/discover/Steve-Slow-Train-Analysis-(2080s-and-2083s)?_g=(refreshInterval:(display:Off,section:0,value:0),time:(from:'2016-08-31 14:31:58-0600',mode:absolute,to:'2016-08-31 16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212" t="str">
            <v>Y</v>
          </cell>
          <cell r="X212">
            <v>1</v>
          </cell>
          <cell r="Y212">
            <v>2.3153999999999999</v>
          </cell>
          <cell r="Z212">
            <v>6.7799999999999999E-2</v>
          </cell>
          <cell r="AA212">
            <v>2.2475999999999998</v>
          </cell>
          <cell r="AB212" t="e">
            <v>#N/A</v>
          </cell>
          <cell r="AC212" t="e">
            <v>#N/A</v>
          </cell>
          <cell r="AD212" t="str">
            <v>0904-31</v>
          </cell>
          <cell r="AE212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213">
          <cell r="A213" t="str">
            <v>904-31</v>
          </cell>
          <cell r="B213">
            <v>4032</v>
          </cell>
          <cell r="C213" t="str">
            <v>DE.1.0.7.0</v>
          </cell>
          <cell r="D213" t="str">
            <v>300:25143</v>
          </cell>
          <cell r="E213">
            <v>42613.6405787037</v>
          </cell>
          <cell r="F213">
            <v>42613.6484837963</v>
          </cell>
          <cell r="G213">
            <v>1</v>
          </cell>
          <cell r="H213" t="str">
            <v>300:24379</v>
          </cell>
          <cell r="I213">
            <v>42613.654351851852</v>
          </cell>
          <cell r="J213">
            <v>0</v>
          </cell>
          <cell r="K213" t="str">
            <v>4031/4032</v>
          </cell>
          <cell r="L213" t="str">
            <v>HILLS</v>
          </cell>
          <cell r="M213">
            <v>5.8680555521277711E-3</v>
          </cell>
          <cell r="N213">
            <v>8.4499999950639904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https://search-rtdc-monitor-bjffxe2xuh6vdkpspy63sjmuny.us-east-1.es.amazonaws.com/_plugin/kibana/#/discover/Steve-Slow-Train-Analysis-(2080s-and-2083s)?_g=(refreshInterval:(display:Off,section:0,value:0),time:(from:'2016-08-31 14:22:26-0600',mode:absolute,to:'2016-08-31 16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213" t="str">
            <v>Y</v>
          </cell>
          <cell r="X213">
            <v>0</v>
          </cell>
          <cell r="Y213">
            <v>2.5143</v>
          </cell>
          <cell r="Z213">
            <v>2.4379</v>
          </cell>
          <cell r="AA213">
            <v>7.6400000000000023E-2</v>
          </cell>
          <cell r="AB213" t="e">
            <v>#N/A</v>
          </cell>
          <cell r="AC213" t="e">
            <v>#N/A</v>
          </cell>
          <cell r="AD213" t="str">
            <v>0904-31</v>
          </cell>
          <cell r="AE213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214">
          <cell r="A214" t="str">
            <v>906-31</v>
          </cell>
          <cell r="B214">
            <v>4032</v>
          </cell>
          <cell r="C214" t="str">
            <v>DE.1.0.7.0</v>
          </cell>
          <cell r="D214" t="str">
            <v>300:58653</v>
          </cell>
          <cell r="E214">
            <v>42613.797847222224</v>
          </cell>
          <cell r="F214">
            <v>42613.79960648148</v>
          </cell>
          <cell r="G214">
            <v>1</v>
          </cell>
          <cell r="H214" t="str">
            <v>300:21750</v>
          </cell>
          <cell r="I214">
            <v>42613.805081018516</v>
          </cell>
          <cell r="J214">
            <v>0</v>
          </cell>
          <cell r="K214" t="str">
            <v>4031/4032</v>
          </cell>
          <cell r="L214" t="str">
            <v>HILLS</v>
          </cell>
          <cell r="M214">
            <v>5.4745370362070389E-3</v>
          </cell>
          <cell r="N214">
            <v>7.883333332138136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https://search-rtdc-monitor-bjffxe2xuh6vdkpspy63sjmuny.us-east-1.es.amazonaws.com/_plugin/kibana/#/discover/Steve-Slow-Train-Analysis-(2080s-and-2083s)?_g=(refreshInterval:(display:Off,section:0,value:0),time:(from:'2016-08-31 18:08:54-0600',mode:absolute,to:'2016-08-31 20:19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214" t="str">
            <v>Y</v>
          </cell>
          <cell r="X214">
            <v>2</v>
          </cell>
          <cell r="Y214">
            <v>5.8653000000000004</v>
          </cell>
          <cell r="Z214">
            <v>2.1749999999999998</v>
          </cell>
          <cell r="AA214">
            <v>3.6903000000000006</v>
          </cell>
          <cell r="AB214" t="e">
            <v>#N/A</v>
          </cell>
          <cell r="AC214" t="e">
            <v>#N/A</v>
          </cell>
          <cell r="AD214" t="str">
            <v>0906-31</v>
          </cell>
          <cell r="AE214" t="str">
    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    </cell>
        </row>
        <row r="215">
          <cell r="A215" t="str">
            <v>908-31</v>
          </cell>
          <cell r="B215">
            <v>4008</v>
          </cell>
          <cell r="C215" t="str">
            <v>DE.1.0.7.0</v>
          </cell>
          <cell r="D215" t="str">
            <v>300:58183</v>
          </cell>
          <cell r="E215">
            <v>42613.943032407406</v>
          </cell>
          <cell r="F215">
            <v>42613.945254629631</v>
          </cell>
          <cell r="G215">
            <v>2</v>
          </cell>
          <cell r="H215" t="str">
            <v>300:21748</v>
          </cell>
          <cell r="I215">
            <v>42613.951331018521</v>
          </cell>
          <cell r="J215">
            <v>0</v>
          </cell>
          <cell r="K215" t="str">
            <v>4007/4008</v>
          </cell>
          <cell r="L215" t="str">
            <v>HILLS</v>
          </cell>
          <cell r="M215">
            <v>6.0763888905057684E-3</v>
          </cell>
          <cell r="N215">
            <v>8.7500000023283064</v>
          </cell>
          <cell r="S215">
            <v>0</v>
          </cell>
          <cell r="T215" t="str">
            <v>Southbound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https://search-rtdc-monitor-bjffxe2xuh6vdkpspy63sjmuny.us-east-1.es.amazonaws.com/_plugin/kibana/#/discover/Steve-Slow-Train-Analysis-(2080s-and-2083s)?_g=(refreshInterval:(display:Off,section:0,value:0),time:(from:'2016-08-31 21:37:58-0600',mode:absolute,to:'2016-08-31 23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215" t="str">
            <v>Y</v>
          </cell>
          <cell r="X215">
            <v>2</v>
          </cell>
          <cell r="Y215">
            <v>5.8182999999999998</v>
          </cell>
          <cell r="Z215">
            <v>2.1747999999999998</v>
          </cell>
          <cell r="AA215">
            <v>3.6435</v>
          </cell>
          <cell r="AB215" t="e">
            <v>#N/A</v>
          </cell>
          <cell r="AC215" t="e">
            <v>#N/A</v>
          </cell>
          <cell r="AD215" t="str">
            <v>0908-31</v>
          </cell>
          <cell r="AE215" t="str">
    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    </cell>
        </row>
        <row r="216">
          <cell r="A216" t="str">
            <v>50-31</v>
          </cell>
          <cell r="B216">
            <v>4010</v>
          </cell>
          <cell r="C216" t="str">
            <v>DE.1.0.7.0</v>
          </cell>
          <cell r="D216" t="str">
            <v>300:30945</v>
          </cell>
          <cell r="E216">
            <v>42613.136041666665</v>
          </cell>
          <cell r="F216">
            <v>42613.151307870372</v>
          </cell>
          <cell r="G216">
            <v>1</v>
          </cell>
          <cell r="H216" t="str">
            <v>204:1022</v>
          </cell>
          <cell r="I216">
            <v>42613.155752314815</v>
          </cell>
          <cell r="J216">
            <v>0</v>
          </cell>
          <cell r="K216" t="str">
            <v>4009/4010</v>
          </cell>
          <cell r="L216" t="str">
            <v>CHIONE</v>
          </cell>
          <cell r="M216">
            <v>4.4444444429245777E-3</v>
          </cell>
          <cell r="N216">
            <v>6.3999999978113919</v>
          </cell>
          <cell r="S216">
            <v>0</v>
          </cell>
          <cell r="T216" t="e">
            <v>#VALUE!</v>
          </cell>
          <cell r="U216">
            <v>0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https://search-rtdc-monitor-bjffxe2xuh6vdkpspy63sjmuny.us-east-1.es.amazonaws.com/_plugin/kibana/#/discover/Steve-Slow-Train-Analysis-(2080s-and-2083s)?_g=(refreshInterval:(display:Off,section:0,value:0),time:(from:'2016-08-31 02:15:54-0600',mode:absolute,to:'2016-08-31 04:44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216" t="str">
            <v>Y</v>
          </cell>
          <cell r="X216" t="e">
            <v>#VALUE!</v>
          </cell>
          <cell r="Y216">
            <v>3.0945</v>
          </cell>
          <cell r="Z216">
            <v>0.1022</v>
          </cell>
          <cell r="AA216">
            <v>2.9923000000000002</v>
          </cell>
          <cell r="AB216" t="e">
            <v>#N/A</v>
          </cell>
          <cell r="AC216" t="e">
            <v>#N/A</v>
          </cell>
          <cell r="AD216" t="str">
            <v>50-31</v>
          </cell>
          <cell r="AE216" t="str">
            <v>aws s3 cp s3://rtdc.mdm.uploadarchive/RTDC4010/2016-08-31/ "%USERPROFILE%\AppData\Local\Temp\OnboardLogs"\RTDC4010\2016-08-31 --recursive &amp; "%USERPROFILE%\Documents\GitHub\mrs-test-scripts\Headless Mode &amp; Sideloading\WalkAndUnGZ.bat" "%USERPROFILE%\AppData\Local\Temp\OnboardLogs"\RTDC4010\2016-08-31 &amp; 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</v>
          </cell>
        </row>
        <row r="217">
          <cell r="A217" t="str">
            <v>50-31</v>
          </cell>
          <cell r="B217">
            <v>4010</v>
          </cell>
          <cell r="C217" t="str">
            <v>DE.1.0.7.0</v>
          </cell>
          <cell r="D217" t="str">
            <v>300:31142</v>
          </cell>
          <cell r="E217">
            <v>42613.094351851854</v>
          </cell>
          <cell r="F217">
            <v>42613.099317129629</v>
          </cell>
          <cell r="G217">
            <v>1</v>
          </cell>
          <cell r="H217" t="str">
            <v>300:5280</v>
          </cell>
          <cell r="I217">
            <v>42613.103043981479</v>
          </cell>
          <cell r="J217">
            <v>0</v>
          </cell>
          <cell r="K217" t="str">
            <v>4009/4010</v>
          </cell>
          <cell r="L217" t="str">
            <v>CHIONE</v>
          </cell>
          <cell r="M217">
            <v>3.7268518499331549E-3</v>
          </cell>
          <cell r="N217">
            <v>5.366666663903743</v>
          </cell>
          <cell r="S217">
            <v>0</v>
          </cell>
          <cell r="T217" t="e">
            <v>#VALUE!</v>
          </cell>
          <cell r="U217">
            <v>0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https://search-rtdc-monitor-bjffxe2xuh6vdkpspy63sjmuny.us-east-1.es.amazonaws.com/_plugin/kibana/#/discover/Steve-Slow-Train-Analysis-(2080s-and-2083s)?_g=(refreshInterval:(display:Off,section:0,value:0),time:(from:'2016-08-31 01:15:52-0600',mode:absolute,to:'2016-08-31 03:28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217" t="str">
            <v>Y</v>
          </cell>
          <cell r="X217" t="e">
            <v>#VALUE!</v>
          </cell>
          <cell r="Y217">
            <v>3.1141999999999999</v>
          </cell>
          <cell r="Z217">
            <v>0.52800000000000002</v>
          </cell>
          <cell r="AA217">
            <v>2.5861999999999998</v>
          </cell>
          <cell r="AB217" t="e">
            <v>#N/A</v>
          </cell>
          <cell r="AC217" t="e">
            <v>#N/A</v>
          </cell>
          <cell r="AD217" t="str">
            <v>50-31</v>
          </cell>
          <cell r="AE217" t="str">
            <v>aws s3 cp s3://rtdc.mdm.uploadarchive/RTDC4010/2016-08-31/ "%USERPROFILE%\AppData\Local\Temp\OnboardLogs"\RTDC4010\2016-08-31 --recursive &amp; "%USERPROFILE%\Documents\GitHub\mrs-test-scripts\Headless Mode &amp; Sideloading\WalkAndUnGZ.bat" "%USERPROFILE%\AppData\Local\Temp\OnboardLogs"\RTDC4010\2016-08-31 &amp; 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</v>
          </cell>
        </row>
        <row r="218">
          <cell r="A218" t="str">
            <v>51-31</v>
          </cell>
          <cell r="B218">
            <v>4009</v>
          </cell>
          <cell r="C218" t="str">
            <v>DE.1.0.7.0</v>
          </cell>
          <cell r="D218" t="str">
            <v>204:1177</v>
          </cell>
          <cell r="E218">
            <v>42613.077361111114</v>
          </cell>
          <cell r="F218">
            <v>42613.108564814815</v>
          </cell>
          <cell r="G218">
            <v>2</v>
          </cell>
          <cell r="H218" t="str">
            <v>300:31462</v>
          </cell>
          <cell r="I218">
            <v>42613.113993055558</v>
          </cell>
          <cell r="J218">
            <v>0</v>
          </cell>
          <cell r="K218" t="str">
            <v>4009/4010</v>
          </cell>
          <cell r="L218" t="str">
            <v>CHIONE</v>
          </cell>
          <cell r="M218">
            <v>5.4282407436403446E-3</v>
          </cell>
          <cell r="N218">
            <v>7.8166666708420962</v>
          </cell>
          <cell r="S218">
            <v>0</v>
          </cell>
          <cell r="T218" t="e">
            <v>#VALUE!</v>
          </cell>
          <cell r="U218">
            <v>0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https://search-rtdc-monitor-bjffxe2xuh6vdkpspy63sjmuny.us-east-1.es.amazonaws.com/_plugin/kibana/#/discover/Steve-Slow-Train-Analysis-(2080s-and-2083s)?_g=(refreshInterval:(display:Off,section:0,value:0),time:(from:'2016-08-31 00:51:24-0600',mode:absolute,to:'2016-08-31 03:44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218" t="str">
            <v>Y</v>
          </cell>
          <cell r="X218" t="e">
            <v>#VALUE!</v>
          </cell>
          <cell r="Y218">
            <v>0.1177</v>
          </cell>
          <cell r="Z218">
            <v>3.1461999999999999</v>
          </cell>
          <cell r="AA218">
            <v>3.0284999999999997</v>
          </cell>
          <cell r="AB218" t="e">
            <v>#N/A</v>
          </cell>
          <cell r="AC218" t="e">
            <v>#N/A</v>
          </cell>
          <cell r="AD218" t="str">
            <v>51-31</v>
          </cell>
          <cell r="AE218" t="str">
            <v>aws s3 cp s3://rtdc.mdm.uploadarchive/RTDC4009/2016-08-31/ "%USERPROFILE%\AppData\Local\Temp\OnboardLogs"\RTDC4009\2016-08-31 --recursive &amp; "%USERPROFILE%\Documents\GitHub\mrs-test-scripts\Headless Mode &amp; Sideloading\WalkAndUnGZ.bat" "%USERPROFILE%\AppData\Local\Temp\OnboardLogs"\RTDC4009\2016-08-31 &amp; 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</v>
          </cell>
        </row>
        <row r="219">
          <cell r="A219" t="str">
            <v>51-31</v>
          </cell>
          <cell r="B219">
            <v>4009</v>
          </cell>
          <cell r="C219" t="str">
            <v>DE.1.0.7.0</v>
          </cell>
          <cell r="D219" t="str">
            <v>300:5540</v>
          </cell>
          <cell r="E219">
            <v>42613.105798611112</v>
          </cell>
          <cell r="F219">
            <v>42613.108564814815</v>
          </cell>
          <cell r="G219">
            <v>0</v>
          </cell>
          <cell r="H219" t="str">
            <v>300:31265</v>
          </cell>
          <cell r="I219">
            <v>42613.113993055558</v>
          </cell>
          <cell r="J219">
            <v>0</v>
          </cell>
          <cell r="K219" t="str">
            <v>4009/4010</v>
          </cell>
          <cell r="L219" t="str">
            <v>CHIONE</v>
          </cell>
          <cell r="M219">
            <v>5.4282407436403446E-3</v>
          </cell>
          <cell r="N219">
            <v>7.8166666708420962</v>
          </cell>
          <cell r="S219">
            <v>0</v>
          </cell>
          <cell r="T219" t="e">
            <v>#VALUE!</v>
          </cell>
          <cell r="U219">
            <v>0</v>
          </cell>
          <cell r="V219" t="str">
            <v>https://search-rtdc-monitor-bjffxe2xuh6vdkpspy63sjmuny.us-east-1.es.amazonaws.com/_plugin/kibana/#/discover/Steve-Slow-Train-Analysis-(2080s-and-2083s)?_g=(refreshInterval:(display:Off,section:0,value:0),time:(from:'2016-08-31 01:32:21-0600',mode:absolute,to:'2016-08-31 03:44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219" t="str">
            <v>Y</v>
          </cell>
          <cell r="X219" t="e">
            <v>#VALUE!</v>
          </cell>
          <cell r="Y219">
            <v>0.55400000000000005</v>
          </cell>
          <cell r="Z219">
            <v>3.1265000000000001</v>
          </cell>
          <cell r="AA219">
            <v>2.5724999999999998</v>
          </cell>
          <cell r="AB219" t="e">
            <v>#N/A</v>
          </cell>
          <cell r="AC219" t="e">
            <v>#N/A</v>
          </cell>
          <cell r="AD219" t="str">
            <v>51-31</v>
          </cell>
          <cell r="AE219" t="str">
            <v>aws s3 cp s3://rtdc.mdm.uploadarchive/RTDC4009/2016-08-31/ "%USERPROFILE%\AppData\Local\Temp\OnboardLogs"\RTDC4009\2016-08-31 --recursive &amp; "%USERPROFILE%\Documents\GitHub\mrs-test-scripts\Headless Mode &amp; Sideloading\WalkAndUnGZ.bat" "%USERPROFILE%\AppData\Local\Temp\OnboardLogs"\RTDC4009\2016-08-31 &amp; 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</v>
          </cell>
        </row>
        <row r="220">
          <cell r="A220" t="str">
            <v>51-31</v>
          </cell>
          <cell r="B220">
            <v>4044</v>
          </cell>
          <cell r="C220" t="str">
            <v>DE.1.0.7.0</v>
          </cell>
          <cell r="D220" t="str">
            <v>204:1456</v>
          </cell>
          <cell r="E220">
            <v>42613.750763888886</v>
          </cell>
          <cell r="F220">
            <v>25568.958333333332</v>
          </cell>
          <cell r="G220">
            <v>3</v>
          </cell>
          <cell r="H220" t="str">
            <v>300:23297</v>
          </cell>
          <cell r="I220">
            <v>25568.958333333332</v>
          </cell>
          <cell r="J220">
            <v>0</v>
          </cell>
          <cell r="K220" t="str">
            <v>4043/4044</v>
          </cell>
          <cell r="L220" t="str">
            <v>CHIONE</v>
          </cell>
          <cell r="M220">
            <v>0</v>
          </cell>
          <cell r="N220">
            <v>0</v>
          </cell>
          <cell r="S220">
            <v>0</v>
          </cell>
          <cell r="T220" t="e">
            <v>#VALUE!</v>
          </cell>
          <cell r="U220">
            <v>0</v>
          </cell>
          <cell r="V220" t="str">
            <v>https://search-rtdc-monitor-bjffxe2xuh6vdkpspy63sjmuny.us-east-1.es.amazonaws.com/_plugin/kibana/#/discover/Steve-Slow-Train-Analysis-(2080s-and-2083s)?_g=(refreshInterval:(display:Off,section:0,value:0),time:(from:'2016-08-31 17:01:06-0600',mode:absolute,to:'1970-01-01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220" t="str">
            <v>Y</v>
          </cell>
          <cell r="X220" t="e">
            <v>#VALUE!</v>
          </cell>
          <cell r="Y220">
            <v>0.14560000000000001</v>
          </cell>
          <cell r="Z220">
            <v>2.3296999999999999</v>
          </cell>
          <cell r="AA220">
            <v>2.1840999999999999</v>
          </cell>
          <cell r="AB220" t="e">
            <v>#N/A</v>
          </cell>
          <cell r="AC220" t="e">
            <v>#N/A</v>
          </cell>
          <cell r="AD220" t="str">
            <v>51-31</v>
          </cell>
          <cell r="AE220" t="str">
            <v>aws s3 cp s3://rtdc.mdm.uploadarchive/RTDC4044/1969-12-31/ "%USERPROFILE%\AppData\Local\Temp\OnboardLogs"\RTDC4044\1969-12-31 --recursive &amp; "%USERPROFILE%\Documents\GitHub\mrs-test-scripts\Headless Mode &amp; Sideloading\WalkAndUnGZ.bat" "%USERPROFILE%\AppData\Local\Temp\OnboardLogs"\RTDC4044\1969-12-31 &amp; aws s3 cp s3://rtdc.mdm.uploadarchive/RTDC4044/1970-01-01/ "%USERPROFILE%\AppData\Local\Temp\OnboardLogs"\RTDC4044\1970-01-01 --recursive &amp; "%USERPROFILE%\Documents\GitHub\mrs-test-scripts\Headless Mode &amp; Sideloading\WalkAndUnGZ.bat" "%USERPROFILE%\AppData\Local\Temp\OnboardLogs"\RTDC4044\1970-01-01</v>
          </cell>
        </row>
        <row r="221">
          <cell r="A221" t="str">
            <v>67-31</v>
          </cell>
          <cell r="B221">
            <v>4005</v>
          </cell>
          <cell r="C221" t="str">
            <v>DE.1.0.7.0</v>
          </cell>
          <cell r="D221" t="str">
            <v>300:23491</v>
          </cell>
          <cell r="E221">
            <v>42613.745462962965</v>
          </cell>
          <cell r="F221">
            <v>42613.747743055559</v>
          </cell>
          <cell r="G221">
            <v>3</v>
          </cell>
          <cell r="H221" t="str">
            <v>204:178</v>
          </cell>
          <cell r="I221">
            <v>42613.753252314818</v>
          </cell>
          <cell r="J221">
            <v>0</v>
          </cell>
          <cell r="K221" t="str">
            <v>4005/4006</v>
          </cell>
          <cell r="L221" t="str">
            <v>COOLAHAN</v>
          </cell>
          <cell r="M221">
            <v>5.5092592592700385E-3</v>
          </cell>
          <cell r="N221">
            <v>7.9333333333488554</v>
          </cell>
          <cell r="S221">
            <v>0</v>
          </cell>
          <cell r="T221" t="e">
            <v>#VALUE!</v>
          </cell>
          <cell r="U221">
            <v>0</v>
          </cell>
          <cell r="V221" t="str">
            <v>https://search-rtdc-monitor-bjffxe2xuh6vdkpspy63sjmuny.us-east-1.es.amazonaws.com/_plugin/kibana/#/discover/Steve-Slow-Train-Analysis-(2080s-and-2083s)?_g=(refreshInterval:(display:Off,section:0,value:0),time:(from:'2016-08-31 16:53:28-0600',mode:absolute,to:'2016-08-31 19:04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    </cell>
          <cell r="W221" t="str">
            <v>Y</v>
          </cell>
          <cell r="X221" t="e">
            <v>#VALUE!</v>
          </cell>
          <cell r="Y221">
            <v>2.3491</v>
          </cell>
          <cell r="Z221">
            <v>1.78E-2</v>
          </cell>
          <cell r="AA221">
            <v>2.3313000000000001</v>
          </cell>
          <cell r="AB221" t="e">
            <v>#N/A</v>
          </cell>
          <cell r="AC221" t="e">
            <v>#N/A</v>
          </cell>
          <cell r="AD221" t="str">
            <v>67-31</v>
          </cell>
          <cell r="AE221" t="str">
            <v>aws s3 cp s3://rtdc.mdm.uploadarchive/RTDC4005/2016-08-31/ "%USERPROFILE%\AppData\Local\Temp\OnboardLogs"\RTDC4005\2016-08-31 --recursive &amp; "%USERPROFILE%\Documents\GitHub\mrs-test-scripts\Headless Mode &amp; Sideloading\WalkAndUnGZ.bat" "%USERPROFILE%\AppData\Local\Temp\OnboardLogs"\RTDC4005\2016-08-31 &amp; aws s3 cp s3://rtdc.mdm.uploadarchive/RTDC4005/2016-09-01/ "%USERPROFILE%\AppData\Local\Temp\OnboardLogs"\RTDC4005\2016-09-01 --recursive &amp; "%USERPROFILE%\Documents\GitHub\mrs-test-scripts\Headless Mode &amp; Sideloading\WalkAndUnGZ.bat" "%USERPROFILE%\AppData\Local\Temp\OnboardLogs"\RTDC4005\2016-09-01</v>
          </cell>
        </row>
        <row r="222">
          <cell r="A222" t="str">
            <v>71-31</v>
          </cell>
          <cell r="B222">
            <v>4006</v>
          </cell>
          <cell r="C222" t="str">
            <v>DE.1.0.7.0</v>
          </cell>
          <cell r="D222" t="str">
            <v>204:480</v>
          </cell>
          <cell r="E222">
            <v>42613.77375</v>
          </cell>
          <cell r="F222">
            <v>25568.958333333332</v>
          </cell>
          <cell r="G222">
            <v>1</v>
          </cell>
          <cell r="H222" t="str">
            <v>300:24207</v>
          </cell>
          <cell r="I222">
            <v>25568.958333333332</v>
          </cell>
          <cell r="J222">
            <v>0</v>
          </cell>
          <cell r="K222" t="str">
            <v>4005/4006</v>
          </cell>
          <cell r="L222" t="str">
            <v>BARTLETT</v>
          </cell>
          <cell r="M222">
            <v>0</v>
          </cell>
          <cell r="N222">
            <v>0</v>
          </cell>
          <cell r="S222">
            <v>0</v>
          </cell>
          <cell r="T222" t="e">
            <v>#VALUE!</v>
          </cell>
          <cell r="U222">
            <v>0</v>
          </cell>
          <cell r="V222" t="str">
            <v>https://search-rtdc-monitor-bjffxe2xuh6vdkpspy63sjmuny.us-east-1.es.amazonaws.com/_plugin/kibana/#/discover/Steve-Slow-Train-Analysis-(2080s-and-2083s)?_g=(refreshInterval:(display:Off,section:0,value:0),time:(from:'2016-08-31 17:34:12-0600',mode:absolute,to:'1970-01-01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4006%22')),sort:!(Time,asc))</v>
          </cell>
          <cell r="W222" t="str">
            <v>Y</v>
          </cell>
          <cell r="X222" t="e">
            <v>#VALUE!</v>
          </cell>
          <cell r="Y222">
            <v>4.8000000000000001E-2</v>
          </cell>
          <cell r="Z222">
            <v>2.4207000000000001</v>
          </cell>
          <cell r="AA222">
            <v>2.3727</v>
          </cell>
          <cell r="AB222" t="e">
            <v>#N/A</v>
          </cell>
          <cell r="AC222" t="e">
            <v>#N/A</v>
          </cell>
          <cell r="AD222" t="str">
            <v>71-31</v>
          </cell>
          <cell r="AE222" t="str">
            <v>aws s3 cp s3://rtdc.mdm.uploadarchive/RTDC4006/1969-12-31/ "%USERPROFILE%\AppData\Local\Temp\OnboardLogs"\RTDC4006\1969-12-31 --recursive &amp; "%USERPROFILE%\Documents\GitHub\mrs-test-scripts\Headless Mode &amp; Sideloading\WalkAndUnGZ.bat" "%USERPROFILE%\AppData\Local\Temp\OnboardLogs"\RTDC4006\1969-12-31 &amp; aws s3 cp s3://rtdc.mdm.uploadarchive/RTDC4006/1970-01-01/ "%USERPROFILE%\AppData\Local\Temp\OnboardLogs"\RTDC4006\1970-01-01 --recursive &amp; "%USERPROFILE%\Documents\GitHub\mrs-test-scripts\Headless Mode &amp; Sideloading\WalkAndUnGZ.bat" "%USERPROFILE%\AppData\Local\Temp\OnboardLogs"\RTDC4006\1970-01-01</v>
          </cell>
        </row>
      </sheetData>
      <sheetData sheetId="1"/>
      <sheetData sheetId="2"/>
      <sheetData sheetId="3">
        <row r="1">
          <cell r="C1" t="str">
            <v>242-30</v>
          </cell>
          <cell r="D1">
            <v>1230000</v>
          </cell>
          <cell r="E1" t="str">
            <v>YANAI</v>
          </cell>
        </row>
        <row r="2">
          <cell r="C2" t="str">
            <v>311-30</v>
          </cell>
          <cell r="D2">
            <v>1290000</v>
          </cell>
          <cell r="E2" t="str">
            <v>COOLAHAN</v>
          </cell>
        </row>
        <row r="3">
          <cell r="C3" t="str">
            <v>244-30</v>
          </cell>
          <cell r="D3">
            <v>1800000</v>
          </cell>
          <cell r="E3" t="str">
            <v>CHANDLER</v>
          </cell>
        </row>
        <row r="4">
          <cell r="C4" t="str">
            <v>313-30</v>
          </cell>
          <cell r="D4">
            <v>1230000</v>
          </cell>
          <cell r="E4" t="str">
            <v>YANAI</v>
          </cell>
        </row>
        <row r="5">
          <cell r="C5" t="str">
            <v>51-31</v>
          </cell>
          <cell r="D5">
            <v>780000</v>
          </cell>
          <cell r="E5" t="str">
            <v>CHIONE</v>
          </cell>
        </row>
        <row r="6">
          <cell r="C6" t="str">
            <v>315-30</v>
          </cell>
          <cell r="D6">
            <v>1800000</v>
          </cell>
          <cell r="E6" t="str">
            <v>CHANDLER</v>
          </cell>
        </row>
        <row r="7">
          <cell r="C7" t="str">
            <v>50-31</v>
          </cell>
          <cell r="D7">
            <v>780000</v>
          </cell>
          <cell r="E7" t="str">
            <v>CHIONE</v>
          </cell>
        </row>
        <row r="8">
          <cell r="C8" t="str">
            <v>51-31</v>
          </cell>
          <cell r="D8">
            <v>780000</v>
          </cell>
          <cell r="E8" t="str">
            <v>CHIONE</v>
          </cell>
        </row>
        <row r="9">
          <cell r="C9" t="str">
            <v>50-31</v>
          </cell>
          <cell r="D9">
            <v>780000</v>
          </cell>
          <cell r="E9" t="str">
            <v>CHIONE</v>
          </cell>
        </row>
        <row r="10">
          <cell r="C10" t="str">
            <v>101-31</v>
          </cell>
          <cell r="D10">
            <v>2010000</v>
          </cell>
          <cell r="E10" t="str">
            <v>MAELZER</v>
          </cell>
        </row>
        <row r="11">
          <cell r="C11" t="str">
            <v>105-31</v>
          </cell>
          <cell r="D11">
            <v>1760000</v>
          </cell>
          <cell r="E11" t="str">
            <v>STRICKLAND</v>
          </cell>
        </row>
        <row r="12">
          <cell r="C12" t="str">
            <v>102-31</v>
          </cell>
          <cell r="D12">
            <v>2010000</v>
          </cell>
          <cell r="E12" t="str">
            <v>MAELZER</v>
          </cell>
        </row>
        <row r="13">
          <cell r="C13" t="str">
            <v>107-31</v>
          </cell>
          <cell r="D13">
            <v>1090000</v>
          </cell>
          <cell r="E13" t="str">
            <v>SPECTOR</v>
          </cell>
        </row>
        <row r="14">
          <cell r="C14" t="str">
            <v>104-31</v>
          </cell>
          <cell r="D14">
            <v>2260000</v>
          </cell>
          <cell r="E14" t="str">
            <v>ARVIDSON</v>
          </cell>
        </row>
        <row r="15">
          <cell r="C15" t="str">
            <v>104-31</v>
          </cell>
          <cell r="D15">
            <v>2260000</v>
          </cell>
          <cell r="E15" t="str">
            <v>ARVIDSON</v>
          </cell>
        </row>
        <row r="16">
          <cell r="C16" t="str">
            <v>109-31</v>
          </cell>
          <cell r="D16">
            <v>2030000</v>
          </cell>
          <cell r="E16" t="str">
            <v>KILLION</v>
          </cell>
        </row>
        <row r="17">
          <cell r="C17" t="str">
            <v>111-31</v>
          </cell>
          <cell r="D17">
            <v>900000</v>
          </cell>
          <cell r="E17" t="str">
            <v>ROCHA</v>
          </cell>
        </row>
        <row r="18">
          <cell r="C18" t="str">
            <v>106-31</v>
          </cell>
          <cell r="D18">
            <v>1760000</v>
          </cell>
          <cell r="E18" t="str">
            <v>STRICKLAND</v>
          </cell>
        </row>
        <row r="19">
          <cell r="C19" t="str">
            <v>113-31</v>
          </cell>
          <cell r="D19">
            <v>2010000</v>
          </cell>
          <cell r="E19" t="str">
            <v>MAELZER</v>
          </cell>
        </row>
        <row r="20">
          <cell r="C20" t="str">
            <v>800-31</v>
          </cell>
          <cell r="D20">
            <v>1110000</v>
          </cell>
          <cell r="E20" t="str">
            <v>STARKS</v>
          </cell>
        </row>
        <row r="21">
          <cell r="C21" t="str">
            <v>108-31</v>
          </cell>
          <cell r="D21">
            <v>1090000</v>
          </cell>
          <cell r="E21" t="str">
            <v>SPECTOR</v>
          </cell>
        </row>
        <row r="22">
          <cell r="C22" t="str">
            <v>115-31</v>
          </cell>
          <cell r="D22">
            <v>2230000</v>
          </cell>
          <cell r="E22" t="str">
            <v>SMITH</v>
          </cell>
        </row>
        <row r="23">
          <cell r="C23" t="str">
            <v>110-31</v>
          </cell>
          <cell r="D23">
            <v>2030000</v>
          </cell>
          <cell r="E23" t="str">
            <v>KILLION</v>
          </cell>
        </row>
        <row r="24">
          <cell r="C24" t="str">
            <v>117-31</v>
          </cell>
          <cell r="D24">
            <v>2260000</v>
          </cell>
          <cell r="E24" t="str">
            <v>ARVIDSON</v>
          </cell>
        </row>
        <row r="25">
          <cell r="C25" t="str">
            <v>112-31</v>
          </cell>
          <cell r="D25">
            <v>900000</v>
          </cell>
          <cell r="E25" t="str">
            <v>ROCHA</v>
          </cell>
        </row>
        <row r="26">
          <cell r="C26" t="str">
            <v>801-31</v>
          </cell>
          <cell r="D26">
            <v>1110000</v>
          </cell>
          <cell r="E26" t="str">
            <v>STARKS</v>
          </cell>
        </row>
        <row r="27">
          <cell r="C27" t="str">
            <v>119-31</v>
          </cell>
          <cell r="D27">
            <v>1760000</v>
          </cell>
          <cell r="E27" t="str">
            <v>STRICKLAND</v>
          </cell>
        </row>
        <row r="28">
          <cell r="C28" t="str">
            <v>114-31</v>
          </cell>
          <cell r="D28">
            <v>2010000</v>
          </cell>
          <cell r="E28" t="str">
            <v>MAELZER</v>
          </cell>
        </row>
        <row r="29">
          <cell r="C29" t="str">
            <v>119-31</v>
          </cell>
          <cell r="D29">
            <v>1760000</v>
          </cell>
          <cell r="E29" t="str">
            <v>STRICKLAND</v>
          </cell>
        </row>
        <row r="30">
          <cell r="C30" t="str">
            <v>802-31</v>
          </cell>
          <cell r="D30">
            <v>1110000</v>
          </cell>
          <cell r="E30" t="str">
            <v>STARKS</v>
          </cell>
        </row>
        <row r="31">
          <cell r="C31" t="str">
            <v>121-31</v>
          </cell>
          <cell r="D31">
            <v>1090000</v>
          </cell>
          <cell r="E31" t="str">
            <v>SPECTOR</v>
          </cell>
        </row>
        <row r="32">
          <cell r="C32" t="str">
            <v>116-31</v>
          </cell>
          <cell r="D32">
            <v>2230000</v>
          </cell>
          <cell r="E32" t="str">
            <v>SMITH</v>
          </cell>
        </row>
        <row r="33">
          <cell r="C33" t="str">
            <v>803-31</v>
          </cell>
          <cell r="D33">
            <v>1100000</v>
          </cell>
          <cell r="E33" t="str">
            <v>GEBRETEKLE</v>
          </cell>
        </row>
        <row r="34">
          <cell r="C34" t="str">
            <v>123-31</v>
          </cell>
          <cell r="D34">
            <v>2030000</v>
          </cell>
          <cell r="E34" t="str">
            <v>KILLION</v>
          </cell>
        </row>
        <row r="35">
          <cell r="C35" t="str">
            <v>131-31</v>
          </cell>
          <cell r="D35">
            <v>2260000</v>
          </cell>
          <cell r="E35" t="str">
            <v>ARVIDSON</v>
          </cell>
        </row>
        <row r="36">
          <cell r="C36" t="str">
            <v>118-31</v>
          </cell>
          <cell r="D36">
            <v>2260000</v>
          </cell>
          <cell r="E36" t="str">
            <v>ARVIDSON</v>
          </cell>
        </row>
        <row r="37">
          <cell r="C37" t="str">
            <v>804-31</v>
          </cell>
          <cell r="D37">
            <v>1100000</v>
          </cell>
          <cell r="E37" t="str">
            <v>GEBRETEKLE</v>
          </cell>
        </row>
        <row r="38">
          <cell r="C38" t="str">
            <v>125-31</v>
          </cell>
          <cell r="D38">
            <v>900000</v>
          </cell>
          <cell r="E38" t="str">
            <v>ROCHA</v>
          </cell>
        </row>
        <row r="39">
          <cell r="C39" t="str">
            <v>805-31</v>
          </cell>
          <cell r="D39">
            <v>1110000</v>
          </cell>
          <cell r="E39" t="str">
            <v>STARKS</v>
          </cell>
        </row>
        <row r="40">
          <cell r="C40" t="str">
            <v>120-31</v>
          </cell>
          <cell r="D40">
            <v>1760000</v>
          </cell>
          <cell r="E40" t="str">
            <v>STRICKLAND</v>
          </cell>
        </row>
        <row r="41">
          <cell r="C41" t="str">
            <v>127-31</v>
          </cell>
          <cell r="D41">
            <v>2010000</v>
          </cell>
          <cell r="E41" t="str">
            <v>MAELZER</v>
          </cell>
        </row>
        <row r="42">
          <cell r="C42" t="str">
            <v>122-31</v>
          </cell>
          <cell r="D42">
            <v>1090000</v>
          </cell>
          <cell r="E42" t="str">
            <v>SPECTOR</v>
          </cell>
        </row>
        <row r="43">
          <cell r="C43" t="str">
            <v>129-31</v>
          </cell>
          <cell r="D43">
            <v>2230000</v>
          </cell>
          <cell r="E43" t="str">
            <v>SMITH</v>
          </cell>
        </row>
        <row r="44">
          <cell r="C44" t="str">
            <v>806-31</v>
          </cell>
          <cell r="D44">
            <v>1110000</v>
          </cell>
          <cell r="E44" t="str">
            <v>STARKS</v>
          </cell>
        </row>
        <row r="45">
          <cell r="C45" t="str">
            <v>124-31</v>
          </cell>
          <cell r="D45">
            <v>2030000</v>
          </cell>
          <cell r="E45" t="str">
            <v>KILLION</v>
          </cell>
        </row>
        <row r="46">
          <cell r="C46" t="str">
            <v>807-31</v>
          </cell>
          <cell r="D46">
            <v>1100000</v>
          </cell>
          <cell r="E46" t="str">
            <v>GEBRETEKLE</v>
          </cell>
        </row>
        <row r="47">
          <cell r="C47" t="str">
            <v>131-31</v>
          </cell>
          <cell r="D47">
            <v>2260000</v>
          </cell>
          <cell r="E47" t="str">
            <v>ARVIDSON</v>
          </cell>
        </row>
        <row r="48">
          <cell r="C48" t="str">
            <v>126-31</v>
          </cell>
          <cell r="D48">
            <v>900000</v>
          </cell>
          <cell r="E48" t="str">
            <v>ROCHA</v>
          </cell>
        </row>
        <row r="49">
          <cell r="C49" t="str">
            <v>808-31</v>
          </cell>
          <cell r="D49">
            <v>1100000</v>
          </cell>
          <cell r="E49" t="str">
            <v>GEBRETEKLE</v>
          </cell>
        </row>
        <row r="50">
          <cell r="C50" t="str">
            <v>133-31</v>
          </cell>
          <cell r="D50">
            <v>1760000</v>
          </cell>
          <cell r="E50" t="str">
            <v>STRICKLAND</v>
          </cell>
        </row>
        <row r="51">
          <cell r="C51" t="str">
            <v>128-31</v>
          </cell>
          <cell r="D51">
            <v>2010000</v>
          </cell>
          <cell r="E51" t="str">
            <v>MAELZER</v>
          </cell>
        </row>
        <row r="52">
          <cell r="C52" t="str">
            <v>809-31</v>
          </cell>
          <cell r="D52">
            <v>1110000</v>
          </cell>
          <cell r="E52" t="str">
            <v>STARKS</v>
          </cell>
        </row>
        <row r="53">
          <cell r="C53" t="str">
            <v>135-31</v>
          </cell>
          <cell r="D53">
            <v>1090000</v>
          </cell>
          <cell r="E53" t="str">
            <v>SPECTOR</v>
          </cell>
        </row>
        <row r="54">
          <cell r="C54" t="str">
            <v>130-31</v>
          </cell>
          <cell r="D54">
            <v>2230000</v>
          </cell>
          <cell r="E54" t="str">
            <v>SMITH</v>
          </cell>
        </row>
        <row r="55">
          <cell r="C55" t="str">
            <v>810-31</v>
          </cell>
          <cell r="D55">
            <v>1110000</v>
          </cell>
          <cell r="E55" t="str">
            <v>STARKS</v>
          </cell>
        </row>
        <row r="56">
          <cell r="C56" t="str">
            <v>137-31</v>
          </cell>
          <cell r="D56">
            <v>2030000</v>
          </cell>
          <cell r="E56" t="str">
            <v>KILLION</v>
          </cell>
        </row>
        <row r="57">
          <cell r="C57" t="str">
            <v>811-31</v>
          </cell>
          <cell r="D57">
            <v>1100000</v>
          </cell>
          <cell r="E57" t="str">
            <v>GEBRETEKLE</v>
          </cell>
        </row>
        <row r="58">
          <cell r="C58" t="str">
            <v>132-31</v>
          </cell>
          <cell r="D58">
            <v>2260000</v>
          </cell>
          <cell r="E58" t="str">
            <v>ARVIDSON</v>
          </cell>
        </row>
        <row r="59">
          <cell r="C59" t="str">
            <v>139-31</v>
          </cell>
          <cell r="D59">
            <v>1360000</v>
          </cell>
          <cell r="E59" t="str">
            <v>SANTIZO</v>
          </cell>
        </row>
        <row r="60">
          <cell r="C60" t="str">
            <v>903-31</v>
          </cell>
          <cell r="D60">
            <v>1110000</v>
          </cell>
          <cell r="E60" t="str">
            <v>STARKS</v>
          </cell>
        </row>
        <row r="61">
          <cell r="C61" t="str">
            <v>134-31</v>
          </cell>
          <cell r="D61">
            <v>1760000</v>
          </cell>
          <cell r="E61" t="str">
            <v>STRICKLAND</v>
          </cell>
        </row>
        <row r="62">
          <cell r="C62" t="str">
            <v>812-31</v>
          </cell>
          <cell r="D62">
            <v>1100000</v>
          </cell>
          <cell r="E62" t="str">
            <v>GEBRETEKLE</v>
          </cell>
        </row>
        <row r="63">
          <cell r="C63" t="str">
            <v>141-31</v>
          </cell>
          <cell r="D63">
            <v>2010000</v>
          </cell>
          <cell r="E63" t="str">
            <v>MAELZER</v>
          </cell>
        </row>
        <row r="64">
          <cell r="C64" t="str">
            <v>136-31</v>
          </cell>
          <cell r="D64">
            <v>1090000</v>
          </cell>
          <cell r="E64" t="str">
            <v>SPECTOR</v>
          </cell>
        </row>
        <row r="65">
          <cell r="C65" t="str">
            <v>143-31</v>
          </cell>
          <cell r="D65">
            <v>2230000</v>
          </cell>
          <cell r="E65" t="str">
            <v>SMITH</v>
          </cell>
        </row>
        <row r="66">
          <cell r="C66" t="str">
            <v>138-31</v>
          </cell>
          <cell r="D66">
            <v>2030000</v>
          </cell>
          <cell r="E66" t="str">
            <v>KILLION</v>
          </cell>
        </row>
        <row r="67">
          <cell r="C67" t="str">
            <v>140-31</v>
          </cell>
          <cell r="D67">
            <v>1360000</v>
          </cell>
          <cell r="E67" t="str">
            <v>SANTIZO</v>
          </cell>
        </row>
        <row r="68">
          <cell r="C68" t="str">
            <v>145-31</v>
          </cell>
          <cell r="D68">
            <v>2260000</v>
          </cell>
          <cell r="E68" t="str">
            <v>ARVIDSON</v>
          </cell>
        </row>
        <row r="69">
          <cell r="C69" t="str">
            <v>813-31</v>
          </cell>
          <cell r="D69">
            <v>1100000</v>
          </cell>
          <cell r="E69" t="str">
            <v>GEBRETEKLE</v>
          </cell>
        </row>
        <row r="70">
          <cell r="C70" t="str">
            <v>147-31</v>
          </cell>
          <cell r="D70">
            <v>1760000</v>
          </cell>
          <cell r="E70" t="str">
            <v>STRICKLAND</v>
          </cell>
        </row>
        <row r="71">
          <cell r="C71" t="str">
            <v>142-31</v>
          </cell>
          <cell r="D71">
            <v>2010000</v>
          </cell>
          <cell r="E71" t="str">
            <v>MAELZER</v>
          </cell>
        </row>
        <row r="72">
          <cell r="C72" t="str">
            <v>814-31</v>
          </cell>
          <cell r="D72">
            <v>1100000</v>
          </cell>
          <cell r="E72" t="str">
            <v>GEBRETEKLE</v>
          </cell>
        </row>
        <row r="73">
          <cell r="C73" t="str">
            <v>149-31</v>
          </cell>
          <cell r="D73">
            <v>1090000</v>
          </cell>
          <cell r="E73" t="str">
            <v>SPECTOR</v>
          </cell>
        </row>
        <row r="74">
          <cell r="C74" t="str">
            <v>144-31</v>
          </cell>
          <cell r="D74">
            <v>2230000</v>
          </cell>
          <cell r="E74" t="str">
            <v>SMITH</v>
          </cell>
        </row>
        <row r="75">
          <cell r="C75" t="str">
            <v>151-31</v>
          </cell>
          <cell r="D75">
            <v>2030000</v>
          </cell>
          <cell r="E75" t="str">
            <v>KILLION</v>
          </cell>
        </row>
        <row r="76">
          <cell r="C76" t="str">
            <v>146-31</v>
          </cell>
          <cell r="D76">
            <v>2260000</v>
          </cell>
          <cell r="E76" t="str">
            <v>ARVIDSON</v>
          </cell>
        </row>
        <row r="77">
          <cell r="C77" t="str">
            <v>153-31</v>
          </cell>
          <cell r="D77">
            <v>900000</v>
          </cell>
          <cell r="E77" t="str">
            <v>ROCHA</v>
          </cell>
        </row>
        <row r="78">
          <cell r="C78" t="str">
            <v>815-31</v>
          </cell>
          <cell r="D78">
            <v>1100000</v>
          </cell>
          <cell r="E78" t="str">
            <v>GEBRETEKLE</v>
          </cell>
        </row>
        <row r="79">
          <cell r="C79" t="str">
            <v>148-31</v>
          </cell>
          <cell r="D79">
            <v>1760000</v>
          </cell>
          <cell r="E79" t="str">
            <v>STRICKLAND</v>
          </cell>
        </row>
        <row r="80">
          <cell r="C80" t="str">
            <v>155-31</v>
          </cell>
          <cell r="D80">
            <v>1110000</v>
          </cell>
          <cell r="E80" t="str">
            <v>STARKS</v>
          </cell>
        </row>
        <row r="81">
          <cell r="C81" t="str">
            <v>150-31</v>
          </cell>
          <cell r="D81">
            <v>1090000</v>
          </cell>
          <cell r="E81" t="str">
            <v>SPECTOR</v>
          </cell>
        </row>
        <row r="82">
          <cell r="C82" t="str">
            <v>816-31</v>
          </cell>
          <cell r="D82">
            <v>1100000</v>
          </cell>
          <cell r="E82" t="str">
            <v>GEBRETEKLE</v>
          </cell>
        </row>
        <row r="83">
          <cell r="C83" t="str">
            <v>157-31</v>
          </cell>
          <cell r="D83">
            <v>2230000</v>
          </cell>
          <cell r="E83" t="str">
            <v>SMITH</v>
          </cell>
        </row>
        <row r="84">
          <cell r="C84" t="str">
            <v>152-31</v>
          </cell>
          <cell r="D84">
            <v>2030000</v>
          </cell>
          <cell r="E84" t="str">
            <v>KILLION</v>
          </cell>
        </row>
        <row r="85">
          <cell r="C85" t="str">
            <v>159-31</v>
          </cell>
          <cell r="D85">
            <v>2260000</v>
          </cell>
          <cell r="E85" t="str">
            <v>ARVIDSON</v>
          </cell>
        </row>
        <row r="86">
          <cell r="C86" t="str">
            <v>154-31</v>
          </cell>
          <cell r="D86">
            <v>900000</v>
          </cell>
          <cell r="E86" t="str">
            <v>ROCHA</v>
          </cell>
        </row>
        <row r="87">
          <cell r="C87" t="str">
            <v>161-31</v>
          </cell>
          <cell r="D87">
            <v>1280000</v>
          </cell>
          <cell r="E87" t="str">
            <v>BARTLETT</v>
          </cell>
        </row>
        <row r="88">
          <cell r="C88" t="str">
            <v>817-31</v>
          </cell>
          <cell r="D88">
            <v>1100000</v>
          </cell>
          <cell r="E88" t="str">
            <v>GEBRETEKLE</v>
          </cell>
        </row>
        <row r="89">
          <cell r="C89" t="str">
            <v>156-31</v>
          </cell>
          <cell r="D89">
            <v>1110000</v>
          </cell>
          <cell r="E89" t="str">
            <v>STARKS</v>
          </cell>
        </row>
        <row r="90">
          <cell r="C90" t="str">
            <v>163-31</v>
          </cell>
          <cell r="D90">
            <v>2280000</v>
          </cell>
          <cell r="E90" t="str">
            <v>MAHAN</v>
          </cell>
        </row>
        <row r="91">
          <cell r="C91" t="str">
            <v>158-31</v>
          </cell>
          <cell r="D91">
            <v>2230000</v>
          </cell>
          <cell r="E91" t="str">
            <v>SMITH</v>
          </cell>
        </row>
        <row r="92">
          <cell r="C92" t="str">
            <v>818-31</v>
          </cell>
          <cell r="D92">
            <v>1100000</v>
          </cell>
          <cell r="E92" t="str">
            <v>GEBRETEKLE</v>
          </cell>
        </row>
        <row r="93">
          <cell r="C93" t="str">
            <v>165-31</v>
          </cell>
          <cell r="D93">
            <v>2100000</v>
          </cell>
          <cell r="E93" t="str">
            <v>ISHMAEL</v>
          </cell>
        </row>
        <row r="94">
          <cell r="C94" t="str">
            <v>160-31</v>
          </cell>
          <cell r="D94">
            <v>2140000</v>
          </cell>
          <cell r="E94" t="str">
            <v>ROBINSON</v>
          </cell>
        </row>
        <row r="95">
          <cell r="C95" t="str">
            <v>167-31</v>
          </cell>
          <cell r="D95">
            <v>1140000</v>
          </cell>
          <cell r="E95" t="str">
            <v>YOUNG</v>
          </cell>
        </row>
        <row r="96">
          <cell r="C96" t="str">
            <v>162-31</v>
          </cell>
          <cell r="D96">
            <v>1280000</v>
          </cell>
          <cell r="E96" t="str">
            <v>BARTLETT</v>
          </cell>
        </row>
        <row r="97">
          <cell r="C97" t="str">
            <v>169-31</v>
          </cell>
          <cell r="D97">
            <v>2270000</v>
          </cell>
          <cell r="E97" t="str">
            <v>BROWN</v>
          </cell>
        </row>
        <row r="98">
          <cell r="C98" t="str">
            <v>819-31</v>
          </cell>
          <cell r="D98">
            <v>1100000</v>
          </cell>
          <cell r="E98" t="str">
            <v>GEBRETEKLE</v>
          </cell>
        </row>
        <row r="99">
          <cell r="C99" t="str">
            <v>164-31</v>
          </cell>
          <cell r="D99">
            <v>2280000</v>
          </cell>
          <cell r="E99" t="str">
            <v>MAHAN</v>
          </cell>
        </row>
        <row r="100">
          <cell r="C100" t="str">
            <v>171-31</v>
          </cell>
          <cell r="D100">
            <v>1780000</v>
          </cell>
          <cell r="E100" t="str">
            <v>DE LA ROSA</v>
          </cell>
        </row>
        <row r="101">
          <cell r="C101" t="str">
            <v>166-31</v>
          </cell>
          <cell r="D101">
            <v>2100000</v>
          </cell>
          <cell r="E101" t="str">
            <v>ISHMAEL</v>
          </cell>
        </row>
        <row r="102">
          <cell r="C102" t="str">
            <v>820-31</v>
          </cell>
          <cell r="D102">
            <v>1100000</v>
          </cell>
          <cell r="E102" t="str">
            <v>GEBRETEKLE</v>
          </cell>
        </row>
        <row r="103">
          <cell r="C103" t="str">
            <v>173-31</v>
          </cell>
          <cell r="D103">
            <v>2260000</v>
          </cell>
          <cell r="E103" t="str">
            <v>ARVIDSON</v>
          </cell>
        </row>
        <row r="104">
          <cell r="C104" t="str">
            <v>168-31</v>
          </cell>
          <cell r="D104">
            <v>1140000</v>
          </cell>
          <cell r="E104" t="str">
            <v>YOUNG</v>
          </cell>
        </row>
        <row r="105">
          <cell r="C105" t="str">
            <v>175-31</v>
          </cell>
          <cell r="D105">
            <v>1280000</v>
          </cell>
          <cell r="E105" t="str">
            <v>BARTLETT</v>
          </cell>
        </row>
        <row r="106">
          <cell r="C106" t="str">
            <v>170-31</v>
          </cell>
          <cell r="D106">
            <v>2270000</v>
          </cell>
          <cell r="E106" t="str">
            <v>BROWN</v>
          </cell>
        </row>
        <row r="107">
          <cell r="C107" t="str">
            <v>821-31</v>
          </cell>
          <cell r="D107">
            <v>2040000</v>
          </cell>
          <cell r="E107" t="str">
            <v>MOSES</v>
          </cell>
        </row>
        <row r="108">
          <cell r="C108" t="str">
            <v>177-31</v>
          </cell>
          <cell r="D108">
            <v>2280000</v>
          </cell>
          <cell r="E108" t="str">
            <v>MAHAN</v>
          </cell>
        </row>
        <row r="109">
          <cell r="C109" t="str">
            <v>172-31</v>
          </cell>
          <cell r="D109">
            <v>1780000</v>
          </cell>
          <cell r="E109" t="str">
            <v>DE LA ROSA</v>
          </cell>
        </row>
        <row r="110">
          <cell r="C110" t="str">
            <v>179-31</v>
          </cell>
          <cell r="D110">
            <v>2100000</v>
          </cell>
          <cell r="E110" t="str">
            <v>ISHMAEL</v>
          </cell>
        </row>
        <row r="111">
          <cell r="C111" t="str">
            <v>174-31</v>
          </cell>
          <cell r="D111">
            <v>2140000</v>
          </cell>
          <cell r="E111" t="str">
            <v>ROBINSON</v>
          </cell>
        </row>
        <row r="112">
          <cell r="C112" t="str">
            <v>822-31</v>
          </cell>
          <cell r="D112">
            <v>2040000</v>
          </cell>
          <cell r="E112" t="str">
            <v>MOSES</v>
          </cell>
        </row>
        <row r="113">
          <cell r="C113" t="str">
            <v>181-31</v>
          </cell>
          <cell r="D113">
            <v>1140000</v>
          </cell>
          <cell r="E113" t="str">
            <v>YOUNG</v>
          </cell>
        </row>
        <row r="114">
          <cell r="C114" t="str">
            <v>176-31</v>
          </cell>
          <cell r="D114">
            <v>1280000</v>
          </cell>
          <cell r="E114" t="str">
            <v>BARTLETT</v>
          </cell>
        </row>
        <row r="115">
          <cell r="C115" t="str">
            <v>183-31</v>
          </cell>
          <cell r="D115">
            <v>2270000</v>
          </cell>
          <cell r="E115" t="str">
            <v>BROWN</v>
          </cell>
        </row>
        <row r="116">
          <cell r="C116" t="str">
            <v>823-31</v>
          </cell>
          <cell r="D116">
            <v>2040000</v>
          </cell>
          <cell r="E116" t="str">
            <v>MOSES</v>
          </cell>
        </row>
        <row r="117">
          <cell r="C117" t="str">
            <v>185-31</v>
          </cell>
          <cell r="D117">
            <v>1780000</v>
          </cell>
          <cell r="E117" t="str">
            <v>DE LA ROSA</v>
          </cell>
        </row>
        <row r="118">
          <cell r="C118" t="str">
            <v>178-31</v>
          </cell>
          <cell r="D118">
            <v>2280000</v>
          </cell>
          <cell r="E118" t="str">
            <v>MAHAN</v>
          </cell>
        </row>
        <row r="119">
          <cell r="C119" t="str">
            <v>180-31</v>
          </cell>
          <cell r="D119">
            <v>2100000</v>
          </cell>
          <cell r="E119" t="str">
            <v>ISHMAEL</v>
          </cell>
        </row>
        <row r="120">
          <cell r="C120" t="str">
            <v>187-31</v>
          </cell>
          <cell r="D120">
            <v>2260000</v>
          </cell>
          <cell r="E120" t="str">
            <v>ARVIDSON</v>
          </cell>
        </row>
        <row r="121">
          <cell r="C121" t="str">
            <v>824-31</v>
          </cell>
          <cell r="D121">
            <v>2040000</v>
          </cell>
          <cell r="E121" t="str">
            <v>MOSES</v>
          </cell>
        </row>
        <row r="122">
          <cell r="C122" t="str">
            <v>189-31</v>
          </cell>
          <cell r="D122">
            <v>1280000</v>
          </cell>
          <cell r="E122" t="str">
            <v>BARTLETT</v>
          </cell>
        </row>
        <row r="123">
          <cell r="C123" t="str">
            <v>182-31</v>
          </cell>
          <cell r="D123">
            <v>1140000</v>
          </cell>
          <cell r="E123" t="str">
            <v>YOUNG</v>
          </cell>
        </row>
        <row r="124">
          <cell r="C124" t="str">
            <v>184-31</v>
          </cell>
          <cell r="D124">
            <v>2270000</v>
          </cell>
          <cell r="E124" t="str">
            <v>BROWN</v>
          </cell>
        </row>
        <row r="125">
          <cell r="C125" t="str">
            <v>186-31</v>
          </cell>
          <cell r="D125">
            <v>1780000</v>
          </cell>
          <cell r="E125" t="str">
            <v>DE LA ROSA</v>
          </cell>
        </row>
        <row r="126">
          <cell r="C126" t="str">
            <v>191-31</v>
          </cell>
          <cell r="D126">
            <v>2280000</v>
          </cell>
          <cell r="E126" t="str">
            <v>MAHAN</v>
          </cell>
        </row>
        <row r="127">
          <cell r="C127" t="str">
            <v>825-31</v>
          </cell>
          <cell r="D127">
            <v>2040000</v>
          </cell>
          <cell r="E127" t="str">
            <v>MOSES</v>
          </cell>
        </row>
        <row r="128">
          <cell r="C128" t="str">
            <v>193-31</v>
          </cell>
          <cell r="D128">
            <v>2100000</v>
          </cell>
          <cell r="E128" t="str">
            <v>ISHMAEL</v>
          </cell>
        </row>
        <row r="129">
          <cell r="C129" t="str">
            <v>188-31</v>
          </cell>
          <cell r="D129">
            <v>2140000</v>
          </cell>
          <cell r="E129" t="str">
            <v>ROBINSON</v>
          </cell>
        </row>
        <row r="130">
          <cell r="C130" t="str">
            <v>904-31</v>
          </cell>
          <cell r="D130">
            <v>2220000</v>
          </cell>
          <cell r="E130" t="str">
            <v>HILLS</v>
          </cell>
        </row>
        <row r="131">
          <cell r="C131" t="str">
            <v>190-31</v>
          </cell>
          <cell r="D131">
            <v>1280000</v>
          </cell>
          <cell r="E131" t="str">
            <v>BARTLETT</v>
          </cell>
        </row>
        <row r="132">
          <cell r="C132" t="str">
            <v>904-31</v>
          </cell>
          <cell r="D132">
            <v>2220000</v>
          </cell>
          <cell r="E132" t="str">
            <v>HILLS</v>
          </cell>
        </row>
        <row r="133">
          <cell r="C133" t="str">
            <v>826-31</v>
          </cell>
          <cell r="D133">
            <v>2040000</v>
          </cell>
          <cell r="E133" t="str">
            <v>MOSES</v>
          </cell>
        </row>
        <row r="134">
          <cell r="C134" t="str">
            <v>197-31</v>
          </cell>
          <cell r="D134">
            <v>1140000</v>
          </cell>
          <cell r="E134" t="str">
            <v>YOUNG</v>
          </cell>
        </row>
        <row r="135">
          <cell r="C135" t="str">
            <v>827-31</v>
          </cell>
          <cell r="D135">
            <v>2220000</v>
          </cell>
          <cell r="E135" t="str">
            <v>HILLS</v>
          </cell>
        </row>
        <row r="136">
          <cell r="C136" t="str">
            <v>199-31</v>
          </cell>
          <cell r="D136">
            <v>2270000</v>
          </cell>
          <cell r="E136" t="str">
            <v>BROWN</v>
          </cell>
        </row>
        <row r="137">
          <cell r="C137" t="str">
            <v>192-31</v>
          </cell>
          <cell r="D137">
            <v>2280000</v>
          </cell>
          <cell r="E137" t="str">
            <v>MAHAN</v>
          </cell>
        </row>
        <row r="138">
          <cell r="C138" t="str">
            <v>201-31</v>
          </cell>
          <cell r="D138">
            <v>1780000</v>
          </cell>
          <cell r="E138" t="str">
            <v>DE LA ROSA</v>
          </cell>
        </row>
        <row r="139">
          <cell r="C139" t="str">
            <v>194-31</v>
          </cell>
          <cell r="D139">
            <v>2100000</v>
          </cell>
          <cell r="E139" t="str">
            <v>ISHMAEL</v>
          </cell>
        </row>
        <row r="140">
          <cell r="C140" t="str">
            <v>828-31</v>
          </cell>
          <cell r="D140">
            <v>2220000</v>
          </cell>
          <cell r="E140" t="str">
            <v>HILLS</v>
          </cell>
        </row>
        <row r="141">
          <cell r="C141" t="str">
            <v>188-31</v>
          </cell>
          <cell r="D141">
            <v>2140000</v>
          </cell>
          <cell r="E141" t="str">
            <v>ROBINSON</v>
          </cell>
        </row>
        <row r="142">
          <cell r="C142" t="str">
            <v>829-31</v>
          </cell>
          <cell r="D142">
            <v>2040000</v>
          </cell>
          <cell r="E142" t="str">
            <v>MOSES</v>
          </cell>
        </row>
        <row r="143">
          <cell r="C143" t="str">
            <v>203-31</v>
          </cell>
          <cell r="D143">
            <v>2260000</v>
          </cell>
          <cell r="E143" t="str">
            <v>ARVIDSON</v>
          </cell>
        </row>
        <row r="144">
          <cell r="C144" t="str">
            <v>203-31</v>
          </cell>
          <cell r="D144">
            <v>2260000</v>
          </cell>
          <cell r="E144" t="str">
            <v>ARVIDSON</v>
          </cell>
        </row>
        <row r="145">
          <cell r="C145" t="str">
            <v>831-31</v>
          </cell>
          <cell r="D145">
            <v>2220000</v>
          </cell>
          <cell r="E145" t="str">
            <v>HILLS</v>
          </cell>
        </row>
        <row r="146">
          <cell r="C146" t="str">
            <v>198-31</v>
          </cell>
          <cell r="D146">
            <v>1140000</v>
          </cell>
          <cell r="E146" t="str">
            <v>YOUNG</v>
          </cell>
        </row>
        <row r="147">
          <cell r="C147" t="str">
            <v>205-31</v>
          </cell>
          <cell r="D147">
            <v>1280000</v>
          </cell>
          <cell r="E147" t="str">
            <v>BARTLETT</v>
          </cell>
        </row>
        <row r="148">
          <cell r="C148" t="str">
            <v>830-31</v>
          </cell>
          <cell r="D148">
            <v>2040000</v>
          </cell>
          <cell r="E148" t="str">
            <v>MOSES</v>
          </cell>
        </row>
        <row r="149">
          <cell r="C149" t="str">
            <v>200-31</v>
          </cell>
          <cell r="D149">
            <v>2270000</v>
          </cell>
          <cell r="E149" t="str">
            <v>BROWN</v>
          </cell>
        </row>
        <row r="150">
          <cell r="C150" t="str">
            <v>207-31</v>
          </cell>
          <cell r="D150">
            <v>2280000</v>
          </cell>
          <cell r="E150" t="str">
            <v>MAHAN</v>
          </cell>
        </row>
        <row r="151">
          <cell r="C151" t="str">
            <v>207-31</v>
          </cell>
          <cell r="D151">
            <v>2280000</v>
          </cell>
          <cell r="E151" t="str">
            <v>MAHAN</v>
          </cell>
        </row>
        <row r="152">
          <cell r="C152" t="str">
            <v>202-31</v>
          </cell>
          <cell r="D152">
            <v>1780000</v>
          </cell>
          <cell r="E152" t="str">
            <v>DE LA ROSA</v>
          </cell>
        </row>
        <row r="153">
          <cell r="C153" t="str">
            <v>209-31</v>
          </cell>
          <cell r="D153">
            <v>1480000</v>
          </cell>
          <cell r="E153" t="str">
            <v>STURGEON</v>
          </cell>
        </row>
        <row r="154">
          <cell r="C154" t="str">
            <v>832-31</v>
          </cell>
          <cell r="D154">
            <v>2220000</v>
          </cell>
          <cell r="E154" t="str">
            <v>HILLS</v>
          </cell>
        </row>
        <row r="155">
          <cell r="C155" t="str">
            <v>207-31</v>
          </cell>
          <cell r="D155">
            <v>2280000</v>
          </cell>
          <cell r="E155" t="str">
            <v>MAHAN</v>
          </cell>
        </row>
        <row r="156">
          <cell r="C156" t="str">
            <v>207-31</v>
          </cell>
          <cell r="D156">
            <v>2280000</v>
          </cell>
          <cell r="E156" t="str">
            <v>MAHAN</v>
          </cell>
        </row>
        <row r="157">
          <cell r="C157" t="str">
            <v>833-31</v>
          </cell>
          <cell r="D157">
            <v>2040000</v>
          </cell>
          <cell r="E157" t="str">
            <v>MOSES</v>
          </cell>
        </row>
        <row r="158">
          <cell r="C158" t="str">
            <v>204-31</v>
          </cell>
          <cell r="D158">
            <v>2140000</v>
          </cell>
          <cell r="E158" t="str">
            <v>ROBINSON</v>
          </cell>
        </row>
        <row r="159">
          <cell r="C159" t="str">
            <v>206-31</v>
          </cell>
          <cell r="D159">
            <v>1280000</v>
          </cell>
          <cell r="E159" t="str">
            <v>BARTLETT</v>
          </cell>
        </row>
        <row r="160">
          <cell r="C160" t="str">
            <v>211-31</v>
          </cell>
          <cell r="D160">
            <v>1140000</v>
          </cell>
          <cell r="E160" t="str">
            <v>YOUNG</v>
          </cell>
        </row>
        <row r="161">
          <cell r="C161" t="str">
            <v>834-31</v>
          </cell>
          <cell r="D161">
            <v>2040000</v>
          </cell>
          <cell r="E161" t="str">
            <v>MOSES</v>
          </cell>
        </row>
        <row r="162">
          <cell r="C162" t="str">
            <v>CUSHING-31</v>
          </cell>
          <cell r="D162">
            <v>1200000</v>
          </cell>
          <cell r="E162" t="str">
            <v>CUSHING</v>
          </cell>
        </row>
        <row r="163">
          <cell r="C163" t="str">
            <v>213-31</v>
          </cell>
          <cell r="D163">
            <v>1230000</v>
          </cell>
          <cell r="E163" t="str">
            <v>YANAI</v>
          </cell>
        </row>
        <row r="164">
          <cell r="C164" t="str">
            <v>835-31</v>
          </cell>
          <cell r="D164">
            <v>2220000</v>
          </cell>
          <cell r="E164" t="str">
            <v>HILLS</v>
          </cell>
        </row>
        <row r="165">
          <cell r="C165" t="str">
            <v>208-31</v>
          </cell>
          <cell r="D165">
            <v>2280000</v>
          </cell>
          <cell r="E165" t="str">
            <v>MAHAN</v>
          </cell>
        </row>
        <row r="166">
          <cell r="C166" t="str">
            <v>67-31</v>
          </cell>
          <cell r="D166">
            <v>1290000</v>
          </cell>
          <cell r="E166" t="str">
            <v>COOLAHAN</v>
          </cell>
        </row>
        <row r="167">
          <cell r="C167" t="str">
            <v>215-31</v>
          </cell>
          <cell r="D167">
            <v>1780000</v>
          </cell>
          <cell r="E167" t="str">
            <v>DE LA ROSA</v>
          </cell>
        </row>
        <row r="168">
          <cell r="C168" t="str">
            <v>210-31</v>
          </cell>
          <cell r="D168">
            <v>1480000</v>
          </cell>
          <cell r="E168" t="str">
            <v>STURGEON</v>
          </cell>
        </row>
        <row r="169">
          <cell r="C169" t="str">
            <v>51-31</v>
          </cell>
          <cell r="D169">
            <v>1740000</v>
          </cell>
          <cell r="E169" t="str">
            <v>STORY</v>
          </cell>
        </row>
        <row r="170">
          <cell r="C170" t="str">
            <v>836-31</v>
          </cell>
          <cell r="D170">
            <v>2220000</v>
          </cell>
          <cell r="E170" t="str">
            <v>HILLS</v>
          </cell>
        </row>
        <row r="171">
          <cell r="C171" t="str">
            <v>217-31</v>
          </cell>
          <cell r="D171">
            <v>2000000</v>
          </cell>
          <cell r="E171" t="str">
            <v>STAMBAUGH</v>
          </cell>
        </row>
        <row r="172">
          <cell r="C172" t="str">
            <v>212-31</v>
          </cell>
          <cell r="D172">
            <v>1140000</v>
          </cell>
          <cell r="E172" t="str">
            <v>YOUNG</v>
          </cell>
        </row>
        <row r="173">
          <cell r="C173" t="str">
            <v>837-31</v>
          </cell>
          <cell r="D173">
            <v>2040000</v>
          </cell>
          <cell r="E173" t="str">
            <v>MOSES</v>
          </cell>
        </row>
        <row r="174">
          <cell r="C174" t="str">
            <v>219-31</v>
          </cell>
          <cell r="D174">
            <v>1290000</v>
          </cell>
          <cell r="E174" t="str">
            <v>COOLAHAN</v>
          </cell>
        </row>
        <row r="175">
          <cell r="C175" t="str">
            <v>214-31</v>
          </cell>
          <cell r="D175">
            <v>1230000</v>
          </cell>
          <cell r="E175" t="str">
            <v>YANAI</v>
          </cell>
        </row>
        <row r="176">
          <cell r="C176" t="str">
            <v>71-31</v>
          </cell>
          <cell r="D176">
            <v>1280000</v>
          </cell>
          <cell r="E176" t="str">
            <v>BARTLETT</v>
          </cell>
        </row>
        <row r="177">
          <cell r="C177" t="str">
            <v>219-31</v>
          </cell>
          <cell r="D177">
            <v>1290000</v>
          </cell>
          <cell r="E177" t="str">
            <v>COOLAHAN</v>
          </cell>
        </row>
        <row r="178">
          <cell r="C178" t="str">
            <v>838-31</v>
          </cell>
          <cell r="D178">
            <v>2040000</v>
          </cell>
          <cell r="E178" t="str">
            <v>MOSES</v>
          </cell>
        </row>
        <row r="179">
          <cell r="C179" t="str">
            <v>212-31</v>
          </cell>
          <cell r="D179">
            <v>1140000</v>
          </cell>
          <cell r="E179" t="str">
            <v>YOUNG</v>
          </cell>
        </row>
        <row r="180">
          <cell r="C180" t="str">
            <v>839-31</v>
          </cell>
          <cell r="D180">
            <v>2220000</v>
          </cell>
          <cell r="E180" t="str">
            <v>HILLS</v>
          </cell>
        </row>
        <row r="181">
          <cell r="C181" t="str">
            <v>303-31</v>
          </cell>
          <cell r="D181">
            <v>2280000</v>
          </cell>
          <cell r="E181" t="str">
            <v>MAHAN</v>
          </cell>
        </row>
        <row r="182">
          <cell r="C182" t="str">
            <v>216-31</v>
          </cell>
          <cell r="D182">
            <v>1780000</v>
          </cell>
          <cell r="E182" t="str">
            <v>DE LA ROSA</v>
          </cell>
        </row>
        <row r="183">
          <cell r="C183" t="str">
            <v>221-31</v>
          </cell>
          <cell r="D183">
            <v>1480000</v>
          </cell>
          <cell r="E183" t="str">
            <v>STURGEON</v>
          </cell>
        </row>
        <row r="184">
          <cell r="C184" t="str">
            <v>218-31</v>
          </cell>
          <cell r="D184">
            <v>2000000</v>
          </cell>
          <cell r="E184" t="str">
            <v>STAMBAUGH</v>
          </cell>
        </row>
        <row r="185">
          <cell r="C185" t="str">
            <v>906-31</v>
          </cell>
          <cell r="D185">
            <v>2220000</v>
          </cell>
          <cell r="E185" t="str">
            <v>HILLS</v>
          </cell>
        </row>
        <row r="186">
          <cell r="C186" t="str">
            <v>841-31</v>
          </cell>
          <cell r="D186">
            <v>2040000</v>
          </cell>
          <cell r="E186" t="str">
            <v>MOSES</v>
          </cell>
        </row>
        <row r="187">
          <cell r="C187" t="str">
            <v>220-31</v>
          </cell>
          <cell r="D187">
            <v>1290000</v>
          </cell>
          <cell r="E187" t="str">
            <v>COOLAHAN</v>
          </cell>
        </row>
        <row r="188">
          <cell r="C188" t="str">
            <v>223-31</v>
          </cell>
          <cell r="D188">
            <v>1230000</v>
          </cell>
          <cell r="E188" t="str">
            <v>YANAI</v>
          </cell>
        </row>
        <row r="189">
          <cell r="C189" t="str">
            <v>840-31</v>
          </cell>
          <cell r="D189">
            <v>2040000</v>
          </cell>
          <cell r="E189" t="str">
            <v>MOSES</v>
          </cell>
        </row>
        <row r="190">
          <cell r="C190" t="str">
            <v>307-31</v>
          </cell>
          <cell r="D190">
            <v>1780000</v>
          </cell>
          <cell r="E190" t="str">
            <v>DE LA ROSA</v>
          </cell>
        </row>
        <row r="191">
          <cell r="C191" t="str">
            <v>222-31</v>
          </cell>
          <cell r="D191">
            <v>1480000</v>
          </cell>
          <cell r="E191" t="str">
            <v>STURGEON</v>
          </cell>
        </row>
        <row r="192">
          <cell r="C192" t="str">
            <v>225-31</v>
          </cell>
          <cell r="D192">
            <v>2000000</v>
          </cell>
          <cell r="E192" t="str">
            <v>STAMBAUGH</v>
          </cell>
        </row>
        <row r="193">
          <cell r="C193" t="str">
            <v>843-31</v>
          </cell>
          <cell r="D193">
            <v>2040000</v>
          </cell>
          <cell r="E193" t="str">
            <v>MOSES</v>
          </cell>
        </row>
        <row r="194">
          <cell r="C194" t="str">
            <v>224-31</v>
          </cell>
          <cell r="D194">
            <v>1230000</v>
          </cell>
          <cell r="E194" t="str">
            <v>YANAI</v>
          </cell>
        </row>
        <row r="195">
          <cell r="C195" t="str">
            <v>227-31</v>
          </cell>
          <cell r="D195">
            <v>1290000</v>
          </cell>
          <cell r="E195" t="str">
            <v>COOLAHAN</v>
          </cell>
        </row>
        <row r="196">
          <cell r="C196" t="str">
            <v>843-31</v>
          </cell>
          <cell r="D196">
            <v>2040000</v>
          </cell>
          <cell r="E196" t="str">
            <v>MOSES</v>
          </cell>
        </row>
        <row r="197">
          <cell r="C197" t="str">
            <v>842-31</v>
          </cell>
          <cell r="D197">
            <v>2040000</v>
          </cell>
          <cell r="E197" t="str">
            <v>MOSES</v>
          </cell>
        </row>
        <row r="198">
          <cell r="C198" t="str">
            <v>226-31</v>
          </cell>
          <cell r="D198">
            <v>2000000</v>
          </cell>
          <cell r="E198" t="str">
            <v>STAMBAUGH</v>
          </cell>
        </row>
        <row r="199">
          <cell r="C199" t="str">
            <v>229-31</v>
          </cell>
          <cell r="D199">
            <v>1480000</v>
          </cell>
          <cell r="E199" t="str">
            <v>STURGEON</v>
          </cell>
        </row>
        <row r="200">
          <cell r="C200" t="str">
            <v>845-31</v>
          </cell>
          <cell r="D200">
            <v>2220000</v>
          </cell>
          <cell r="E200" t="str">
            <v>HILLS</v>
          </cell>
        </row>
        <row r="201">
          <cell r="C201" t="str">
            <v>228-31</v>
          </cell>
          <cell r="D201">
            <v>1290000</v>
          </cell>
          <cell r="E201" t="str">
            <v>COOLAHAN</v>
          </cell>
        </row>
        <row r="202">
          <cell r="C202" t="str">
            <v>231-31</v>
          </cell>
          <cell r="D202">
            <v>1230000</v>
          </cell>
          <cell r="E202" t="str">
            <v>YANAI</v>
          </cell>
        </row>
        <row r="203">
          <cell r="C203" t="str">
            <v>844-31</v>
          </cell>
          <cell r="D203">
            <v>2220000</v>
          </cell>
          <cell r="E203" t="str">
            <v>HILLS</v>
          </cell>
        </row>
        <row r="204">
          <cell r="C204" t="str">
            <v>230-31</v>
          </cell>
          <cell r="D204">
            <v>1480000</v>
          </cell>
          <cell r="E204" t="str">
            <v>STURGEON</v>
          </cell>
        </row>
        <row r="205">
          <cell r="C205" t="str">
            <v>233-31</v>
          </cell>
          <cell r="D205">
            <v>2000000</v>
          </cell>
          <cell r="E205" t="str">
            <v>STAMBAUGH</v>
          </cell>
        </row>
        <row r="206">
          <cell r="C206" t="str">
            <v>233-31</v>
          </cell>
          <cell r="D206">
            <v>2000000</v>
          </cell>
          <cell r="E206" t="str">
            <v>STAMBAUGH</v>
          </cell>
        </row>
        <row r="207">
          <cell r="C207" t="str">
            <v>847-31</v>
          </cell>
          <cell r="D207">
            <v>2220000</v>
          </cell>
          <cell r="E207" t="str">
            <v>HILLS</v>
          </cell>
        </row>
        <row r="208">
          <cell r="C208" t="str">
            <v>232-31</v>
          </cell>
          <cell r="D208">
            <v>1230000</v>
          </cell>
          <cell r="E208" t="str">
            <v>YANAI</v>
          </cell>
        </row>
        <row r="209">
          <cell r="C209" t="str">
            <v>235-31</v>
          </cell>
          <cell r="D209">
            <v>1290000</v>
          </cell>
          <cell r="E209" t="str">
            <v>COOLAHAN</v>
          </cell>
        </row>
        <row r="210">
          <cell r="C210" t="str">
            <v>908-31</v>
          </cell>
          <cell r="D210">
            <v>2220000</v>
          </cell>
          <cell r="E210" t="str">
            <v>HILLS</v>
          </cell>
        </row>
        <row r="211">
          <cell r="C211" t="str">
            <v>232-31</v>
          </cell>
          <cell r="D211">
            <v>1230000</v>
          </cell>
          <cell r="E211" t="str">
            <v>YANAI</v>
          </cell>
        </row>
        <row r="212">
          <cell r="C212" t="str">
            <v>237-31</v>
          </cell>
          <cell r="D212">
            <v>1480000</v>
          </cell>
          <cell r="E212" t="str">
            <v>STURGEON</v>
          </cell>
        </row>
        <row r="213">
          <cell r="C213" t="str">
            <v>234-31</v>
          </cell>
          <cell r="D213">
            <v>2000000</v>
          </cell>
          <cell r="E213" t="str">
            <v>STAMBAUGH</v>
          </cell>
        </row>
        <row r="214">
          <cell r="C214" t="str">
            <v>236-31</v>
          </cell>
          <cell r="D214">
            <v>1290000</v>
          </cell>
          <cell r="E214" t="str">
            <v>COOLAHAN</v>
          </cell>
        </row>
        <row r="215">
          <cell r="C215" t="str">
            <v>239-31</v>
          </cell>
          <cell r="D215">
            <v>1230000</v>
          </cell>
          <cell r="E215" t="str">
            <v>YANAI</v>
          </cell>
        </row>
        <row r="216">
          <cell r="C216" t="str">
            <v>238-31</v>
          </cell>
          <cell r="D216">
            <v>1480000</v>
          </cell>
          <cell r="E216" t="str">
            <v>STURGEON</v>
          </cell>
        </row>
        <row r="217">
          <cell r="C217" t="str">
            <v>241-31</v>
          </cell>
          <cell r="D217">
            <v>2000000</v>
          </cell>
          <cell r="E217" t="str">
            <v>STAMBAUGH</v>
          </cell>
        </row>
        <row r="218">
          <cell r="C218" t="str">
            <v>240-31</v>
          </cell>
          <cell r="D218">
            <v>1230000</v>
          </cell>
          <cell r="E218" t="str">
            <v>YANAI</v>
          </cell>
        </row>
        <row r="219">
          <cell r="C219" t="str">
            <v>243-31</v>
          </cell>
          <cell r="D219">
            <v>1290000</v>
          </cell>
          <cell r="E219" t="str">
            <v>COOLAHAN</v>
          </cell>
        </row>
        <row r="220">
          <cell r="C220" t="str">
            <v>309-31</v>
          </cell>
          <cell r="D220">
            <v>1480000</v>
          </cell>
          <cell r="E220" t="str">
            <v>STURGEON</v>
          </cell>
        </row>
        <row r="221">
          <cell r="C221" t="str">
            <v>242-31</v>
          </cell>
          <cell r="D221">
            <v>2000000</v>
          </cell>
          <cell r="E221" t="str">
            <v>STAMBAUGH</v>
          </cell>
        </row>
        <row r="222">
          <cell r="C222" t="str">
            <v>311-31</v>
          </cell>
          <cell r="D222">
            <v>1230000</v>
          </cell>
          <cell r="E222" t="str">
            <v>YANAI</v>
          </cell>
        </row>
        <row r="223">
          <cell r="C223" t="str">
            <v>244-31</v>
          </cell>
          <cell r="D223">
            <v>1290000</v>
          </cell>
          <cell r="E223" t="str">
            <v>COOLAHAN</v>
          </cell>
        </row>
        <row r="224">
          <cell r="C224" t="str">
            <v>313-31</v>
          </cell>
          <cell r="D224">
            <v>2000000</v>
          </cell>
          <cell r="E224" t="str">
            <v>STAMBAUGH</v>
          </cell>
        </row>
        <row r="225">
          <cell r="C225" t="str">
            <v>315-31</v>
          </cell>
          <cell r="D225">
            <v>1290000</v>
          </cell>
          <cell r="E225" t="str">
            <v>COOLAHAN</v>
          </cell>
        </row>
        <row r="227">
          <cell r="C227" t="str">
            <v>50-31</v>
          </cell>
          <cell r="D227">
            <v>780000</v>
          </cell>
          <cell r="E227" t="str">
            <v>CHIONE</v>
          </cell>
        </row>
        <row r="228">
          <cell r="C228" t="str">
            <v>51-31</v>
          </cell>
          <cell r="D228">
            <v>780000</v>
          </cell>
          <cell r="E228" t="str">
            <v>CHIONE</v>
          </cell>
        </row>
        <row r="230">
          <cell r="C230" t="str">
            <v>245-26</v>
          </cell>
          <cell r="D230">
            <v>2090000</v>
          </cell>
          <cell r="E230" t="str">
            <v>HAITHCOX</v>
          </cell>
        </row>
        <row r="231">
          <cell r="C231" t="str">
            <v>242-26</v>
          </cell>
          <cell r="D231">
            <v>1800000</v>
          </cell>
          <cell r="E231" t="str">
            <v>CHANDLER</v>
          </cell>
        </row>
        <row r="232">
          <cell r="C232" t="str">
            <v>245-26</v>
          </cell>
          <cell r="D232">
            <v>2090000</v>
          </cell>
          <cell r="E232" t="str">
            <v>HAITHCOX</v>
          </cell>
        </row>
        <row r="233">
          <cell r="C233" t="str">
            <v>309-26</v>
          </cell>
          <cell r="D233">
            <v>1230000</v>
          </cell>
          <cell r="E233" t="str">
            <v>YANAI</v>
          </cell>
        </row>
        <row r="234">
          <cell r="C234" t="str">
            <v>244-26</v>
          </cell>
          <cell r="D234">
            <v>2260000</v>
          </cell>
          <cell r="E234" t="str">
            <v>ARVIDSON</v>
          </cell>
        </row>
        <row r="235">
          <cell r="C235" t="str">
            <v>311-26</v>
          </cell>
          <cell r="D235">
            <v>1800000</v>
          </cell>
          <cell r="E235" t="str">
            <v>CHANDLER</v>
          </cell>
        </row>
        <row r="236">
          <cell r="C236" t="str">
            <v>246-26</v>
          </cell>
          <cell r="D236">
            <v>2090000</v>
          </cell>
          <cell r="E236" t="str">
            <v>HAITHCOX</v>
          </cell>
        </row>
        <row r="237">
          <cell r="C237" t="str">
            <v>313-26</v>
          </cell>
          <cell r="D237">
            <v>2260000</v>
          </cell>
          <cell r="E237" t="str">
            <v>ARVIDSON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/>
      <sheetData sheetId="5">
        <row r="3">
          <cell r="I3">
            <v>1</v>
          </cell>
        </row>
        <row r="4">
          <cell r="I4">
            <v>2</v>
          </cell>
        </row>
        <row r="5">
          <cell r="I5">
            <v>23</v>
          </cell>
        </row>
        <row r="6">
          <cell r="I6" t="str">
            <v>Yes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</sheetNames>
    <sheetDataSet>
      <sheetData sheetId="0">
        <row r="13">
          <cell r="A13" t="str">
            <v>101-01</v>
          </cell>
          <cell r="B13">
            <v>4007</v>
          </cell>
          <cell r="C13" t="str">
            <v>DE.1.0.7.0</v>
          </cell>
          <cell r="D13" t="str">
            <v>204:719</v>
          </cell>
          <cell r="E13">
            <v>42583.130393518521</v>
          </cell>
          <cell r="F13">
            <v>42583.132696759261</v>
          </cell>
          <cell r="G13">
            <v>3</v>
          </cell>
          <cell r="H13" t="str">
            <v>204:233284</v>
          </cell>
          <cell r="I13">
            <v>42583.161678240744</v>
          </cell>
          <cell r="J13">
            <v>0</v>
          </cell>
          <cell r="K13" t="str">
            <v>4007/4008</v>
          </cell>
          <cell r="L13" t="str">
            <v>STURGEON</v>
          </cell>
          <cell r="M13">
            <v>2.8981481482333038E-2</v>
          </cell>
          <cell r="N13">
            <v>41.733333334559575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https://search-rtdc-monitor-bjffxe2xuh6vdkpspy63sjmuny.us-east-1.es.amazonaws.com/_plugin/kibana/#/discover/Steve-Slow-Train-Analysis-(2080s-and-2083s)?_g=(refreshInterval:(display:Off,section:0,value:0),time:(from:'2016-08-01 02:07:46-0600',mode:absolute,to:'2016-08-01 04:52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13" t="str">
            <v>N</v>
          </cell>
          <cell r="X13" t="e">
            <v>#VALUE!</v>
          </cell>
          <cell r="Y13">
            <v>7.1900000000000006E-2</v>
          </cell>
          <cell r="Z13">
            <v>23.328399999999998</v>
          </cell>
          <cell r="AA13">
            <v>23.256499999999999</v>
          </cell>
          <cell r="AB13" t="e">
            <v>#N/A</v>
          </cell>
          <cell r="AC13" t="e">
            <v>#N/A</v>
          </cell>
          <cell r="AD13" t="str">
            <v>0101-01</v>
          </cell>
          <cell r="AE13" t="str">
            <v>aws s3 cp s3://rtdc.mdm.uploadarchive/RTDC4007/2016-08-01/ "C:\Users\stu\Documents\Analysis\2016-02-23 RTDC Observations"\RTDC4007\2016-08-01 --recursive &amp; "C:\Users\stu\Documents\GitHub\mrs-test-scripts\Headless Mode &amp; Sideloading\WalkAndUnGZ.bat" "C:\Users\stu\Documents\Analysis\2016-02-23 RTDC Observations"\RTDC4007\2016-08-01 &amp; aws s3 cp s3://rtdc.mdm.uploadarchive/RTDC4007/2016-08-02/ "C:\Users\stu\Documents\Analysis\2016-02-23 RTDC Observations"\RTDC4007\2016-08-02 --recursive &amp; "C:\Users\stu\Documents\GitHub\mrs-test-scripts\Headless Mode &amp; Sideloading\WalkAndUnGZ.bat" "C:\Users\stu\Documents\Analysis\2016-02-23 RTDC Observations"\RTDC4007\2016-08-02</v>
          </cell>
        </row>
        <row r="14">
          <cell r="A14" t="str">
            <v>102-01</v>
          </cell>
          <cell r="B14">
            <v>4010</v>
          </cell>
          <cell r="C14" t="str">
            <v>DE.1.0.7.0</v>
          </cell>
          <cell r="D14" t="str">
            <v>204:232629</v>
          </cell>
          <cell r="E14">
            <v>42583.16615740741</v>
          </cell>
          <cell r="F14">
            <v>42583.167905092596</v>
          </cell>
          <cell r="G14">
            <v>2</v>
          </cell>
          <cell r="H14" t="str">
            <v>204:161</v>
          </cell>
          <cell r="I14">
            <v>42583.203148148146</v>
          </cell>
          <cell r="J14">
            <v>0</v>
          </cell>
          <cell r="K14" t="str">
            <v>4009/4010</v>
          </cell>
          <cell r="L14" t="str">
            <v>STURGEON</v>
          </cell>
          <cell r="M14">
            <v>3.5243055550381541E-2</v>
          </cell>
          <cell r="N14">
            <v>50.749999992549419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https://search-rtdc-monitor-bjffxe2xuh6vdkpspy63sjmuny.us-east-1.es.amazonaws.com/_plugin/kibana/#/discover/Steve-Slow-Train-Analysis-(2080s-and-2083s)?_g=(refreshInterval:(display:Off,section:0,value:0),time:(from:'2016-08-01 02:59:16-0600',mode:absolute,to:'2016-08-01 05:52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4" t="str">
            <v>N</v>
          </cell>
          <cell r="X14">
            <v>1</v>
          </cell>
          <cell r="Y14">
            <v>23.262899999999998</v>
          </cell>
          <cell r="Z14">
            <v>1.61E-2</v>
          </cell>
          <cell r="AA14">
            <v>23.246799999999997</v>
          </cell>
          <cell r="AB14" t="e">
            <v>#N/A</v>
          </cell>
          <cell r="AC14" t="e">
            <v>#N/A</v>
          </cell>
          <cell r="AD14" t="str">
            <v>0102-01</v>
          </cell>
          <cell r="AE14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15">
          <cell r="A15" t="str">
            <v>103-01</v>
          </cell>
          <cell r="B15">
            <v>4029</v>
          </cell>
          <cell r="C15" t="str">
            <v>DE.1.0.7.0</v>
          </cell>
          <cell r="D15" t="str">
            <v>204:655</v>
          </cell>
          <cell r="E15">
            <v>42583.15053240741</v>
          </cell>
          <cell r="F15">
            <v>42583.152013888888</v>
          </cell>
          <cell r="G15">
            <v>2</v>
          </cell>
          <cell r="H15" t="str">
            <v>204:233359</v>
          </cell>
          <cell r="I15">
            <v>42583.182500000003</v>
          </cell>
          <cell r="J15">
            <v>0</v>
          </cell>
          <cell r="K15" t="str">
            <v>4029/4030</v>
          </cell>
          <cell r="L15" t="str">
            <v>ACKERMAN</v>
          </cell>
          <cell r="M15">
            <v>3.0486111114441883E-2</v>
          </cell>
          <cell r="N15">
            <v>43.900000004796311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https://search-rtdc-monitor-bjffxe2xuh6vdkpspy63sjmuny.us-east-1.es.amazonaws.com/_plugin/kibana/#/discover/Steve-Slow-Train-Analysis-(2080s-and-2083s)?_g=(refreshInterval:(display:Off,section:0,value:0),time:(from:'2016-08-01 02:36:46-0600',mode:absolute,to:'2016-08-01 05:22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" t="str">
            <v>N</v>
          </cell>
          <cell r="X15">
            <v>1</v>
          </cell>
          <cell r="Y15">
            <v>6.5500000000000003E-2</v>
          </cell>
          <cell r="Z15">
            <v>23.335899999999999</v>
          </cell>
          <cell r="AA15">
            <v>23.270399999999999</v>
          </cell>
          <cell r="AB15" t="e">
            <v>#N/A</v>
          </cell>
          <cell r="AC15" t="e">
            <v>#N/A</v>
          </cell>
          <cell r="AD15" t="str">
            <v>0103-01</v>
          </cell>
          <cell r="AE1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6">
          <cell r="A16" t="str">
            <v>104-01</v>
          </cell>
          <cell r="B16">
            <v>4015</v>
          </cell>
          <cell r="C16" t="str">
            <v>DE.1.0.7.0</v>
          </cell>
          <cell r="D16" t="str">
            <v>204:232721</v>
          </cell>
          <cell r="E16">
            <v>42583.189664351848</v>
          </cell>
          <cell r="F16">
            <v>42583.190706018519</v>
          </cell>
          <cell r="G16">
            <v>1</v>
          </cell>
          <cell r="H16" t="str">
            <v>204:119</v>
          </cell>
          <cell r="I16">
            <v>42583.222719907404</v>
          </cell>
          <cell r="J16">
            <v>0</v>
          </cell>
          <cell r="K16" t="str">
            <v>4015/4016</v>
          </cell>
          <cell r="L16" t="str">
            <v>ACKERMAN</v>
          </cell>
          <cell r="M16">
            <v>3.2013888885558117E-2</v>
          </cell>
          <cell r="N16">
            <v>46.099999995203689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https://search-rtdc-monitor-bjffxe2xuh6vdkpspy63sjmuny.us-east-1.es.amazonaws.com/_plugin/kibana/#/discover/Steve-Slow-Train-Analysis-(2080s-and-2083s)?_g=(refreshInterval:(display:Off,section:0,value:0),time:(from:'2016-08-01 03:33:07-0600',mode:absolute,to:'2016-08-01 06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6" t="str">
            <v>N</v>
          </cell>
          <cell r="X16">
            <v>1</v>
          </cell>
          <cell r="Y16">
            <v>23.272099999999998</v>
          </cell>
          <cell r="Z16">
            <v>1.1900000000000001E-2</v>
          </cell>
          <cell r="AA16">
            <v>23.260199999999998</v>
          </cell>
          <cell r="AB16" t="e">
            <v>#N/A</v>
          </cell>
          <cell r="AC16" t="e">
            <v>#N/A</v>
          </cell>
          <cell r="AD16" t="str">
            <v>0104-01</v>
          </cell>
          <cell r="AE16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7">
          <cell r="A17" t="str">
            <v>105-01</v>
          </cell>
          <cell r="B17">
            <v>4044</v>
          </cell>
          <cell r="C17" t="str">
            <v>DE.1.0.7.0</v>
          </cell>
          <cell r="D17" t="str">
            <v>204:755</v>
          </cell>
          <cell r="E17">
            <v>42583.167557870373</v>
          </cell>
          <cell r="F17">
            <v>42583.168749999997</v>
          </cell>
          <cell r="G17">
            <v>1</v>
          </cell>
          <cell r="H17" t="str">
            <v>204:233305</v>
          </cell>
          <cell r="I17">
            <v>42583.202569444446</v>
          </cell>
          <cell r="J17">
            <v>0</v>
          </cell>
          <cell r="K17" t="str">
            <v>4043/4044</v>
          </cell>
          <cell r="L17" t="str">
            <v>DAVIS</v>
          </cell>
          <cell r="M17">
            <v>3.3819444448454306E-2</v>
          </cell>
          <cell r="N17">
            <v>48.7000000057742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https://search-rtdc-monitor-bjffxe2xuh6vdkpspy63sjmuny.us-east-1.es.amazonaws.com/_plugin/kibana/#/discover/Steve-Slow-Train-Analysis-(2080s-and-2083s)?_g=(refreshInterval:(display:Off,section:0,value:0),time:(from:'2016-08-01 03:01:17-0600',mode:absolute,to:'2016-08-01 05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7" t="str">
            <v>N</v>
          </cell>
          <cell r="X17">
            <v>1</v>
          </cell>
          <cell r="Y17">
            <v>7.5499999999999998E-2</v>
          </cell>
          <cell r="Z17">
            <v>23.330500000000001</v>
          </cell>
          <cell r="AA17">
            <v>23.254999999999999</v>
          </cell>
          <cell r="AB17" t="e">
            <v>#N/A</v>
          </cell>
          <cell r="AC17" t="e">
            <v>#N/A</v>
          </cell>
          <cell r="AD17" t="str">
            <v>0105-01</v>
          </cell>
          <cell r="AE1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8">
          <cell r="A18" t="str">
            <v>106-01</v>
          </cell>
          <cell r="B18">
            <v>4012</v>
          </cell>
          <cell r="C18" t="str">
            <v>DE.1.0.7.0</v>
          </cell>
          <cell r="D18" t="str">
            <v>204:232654</v>
          </cell>
          <cell r="E18">
            <v>42583.211574074077</v>
          </cell>
          <cell r="F18">
            <v>42583.212523148148</v>
          </cell>
          <cell r="G18">
            <v>1</v>
          </cell>
          <cell r="H18" t="str">
            <v>204:139</v>
          </cell>
          <cell r="I18">
            <v>42583.243078703701</v>
          </cell>
          <cell r="J18">
            <v>0</v>
          </cell>
          <cell r="K18" t="str">
            <v>4011/4012</v>
          </cell>
          <cell r="L18" t="str">
            <v>DAVIS</v>
          </cell>
          <cell r="M18">
            <v>3.0555555553291924E-2</v>
          </cell>
          <cell r="N18">
            <v>43.999999996740371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https://search-rtdc-monitor-bjffxe2xuh6vdkpspy63sjmuny.us-east-1.es.amazonaws.com/_plugin/kibana/#/discover/Steve-Slow-Train-Analysis-(2080s-and-2083s)?_g=(refreshInterval:(display:Off,section:0,value:0),time:(from:'2016-08-01 04:04:40-0600',mode:absolute,to:'2016-08-01 06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8" t="str">
            <v>N</v>
          </cell>
          <cell r="X18">
            <v>1</v>
          </cell>
          <cell r="Y18">
            <v>23.2654</v>
          </cell>
          <cell r="Z18">
            <v>1.3899999999999999E-2</v>
          </cell>
          <cell r="AA18">
            <v>23.2515</v>
          </cell>
          <cell r="AB18" t="e">
            <v>#N/A</v>
          </cell>
          <cell r="AC18" t="e">
            <v>#N/A</v>
          </cell>
          <cell r="AD18" t="str">
            <v>0106-01</v>
          </cell>
          <cell r="AE18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9">
          <cell r="A19" t="str">
            <v>107-01</v>
          </cell>
          <cell r="B19">
            <v>4027</v>
          </cell>
          <cell r="C19" t="str">
            <v>DE.1.0.7.0</v>
          </cell>
          <cell r="D19" t="str">
            <v>204:453</v>
          </cell>
          <cell r="E19">
            <v>42583.180520833332</v>
          </cell>
          <cell r="F19">
            <v>42583.181655092594</v>
          </cell>
          <cell r="G19">
            <v>1</v>
          </cell>
          <cell r="H19" t="str">
            <v>204:233319</v>
          </cell>
          <cell r="I19">
            <v>42583.213020833333</v>
          </cell>
          <cell r="J19">
            <v>0</v>
          </cell>
          <cell r="K19" t="str">
            <v>4027/4028</v>
          </cell>
          <cell r="L19" t="str">
            <v>SPECTOR</v>
          </cell>
          <cell r="M19">
            <v>3.1365740738692693E-2</v>
          </cell>
          <cell r="N19">
            <v>45.166666663717479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https://search-rtdc-monitor-bjffxe2xuh6vdkpspy63sjmuny.us-east-1.es.amazonaws.com/_plugin/kibana/#/discover/Steve-Slow-Train-Analysis-(2080s-and-2083s)?_g=(refreshInterval:(display:Off,section:0,value:0),time:(from:'2016-08-01 03:19:57-0600',mode:absolute,to:'2016-08-01 06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9" t="str">
            <v>N</v>
          </cell>
          <cell r="X19">
            <v>1</v>
          </cell>
          <cell r="Y19">
            <v>4.53E-2</v>
          </cell>
          <cell r="Z19">
            <v>23.331900000000001</v>
          </cell>
          <cell r="AA19">
            <v>23.2866</v>
          </cell>
          <cell r="AB19" t="e">
            <v>#N/A</v>
          </cell>
          <cell r="AC19" t="e">
            <v>#N/A</v>
          </cell>
          <cell r="AD19" t="str">
            <v>0107-01</v>
          </cell>
          <cell r="AE19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20">
          <cell r="A20" t="str">
            <v>108-01</v>
          </cell>
          <cell r="B20">
            <v>4028</v>
          </cell>
          <cell r="C20" t="str">
            <v>DE.1.0.7.0</v>
          </cell>
          <cell r="D20" t="str">
            <v>204:233006</v>
          </cell>
          <cell r="E20">
            <v>42583.218333333331</v>
          </cell>
          <cell r="F20">
            <v>42583.219050925924</v>
          </cell>
          <cell r="G20">
            <v>1</v>
          </cell>
          <cell r="H20" t="str">
            <v>204:139</v>
          </cell>
          <cell r="I20">
            <v>42583.255428240744</v>
          </cell>
          <cell r="J20">
            <v>0</v>
          </cell>
          <cell r="K20" t="str">
            <v>4027/4028</v>
          </cell>
          <cell r="L20" t="str">
            <v>SPECTOR</v>
          </cell>
          <cell r="M20">
            <v>3.6377314820128959E-2</v>
          </cell>
          <cell r="N20">
            <v>52.3833333409857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https://search-rtdc-monitor-bjffxe2xuh6vdkpspy63sjmuny.us-east-1.es.amazonaws.com/_plugin/kibana/#/discover/Steve-Slow-Train-Analysis-(2080s-and-2083s)?_g=(refreshInterval:(display:Off,section:0,value:0),time:(from:'2016-08-01 04:14:24-0600',mode:absolute,to:'2016-08-01 07:07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" t="str">
            <v>N</v>
          </cell>
          <cell r="X20">
            <v>1</v>
          </cell>
          <cell r="Y20">
            <v>23.300599999999999</v>
          </cell>
          <cell r="Z20">
            <v>1.3899999999999999E-2</v>
          </cell>
          <cell r="AA20">
            <v>23.2867</v>
          </cell>
          <cell r="AB20" t="e">
            <v>#N/A</v>
          </cell>
          <cell r="AC20" t="e">
            <v>#N/A</v>
          </cell>
          <cell r="AD20" t="str">
            <v>0108-01</v>
          </cell>
          <cell r="AE20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21">
          <cell r="A21" t="str">
            <v>109-01</v>
          </cell>
          <cell r="B21">
            <v>4014</v>
          </cell>
          <cell r="C21" t="str">
            <v>DE.1.0.7.0</v>
          </cell>
          <cell r="D21" t="str">
            <v>204:433</v>
          </cell>
          <cell r="E21">
            <v>42583.188726851855</v>
          </cell>
          <cell r="F21">
            <v>42583.189629629633</v>
          </cell>
          <cell r="G21">
            <v>1</v>
          </cell>
          <cell r="H21" t="str">
            <v>204:233293</v>
          </cell>
          <cell r="I21">
            <v>42583.222372685188</v>
          </cell>
          <cell r="J21">
            <v>0</v>
          </cell>
          <cell r="K21" t="str">
            <v>4013/4014</v>
          </cell>
          <cell r="L21" t="str">
            <v>YORK</v>
          </cell>
          <cell r="M21">
            <v>3.2743055555329192E-2</v>
          </cell>
          <cell r="N21">
            <v>47.149999999674037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https://search-rtdc-monitor-bjffxe2xuh6vdkpspy63sjmuny.us-east-1.es.amazonaws.com/_plugin/kibana/#/discover/Steve-Slow-Train-Analysis-(2080s-and-2083s)?_g=(refreshInterval:(display:Off,section:0,value:0),time:(from:'2016-08-01 03:31:46-0600',mode:absolute,to:'2016-08-01 06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21" t="str">
            <v>N</v>
          </cell>
          <cell r="X21">
            <v>1</v>
          </cell>
          <cell r="Y21">
            <v>4.3299999999999998E-2</v>
          </cell>
          <cell r="Z21">
            <v>23.3293</v>
          </cell>
          <cell r="AA21">
            <v>23.286000000000001</v>
          </cell>
          <cell r="AB21" t="e">
            <v>#N/A</v>
          </cell>
          <cell r="AC21" t="e">
            <v>#N/A</v>
          </cell>
          <cell r="AD21" t="str">
            <v>0109-01</v>
          </cell>
          <cell r="AE21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22">
          <cell r="A22" t="str">
            <v>110-01</v>
          </cell>
          <cell r="B22">
            <v>4013</v>
          </cell>
          <cell r="C22" t="str">
            <v>DE.1.0.7.0</v>
          </cell>
          <cell r="D22" t="str">
            <v>204:232963</v>
          </cell>
          <cell r="E22">
            <v>42583.223958333336</v>
          </cell>
          <cell r="F22">
            <v>42583.224745370368</v>
          </cell>
          <cell r="G22">
            <v>1</v>
          </cell>
          <cell r="H22" t="str">
            <v>204:143</v>
          </cell>
          <cell r="I22">
            <v>42583.264953703707</v>
          </cell>
          <cell r="J22">
            <v>1</v>
          </cell>
          <cell r="K22" t="str">
            <v>4013/4014</v>
          </cell>
          <cell r="L22" t="str">
            <v>YORK</v>
          </cell>
          <cell r="M22">
            <v>4.0208333339251112E-2</v>
          </cell>
          <cell r="N22">
            <v>57.900000008521602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https://search-rtdc-monitor-bjffxe2xuh6vdkpspy63sjmuny.us-east-1.es.amazonaws.com/_plugin/kibana/#/discover/Steve-Slow-Train-Analysis-(2080s-and-2083s)?_g=(refreshInterval:(display:Off,section:0,value:0),time:(from:'2016-08-01 04:22:30-0600',mode:absolute,to:'2016-08-01 07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22" t="str">
            <v>N</v>
          </cell>
          <cell r="X22">
            <v>1</v>
          </cell>
          <cell r="Y22">
            <v>23.296299999999999</v>
          </cell>
          <cell r="Z22">
            <v>1.43E-2</v>
          </cell>
          <cell r="AA22">
            <v>23.282</v>
          </cell>
          <cell r="AB22">
            <v>4677</v>
          </cell>
          <cell r="AC22" t="str">
            <v>PERMANENT SPEED RESTRICTION</v>
          </cell>
          <cell r="AD22" t="str">
            <v>0110-01</v>
          </cell>
          <cell r="AE22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23">
          <cell r="A23" t="str">
            <v>111-01</v>
          </cell>
          <cell r="B23">
            <v>4007</v>
          </cell>
          <cell r="C23" t="str">
            <v>DE.1.0.7.0</v>
          </cell>
          <cell r="D23" t="str">
            <v>204:712</v>
          </cell>
          <cell r="E23">
            <v>42583.205925925926</v>
          </cell>
          <cell r="F23">
            <v>42583.207094907404</v>
          </cell>
          <cell r="G23">
            <v>1</v>
          </cell>
          <cell r="H23" t="str">
            <v>204:233285</v>
          </cell>
          <cell r="I23">
            <v>42583.236793981479</v>
          </cell>
          <cell r="J23">
            <v>0</v>
          </cell>
          <cell r="K23" t="str">
            <v>4007/4008</v>
          </cell>
          <cell r="L23" t="str">
            <v>STARKS</v>
          </cell>
          <cell r="M23">
            <v>2.9699074075324461E-2</v>
          </cell>
          <cell r="N23">
            <v>42.766666668467224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https://search-rtdc-monitor-bjffxe2xuh6vdkpspy63sjmuny.us-east-1.es.amazonaws.com/_plugin/kibana/#/discover/Steve-Slow-Train-Analysis-(2080s-and-2083s)?_g=(refreshInterval:(display:Off,section:0,value:0),time:(from:'2016-08-01 03:56:32-0600',mode:absolute,to:'2016-08-01 06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23" t="str">
            <v>N</v>
          </cell>
          <cell r="X23">
            <v>1</v>
          </cell>
          <cell r="Y23">
            <v>7.1199999999999999E-2</v>
          </cell>
          <cell r="Z23">
            <v>23.328499999999998</v>
          </cell>
          <cell r="AA23">
            <v>23.257299999999997</v>
          </cell>
          <cell r="AB23" t="e">
            <v>#N/A</v>
          </cell>
          <cell r="AC23" t="e">
            <v>#N/A</v>
          </cell>
          <cell r="AD23" t="str">
            <v>0111-01</v>
          </cell>
          <cell r="AE23" t="str">
            <v>aws s3 cp s3://rtdc.mdm.uploadarchive/RTDC4007/2016-08-01/ "C:\Users\stu\Documents\Analysis\2016-02-23 RTDC Observations"\RTDC4007\2016-08-01 --recursive &amp; "C:\Users\stu\Documents\GitHub\mrs-test-scripts\Headless Mode &amp; Sideloading\WalkAndUnGZ.bat" "C:\Users\stu\Documents\Analysis\2016-02-23 RTDC Observations"\RTDC4007\2016-08-01 &amp; aws s3 cp s3://rtdc.mdm.uploadarchive/RTDC4007/2016-08-02/ "C:\Users\stu\Documents\Analysis\2016-02-23 RTDC Observations"\RTDC4007\2016-08-02 --recursive &amp; "C:\Users\stu\Documents\GitHub\mrs-test-scripts\Headless Mode &amp; Sideloading\WalkAndUnGZ.bat" "C:\Users\stu\Documents\Analysis\2016-02-23 RTDC Observations"\RTDC4007\2016-08-02</v>
          </cell>
        </row>
        <row r="24">
          <cell r="A24" t="str">
            <v>112-01</v>
          </cell>
          <cell r="B24">
            <v>4008</v>
          </cell>
          <cell r="C24" t="str">
            <v>DE.1.0.7.0</v>
          </cell>
          <cell r="D24" t="str">
            <v>204:232972</v>
          </cell>
          <cell r="E24">
            <v>42583.245567129627</v>
          </cell>
          <cell r="F24">
            <v>42583.246493055558</v>
          </cell>
          <cell r="G24">
            <v>1</v>
          </cell>
          <cell r="H24" t="str">
            <v>204:220</v>
          </cell>
          <cell r="I24">
            <v>42583.278749999998</v>
          </cell>
          <cell r="J24">
            <v>3</v>
          </cell>
          <cell r="K24" t="str">
            <v>4007/4008</v>
          </cell>
          <cell r="L24" t="str">
            <v>STARKS</v>
          </cell>
          <cell r="M24">
            <v>3.2256944439723156E-2</v>
          </cell>
          <cell r="N24">
            <v>46.449999993201345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https://search-rtdc-monitor-bjffxe2xuh6vdkpspy63sjmuny.us-east-1.es.amazonaws.com/_plugin/kibana/#/discover/Steve-Slow-Train-Analysis-(2080s-and-2083s)?_g=(refreshInterval:(display:Off,section:0,value:0),time:(from:'2016-08-01 04:53:37-0600',mode:absolute,to:'2016-08-01 07:41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24" t="str">
            <v>N</v>
          </cell>
          <cell r="X24">
            <v>1</v>
          </cell>
          <cell r="Y24">
            <v>23.2972</v>
          </cell>
          <cell r="Z24">
            <v>2.1999999999999999E-2</v>
          </cell>
          <cell r="AA24">
            <v>23.275200000000002</v>
          </cell>
          <cell r="AB24">
            <v>109135</v>
          </cell>
          <cell r="AC24" t="str">
            <v>GRADE CROSSING</v>
          </cell>
          <cell r="AD24" t="str">
            <v>0112-01</v>
          </cell>
          <cell r="AE24" t="str">
    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    </cell>
        </row>
        <row r="25">
          <cell r="A25" t="str">
            <v>113-01</v>
          </cell>
          <cell r="B25">
            <v>4009</v>
          </cell>
          <cell r="C25" t="str">
            <v>DE.1.0.7.0</v>
          </cell>
          <cell r="D25" t="str">
            <v>204:477</v>
          </cell>
          <cell r="E25">
            <v>42583.206608796296</v>
          </cell>
          <cell r="F25">
            <v>42583.207812499997</v>
          </cell>
          <cell r="G25">
            <v>1</v>
          </cell>
          <cell r="H25" t="str">
            <v>204:233299</v>
          </cell>
          <cell r="I25">
            <v>42583.244942129626</v>
          </cell>
          <cell r="J25">
            <v>0</v>
          </cell>
          <cell r="K25" t="str">
            <v>4009/4010</v>
          </cell>
          <cell r="L25" t="str">
            <v>ISHMAEL</v>
          </cell>
          <cell r="M25">
            <v>3.7129629628907423E-2</v>
          </cell>
          <cell r="N25">
            <v>53.46666666562669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https://search-rtdc-monitor-bjffxe2xuh6vdkpspy63sjmuny.us-east-1.es.amazonaws.com/_plugin/kibana/#/discover/Steve-Slow-Train-Analysis-(2080s-and-2083s)?_g=(refreshInterval:(display:Off,section:0,value:0),time:(from:'2016-08-01 03:57:31-0600',mode:absolute,to:'2016-08-01 06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25" t="str">
            <v>N</v>
          </cell>
          <cell r="X25">
            <v>1</v>
          </cell>
          <cell r="Y25">
            <v>4.7699999999999999E-2</v>
          </cell>
          <cell r="Z25">
            <v>23.329899999999999</v>
          </cell>
          <cell r="AA25">
            <v>23.2822</v>
          </cell>
          <cell r="AB25" t="e">
            <v>#N/A</v>
          </cell>
          <cell r="AC25" t="e">
            <v>#N/A</v>
          </cell>
          <cell r="AD25" t="str">
            <v>0113-01</v>
          </cell>
          <cell r="AE25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26">
          <cell r="A26" t="str">
            <v>114-01</v>
          </cell>
          <cell r="B26">
            <v>4010</v>
          </cell>
          <cell r="C26" t="str">
            <v>DE.1.0.7.0</v>
          </cell>
          <cell r="D26" t="str">
            <v>204:232977</v>
          </cell>
          <cell r="E26">
            <v>42583.247245370374</v>
          </cell>
          <cell r="F26">
            <v>42583.248472222222</v>
          </cell>
          <cell r="G26">
            <v>1</v>
          </cell>
          <cell r="H26" t="str">
            <v>204:165</v>
          </cell>
          <cell r="I26">
            <v>42583.288715277777</v>
          </cell>
          <cell r="J26">
            <v>0</v>
          </cell>
          <cell r="K26" t="str">
            <v>4009/4010</v>
          </cell>
          <cell r="L26" t="str">
            <v>ISHMAEL</v>
          </cell>
          <cell r="M26">
            <v>4.0243055555038154E-2</v>
          </cell>
          <cell r="N26">
            <v>57.949999999254942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https://search-rtdc-monitor-bjffxe2xuh6vdkpspy63sjmuny.us-east-1.es.amazonaws.com/_plugin/kibana/#/discover/Steve-Slow-Train-Analysis-(2080s-and-2083s)?_g=(refreshInterval:(display:Off,section:0,value:0),time:(from:'2016-08-01 04:56:02-0600',mode:absolute,to:'2016-08-01 07:55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26" t="str">
            <v>N</v>
          </cell>
          <cell r="X26">
            <v>1</v>
          </cell>
          <cell r="Y26">
            <v>23.297699999999999</v>
          </cell>
          <cell r="Z26">
            <v>1.6500000000000001E-2</v>
          </cell>
          <cell r="AA26">
            <v>23.281199999999998</v>
          </cell>
          <cell r="AB26" t="e">
            <v>#N/A</v>
          </cell>
          <cell r="AC26" t="e">
            <v>#N/A</v>
          </cell>
          <cell r="AD26" t="str">
            <v>0114-01</v>
          </cell>
          <cell r="AE26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27">
          <cell r="A27" t="str">
            <v>115-01</v>
          </cell>
          <cell r="B27">
            <v>4029</v>
          </cell>
          <cell r="C27" t="str">
            <v>DE.1.0.7.0</v>
          </cell>
          <cell r="D27" t="str">
            <v>204:746</v>
          </cell>
          <cell r="E27">
            <v>42583.22583333333</v>
          </cell>
          <cell r="F27">
            <v>42583.226875</v>
          </cell>
          <cell r="G27">
            <v>1</v>
          </cell>
          <cell r="H27" t="str">
            <v>204:233285</v>
          </cell>
          <cell r="I27">
            <v>42583.254328703704</v>
          </cell>
          <cell r="J27">
            <v>0</v>
          </cell>
          <cell r="K27" t="str">
            <v>4029/4030</v>
          </cell>
          <cell r="L27" t="str">
            <v>MALAVE</v>
          </cell>
          <cell r="M27">
            <v>2.7453703703940846E-2</v>
          </cell>
          <cell r="N27">
            <v>39.533333333674818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https://search-rtdc-monitor-bjffxe2xuh6vdkpspy63sjmuny.us-east-1.es.amazonaws.com/_plugin/kibana/#/discover/Steve-Slow-Train-Analysis-(2080s-and-2083s)?_g=(refreshInterval:(display:Off,section:0,value:0),time:(from:'2016-08-01 04:25:12-0600',mode:absolute,to:'2016-08-01 07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27" t="str">
            <v>N</v>
          </cell>
          <cell r="X27">
            <v>1</v>
          </cell>
          <cell r="Y27">
            <v>7.46E-2</v>
          </cell>
          <cell r="Z27">
            <v>23.328499999999998</v>
          </cell>
          <cell r="AA27">
            <v>23.253899999999998</v>
          </cell>
          <cell r="AB27" t="e">
            <v>#N/A</v>
          </cell>
          <cell r="AC27" t="e">
            <v>#N/A</v>
          </cell>
          <cell r="AD27" t="str">
            <v>0115-01</v>
          </cell>
          <cell r="AE2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28">
          <cell r="A28" t="str">
            <v>116-01</v>
          </cell>
          <cell r="B28">
            <v>4030</v>
          </cell>
          <cell r="C28" t="str">
            <v>DE.1.0.7.0</v>
          </cell>
          <cell r="D28" t="str">
            <v>204:232972</v>
          </cell>
          <cell r="E28">
            <v>42583.264606481483</v>
          </cell>
          <cell r="F28">
            <v>42583.265902777777</v>
          </cell>
          <cell r="G28">
            <v>1</v>
          </cell>
          <cell r="H28" t="str">
            <v>204:154</v>
          </cell>
          <cell r="I28">
            <v>42583.2968287037</v>
          </cell>
          <cell r="J28">
            <v>1</v>
          </cell>
          <cell r="K28" t="str">
            <v>4029/4030</v>
          </cell>
          <cell r="L28" t="str">
            <v>MALAVE</v>
          </cell>
          <cell r="M28">
            <v>3.0925925922929309E-2</v>
          </cell>
          <cell r="N28">
            <v>44.533333329018205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https://search-rtdc-monitor-bjffxe2xuh6vdkpspy63sjmuny.us-east-1.es.amazonaws.com/_plugin/kibana/#/discover/Steve-Slow-Train-Analysis-(2080s-and-2083s)?_g=(refreshInterval:(display:Off,section:0,value:0),time:(from:'2016-08-01 05:21:02-0600',mode:absolute,to:'2016-08-01 08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28" t="str">
            <v>N</v>
          </cell>
          <cell r="X28">
            <v>1</v>
          </cell>
          <cell r="Y28">
            <v>23.2972</v>
          </cell>
          <cell r="Z28">
            <v>1.54E-2</v>
          </cell>
          <cell r="AA28">
            <v>23.2818</v>
          </cell>
          <cell r="AB28" t="e">
            <v>#N/A</v>
          </cell>
          <cell r="AC28" t="e">
            <v>#N/A</v>
          </cell>
          <cell r="AD28" t="str">
            <v>0116-01</v>
          </cell>
          <cell r="AE2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29">
          <cell r="A29" t="str">
            <v>117-01</v>
          </cell>
          <cell r="B29">
            <v>4016</v>
          </cell>
          <cell r="C29" t="str">
            <v>DE.1.0.7.0</v>
          </cell>
          <cell r="D29" t="str">
            <v>204:438</v>
          </cell>
          <cell r="E29">
            <v>42583.231747685182</v>
          </cell>
          <cell r="F29">
            <v>42583.232997685183</v>
          </cell>
          <cell r="G29">
            <v>1</v>
          </cell>
          <cell r="H29" t="str">
            <v>204:233193</v>
          </cell>
          <cell r="I29">
            <v>42583.264548611114</v>
          </cell>
          <cell r="J29">
            <v>1</v>
          </cell>
          <cell r="K29" t="str">
            <v>4015/4016</v>
          </cell>
          <cell r="L29" t="str">
            <v>ACKERMAN</v>
          </cell>
          <cell r="M29">
            <v>3.1550925930787344E-2</v>
          </cell>
          <cell r="N29">
            <v>45.433333340333775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https://search-rtdc-monitor-bjffxe2xuh6vdkpspy63sjmuny.us-east-1.es.amazonaws.com/_plugin/kibana/#/discover/Steve-Slow-Train-Analysis-(2080s-and-2083s)?_g=(refreshInterval:(display:Off,section:0,value:0),time:(from:'2016-08-01 04:33:43-0600',mode:absolute,to:'2016-08-01 07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9" t="str">
            <v>N</v>
          </cell>
          <cell r="X29">
            <v>1</v>
          </cell>
          <cell r="Y29">
            <v>4.3799999999999999E-2</v>
          </cell>
          <cell r="Z29">
            <v>23.319299999999998</v>
          </cell>
          <cell r="AA29">
            <v>23.275499999999997</v>
          </cell>
          <cell r="AB29" t="e">
            <v>#N/A</v>
          </cell>
          <cell r="AC29" t="e">
            <v>#N/A</v>
          </cell>
          <cell r="AD29" t="str">
            <v>0117-01</v>
          </cell>
          <cell r="AE29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30">
          <cell r="A30" t="str">
            <v>118-01</v>
          </cell>
          <cell r="B30">
            <v>4015</v>
          </cell>
          <cell r="C30" t="str">
            <v>DE.1.0.7.0</v>
          </cell>
          <cell r="D30" t="str">
            <v>204:232861</v>
          </cell>
          <cell r="E30">
            <v>42583.271979166668</v>
          </cell>
          <cell r="F30">
            <v>42583.273101851853</v>
          </cell>
          <cell r="G30">
            <v>1</v>
          </cell>
          <cell r="H30" t="str">
            <v>204:150</v>
          </cell>
          <cell r="I30">
            <v>42583.30773148148</v>
          </cell>
          <cell r="J30">
            <v>1</v>
          </cell>
          <cell r="K30" t="str">
            <v>4015/4016</v>
          </cell>
          <cell r="L30" t="str">
            <v>ACKERMAN</v>
          </cell>
          <cell r="M30">
            <v>3.4629629626579117E-2</v>
          </cell>
          <cell r="N30">
            <v>49.866666662273929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https://search-rtdc-monitor-bjffxe2xuh6vdkpspy63sjmuny.us-east-1.es.amazonaws.com/_plugin/kibana/#/discover/Steve-Slow-Train-Analysis-(2080s-and-2083s)?_g=(refreshInterval:(display:Off,section:0,value:0),time:(from:'2016-08-01 05:31:39-0600',mode:absolute,to:'2016-08-01 08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30" t="str">
            <v>N</v>
          </cell>
          <cell r="X30">
            <v>1</v>
          </cell>
          <cell r="Y30">
            <v>23.286100000000001</v>
          </cell>
          <cell r="Z30">
            <v>1.4999999999999999E-2</v>
          </cell>
          <cell r="AA30">
            <v>23.271100000000001</v>
          </cell>
          <cell r="AB30" t="e">
            <v>#N/A</v>
          </cell>
          <cell r="AC30" t="e">
            <v>#N/A</v>
          </cell>
          <cell r="AD30" t="str">
            <v>0118-01</v>
          </cell>
          <cell r="AE30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31">
          <cell r="A31" t="str">
            <v>119-01</v>
          </cell>
          <cell r="B31">
            <v>4044</v>
          </cell>
          <cell r="C31" t="str">
            <v>DE.1.0.7.0</v>
          </cell>
          <cell r="D31" t="str">
            <v>204:763</v>
          </cell>
          <cell r="E31">
            <v>42583.247361111113</v>
          </cell>
          <cell r="F31">
            <v>42583.248310185183</v>
          </cell>
          <cell r="G31">
            <v>1</v>
          </cell>
          <cell r="H31" t="str">
            <v>204:233298</v>
          </cell>
          <cell r="I31">
            <v>42583.283564814818</v>
          </cell>
          <cell r="J31">
            <v>0</v>
          </cell>
          <cell r="K31" t="str">
            <v>4043/4044</v>
          </cell>
          <cell r="L31" t="str">
            <v>DAVIS</v>
          </cell>
          <cell r="M31">
            <v>3.5254629634437151E-2</v>
          </cell>
          <cell r="N31">
            <v>50.766666673589498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https://search-rtdc-monitor-bjffxe2xuh6vdkpspy63sjmuny.us-east-1.es.amazonaws.com/_plugin/kibana/#/discover/Steve-Slow-Train-Analysis-(2080s-and-2083s)?_g=(refreshInterval:(display:Off,section:0,value:0),time:(from:'2016-08-01 04:56:12-0600',mode:absolute,to:'2016-08-01 07:48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31" t="str">
            <v>N</v>
          </cell>
          <cell r="X31">
            <v>1</v>
          </cell>
          <cell r="Y31">
            <v>7.6300000000000007E-2</v>
          </cell>
          <cell r="Z31">
            <v>23.329799999999999</v>
          </cell>
          <cell r="AA31">
            <v>23.253499999999999</v>
          </cell>
          <cell r="AB31" t="e">
            <v>#N/A</v>
          </cell>
          <cell r="AC31" t="e">
            <v>#N/A</v>
          </cell>
          <cell r="AD31" t="str">
            <v>0119-01</v>
          </cell>
          <cell r="AE31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32">
          <cell r="A32" t="str">
            <v>120-01</v>
          </cell>
          <cell r="B32">
            <v>4043</v>
          </cell>
          <cell r="C32" t="str">
            <v>DE.1.0.7.0</v>
          </cell>
          <cell r="D32" t="str">
            <v>204:232994</v>
          </cell>
          <cell r="E32">
            <v>42583.284872685188</v>
          </cell>
          <cell r="F32">
            <v>42583.285891203705</v>
          </cell>
          <cell r="G32">
            <v>1</v>
          </cell>
          <cell r="H32" t="str">
            <v>204:158</v>
          </cell>
          <cell r="I32">
            <v>42583.316168981481</v>
          </cell>
          <cell r="J32">
            <v>0</v>
          </cell>
          <cell r="K32" t="str">
            <v>4043/4044</v>
          </cell>
          <cell r="L32" t="str">
            <v>DAVIS</v>
          </cell>
          <cell r="M32">
            <v>3.0277777776063886E-2</v>
          </cell>
          <cell r="N32">
            <v>43.599999997531995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https://search-rtdc-monitor-bjffxe2xuh6vdkpspy63sjmuny.us-east-1.es.amazonaws.com/_plugin/kibana/#/discover/Steve-Slow-Train-Analysis-(2080s-and-2083s)?_g=(refreshInterval:(display:Off,section:0,value:0),time:(from:'2016-08-01 05:50:13-0600',mode:absolute,to:'2016-08-01 08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32" t="str">
            <v>N</v>
          </cell>
          <cell r="X32">
            <v>1</v>
          </cell>
          <cell r="Y32">
            <v>23.299399999999999</v>
          </cell>
          <cell r="Z32">
            <v>1.5800000000000002E-2</v>
          </cell>
          <cell r="AA32">
            <v>23.2836</v>
          </cell>
          <cell r="AB32" t="e">
            <v>#N/A</v>
          </cell>
          <cell r="AC32" t="e">
            <v>#N/A</v>
          </cell>
          <cell r="AD32" t="str">
            <v>0120-01</v>
          </cell>
          <cell r="AE32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33">
          <cell r="A33" t="str">
            <v>121-01</v>
          </cell>
          <cell r="B33">
            <v>4027</v>
          </cell>
          <cell r="C33" t="str">
            <v>DE.1.0.7.0</v>
          </cell>
          <cell r="D33" t="str">
            <v>204:442</v>
          </cell>
          <cell r="E33">
            <v>42583.258240740739</v>
          </cell>
          <cell r="F33">
            <v>42583.259305555555</v>
          </cell>
          <cell r="G33">
            <v>1</v>
          </cell>
          <cell r="H33" t="str">
            <v>204:233316</v>
          </cell>
          <cell r="I33">
            <v>42583.287314814814</v>
          </cell>
          <cell r="J33">
            <v>0</v>
          </cell>
          <cell r="K33" t="str">
            <v>4027/4028</v>
          </cell>
          <cell r="L33" t="str">
            <v>SPECTOR</v>
          </cell>
          <cell r="M33">
            <v>2.8009259258396924E-2</v>
          </cell>
          <cell r="N33">
            <v>40.33333333209157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https://search-rtdc-monitor-bjffxe2xuh6vdkpspy63sjmuny.us-east-1.es.amazonaws.com/_plugin/kibana/#/discover/Steve-Slow-Train-Analysis-(2080s-and-2083s)?_g=(refreshInterval:(display:Off,section:0,value:0),time:(from:'2016-08-01 05:11:52-0600',mode:absolute,to:'2016-08-01 07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33" t="str">
            <v>N</v>
          </cell>
          <cell r="X33">
            <v>1</v>
          </cell>
          <cell r="Y33">
            <v>4.4200000000000003E-2</v>
          </cell>
          <cell r="Z33">
            <v>23.331600000000002</v>
          </cell>
          <cell r="AA33">
            <v>23.287400000000002</v>
          </cell>
          <cell r="AB33" t="e">
            <v>#N/A</v>
          </cell>
          <cell r="AC33" t="e">
            <v>#N/A</v>
          </cell>
          <cell r="AD33" t="str">
            <v>0121-01</v>
          </cell>
          <cell r="AE33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34">
          <cell r="A34" t="str">
            <v>122-01</v>
          </cell>
          <cell r="B34">
            <v>4028</v>
          </cell>
          <cell r="C34" t="str">
            <v>DE.1.0.7.0</v>
          </cell>
          <cell r="D34" t="str">
            <v>204:232996</v>
          </cell>
          <cell r="E34">
            <v>42583.294039351851</v>
          </cell>
          <cell r="F34">
            <v>42583.295115740744</v>
          </cell>
          <cell r="G34">
            <v>1</v>
          </cell>
          <cell r="H34" t="str">
            <v>204:150</v>
          </cell>
          <cell r="I34">
            <v>42583.325775462959</v>
          </cell>
          <cell r="J34">
            <v>0</v>
          </cell>
          <cell r="K34" t="str">
            <v>4027/4028</v>
          </cell>
          <cell r="L34" t="str">
            <v>SPECTOR</v>
          </cell>
          <cell r="M34">
            <v>3.0659722215204965E-2</v>
          </cell>
          <cell r="N34">
            <v>44.14999998989515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https://search-rtdc-monitor-bjffxe2xuh6vdkpspy63sjmuny.us-east-1.es.amazonaws.com/_plugin/kibana/#/discover/Steve-Slow-Train-Analysis-(2080s-and-2083s)?_g=(refreshInterval:(display:Off,section:0,value:0),time:(from:'2016-08-01 06:03:25-0600',mode:absolute,to:'2016-08-01 08:49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34" t="str">
            <v>N</v>
          </cell>
          <cell r="X34">
            <v>1</v>
          </cell>
          <cell r="Y34">
            <v>23.299600000000002</v>
          </cell>
          <cell r="Z34">
            <v>1.4999999999999999E-2</v>
          </cell>
          <cell r="AA34">
            <v>23.284600000000001</v>
          </cell>
          <cell r="AB34" t="e">
            <v>#N/A</v>
          </cell>
          <cell r="AC34" t="e">
            <v>#N/A</v>
          </cell>
          <cell r="AD34" t="str">
            <v>0122-01</v>
          </cell>
          <cell r="AE34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35">
          <cell r="A35" t="str">
            <v>123-01</v>
          </cell>
          <cell r="B35">
            <v>4014</v>
          </cell>
          <cell r="C35" t="str">
            <v>DE.1.0.7.0</v>
          </cell>
          <cell r="D35" t="str">
            <v>204:464</v>
          </cell>
          <cell r="E35">
            <v>42583.266377314816</v>
          </cell>
          <cell r="F35">
            <v>42583.267511574071</v>
          </cell>
          <cell r="G35">
            <v>1</v>
          </cell>
          <cell r="H35" t="str">
            <v>204:233298</v>
          </cell>
          <cell r="I35">
            <v>42583.301921296297</v>
          </cell>
          <cell r="J35">
            <v>0</v>
          </cell>
          <cell r="K35" t="str">
            <v>4013/4014</v>
          </cell>
          <cell r="L35" t="str">
            <v>YORK</v>
          </cell>
          <cell r="M35">
            <v>3.4409722225973383E-2</v>
          </cell>
          <cell r="N35">
            <v>49.550000005401671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https://search-rtdc-monitor-bjffxe2xuh6vdkpspy63sjmuny.us-east-1.es.amazonaws.com/_plugin/kibana/#/discover/Steve-Slow-Train-Analysis-(2080s-and-2083s)?_g=(refreshInterval:(display:Off,section:0,value:0),time:(from:'2016-08-01 05:23:35-0600',mode:absolute,to:'2016-08-01 08:14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35" t="str">
            <v>N</v>
          </cell>
          <cell r="X35">
            <v>1</v>
          </cell>
          <cell r="Y35">
            <v>4.6399999999999997E-2</v>
          </cell>
          <cell r="Z35">
            <v>23.329799999999999</v>
          </cell>
          <cell r="AA35">
            <v>23.2834</v>
          </cell>
          <cell r="AB35" t="e">
            <v>#N/A</v>
          </cell>
          <cell r="AC35" t="e">
            <v>#N/A</v>
          </cell>
          <cell r="AD35" t="str">
            <v>0123-01</v>
          </cell>
          <cell r="AE35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36">
          <cell r="A36" t="str">
            <v>124-01</v>
          </cell>
          <cell r="B36">
            <v>4013</v>
          </cell>
          <cell r="C36" t="str">
            <v>DE.1.0.7.0</v>
          </cell>
          <cell r="D36" t="str">
            <v>204:232972</v>
          </cell>
          <cell r="E36">
            <v>42583.302766203706</v>
          </cell>
          <cell r="F36">
            <v>42583.303495370368</v>
          </cell>
          <cell r="G36">
            <v>1</v>
          </cell>
          <cell r="H36" t="str">
            <v>204:145</v>
          </cell>
          <cell r="I36">
            <v>42583.335729166669</v>
          </cell>
          <cell r="J36">
            <v>0</v>
          </cell>
          <cell r="K36" t="str">
            <v>4013/4014</v>
          </cell>
          <cell r="L36" t="str">
            <v>YORK</v>
          </cell>
          <cell r="M36">
            <v>3.2233796300715767E-2</v>
          </cell>
          <cell r="N36">
            <v>46.416666673030704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https://search-rtdc-monitor-bjffxe2xuh6vdkpspy63sjmuny.us-east-1.es.amazonaws.com/_plugin/kibana/#/discover/Steve-Slow-Train-Analysis-(2080s-and-2083s)?_g=(refreshInterval:(display:Off,section:0,value:0),time:(from:'2016-08-01 06:15:59-0600',mode:absolute,to:'2016-08-01 09:03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36" t="str">
            <v>N</v>
          </cell>
          <cell r="X36">
            <v>1</v>
          </cell>
          <cell r="Y36">
            <v>23.2972</v>
          </cell>
          <cell r="Z36">
            <v>1.4500000000000001E-2</v>
          </cell>
          <cell r="AA36">
            <v>23.282699999999998</v>
          </cell>
          <cell r="AB36" t="e">
            <v>#N/A</v>
          </cell>
          <cell r="AC36" t="e">
            <v>#N/A</v>
          </cell>
          <cell r="AD36" t="str">
            <v>0124-01</v>
          </cell>
          <cell r="AE36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37">
          <cell r="A37" t="str">
            <v>125-01</v>
          </cell>
          <cell r="B37">
            <v>4007</v>
          </cell>
          <cell r="C37" t="str">
            <v>DE.1.0.7.0</v>
          </cell>
          <cell r="D37" t="str">
            <v>204:519</v>
          </cell>
          <cell r="E37">
            <v>42583.284780092596</v>
          </cell>
          <cell r="F37">
            <v>42583.285694444443</v>
          </cell>
          <cell r="G37">
            <v>1</v>
          </cell>
          <cell r="H37" t="str">
            <v>204:233318</v>
          </cell>
          <cell r="I37">
            <v>42583.312962962962</v>
          </cell>
          <cell r="J37">
            <v>0</v>
          </cell>
          <cell r="K37" t="str">
            <v>4007/4008</v>
          </cell>
          <cell r="L37" t="str">
            <v>GRASTON</v>
          </cell>
          <cell r="M37">
            <v>2.7268518519122154E-2</v>
          </cell>
          <cell r="N37">
            <v>39.266666667535901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https://search-rtdc-monitor-bjffxe2xuh6vdkpspy63sjmuny.us-east-1.es.amazonaws.com/_plugin/kibana/#/discover/Steve-Slow-Train-Analysis-(2080s-and-2083s)?_g=(refreshInterval:(display:Off,section:0,value:0),time:(from:'2016-08-01 05:50:05-0600',mode:absolute,to:'2016-08-01 08:30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    </cell>
          <cell r="W37" t="str">
            <v>N</v>
          </cell>
          <cell r="X37">
            <v>1</v>
          </cell>
          <cell r="Y37">
            <v>5.1900000000000002E-2</v>
          </cell>
          <cell r="Z37">
            <v>23.331800000000001</v>
          </cell>
          <cell r="AA37">
            <v>23.279900000000001</v>
          </cell>
          <cell r="AB37" t="e">
            <v>#N/A</v>
          </cell>
          <cell r="AC37" t="e">
            <v>#N/A</v>
          </cell>
          <cell r="AD37" t="str">
            <v>0125-01</v>
          </cell>
          <cell r="AE37" t="str">
            <v>aws s3 cp s3://rtdc.mdm.uploadarchive/RTDC4007/2016-08-01/ "C:\Users\stu\Documents\Analysis\2016-02-23 RTDC Observations"\RTDC4007\2016-08-01 --recursive &amp; "C:\Users\stu\Documents\GitHub\mrs-test-scripts\Headless Mode &amp; Sideloading\WalkAndUnGZ.bat" "C:\Users\stu\Documents\Analysis\2016-02-23 RTDC Observations"\RTDC4007\2016-08-01 &amp; aws s3 cp s3://rtdc.mdm.uploadarchive/RTDC4007/2016-08-02/ "C:\Users\stu\Documents\Analysis\2016-02-23 RTDC Observations"\RTDC4007\2016-08-02 --recursive &amp; "C:\Users\stu\Documents\GitHub\mrs-test-scripts\Headless Mode &amp; Sideloading\WalkAndUnGZ.bat" "C:\Users\stu\Documents\Analysis\2016-02-23 RTDC Observations"\RTDC4007\2016-08-02</v>
          </cell>
        </row>
        <row r="38">
          <cell r="A38" t="str">
            <v>126-01</v>
          </cell>
          <cell r="B38">
            <v>4008</v>
          </cell>
          <cell r="C38" t="str">
            <v>DE.1.0.7.0</v>
          </cell>
          <cell r="D38" t="str">
            <v>204:232988</v>
          </cell>
          <cell r="E38">
            <v>42583.316400462965</v>
          </cell>
          <cell r="F38">
            <v>42583.317442129628</v>
          </cell>
          <cell r="G38">
            <v>1</v>
          </cell>
          <cell r="H38" t="str">
            <v>204:157</v>
          </cell>
          <cell r="I38">
            <v>42583.347893518519</v>
          </cell>
          <cell r="J38">
            <v>0</v>
          </cell>
          <cell r="K38" t="str">
            <v>4007/4008</v>
          </cell>
          <cell r="L38" t="str">
            <v>GRASTON</v>
          </cell>
          <cell r="M38">
            <v>3.0451388891378883E-2</v>
          </cell>
          <cell r="N38">
            <v>43.850000003585592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https://search-rtdc-monitor-bjffxe2xuh6vdkpspy63sjmuny.us-east-1.es.amazonaws.com/_plugin/kibana/#/discover/Steve-Slow-Train-Analysis-(2080s-and-2083s)?_g=(refreshInterval:(display:Off,section:0,value:0),time:(from:'2016-08-01 06:35:37-0600',mode:absolute,to:'2016-08-01 09:20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    </cell>
          <cell r="W38" t="str">
            <v>N</v>
          </cell>
          <cell r="X38">
            <v>1</v>
          </cell>
          <cell r="Y38">
            <v>23.2988</v>
          </cell>
          <cell r="Z38">
            <v>1.5699999999999999E-2</v>
          </cell>
          <cell r="AA38">
            <v>23.283100000000001</v>
          </cell>
          <cell r="AB38" t="e">
            <v>#N/A</v>
          </cell>
          <cell r="AC38" t="e">
            <v>#N/A</v>
          </cell>
          <cell r="AD38" t="str">
            <v>0126-01</v>
          </cell>
          <cell r="AE38" t="str">
            <v>aws s3 cp s3://rtdc.mdm.uploadarchive/RTDC4008/2016-08-01/ "C:\Users\stu\Documents\Analysis\2016-02-23 RTDC Observations"\RTDC4008\2016-08-01 --recursive &amp; "C:\Users\stu\Documents\GitHub\mrs-test-scripts\Headless Mode &amp; Sideloading\WalkAndUnGZ.bat" "C:\Users\stu\Documents\Analysis\2016-02-23 RTDC Observations"\RTDC4008\2016-08-01 &amp; aws s3 cp s3://rtdc.mdm.uploadarchive/RTDC4008/2016-08-02/ "C:\Users\stu\Documents\Analysis\2016-02-23 RTDC Observations"\RTDC4008\2016-08-02 --recursive &amp; "C:\Users\stu\Documents\GitHub\mrs-test-scripts\Headless Mode &amp; Sideloading\WalkAndUnGZ.bat" "C:\Users\stu\Documents\Analysis\2016-02-23 RTDC Observations"\RTDC4008\2016-08-02</v>
          </cell>
        </row>
        <row r="39">
          <cell r="A39" t="str">
            <v>127-01</v>
          </cell>
          <cell r="B39">
            <v>4009</v>
          </cell>
          <cell r="C39" t="str">
            <v>DE.1.0.7.0</v>
          </cell>
          <cell r="D39" t="str">
            <v>204:19128</v>
          </cell>
          <cell r="E39">
            <v>42583.297395833331</v>
          </cell>
          <cell r="F39">
            <v>42583.298518518517</v>
          </cell>
          <cell r="G39">
            <v>1</v>
          </cell>
          <cell r="H39" t="str">
            <v>204:233298</v>
          </cell>
          <cell r="I39">
            <v>42583.324247685188</v>
          </cell>
          <cell r="J39">
            <v>0</v>
          </cell>
          <cell r="K39" t="str">
            <v>4009/4010</v>
          </cell>
          <cell r="L39" t="str">
            <v>ISHMAEL</v>
          </cell>
          <cell r="M39">
            <v>2.5729166671226267E-2</v>
          </cell>
          <cell r="P39">
            <v>38.933333340100944</v>
          </cell>
          <cell r="R39" t="str">
            <v>Onboard in-route failure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https://search-rtdc-monitor-bjffxe2xuh6vdkpspy63sjmuny.us-east-1.es.amazonaws.com/_plugin/kibana/#/discover/Steve-Slow-Train-Analysis-(2080s-and-2083s)?_g=(refreshInterval:(display:Off,section:0,value:0),time:(from:'2016-08-01 06:08:15-0600',mode:absolute,to:'2016-08-01 08:46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39" t="str">
            <v>Y</v>
          </cell>
          <cell r="X39">
            <v>1</v>
          </cell>
          <cell r="Y39">
            <v>1.9128000000000001</v>
          </cell>
          <cell r="Z39">
            <v>23.329799999999999</v>
          </cell>
          <cell r="AA39">
            <v>21.416999999999998</v>
          </cell>
          <cell r="AB39" t="e">
            <v>#N/A</v>
          </cell>
          <cell r="AC39" t="e">
            <v>#N/A</v>
          </cell>
          <cell r="AD39" t="str">
            <v>0127-01</v>
          </cell>
          <cell r="AE39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40">
          <cell r="A40" t="str">
            <v>127-01</v>
          </cell>
          <cell r="B40">
            <v>4009</v>
          </cell>
          <cell r="C40" t="str">
            <v>DE.1.0.7.0</v>
          </cell>
          <cell r="D40" t="str">
            <v>204:473</v>
          </cell>
          <cell r="E40">
            <v>42583.29078703704</v>
          </cell>
          <cell r="F40">
            <v>42583.292037037034</v>
          </cell>
          <cell r="G40">
            <v>1</v>
          </cell>
          <cell r="H40" t="str">
            <v>204:2399</v>
          </cell>
          <cell r="I40">
            <v>42583.293344907404</v>
          </cell>
          <cell r="J40">
            <v>0</v>
          </cell>
          <cell r="K40" t="str">
            <v>4009/4010</v>
          </cell>
          <cell r="L40" t="str">
            <v>ISHMAEL</v>
          </cell>
          <cell r="M40">
            <v>1.3078703705104999E-3</v>
          </cell>
          <cell r="T40" t="str">
            <v>NorthBound</v>
          </cell>
          <cell r="U40">
            <v>0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https://search-rtdc-monitor-bjffxe2xuh6vdkpspy63sjmuny.us-east-1.es.amazonaws.com/_plugin/kibana/#/discover/Steve-Slow-Train-Analysis-(2080s-and-2083s)?_g=(refreshInterval:(display:Off,section:0,value:0),time:(from:'2016-08-01 05:58:44-0600',mode:absolute,to:'2016-08-01 08:02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40" t="str">
            <v>Y</v>
          </cell>
          <cell r="X40">
            <v>0</v>
          </cell>
          <cell r="Y40">
            <v>4.7300000000000002E-2</v>
          </cell>
          <cell r="Z40">
            <v>0.2399</v>
          </cell>
          <cell r="AA40">
            <v>0.19259999999999999</v>
          </cell>
          <cell r="AB40" t="e">
            <v>#N/A</v>
          </cell>
          <cell r="AC40" t="e">
            <v>#N/A</v>
          </cell>
          <cell r="AD40" t="str">
            <v>0127-01</v>
          </cell>
          <cell r="AE40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41">
          <cell r="A41" t="str">
            <v>128-01</v>
          </cell>
          <cell r="B41">
            <v>4010</v>
          </cell>
          <cell r="C41" t="str">
            <v>DE.1.0.7.0</v>
          </cell>
          <cell r="D41" t="str">
            <v>204:232974</v>
          </cell>
          <cell r="E41">
            <v>42583.32608796296</v>
          </cell>
          <cell r="F41">
            <v>42583.327141203707</v>
          </cell>
          <cell r="G41">
            <v>1</v>
          </cell>
          <cell r="H41" t="str">
            <v>204:169</v>
          </cell>
          <cell r="I41">
            <v>42583.3590625</v>
          </cell>
          <cell r="J41">
            <v>0</v>
          </cell>
          <cell r="K41" t="str">
            <v>4009/4010</v>
          </cell>
          <cell r="L41" t="str">
            <v>ISHMAEL</v>
          </cell>
          <cell r="M41">
            <v>3.1921296293148771E-2</v>
          </cell>
          <cell r="N41">
            <v>45.96666666213423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https://search-rtdc-monitor-bjffxe2xuh6vdkpspy63sjmuny.us-east-1.es.amazonaws.com/_plugin/kibana/#/discover/Steve-Slow-Train-Analysis-(2080s-and-2083s)?_g=(refreshInterval:(display:Off,section:0,value:0),time:(from:'2016-08-01 06:49:34-0600',mode:absolute,to:'2016-08-01 09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41" t="str">
            <v>N</v>
          </cell>
          <cell r="X41">
            <v>1</v>
          </cell>
          <cell r="Y41">
            <v>23.2974</v>
          </cell>
          <cell r="Z41">
            <v>1.6899999999999998E-2</v>
          </cell>
          <cell r="AA41">
            <v>23.2805</v>
          </cell>
          <cell r="AB41" t="e">
            <v>#N/A</v>
          </cell>
          <cell r="AC41" t="e">
            <v>#N/A</v>
          </cell>
          <cell r="AD41" t="str">
            <v>0128-01</v>
          </cell>
          <cell r="AE41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42">
          <cell r="A42" t="str">
            <v>129-01</v>
          </cell>
          <cell r="B42">
            <v>4029</v>
          </cell>
          <cell r="C42" t="str">
            <v>DE.1.0.7.0</v>
          </cell>
          <cell r="D42" t="str">
            <v>204:466</v>
          </cell>
          <cell r="E42">
            <v>42583.301238425927</v>
          </cell>
          <cell r="F42">
            <v>42583.302060185182</v>
          </cell>
          <cell r="G42">
            <v>1</v>
          </cell>
          <cell r="H42" t="str">
            <v>204:20565</v>
          </cell>
          <cell r="I42">
            <v>42583.307546296295</v>
          </cell>
          <cell r="J42">
            <v>0</v>
          </cell>
          <cell r="K42" t="str">
            <v>4029/4030</v>
          </cell>
          <cell r="L42" t="str">
            <v>MALAVE</v>
          </cell>
          <cell r="M42">
            <v>5.4861111129866913E-3</v>
          </cell>
          <cell r="P42">
            <v>37.500000006984919</v>
          </cell>
          <cell r="R42" t="str">
            <v>Onboard in-route failure</v>
          </cell>
          <cell r="S42">
            <v>0.25</v>
          </cell>
          <cell r="T42" t="str">
            <v>NorthBound</v>
          </cell>
          <cell r="U42">
            <v>0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https://search-rtdc-monitor-bjffxe2xuh6vdkpspy63sjmuny.us-east-1.es.amazonaws.com/_plugin/kibana/#/discover/Steve-Slow-Train-Analysis-(2080s-and-2083s)?_g=(refreshInterval:(display:Off,section:0,value:0),time:(from:'2016-08-01 06:13:47-0600',mode:absolute,to:'2016-08-01 08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2" t="str">
            <v>Y</v>
          </cell>
          <cell r="X42">
            <v>1</v>
          </cell>
          <cell r="Y42">
            <v>4.6600000000000003E-2</v>
          </cell>
          <cell r="Z42">
            <v>2.0565000000000002</v>
          </cell>
          <cell r="AA42">
            <v>2.0099</v>
          </cell>
          <cell r="AB42" t="e">
            <v>#N/A</v>
          </cell>
          <cell r="AC42" t="e">
            <v>#N/A</v>
          </cell>
          <cell r="AD42" t="str">
            <v>0129-01</v>
          </cell>
          <cell r="AE42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43">
          <cell r="A43" t="str">
            <v>129-01</v>
          </cell>
          <cell r="B43">
            <v>4029</v>
          </cell>
          <cell r="C43" t="str">
            <v>DE.1.0.7.0</v>
          </cell>
          <cell r="D43" t="str">
            <v>204:64686</v>
          </cell>
          <cell r="E43">
            <v>42583.312928240739</v>
          </cell>
          <cell r="F43">
            <v>42583.313680555555</v>
          </cell>
          <cell r="G43">
            <v>1</v>
          </cell>
          <cell r="H43" t="str">
            <v>204:233278</v>
          </cell>
          <cell r="I43">
            <v>42583.334236111114</v>
          </cell>
          <cell r="J43">
            <v>1</v>
          </cell>
          <cell r="K43" t="str">
            <v>4029/4030</v>
          </cell>
          <cell r="L43" t="str">
            <v>MALAVE</v>
          </cell>
          <cell r="M43">
            <v>2.0555555558530614E-2</v>
          </cell>
          <cell r="T43" t="str">
            <v>NorthBound</v>
          </cell>
          <cell r="U43">
            <v>3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https://search-rtdc-monitor-bjffxe2xuh6vdkpspy63sjmuny.us-east-1.es.amazonaws.com/_plugin/kibana/#/discover/Steve-Slow-Train-Analysis-(2080s-and-2083s)?_g=(refreshInterval:(display:Off,section:0,value:0),time:(from:'2016-08-01 06:30:37-0600',mode:absolute,to:'2016-08-01 09:01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43" t="str">
            <v>Y</v>
          </cell>
          <cell r="X43">
            <v>0</v>
          </cell>
          <cell r="Y43">
            <v>6.4686000000000003</v>
          </cell>
          <cell r="Z43">
            <v>23.3278</v>
          </cell>
          <cell r="AA43">
            <v>16.859200000000001</v>
          </cell>
          <cell r="AB43" t="e">
            <v>#N/A</v>
          </cell>
          <cell r="AC43" t="e">
            <v>#N/A</v>
          </cell>
          <cell r="AD43" t="str">
            <v>0129-01</v>
          </cell>
          <cell r="AE43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44">
          <cell r="A44" t="str">
            <v>130-01</v>
          </cell>
          <cell r="B44">
            <v>4030</v>
          </cell>
          <cell r="C44" t="str">
            <v>DE.1.0.7.0</v>
          </cell>
          <cell r="D44" t="str">
            <v>204:232963</v>
          </cell>
          <cell r="E44">
            <v>42583.339884259258</v>
          </cell>
          <cell r="F44">
            <v>42583.340763888889</v>
          </cell>
          <cell r="G44">
            <v>1</v>
          </cell>
          <cell r="H44" t="str">
            <v>204:161</v>
          </cell>
          <cell r="I44">
            <v>42583.367581018516</v>
          </cell>
          <cell r="J44">
            <v>0</v>
          </cell>
          <cell r="K44" t="str">
            <v>4029/4030</v>
          </cell>
          <cell r="L44" t="str">
            <v>MALAVE</v>
          </cell>
          <cell r="M44">
            <v>2.6817129626579117E-2</v>
          </cell>
          <cell r="N44">
            <v>38.616666662273929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https://search-rtdc-monitor-bjffxe2xuh6vdkpspy63sjmuny.us-east-1.es.amazonaws.com/_plugin/kibana/#/discover/Steve-Slow-Train-Analysis-(2080s-and-2083s)?_g=(refreshInterval:(display:Off,section:0,value:0),time:(from:'2016-08-01 07:09:26-0600',mode:absolute,to:'2016-08-01 09:49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44" t="str">
            <v>N</v>
          </cell>
          <cell r="X44">
            <v>1</v>
          </cell>
          <cell r="Y44">
            <v>23.296299999999999</v>
          </cell>
          <cell r="Z44">
            <v>1.61E-2</v>
          </cell>
          <cell r="AA44">
            <v>23.280199999999997</v>
          </cell>
          <cell r="AB44" t="e">
            <v>#N/A</v>
          </cell>
          <cell r="AC44" t="e">
            <v>#N/A</v>
          </cell>
          <cell r="AD44" t="str">
            <v>0130-01</v>
          </cell>
          <cell r="AE44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45">
          <cell r="A45" t="str">
            <v>131-01</v>
          </cell>
          <cell r="B45">
            <v>4016</v>
          </cell>
          <cell r="C45" t="str">
            <v>DE.1.0.7.0</v>
          </cell>
          <cell r="D45" t="str">
            <v>204:471</v>
          </cell>
          <cell r="E45">
            <v>42583.30877314815</v>
          </cell>
          <cell r="F45">
            <v>42583.309745370374</v>
          </cell>
          <cell r="G45">
            <v>1</v>
          </cell>
          <cell r="H45" t="str">
            <v>204:233293</v>
          </cell>
          <cell r="I45">
            <v>42583.339039351849</v>
          </cell>
          <cell r="J45">
            <v>0</v>
          </cell>
          <cell r="K45" t="str">
            <v>4015/4016</v>
          </cell>
          <cell r="L45" t="str">
            <v>ACKERMAN</v>
          </cell>
          <cell r="M45">
            <v>2.9293981475348119E-2</v>
          </cell>
          <cell r="N45">
            <v>42.183333324501291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https://search-rtdc-monitor-bjffxe2xuh6vdkpspy63sjmuny.us-east-1.es.amazonaws.com/_plugin/kibana/#/discover/Steve-Slow-Train-Analysis-(2080s-and-2083s)?_g=(refreshInterval:(display:Off,section:0,value:0),time:(from:'2016-08-01 06:24:38-0600',mode:absolute,to:'2016-08-01 09:08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45" t="str">
            <v>N</v>
          </cell>
          <cell r="X45">
            <v>1</v>
          </cell>
          <cell r="Y45">
            <v>4.7100000000000003E-2</v>
          </cell>
          <cell r="Z45">
            <v>23.3293</v>
          </cell>
          <cell r="AA45">
            <v>23.2822</v>
          </cell>
          <cell r="AB45" t="e">
            <v>#N/A</v>
          </cell>
          <cell r="AC45" t="e">
            <v>#N/A</v>
          </cell>
          <cell r="AD45" t="str">
            <v>0131-01</v>
          </cell>
          <cell r="AE45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46">
          <cell r="A46" t="str">
            <v>132-01</v>
          </cell>
          <cell r="B46">
            <v>4015</v>
          </cell>
          <cell r="C46" t="str">
            <v>DE.1.0.7.0</v>
          </cell>
          <cell r="D46" t="str">
            <v>204:232993</v>
          </cell>
          <cell r="E46">
            <v>42583.345763888887</v>
          </cell>
          <cell r="F46">
            <v>42583.346828703703</v>
          </cell>
          <cell r="G46">
            <v>1</v>
          </cell>
          <cell r="H46" t="str">
            <v>204:145</v>
          </cell>
          <cell r="I46">
            <v>42583.379363425927</v>
          </cell>
          <cell r="J46">
            <v>0</v>
          </cell>
          <cell r="K46" t="str">
            <v>4015/4016</v>
          </cell>
          <cell r="L46" t="str">
            <v>ACKERMAN</v>
          </cell>
          <cell r="M46">
            <v>3.2534722224227153E-2</v>
          </cell>
          <cell r="N46">
            <v>46.8500000028871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https://search-rtdc-monitor-bjffxe2xuh6vdkpspy63sjmuny.us-east-1.es.amazonaws.com/_plugin/kibana/#/discover/Steve-Slow-Train-Analysis-(2080s-and-2083s)?_g=(refreshInterval:(display:Off,section:0,value:0),time:(from:'2016-08-01 07:17:54-0600',mode:absolute,to:'2016-08-01 10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46" t="str">
            <v>N</v>
          </cell>
          <cell r="X46">
            <v>1</v>
          </cell>
          <cell r="Y46">
            <v>23.299299999999999</v>
          </cell>
          <cell r="Z46">
            <v>1.4500000000000001E-2</v>
          </cell>
          <cell r="AA46">
            <v>23.284799999999997</v>
          </cell>
          <cell r="AB46" t="e">
            <v>#N/A</v>
          </cell>
          <cell r="AC46" t="e">
            <v>#N/A</v>
          </cell>
          <cell r="AD46" t="str">
            <v>0132-01</v>
          </cell>
          <cell r="AE46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47">
          <cell r="A47" t="str">
            <v>133-01</v>
          </cell>
          <cell r="B47">
            <v>4044</v>
          </cell>
          <cell r="C47" t="str">
            <v>DE.1.0.7.0</v>
          </cell>
          <cell r="D47" t="str">
            <v>204:447</v>
          </cell>
          <cell r="E47">
            <v>42583.319178240738</v>
          </cell>
          <cell r="F47">
            <v>42583.320150462961</v>
          </cell>
          <cell r="G47">
            <v>1</v>
          </cell>
          <cell r="H47" t="str">
            <v>204:233286</v>
          </cell>
          <cell r="I47">
            <v>42583.348587962966</v>
          </cell>
          <cell r="J47">
            <v>0</v>
          </cell>
          <cell r="K47" t="str">
            <v>4043/4044</v>
          </cell>
          <cell r="L47" t="str">
            <v>DAVIS</v>
          </cell>
          <cell r="M47">
            <v>2.8437500004656613E-2</v>
          </cell>
          <cell r="N47">
            <v>40.950000006705523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https://search-rtdc-monitor-bjffxe2xuh6vdkpspy63sjmuny.us-east-1.es.amazonaws.com/_plugin/kibana/#/discover/Steve-Slow-Train-Analysis-(2080s-and-2083s)?_g=(refreshInterval:(display:Off,section:0,value:0),time:(from:'2016-08-01 06:39:37-0600',mode:absolute,to:'2016-08-01 09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47" t="str">
            <v>N</v>
          </cell>
          <cell r="X47">
            <v>1</v>
          </cell>
          <cell r="Y47">
            <v>4.4699999999999997E-2</v>
          </cell>
          <cell r="Z47">
            <v>23.328600000000002</v>
          </cell>
          <cell r="AA47">
            <v>23.283900000000003</v>
          </cell>
          <cell r="AB47" t="e">
            <v>#N/A</v>
          </cell>
          <cell r="AC47" t="e">
            <v>#N/A</v>
          </cell>
          <cell r="AD47" t="str">
            <v>0133-01</v>
          </cell>
          <cell r="AE4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48">
          <cell r="A48" t="str">
            <v>134-01</v>
          </cell>
          <cell r="B48">
            <v>4043</v>
          </cell>
          <cell r="C48" t="str">
            <v>DE.1.0.7.0</v>
          </cell>
          <cell r="D48" t="str">
            <v>204:232975</v>
          </cell>
          <cell r="E48">
            <v>42583.358981481484</v>
          </cell>
          <cell r="F48">
            <v>42583.359837962962</v>
          </cell>
          <cell r="G48">
            <v>1</v>
          </cell>
          <cell r="H48" t="str">
            <v>204:160</v>
          </cell>
          <cell r="I48">
            <v>42583.392939814818</v>
          </cell>
          <cell r="J48">
            <v>0</v>
          </cell>
          <cell r="K48" t="str">
            <v>4043/4044</v>
          </cell>
          <cell r="L48" t="str">
            <v>DAVIS</v>
          </cell>
          <cell r="M48">
            <v>3.3101851855462883E-2</v>
          </cell>
          <cell r="N48">
            <v>47.666666671866551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https://search-rtdc-monitor-bjffxe2xuh6vdkpspy63sjmuny.us-east-1.es.amazonaws.com/_plugin/kibana/#/discover/Steve-Slow-Train-Analysis-(2080s-and-2083s)?_g=(refreshInterval:(display:Off,section:0,value:0),time:(from:'2016-08-01 07:36:56-0600',mode:absolute,to:'2016-08-01 10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48" t="str">
            <v>N</v>
          </cell>
          <cell r="X48">
            <v>1</v>
          </cell>
          <cell r="Y48">
            <v>23.297499999999999</v>
          </cell>
          <cell r="Z48">
            <v>1.6E-2</v>
          </cell>
          <cell r="AA48">
            <v>23.281500000000001</v>
          </cell>
          <cell r="AB48" t="e">
            <v>#N/A</v>
          </cell>
          <cell r="AC48" t="e">
            <v>#N/A</v>
          </cell>
          <cell r="AD48" t="str">
            <v>0134-01</v>
          </cell>
          <cell r="AE48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49">
          <cell r="A49" t="str">
            <v>135-01</v>
          </cell>
          <cell r="B49">
            <v>4027</v>
          </cell>
          <cell r="C49" t="str">
            <v>DE.1.0.7.0</v>
          </cell>
          <cell r="D49" t="str">
            <v>204:449</v>
          </cell>
          <cell r="E49">
            <v>42583.329155092593</v>
          </cell>
          <cell r="F49">
            <v>42583.330150462964</v>
          </cell>
          <cell r="G49">
            <v>1</v>
          </cell>
          <cell r="H49" t="str">
            <v>204:233306</v>
          </cell>
          <cell r="I49">
            <v>42583.359826388885</v>
          </cell>
          <cell r="J49">
            <v>2</v>
          </cell>
          <cell r="K49" t="str">
            <v>4027/4028</v>
          </cell>
          <cell r="L49" t="str">
            <v>SPECTOR</v>
          </cell>
          <cell r="M49">
            <v>2.9675925921765156E-2</v>
          </cell>
          <cell r="N49">
            <v>42.733333327341825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https://search-rtdc-monitor-bjffxe2xuh6vdkpspy63sjmuny.us-east-1.es.amazonaws.com/_plugin/kibana/#/discover/Steve-Slow-Train-Analysis-(2080s-and-2083s)?_g=(refreshInterval:(display:Off,section:0,value:0),time:(from:'2016-08-01 06:53:59-0600',mode:absolute,to:'2016-08-01 09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49" t="str">
            <v>N</v>
          </cell>
          <cell r="X49">
            <v>1</v>
          </cell>
          <cell r="Y49">
            <v>4.4900000000000002E-2</v>
          </cell>
          <cell r="Z49">
            <v>23.3306</v>
          </cell>
          <cell r="AA49">
            <v>23.285700000000002</v>
          </cell>
          <cell r="AB49">
            <v>42779</v>
          </cell>
          <cell r="AC49" t="str">
            <v>GRADE CROSSING</v>
          </cell>
          <cell r="AD49" t="str">
            <v>0135-01</v>
          </cell>
          <cell r="AE49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50">
          <cell r="A50" t="str">
            <v>136-01</v>
          </cell>
          <cell r="B50">
            <v>4028</v>
          </cell>
          <cell r="C50" t="str">
            <v>DE.1.0.7.0</v>
          </cell>
          <cell r="D50" t="str">
            <v>204:232996</v>
          </cell>
          <cell r="E50">
            <v>42583.365115740744</v>
          </cell>
          <cell r="F50">
            <v>42583.366342592592</v>
          </cell>
          <cell r="G50">
            <v>1</v>
          </cell>
          <cell r="H50" t="str">
            <v>204:143</v>
          </cell>
          <cell r="I50">
            <v>42583.400046296294</v>
          </cell>
          <cell r="J50">
            <v>0</v>
          </cell>
          <cell r="K50" t="str">
            <v>4027/4028</v>
          </cell>
          <cell r="L50" t="str">
            <v>SPECTOR</v>
          </cell>
          <cell r="M50">
            <v>3.3703703702485655E-2</v>
          </cell>
          <cell r="N50">
            <v>48.533333331579342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https://search-rtdc-monitor-bjffxe2xuh6vdkpspy63sjmuny.us-east-1.es.amazonaws.com/_plugin/kibana/#/discover/Steve-Slow-Train-Analysis-(2080s-and-2083s)?_g=(refreshInterval:(display:Off,section:0,value:0),time:(from:'2016-08-01 07:45:46-0600',mode:absolute,to:'2016-08-01 10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50" t="str">
            <v>N</v>
          </cell>
          <cell r="X50">
            <v>1</v>
          </cell>
          <cell r="Y50">
            <v>23.299600000000002</v>
          </cell>
          <cell r="Z50">
            <v>1.43E-2</v>
          </cell>
          <cell r="AA50">
            <v>23.285300000000003</v>
          </cell>
          <cell r="AB50" t="e">
            <v>#N/A</v>
          </cell>
          <cell r="AC50" t="e">
            <v>#N/A</v>
          </cell>
          <cell r="AD50" t="str">
            <v>0136-01</v>
          </cell>
          <cell r="AE50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51">
          <cell r="A51" t="str">
            <v>137-01</v>
          </cell>
          <cell r="B51">
            <v>4014</v>
          </cell>
          <cell r="C51" t="str">
            <v>DE.1.0.7.0</v>
          </cell>
          <cell r="D51" t="str">
            <v>204:482</v>
          </cell>
          <cell r="E51">
            <v>42583.33666666667</v>
          </cell>
          <cell r="F51">
            <v>42583.342465277776</v>
          </cell>
          <cell r="G51">
            <v>8</v>
          </cell>
          <cell r="H51" t="str">
            <v>204:233280</v>
          </cell>
          <cell r="I51">
            <v>42583.368148148147</v>
          </cell>
          <cell r="J51">
            <v>0</v>
          </cell>
          <cell r="K51" t="str">
            <v>4013/4014</v>
          </cell>
          <cell r="L51" t="str">
            <v>YORK</v>
          </cell>
          <cell r="M51">
            <v>2.5682870371383615E-2</v>
          </cell>
          <cell r="N51">
            <v>36.983333334792405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https://search-rtdc-monitor-bjffxe2xuh6vdkpspy63sjmuny.us-east-1.es.amazonaws.com/_plugin/kibana/#/discover/Steve-Slow-Train-Analysis-(2080s-and-2083s)?_g=(refreshInterval:(display:Off,section:0,value:0),time:(from:'2016-08-01 07:04:48-0600',mode:absolute,to:'2016-08-01 09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51" t="str">
            <v>N</v>
          </cell>
          <cell r="X51">
            <v>1</v>
          </cell>
          <cell r="Y51">
            <v>4.82E-2</v>
          </cell>
          <cell r="Z51">
            <v>23.327999999999999</v>
          </cell>
          <cell r="AA51">
            <v>23.279799999999998</v>
          </cell>
          <cell r="AB51" t="e">
            <v>#N/A</v>
          </cell>
          <cell r="AC51" t="e">
            <v>#N/A</v>
          </cell>
          <cell r="AD51" t="str">
            <v>0137-01</v>
          </cell>
          <cell r="AE51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52">
          <cell r="A52" t="str">
            <v>138-01</v>
          </cell>
          <cell r="B52">
            <v>4013</v>
          </cell>
          <cell r="C52" t="str">
            <v>DE.1.0.7.0</v>
          </cell>
          <cell r="D52" t="str">
            <v>204:232963</v>
          </cell>
          <cell r="E52">
            <v>42583.369062500002</v>
          </cell>
          <cell r="F52">
            <v>42583.369826388887</v>
          </cell>
          <cell r="G52">
            <v>1</v>
          </cell>
          <cell r="H52" t="str">
            <v>204:156</v>
          </cell>
          <cell r="I52">
            <v>42583.412708333337</v>
          </cell>
          <cell r="J52">
            <v>1</v>
          </cell>
          <cell r="K52" t="str">
            <v>4013/4014</v>
          </cell>
          <cell r="L52" t="str">
            <v>YORK</v>
          </cell>
          <cell r="M52">
            <v>4.2881944449618459E-2</v>
          </cell>
          <cell r="N52">
            <v>61.750000007450581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https://search-rtdc-monitor-bjffxe2xuh6vdkpspy63sjmuny.us-east-1.es.amazonaws.com/_plugin/kibana/#/discover/Steve-Slow-Train-Analysis-(2080s-and-2083s)?_g=(refreshInterval:(display:Off,section:0,value:0),time:(from:'2016-08-01 07:51:27-0600',mode:absolute,to:'2016-08-01 10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52" t="str">
            <v>N</v>
          </cell>
          <cell r="X52">
            <v>1</v>
          </cell>
          <cell r="Y52">
            <v>23.296299999999999</v>
          </cell>
          <cell r="Z52">
            <v>1.5599999999999999E-2</v>
          </cell>
          <cell r="AA52">
            <v>23.2807</v>
          </cell>
          <cell r="AB52" t="e">
            <v>#N/A</v>
          </cell>
          <cell r="AC52" t="e">
            <v>#N/A</v>
          </cell>
          <cell r="AD52" t="str">
            <v>0138-01</v>
          </cell>
          <cell r="AE52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53">
          <cell r="A53" t="str">
            <v>139-01</v>
          </cell>
          <cell r="B53">
            <v>4011</v>
          </cell>
          <cell r="C53" t="str">
            <v>DE.1.0.7.0</v>
          </cell>
          <cell r="D53" t="str">
            <v>204:437</v>
          </cell>
          <cell r="E53">
            <v>42583.34952546296</v>
          </cell>
          <cell r="F53">
            <v>42583.350810185184</v>
          </cell>
          <cell r="G53">
            <v>1</v>
          </cell>
          <cell r="H53" t="str">
            <v>204:233306</v>
          </cell>
          <cell r="I53">
            <v>42583.380682870367</v>
          </cell>
          <cell r="J53">
            <v>0</v>
          </cell>
          <cell r="K53" t="str">
            <v>4011/4012</v>
          </cell>
          <cell r="L53" t="str">
            <v>STARKS</v>
          </cell>
          <cell r="M53">
            <v>2.9872685183363501E-2</v>
          </cell>
          <cell r="N53">
            <v>43.016666664043441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https://search-rtdc-monitor-bjffxe2xuh6vdkpspy63sjmuny.us-east-1.es.amazonaws.com/_plugin/kibana/#/discover/Steve-Slow-Train-Analysis-(2080s-and-2083s)?_g=(refreshInterval:(display:Off,section:0,value:0),time:(from:'2016-08-01 07:23:19-0600',mode:absolute,to:'2016-08-01 10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53" t="str">
            <v>N</v>
          </cell>
          <cell r="X53">
            <v>1</v>
          </cell>
          <cell r="Y53">
            <v>4.3700000000000003E-2</v>
          </cell>
          <cell r="Z53">
            <v>23.3306</v>
          </cell>
          <cell r="AA53">
            <v>23.286899999999999</v>
          </cell>
          <cell r="AB53" t="e">
            <v>#N/A</v>
          </cell>
          <cell r="AC53" t="e">
            <v>#N/A</v>
          </cell>
          <cell r="AD53" t="str">
            <v>0139-01</v>
          </cell>
          <cell r="AE53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54">
          <cell r="A54" t="str">
            <v>140-01</v>
          </cell>
          <cell r="B54">
            <v>4012</v>
          </cell>
          <cell r="C54" t="str">
            <v>DE.1.0.7.0</v>
          </cell>
          <cell r="D54" t="str">
            <v>204:232989</v>
          </cell>
          <cell r="E54">
            <v>42583.390277777777</v>
          </cell>
          <cell r="F54">
            <v>42583.391527777778</v>
          </cell>
          <cell r="G54">
            <v>1</v>
          </cell>
          <cell r="H54" t="str">
            <v>204:143</v>
          </cell>
          <cell r="I54">
            <v>42583.421122685184</v>
          </cell>
          <cell r="J54">
            <v>0</v>
          </cell>
          <cell r="K54" t="str">
            <v>4011/4012</v>
          </cell>
          <cell r="L54" t="str">
            <v>STARKS</v>
          </cell>
          <cell r="M54">
            <v>2.9594907406135462E-2</v>
          </cell>
          <cell r="N54">
            <v>42.616666664835066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https://search-rtdc-monitor-bjffxe2xuh6vdkpspy63sjmuny.us-east-1.es.amazonaws.com/_plugin/kibana/#/discover/Steve-Slow-Train-Analysis-(2080s-and-2083s)?_g=(refreshInterval:(display:Off,section:0,value:0),time:(from:'2016-08-01 08:22:00-0600',mode:absolute,to:'2016-08-01 11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54" t="str">
            <v>N</v>
          </cell>
          <cell r="X54">
            <v>1</v>
          </cell>
          <cell r="Y54">
            <v>23.2989</v>
          </cell>
          <cell r="Z54">
            <v>1.43E-2</v>
          </cell>
          <cell r="AA54">
            <v>23.284600000000001</v>
          </cell>
          <cell r="AB54" t="e">
            <v>#N/A</v>
          </cell>
          <cell r="AC54" t="e">
            <v>#N/A</v>
          </cell>
          <cell r="AD54" t="str">
            <v>0140-01</v>
          </cell>
          <cell r="AE54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55">
          <cell r="A55" t="str">
            <v>141-01</v>
          </cell>
          <cell r="B55">
            <v>4009</v>
          </cell>
          <cell r="C55" t="str">
            <v>DE.1.0.7.0</v>
          </cell>
          <cell r="D55" t="str">
            <v>204:471</v>
          </cell>
          <cell r="E55">
            <v>42583.360497685186</v>
          </cell>
          <cell r="F55">
            <v>42583.361481481479</v>
          </cell>
          <cell r="G55">
            <v>1</v>
          </cell>
          <cell r="H55" t="str">
            <v>204:233311</v>
          </cell>
          <cell r="I55">
            <v>42583.398692129631</v>
          </cell>
          <cell r="J55">
            <v>0</v>
          </cell>
          <cell r="K55" t="str">
            <v>4009/4010</v>
          </cell>
          <cell r="L55" t="str">
            <v>ISHMAEL</v>
          </cell>
          <cell r="M55">
            <v>3.7210648151813075E-2</v>
          </cell>
          <cell r="N55">
            <v>53.583333338610828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https://search-rtdc-monitor-bjffxe2xuh6vdkpspy63sjmuny.us-east-1.es.amazonaws.com/_plugin/kibana/#/discover/Steve-Slow-Train-Analysis-(2080s-and-2083s)?_g=(refreshInterval:(display:Off,section:0,value:0),time:(from:'2016-08-01 07:39:07-0600',mode:absolute,to:'2016-08-01 10:34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55" t="str">
            <v>N</v>
          </cell>
          <cell r="X55">
            <v>1</v>
          </cell>
          <cell r="Y55">
            <v>4.7100000000000003E-2</v>
          </cell>
          <cell r="Z55">
            <v>23.331099999999999</v>
          </cell>
          <cell r="AA55">
            <v>23.283999999999999</v>
          </cell>
          <cell r="AB55" t="e">
            <v>#N/A</v>
          </cell>
          <cell r="AC55" t="e">
            <v>#N/A</v>
          </cell>
          <cell r="AD55" t="str">
            <v>0141-01</v>
          </cell>
          <cell r="AE55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56">
          <cell r="A56" t="str">
            <v>142-01</v>
          </cell>
          <cell r="B56">
            <v>4010</v>
          </cell>
          <cell r="C56" t="str">
            <v>DE.1.0.7.0</v>
          </cell>
          <cell r="D56" t="str">
            <v>204:232982</v>
          </cell>
          <cell r="E56">
            <v>42583.400960648149</v>
          </cell>
          <cell r="F56">
            <v>42583.401759259257</v>
          </cell>
          <cell r="G56">
            <v>1</v>
          </cell>
          <cell r="H56" t="str">
            <v>204:170</v>
          </cell>
          <cell r="I56">
            <v>42583.431875000002</v>
          </cell>
          <cell r="J56">
            <v>0</v>
          </cell>
          <cell r="K56" t="str">
            <v>4009/4010</v>
          </cell>
          <cell r="L56" t="str">
            <v>ISHMAEL</v>
          </cell>
          <cell r="M56">
            <v>3.0115740744804498E-2</v>
          </cell>
          <cell r="N56">
            <v>43.366666672518477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https://search-rtdc-monitor-bjffxe2xuh6vdkpspy63sjmuny.us-east-1.es.amazonaws.com/_plugin/kibana/#/discover/Steve-Slow-Train-Analysis-(2080s-and-2083s)?_g=(refreshInterval:(display:Off,section:0,value:0),time:(from:'2016-08-01 08:37:23-0600',mode:absolute,to:'2016-08-01 11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56" t="str">
            <v>N</v>
          </cell>
          <cell r="X56">
            <v>1</v>
          </cell>
          <cell r="Y56">
            <v>23.298200000000001</v>
          </cell>
          <cell r="Z56">
            <v>1.7000000000000001E-2</v>
          </cell>
          <cell r="AA56">
            <v>23.281200000000002</v>
          </cell>
          <cell r="AB56" t="e">
            <v>#N/A</v>
          </cell>
          <cell r="AC56" t="e">
            <v>#N/A</v>
          </cell>
          <cell r="AD56" t="str">
            <v>0142-01</v>
          </cell>
          <cell r="AE56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57">
          <cell r="A57" t="str">
            <v>143-01</v>
          </cell>
          <cell r="B57">
            <v>4029</v>
          </cell>
          <cell r="C57" t="str">
            <v>DE.1.0.7.0</v>
          </cell>
          <cell r="D57" t="str">
            <v>204:473</v>
          </cell>
          <cell r="E57">
            <v>42583.372395833336</v>
          </cell>
          <cell r="F57">
            <v>42583.373298611114</v>
          </cell>
          <cell r="G57">
            <v>1</v>
          </cell>
          <cell r="H57" t="str">
            <v>204:233314</v>
          </cell>
          <cell r="I57">
            <v>42583.406307870369</v>
          </cell>
          <cell r="J57">
            <v>2</v>
          </cell>
          <cell r="K57" t="str">
            <v>4029/4030</v>
          </cell>
          <cell r="L57" t="str">
            <v>MALAVE</v>
          </cell>
          <cell r="M57">
            <v>3.3009259255777579E-2</v>
          </cell>
          <cell r="N57">
            <v>47.533333328319713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https://search-rtdc-monitor-bjffxe2xuh6vdkpspy63sjmuny.us-east-1.es.amazonaws.com/_plugin/kibana/#/discover/Steve-Slow-Train-Analysis-(2080s-and-2083s)?_g=(refreshInterval:(display:Off,section:0,value:0),time:(from:'2016-08-01 07:56:15-0600',mode:absolute,to:'2016-08-01 10:45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57" t="str">
            <v>N</v>
          </cell>
          <cell r="X57">
            <v>1</v>
          </cell>
          <cell r="Y57">
            <v>4.7300000000000002E-2</v>
          </cell>
          <cell r="Z57">
            <v>23.331399999999999</v>
          </cell>
          <cell r="AA57">
            <v>23.284099999999999</v>
          </cell>
          <cell r="AB57">
            <v>58783</v>
          </cell>
          <cell r="AC57" t="str">
            <v>GRADE CROSSING</v>
          </cell>
          <cell r="AD57" t="str">
            <v>0143-01</v>
          </cell>
          <cell r="AE5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58">
          <cell r="A58" t="str">
            <v>144-01</v>
          </cell>
          <cell r="B58">
            <v>4030</v>
          </cell>
          <cell r="C58" t="str">
            <v>DE.1.0.7.0</v>
          </cell>
          <cell r="D58" t="str">
            <v>204:232994</v>
          </cell>
          <cell r="E58">
            <v>42583.412743055553</v>
          </cell>
          <cell r="F58">
            <v>42583.413668981484</v>
          </cell>
          <cell r="G58">
            <v>1</v>
          </cell>
          <cell r="H58" t="str">
            <v>204:158</v>
          </cell>
          <cell r="I58">
            <v>42583.442094907405</v>
          </cell>
          <cell r="J58">
            <v>0</v>
          </cell>
          <cell r="K58" t="str">
            <v>4029/4030</v>
          </cell>
          <cell r="L58" t="str">
            <v>MALAVE</v>
          </cell>
          <cell r="M58">
            <v>2.8425925920601003E-2</v>
          </cell>
          <cell r="N58">
            <v>40.933333325665444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https://search-rtdc-monitor-bjffxe2xuh6vdkpspy63sjmuny.us-east-1.es.amazonaws.com/_plugin/kibana/#/discover/Steve-Slow-Train-Analysis-(2080s-and-2083s)?_g=(refreshInterval:(display:Off,section:0,value:0),time:(from:'2016-08-01 08:54:21-0600',mode:absolute,to:'2016-08-01 11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58" t="str">
            <v>N</v>
          </cell>
          <cell r="X58">
            <v>1</v>
          </cell>
          <cell r="Y58">
            <v>23.299399999999999</v>
          </cell>
          <cell r="Z58">
            <v>1.5800000000000002E-2</v>
          </cell>
          <cell r="AA58">
            <v>23.2836</v>
          </cell>
          <cell r="AB58" t="e">
            <v>#N/A</v>
          </cell>
          <cell r="AC58" t="e">
            <v>#N/A</v>
          </cell>
          <cell r="AD58" t="str">
            <v>0144-01</v>
          </cell>
          <cell r="AE5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59">
          <cell r="A59" t="str">
            <v>145-01</v>
          </cell>
          <cell r="B59">
            <v>4016</v>
          </cell>
          <cell r="C59" t="str">
            <v>DE.1.0.7.0</v>
          </cell>
          <cell r="D59" t="str">
            <v>204:447</v>
          </cell>
          <cell r="E59">
            <v>42583.381122685183</v>
          </cell>
          <cell r="F59">
            <v>42583.382025462961</v>
          </cell>
          <cell r="G59">
            <v>1</v>
          </cell>
          <cell r="H59" t="str">
            <v>204:233297</v>
          </cell>
          <cell r="I59">
            <v>42583.412465277775</v>
          </cell>
          <cell r="J59">
            <v>0</v>
          </cell>
          <cell r="K59" t="str">
            <v>4015/4016</v>
          </cell>
          <cell r="L59" t="str">
            <v>ACKERMAN</v>
          </cell>
          <cell r="M59">
            <v>3.0439814814599231E-2</v>
          </cell>
          <cell r="N59">
            <v>43.833333333022892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https://search-rtdc-monitor-bjffxe2xuh6vdkpspy63sjmuny.us-east-1.es.amazonaws.com/_plugin/kibana/#/discover/Steve-Slow-Train-Analysis-(2080s-and-2083s)?_g=(refreshInterval:(display:Off,section:0,value:0),time:(from:'2016-08-01 08:08:49-0600',mode:absolute,to:'2016-08-01 10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59" t="str">
            <v>N</v>
          </cell>
          <cell r="X59">
            <v>1</v>
          </cell>
          <cell r="Y59">
            <v>4.4699999999999997E-2</v>
          </cell>
          <cell r="Z59">
            <v>23.329699999999999</v>
          </cell>
          <cell r="AA59">
            <v>23.285</v>
          </cell>
          <cell r="AB59" t="e">
            <v>#N/A</v>
          </cell>
          <cell r="AC59" t="e">
            <v>#N/A</v>
          </cell>
          <cell r="AD59" t="str">
            <v>0145-01</v>
          </cell>
          <cell r="AE59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60">
          <cell r="A60" t="str">
            <v>146-01</v>
          </cell>
          <cell r="B60">
            <v>4015</v>
          </cell>
          <cell r="C60" t="str">
            <v>DE.1.0.7.0</v>
          </cell>
          <cell r="D60" t="str">
            <v>204:232992</v>
          </cell>
          <cell r="E60">
            <v>42583.418715277781</v>
          </cell>
          <cell r="F60">
            <v>42583.419918981483</v>
          </cell>
          <cell r="G60">
            <v>1</v>
          </cell>
          <cell r="H60" t="str">
            <v>204:129</v>
          </cell>
          <cell r="I60">
            <v>42583.451111111113</v>
          </cell>
          <cell r="J60">
            <v>1</v>
          </cell>
          <cell r="K60" t="str">
            <v>4015/4016</v>
          </cell>
          <cell r="L60" t="str">
            <v>ACKERMAN</v>
          </cell>
          <cell r="M60">
            <v>3.1192129630653653E-2</v>
          </cell>
          <cell r="N60">
            <v>44.916666668141261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https://search-rtdc-monitor-bjffxe2xuh6vdkpspy63sjmuny.us-east-1.es.amazonaws.com/_plugin/kibana/#/discover/Steve-Slow-Train-Analysis-(2080s-and-2083s)?_g=(refreshInterval:(display:Off,section:0,value:0),time:(from:'2016-08-01 09:02:57-0600',mode:absolute,to:'2016-08-01 11:49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60" t="str">
            <v>N</v>
          </cell>
          <cell r="X60">
            <v>1</v>
          </cell>
          <cell r="Y60">
            <v>23.299199999999999</v>
          </cell>
          <cell r="Z60">
            <v>1.29E-2</v>
          </cell>
          <cell r="AA60">
            <v>23.286300000000001</v>
          </cell>
          <cell r="AB60" t="e">
            <v>#N/A</v>
          </cell>
          <cell r="AC60" t="e">
            <v>#N/A</v>
          </cell>
          <cell r="AD60" t="str">
            <v>0146-01</v>
          </cell>
          <cell r="AE60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61">
          <cell r="A61" t="str">
            <v>147-01</v>
          </cell>
          <cell r="B61">
            <v>4044</v>
          </cell>
          <cell r="C61" t="str">
            <v>DE.1.0.7.0</v>
          </cell>
          <cell r="D61" t="str">
            <v>204:464</v>
          </cell>
          <cell r="E61">
            <v>42583.394861111112</v>
          </cell>
          <cell r="F61">
            <v>42583.395810185182</v>
          </cell>
          <cell r="G61">
            <v>1</v>
          </cell>
          <cell r="H61" t="str">
            <v>204:233306</v>
          </cell>
          <cell r="I61">
            <v>42583.422986111109</v>
          </cell>
          <cell r="J61">
            <v>0</v>
          </cell>
          <cell r="K61" t="str">
            <v>4043/4044</v>
          </cell>
          <cell r="L61" t="str">
            <v>DAVIS</v>
          </cell>
          <cell r="M61">
            <v>2.7175925926712807E-2</v>
          </cell>
          <cell r="N61">
            <v>39.133333334466442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https://search-rtdc-monitor-bjffxe2xuh6vdkpspy63sjmuny.us-east-1.es.amazonaws.com/_plugin/kibana/#/discover/Steve-Slow-Train-Analysis-(2080s-and-2083s)?_g=(refreshInterval:(display:Off,section:0,value:0),time:(from:'2016-08-01 08:28:36-0600',mode:absolute,to:'2016-08-01 11:09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61" t="str">
            <v>N</v>
          </cell>
          <cell r="X61">
            <v>1</v>
          </cell>
          <cell r="Y61">
            <v>4.6399999999999997E-2</v>
          </cell>
          <cell r="Z61">
            <v>23.3306</v>
          </cell>
          <cell r="AA61">
            <v>23.284200000000002</v>
          </cell>
          <cell r="AB61" t="e">
            <v>#N/A</v>
          </cell>
          <cell r="AC61" t="e">
            <v>#N/A</v>
          </cell>
          <cell r="AD61" t="str">
            <v>0147-01</v>
          </cell>
          <cell r="AE61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62">
          <cell r="A62" t="str">
            <v>148-01</v>
          </cell>
          <cell r="B62">
            <v>4043</v>
          </cell>
          <cell r="C62" t="str">
            <v>DE.1.0.7.0</v>
          </cell>
          <cell r="D62" t="str">
            <v>204:232981</v>
          </cell>
          <cell r="E62">
            <v>42583.428449074076</v>
          </cell>
          <cell r="F62">
            <v>42583.429456018515</v>
          </cell>
          <cell r="G62">
            <v>1</v>
          </cell>
          <cell r="H62" t="str">
            <v>204:154</v>
          </cell>
          <cell r="I62">
            <v>42583.465196759258</v>
          </cell>
          <cell r="J62">
            <v>0</v>
          </cell>
          <cell r="K62" t="str">
            <v>4043/4044</v>
          </cell>
          <cell r="L62" t="str">
            <v>DAVIS</v>
          </cell>
          <cell r="M62">
            <v>3.574074074276723E-2</v>
          </cell>
          <cell r="N62">
            <v>51.466666669584811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https://search-rtdc-monitor-bjffxe2xuh6vdkpspy63sjmuny.us-east-1.es.amazonaws.com/_plugin/kibana/#/discover/Steve-Slow-Train-Analysis-(2080s-and-2083s)?_g=(refreshInterval:(display:Off,section:0,value:0),time:(from:'2016-08-01 09:16:58-0600',mode:absolute,to:'2016-08-01 12:09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62" t="str">
            <v>N</v>
          </cell>
          <cell r="X62">
            <v>1</v>
          </cell>
          <cell r="Y62">
            <v>23.298100000000002</v>
          </cell>
          <cell r="Z62">
            <v>1.54E-2</v>
          </cell>
          <cell r="AA62">
            <v>23.282700000000002</v>
          </cell>
          <cell r="AB62" t="e">
            <v>#N/A</v>
          </cell>
          <cell r="AC62" t="e">
            <v>#N/A</v>
          </cell>
          <cell r="AD62" t="str">
            <v>0148-01</v>
          </cell>
          <cell r="AE62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63">
          <cell r="A63" t="str">
            <v>149-01</v>
          </cell>
          <cell r="B63">
            <v>4027</v>
          </cell>
          <cell r="C63" t="str">
            <v>DE.1.0.7.0</v>
          </cell>
          <cell r="D63" t="str">
            <v>204:437</v>
          </cell>
          <cell r="E63">
            <v>42583.402349537035</v>
          </cell>
          <cell r="F63">
            <v>42583.403182870374</v>
          </cell>
          <cell r="G63">
            <v>1</v>
          </cell>
          <cell r="H63" t="str">
            <v>204:233309</v>
          </cell>
          <cell r="I63">
            <v>42583.430972222224</v>
          </cell>
          <cell r="J63">
            <v>0</v>
          </cell>
          <cell r="K63" t="str">
            <v>4027/4028</v>
          </cell>
          <cell r="L63" t="str">
            <v>SPECTOR</v>
          </cell>
          <cell r="M63">
            <v>2.7789351850515231E-2</v>
          </cell>
          <cell r="N63">
            <v>40.016666664741933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https://search-rtdc-monitor-bjffxe2xuh6vdkpspy63sjmuny.us-east-1.es.amazonaws.com/_plugin/kibana/#/discover/Steve-Slow-Train-Analysis-(2080s-and-2083s)?_g=(refreshInterval:(display:Off,section:0,value:0),time:(from:'2016-08-01 08:39:23-0600',mode:absolute,to:'2016-08-01 11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63" t="str">
            <v>N</v>
          </cell>
          <cell r="X63">
            <v>1</v>
          </cell>
          <cell r="Y63">
            <v>4.3700000000000003E-2</v>
          </cell>
          <cell r="Z63">
            <v>23.3309</v>
          </cell>
          <cell r="AA63">
            <v>23.287199999999999</v>
          </cell>
          <cell r="AB63" t="e">
            <v>#N/A</v>
          </cell>
          <cell r="AC63" t="e">
            <v>#N/A</v>
          </cell>
          <cell r="AD63" t="str">
            <v>0149-01</v>
          </cell>
          <cell r="AE63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64">
          <cell r="A64" t="str">
            <v>150-01</v>
          </cell>
          <cell r="B64">
            <v>4028</v>
          </cell>
          <cell r="C64" t="str">
            <v>DE.1.0.7.0</v>
          </cell>
          <cell r="D64" t="str">
            <v>204:232992</v>
          </cell>
          <cell r="E64">
            <v>42583.439895833333</v>
          </cell>
          <cell r="F64">
            <v>42583.440879629627</v>
          </cell>
          <cell r="G64">
            <v>1</v>
          </cell>
          <cell r="H64" t="str">
            <v>204:130</v>
          </cell>
          <cell r="I64">
            <v>42583.474675925929</v>
          </cell>
          <cell r="J64">
            <v>0</v>
          </cell>
          <cell r="K64" t="str">
            <v>4027/4028</v>
          </cell>
          <cell r="L64" t="str">
            <v>SPECTOR</v>
          </cell>
          <cell r="M64">
            <v>3.3796296302170958E-2</v>
          </cell>
          <cell r="N64">
            <v>48.66666667512618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https://search-rtdc-monitor-bjffxe2xuh6vdkpspy63sjmuny.us-east-1.es.amazonaws.com/_plugin/kibana/#/discover/Steve-Slow-Train-Analysis-(2080s-and-2083s)?_g=(refreshInterval:(display:Off,section:0,value:0),time:(from:'2016-08-01 09:33:27-0600',mode:absolute,to:'2016-08-01 12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64" t="str">
            <v>N</v>
          </cell>
          <cell r="X64">
            <v>1</v>
          </cell>
          <cell r="Y64">
            <v>23.299199999999999</v>
          </cell>
          <cell r="Z64">
            <v>1.2999999999999999E-2</v>
          </cell>
          <cell r="AA64">
            <v>23.286199999999997</v>
          </cell>
          <cell r="AB64" t="e">
            <v>#N/A</v>
          </cell>
          <cell r="AC64" t="e">
            <v>#N/A</v>
          </cell>
          <cell r="AD64" t="str">
            <v>0150-01</v>
          </cell>
          <cell r="AE64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65">
          <cell r="A65" t="str">
            <v>151-01</v>
          </cell>
          <cell r="B65">
            <v>4014</v>
          </cell>
          <cell r="C65" t="str">
            <v>DE.1.0.7.0</v>
          </cell>
          <cell r="D65" t="str">
            <v>204:457</v>
          </cell>
          <cell r="E65">
            <v>42583.414189814815</v>
          </cell>
          <cell r="F65">
            <v>42583.415127314816</v>
          </cell>
          <cell r="G65">
            <v>1</v>
          </cell>
          <cell r="H65" t="str">
            <v>204:233293</v>
          </cell>
          <cell r="I65">
            <v>42583.441168981481</v>
          </cell>
          <cell r="J65">
            <v>0</v>
          </cell>
          <cell r="K65" t="str">
            <v>4013/4014</v>
          </cell>
          <cell r="L65" t="str">
            <v>YORK</v>
          </cell>
          <cell r="M65">
            <v>2.6041666664241347E-2</v>
          </cell>
          <cell r="N65">
            <v>37.49999999650754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https://search-rtdc-monitor-bjffxe2xuh6vdkpspy63sjmuny.us-east-1.es.amazonaws.com/_plugin/kibana/#/discover/Steve-Slow-Train-Analysis-(2080s-and-2083s)?_g=(refreshInterval:(display:Off,section:0,value:0),time:(from:'2016-08-01 08:56:26-0600',mode:absolute,to:'2016-08-01 11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65" t="str">
            <v>N</v>
          </cell>
          <cell r="X65">
            <v>1</v>
          </cell>
          <cell r="Y65">
            <v>4.5699999999999998E-2</v>
          </cell>
          <cell r="Z65">
            <v>23.3293</v>
          </cell>
          <cell r="AA65">
            <v>23.2836</v>
          </cell>
          <cell r="AB65" t="e">
            <v>#N/A</v>
          </cell>
          <cell r="AC65" t="e">
            <v>#N/A</v>
          </cell>
          <cell r="AD65" t="str">
            <v>0151-01</v>
          </cell>
          <cell r="AE65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66">
          <cell r="A66" t="str">
            <v>152-01</v>
          </cell>
          <cell r="B66">
            <v>4013</v>
          </cell>
          <cell r="C66" t="str">
            <v>DE.1.0.7.0</v>
          </cell>
          <cell r="D66" t="str">
            <v>204:232968</v>
          </cell>
          <cell r="E66">
            <v>42583.443344907406</v>
          </cell>
          <cell r="F66">
            <v>42583.444479166668</v>
          </cell>
          <cell r="G66">
            <v>1</v>
          </cell>
          <cell r="H66" t="str">
            <v>204:150</v>
          </cell>
          <cell r="I66">
            <v>42583.484594907408</v>
          </cell>
          <cell r="J66">
            <v>0</v>
          </cell>
          <cell r="K66" t="str">
            <v>4013/4014</v>
          </cell>
          <cell r="L66" t="str">
            <v>YORK</v>
          </cell>
          <cell r="M66">
            <v>4.0115740739565808E-2</v>
          </cell>
          <cell r="N66">
            <v>57.766666664974764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https://search-rtdc-monitor-bjffxe2xuh6vdkpspy63sjmuny.us-east-1.es.amazonaws.com/_plugin/kibana/#/discover/Steve-Slow-Train-Analysis-(2080s-and-2083s)?_g=(refreshInterval:(display:Off,section:0,value:0),time:(from:'2016-08-01 09:38:25-0600',mode:absolute,to:'2016-08-01 12:37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66" t="str">
            <v>N</v>
          </cell>
          <cell r="X66">
            <v>1</v>
          </cell>
          <cell r="Y66">
            <v>23.296800000000001</v>
          </cell>
          <cell r="Z66">
            <v>1.4999999999999999E-2</v>
          </cell>
          <cell r="AA66">
            <v>23.2818</v>
          </cell>
          <cell r="AB66" t="e">
            <v>#N/A</v>
          </cell>
          <cell r="AC66" t="e">
            <v>#N/A</v>
          </cell>
          <cell r="AD66" t="str">
            <v>0152-01</v>
          </cell>
          <cell r="AE66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67">
          <cell r="A67" t="str">
            <v>153-01</v>
          </cell>
          <cell r="B67">
            <v>4011</v>
          </cell>
          <cell r="C67" t="str">
            <v>DE.1.0.7.0</v>
          </cell>
          <cell r="D67" t="str">
            <v>204:433</v>
          </cell>
          <cell r="E67">
            <v>42583.423750000002</v>
          </cell>
          <cell r="F67">
            <v>42583.424479166664</v>
          </cell>
          <cell r="G67">
            <v>1</v>
          </cell>
          <cell r="H67" t="str">
            <v>204:233211</v>
          </cell>
          <cell r="I67">
            <v>42583.454826388886</v>
          </cell>
          <cell r="J67">
            <v>4</v>
          </cell>
          <cell r="K67" t="str">
            <v>4011/4012</v>
          </cell>
          <cell r="L67" t="str">
            <v>STARKS</v>
          </cell>
          <cell r="M67">
            <v>3.0347222222189885E-2</v>
          </cell>
          <cell r="N67">
            <v>43.699999999953434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https://search-rtdc-monitor-bjffxe2xuh6vdkpspy63sjmuny.us-east-1.es.amazonaws.com/_plugin/kibana/#/discover/Steve-Slow-Train-Analysis-(2080s-and-2083s)?_g=(refreshInterval:(display:Off,section:0,value:0),time:(from:'2016-08-01 09:10:12-0600',mode:absolute,to:'2016-08-01 11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67" t="str">
            <v>N</v>
          </cell>
          <cell r="X67">
            <v>1</v>
          </cell>
          <cell r="Y67">
            <v>4.3299999999999998E-2</v>
          </cell>
          <cell r="Z67">
            <v>23.321100000000001</v>
          </cell>
          <cell r="AA67">
            <v>23.277800000000003</v>
          </cell>
          <cell r="AB67">
            <v>27333</v>
          </cell>
          <cell r="AC67" t="str">
            <v>PERMANENT SPEED RESTRICTION</v>
          </cell>
          <cell r="AD67" t="str">
            <v>0153-01</v>
          </cell>
          <cell r="AE67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68">
          <cell r="A68" t="str">
            <v>154-01</v>
          </cell>
          <cell r="B68">
            <v>4012</v>
          </cell>
          <cell r="C68" t="str">
            <v>DE.1.0.7.0</v>
          </cell>
          <cell r="D68" t="str">
            <v>204:232907</v>
          </cell>
          <cell r="E68">
            <v>42583.465543981481</v>
          </cell>
          <cell r="F68">
            <v>42583.466493055559</v>
          </cell>
          <cell r="G68">
            <v>1</v>
          </cell>
          <cell r="H68" t="str">
            <v>204:158</v>
          </cell>
          <cell r="I68">
            <v>42583.499282407407</v>
          </cell>
          <cell r="J68">
            <v>1</v>
          </cell>
          <cell r="K68" t="str">
            <v>4011/4012</v>
          </cell>
          <cell r="L68" t="str">
            <v>STARKS</v>
          </cell>
          <cell r="M68">
            <v>3.2789351847895887E-2</v>
          </cell>
          <cell r="N68">
            <v>47.216666660970077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https://search-rtdc-monitor-bjffxe2xuh6vdkpspy63sjmuny.us-east-1.es.amazonaws.com/_plugin/kibana/#/discover/Steve-Slow-Train-Analysis-(2080s-and-2083s)?_g=(refreshInterval:(display:Off,section:0,value:0),time:(from:'2016-08-01 10:10:23-0600',mode:absolute,to:'2016-08-01 12:58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68" t="str">
            <v>N</v>
          </cell>
          <cell r="X68">
            <v>1</v>
          </cell>
          <cell r="Y68">
            <v>23.290700000000001</v>
          </cell>
          <cell r="Z68">
            <v>1.5800000000000002E-2</v>
          </cell>
          <cell r="AA68">
            <v>23.274900000000002</v>
          </cell>
          <cell r="AB68">
            <v>228668</v>
          </cell>
          <cell r="AC68" t="str">
            <v>PERMANENT SPEED RESTRICTION</v>
          </cell>
          <cell r="AD68" t="str">
            <v>0154-01</v>
          </cell>
          <cell r="AE68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69">
          <cell r="A69" t="str">
            <v>155-01</v>
          </cell>
          <cell r="B69">
            <v>4009</v>
          </cell>
          <cell r="C69" t="str">
            <v>DE.1.0.7.0</v>
          </cell>
          <cell r="D69" t="str">
            <v>204:484</v>
          </cell>
          <cell r="E69">
            <v>42583.435833333337</v>
          </cell>
          <cell r="F69">
            <v>42583.436793981484</v>
          </cell>
          <cell r="G69">
            <v>1</v>
          </cell>
          <cell r="H69" t="str">
            <v>204:233297</v>
          </cell>
          <cell r="I69">
            <v>42583.463287037041</v>
          </cell>
          <cell r="J69">
            <v>0</v>
          </cell>
          <cell r="K69" t="str">
            <v>4009/4010</v>
          </cell>
          <cell r="L69" t="str">
            <v>SANTIZO</v>
          </cell>
          <cell r="M69">
            <v>2.6493055556784384E-2</v>
          </cell>
          <cell r="N69">
            <v>38.150000001769513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https://search-rtdc-monitor-bjffxe2xuh6vdkpspy63sjmuny.us-east-1.es.amazonaws.com/_plugin/kibana/#/discover/Steve-Slow-Train-Analysis-(2080s-and-2083s)?_g=(refreshInterval:(display:Off,section:0,value:0),time:(from:'2016-08-01 09:27:36-0600',mode:absolute,to:'2016-08-01 12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69" t="str">
            <v>N</v>
          </cell>
          <cell r="X69">
            <v>1</v>
          </cell>
          <cell r="Y69">
            <v>4.8399999999999999E-2</v>
          </cell>
          <cell r="Z69">
            <v>23.329699999999999</v>
          </cell>
          <cell r="AA69">
            <v>23.281299999999998</v>
          </cell>
          <cell r="AB69" t="e">
            <v>#N/A</v>
          </cell>
          <cell r="AC69" t="e">
            <v>#N/A</v>
          </cell>
          <cell r="AD69" t="str">
            <v>0155-01</v>
          </cell>
          <cell r="AE69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70">
          <cell r="A70" t="str">
            <v>156-01</v>
          </cell>
          <cell r="B70">
            <v>4010</v>
          </cell>
          <cell r="C70" t="str">
            <v>DE.1.0.7.0</v>
          </cell>
          <cell r="D70" t="str">
            <v>204:233000</v>
          </cell>
          <cell r="E70">
            <v>42583.465011574073</v>
          </cell>
          <cell r="F70">
            <v>42583.466168981482</v>
          </cell>
          <cell r="G70">
            <v>1</v>
          </cell>
          <cell r="H70" t="str">
            <v>204:127</v>
          </cell>
          <cell r="I70">
            <v>42583.505023148151</v>
          </cell>
          <cell r="J70">
            <v>0</v>
          </cell>
          <cell r="K70" t="str">
            <v>4009/4010</v>
          </cell>
          <cell r="L70" t="str">
            <v>SANTIZO</v>
          </cell>
          <cell r="M70">
            <v>3.885416666889796E-2</v>
          </cell>
          <cell r="N70">
            <v>55.950000003213063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https://search-rtdc-monitor-bjffxe2xuh6vdkpspy63sjmuny.us-east-1.es.amazonaws.com/_plugin/kibana/#/discover/Steve-Slow-Train-Analysis-(2080s-and-2083s)?_g=(refreshInterval:(display:Off,section:0,value:0),time:(from:'2016-08-01 10:09:37-0600',mode:absolute,to:'2016-08-01 13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70" t="str">
            <v>N</v>
          </cell>
          <cell r="X70">
            <v>1</v>
          </cell>
          <cell r="Y70">
            <v>23.3</v>
          </cell>
          <cell r="Z70">
            <v>1.2699999999999999E-2</v>
          </cell>
          <cell r="AA70">
            <v>23.287300000000002</v>
          </cell>
          <cell r="AB70" t="e">
            <v>#N/A</v>
          </cell>
          <cell r="AC70" t="e">
            <v>#N/A</v>
          </cell>
          <cell r="AD70" t="str">
            <v>0156-01</v>
          </cell>
          <cell r="AE70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71">
          <cell r="A71" t="str">
            <v>157-01</v>
          </cell>
          <cell r="B71">
            <v>4029</v>
          </cell>
          <cell r="C71" t="str">
            <v>DE.1.0.7.0</v>
          </cell>
          <cell r="D71" t="str">
            <v>204:460</v>
          </cell>
          <cell r="E71">
            <v>42583.446817129632</v>
          </cell>
          <cell r="F71">
            <v>42583.447638888887</v>
          </cell>
          <cell r="G71">
            <v>1</v>
          </cell>
          <cell r="H71" t="str">
            <v>204:233276</v>
          </cell>
          <cell r="I71">
            <v>42583.47457175926</v>
          </cell>
          <cell r="J71">
            <v>0</v>
          </cell>
          <cell r="K71" t="str">
            <v>4029/4030</v>
          </cell>
          <cell r="L71" t="str">
            <v>MALAVE</v>
          </cell>
          <cell r="M71">
            <v>2.6932870372547768E-2</v>
          </cell>
          <cell r="N71">
            <v>38.783333336468786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https://search-rtdc-monitor-bjffxe2xuh6vdkpspy63sjmuny.us-east-1.es.amazonaws.com/_plugin/kibana/#/discover/Steve-Slow-Train-Analysis-(2080s-and-2083s)?_g=(refreshInterval:(display:Off,section:0,value:0),time:(from:'2016-08-01 09:43:25-0600',mode:absolute,to:'2016-08-01 12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71" t="str">
            <v>N</v>
          </cell>
          <cell r="X71">
            <v>1</v>
          </cell>
          <cell r="Y71">
            <v>4.5999999999999999E-2</v>
          </cell>
          <cell r="Z71">
            <v>23.3276</v>
          </cell>
          <cell r="AA71">
            <v>23.281600000000001</v>
          </cell>
          <cell r="AB71" t="e">
            <v>#N/A</v>
          </cell>
          <cell r="AC71" t="e">
            <v>#N/A</v>
          </cell>
          <cell r="AD71" t="str">
            <v>0157-01</v>
          </cell>
          <cell r="AE71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72">
          <cell r="A72" t="str">
            <v>158-01</v>
          </cell>
          <cell r="B72">
            <v>4030</v>
          </cell>
          <cell r="C72" t="str">
            <v>DE.1.0.7.0</v>
          </cell>
          <cell r="D72" t="str">
            <v>204:232946</v>
          </cell>
          <cell r="E72">
            <v>42583.485972222225</v>
          </cell>
          <cell r="F72">
            <v>42583.486886574072</v>
          </cell>
          <cell r="G72">
            <v>1</v>
          </cell>
          <cell r="H72" t="str">
            <v>204:163</v>
          </cell>
          <cell r="I72">
            <v>42583.519745370373</v>
          </cell>
          <cell r="J72">
            <v>0</v>
          </cell>
          <cell r="K72" t="str">
            <v>4029/4030</v>
          </cell>
          <cell r="L72" t="str">
            <v>MALAVE</v>
          </cell>
          <cell r="M72">
            <v>3.2858796301297843E-2</v>
          </cell>
          <cell r="N72">
            <v>47.316666673868895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https://search-rtdc-monitor-bjffxe2xuh6vdkpspy63sjmuny.us-east-1.es.amazonaws.com/_plugin/kibana/#/discover/Steve-Slow-Train-Analysis-(2080s-and-2083s)?_g=(refreshInterval:(display:Off,section:0,value:0),time:(from:'2016-08-01 10:39:48-0600',mode:absolute,to:'2016-08-01 13:28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72" t="str">
            <v>N</v>
          </cell>
          <cell r="X72">
            <v>1</v>
          </cell>
          <cell r="Y72">
            <v>23.294599999999999</v>
          </cell>
          <cell r="Z72">
            <v>1.6299999999999999E-2</v>
          </cell>
          <cell r="AA72">
            <v>23.278299999999998</v>
          </cell>
          <cell r="AB72" t="e">
            <v>#N/A</v>
          </cell>
          <cell r="AC72" t="e">
            <v>#N/A</v>
          </cell>
          <cell r="AD72" t="str">
            <v>0158-01</v>
          </cell>
          <cell r="AE72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73">
          <cell r="A73" t="str">
            <v>159-01</v>
          </cell>
          <cell r="B73">
            <v>4016</v>
          </cell>
          <cell r="C73" t="str">
            <v>DE.1.0.7.0</v>
          </cell>
          <cell r="D73" t="str">
            <v>204:435</v>
          </cell>
          <cell r="E73">
            <v>42583.454340277778</v>
          </cell>
          <cell r="F73">
            <v>42583.455520833333</v>
          </cell>
          <cell r="G73">
            <v>1</v>
          </cell>
          <cell r="H73" t="str">
            <v>204:233240</v>
          </cell>
          <cell r="I73">
            <v>42583.49119212963</v>
          </cell>
          <cell r="J73">
            <v>0</v>
          </cell>
          <cell r="K73" t="str">
            <v>4015/4016</v>
          </cell>
          <cell r="L73" t="str">
            <v>STEWART</v>
          </cell>
          <cell r="M73">
            <v>3.5671296296641231E-2</v>
          </cell>
          <cell r="N73">
            <v>51.366666667163372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https://search-rtdc-monitor-bjffxe2xuh6vdkpspy63sjmuny.us-east-1.es.amazonaws.com/_plugin/kibana/#/discover/Steve-Slow-Train-Analysis-(2080s-and-2083s)?_g=(refreshInterval:(display:Off,section:0,value:0),time:(from:'2016-08-01 09:54:15-0600',mode:absolute,to:'2016-08-01 12:47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73" t="str">
            <v>N</v>
          </cell>
          <cell r="X73">
            <v>1</v>
          </cell>
          <cell r="Y73">
            <v>4.3499999999999997E-2</v>
          </cell>
          <cell r="Z73">
            <v>23.324000000000002</v>
          </cell>
          <cell r="AA73">
            <v>23.2805</v>
          </cell>
          <cell r="AB73" t="e">
            <v>#N/A</v>
          </cell>
          <cell r="AC73" t="e">
            <v>#N/A</v>
          </cell>
          <cell r="AD73" t="str">
            <v>0159-01</v>
          </cell>
          <cell r="AE73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74">
          <cell r="A74" t="str">
            <v>160-01</v>
          </cell>
          <cell r="B74">
            <v>4015</v>
          </cell>
          <cell r="C74" t="str">
            <v>DE.1.0.7.0</v>
          </cell>
          <cell r="D74" t="str">
            <v>204:232943</v>
          </cell>
          <cell r="E74">
            <v>42583.494629629633</v>
          </cell>
          <cell r="F74">
            <v>42583.495821759258</v>
          </cell>
          <cell r="G74">
            <v>1</v>
          </cell>
          <cell r="H74" t="str">
            <v>204:145</v>
          </cell>
          <cell r="I74">
            <v>42583.526331018518</v>
          </cell>
          <cell r="J74">
            <v>0</v>
          </cell>
          <cell r="K74" t="str">
            <v>4015/4016</v>
          </cell>
          <cell r="L74" t="str">
            <v>STEWART</v>
          </cell>
          <cell r="M74">
            <v>3.050925926072523E-2</v>
          </cell>
          <cell r="N74">
            <v>43.933333335444331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https://search-rtdc-monitor-bjffxe2xuh6vdkpspy63sjmuny.us-east-1.es.amazonaws.com/_plugin/kibana/#/discover/Steve-Slow-Train-Analysis-(2080s-and-2083s)?_g=(refreshInterval:(display:Off,section:0,value:0),time:(from:'2016-08-01 10:52:16-0600',mode:absolute,to:'2016-08-01 13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74" t="str">
            <v>N</v>
          </cell>
          <cell r="X74">
            <v>1</v>
          </cell>
          <cell r="Y74">
            <v>23.2943</v>
          </cell>
          <cell r="Z74">
            <v>1.4500000000000001E-2</v>
          </cell>
          <cell r="AA74">
            <v>23.279799999999998</v>
          </cell>
          <cell r="AB74" t="e">
            <v>#N/A</v>
          </cell>
          <cell r="AC74" t="e">
            <v>#N/A</v>
          </cell>
          <cell r="AD74" t="str">
            <v>0160-01</v>
          </cell>
          <cell r="AE74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75">
          <cell r="A75" t="str">
            <v>161-01</v>
          </cell>
          <cell r="B75">
            <v>4044</v>
          </cell>
          <cell r="C75" t="str">
            <v>DE.1.0.7.0</v>
          </cell>
          <cell r="D75" t="str">
            <v>204:462</v>
          </cell>
          <cell r="E75">
            <v>42583.467442129629</v>
          </cell>
          <cell r="F75">
            <v>42583.468414351853</v>
          </cell>
          <cell r="G75">
            <v>1</v>
          </cell>
          <cell r="H75" t="str">
            <v>204:233303</v>
          </cell>
          <cell r="I75">
            <v>42583.495833333334</v>
          </cell>
          <cell r="J75">
            <v>0</v>
          </cell>
          <cell r="K75" t="str">
            <v>4043/4044</v>
          </cell>
          <cell r="L75" t="str">
            <v>GRASTON</v>
          </cell>
          <cell r="M75">
            <v>2.7418981480877846E-2</v>
          </cell>
          <cell r="N75">
            <v>39.483333332464099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https://search-rtdc-monitor-bjffxe2xuh6vdkpspy63sjmuny.us-east-1.es.amazonaws.com/_plugin/kibana/#/discover/Steve-Slow-Train-Analysis-(2080s-and-2083s)?_g=(refreshInterval:(display:Off,section:0,value:0),time:(from:'2016-08-01 10:13:07-0600',mode:absolute,to:'2016-08-01 12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75" t="str">
            <v>N</v>
          </cell>
          <cell r="X75">
            <v>1</v>
          </cell>
          <cell r="Y75">
            <v>4.6199999999999998E-2</v>
          </cell>
          <cell r="Z75">
            <v>23.330300000000001</v>
          </cell>
          <cell r="AA75">
            <v>23.284100000000002</v>
          </cell>
          <cell r="AB75" t="e">
            <v>#N/A</v>
          </cell>
          <cell r="AC75" t="e">
            <v>#N/A</v>
          </cell>
          <cell r="AD75" t="str">
            <v>0161-01</v>
          </cell>
          <cell r="AE75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76">
          <cell r="A76" t="str">
            <v>162-01</v>
          </cell>
          <cell r="B76">
            <v>4043</v>
          </cell>
          <cell r="C76" t="str">
            <v>DE.1.0.7.0</v>
          </cell>
          <cell r="D76" t="str">
            <v>204:232980</v>
          </cell>
          <cell r="E76">
            <v>42583.50409722222</v>
          </cell>
          <cell r="F76">
            <v>42583.505243055559</v>
          </cell>
          <cell r="G76">
            <v>1</v>
          </cell>
          <cell r="H76" t="str">
            <v>204:149</v>
          </cell>
          <cell r="I76">
            <v>42583.534791666665</v>
          </cell>
          <cell r="J76">
            <v>0</v>
          </cell>
          <cell r="K76" t="str">
            <v>4043/4044</v>
          </cell>
          <cell r="L76" t="str">
            <v>GRASTON</v>
          </cell>
          <cell r="M76">
            <v>2.954861110629281E-2</v>
          </cell>
          <cell r="N76">
            <v>42.549999993061647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https://search-rtdc-monitor-bjffxe2xuh6vdkpspy63sjmuny.us-east-1.es.amazonaws.com/_plugin/kibana/#/discover/Steve-Slow-Train-Analysis-(2080s-and-2083s)?_g=(refreshInterval:(display:Off,section:0,value:0),time:(from:'2016-08-01 11:05:54-0600',mode:absolute,to:'2016-08-01 13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76" t="str">
            <v>N</v>
          </cell>
          <cell r="X76">
            <v>1</v>
          </cell>
          <cell r="Y76">
            <v>23.297999999999998</v>
          </cell>
          <cell r="Z76">
            <v>1.49E-2</v>
          </cell>
          <cell r="AA76">
            <v>23.283099999999997</v>
          </cell>
          <cell r="AB76" t="e">
            <v>#N/A</v>
          </cell>
          <cell r="AC76" t="e">
            <v>#N/A</v>
          </cell>
          <cell r="AD76" t="str">
            <v>0162-01</v>
          </cell>
          <cell r="AE76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77">
          <cell r="A77" t="str">
            <v>163-01</v>
          </cell>
          <cell r="B77">
            <v>4027</v>
          </cell>
          <cell r="C77" t="str">
            <v>DE.1.0.7.0</v>
          </cell>
          <cell r="D77" t="str">
            <v>204:464</v>
          </cell>
          <cell r="E77">
            <v>42583.478564814817</v>
          </cell>
          <cell r="F77">
            <v>42583.479849537034</v>
          </cell>
          <cell r="G77">
            <v>1</v>
          </cell>
          <cell r="H77" t="str">
            <v>204:233314</v>
          </cell>
          <cell r="I77">
            <v>42583.512106481481</v>
          </cell>
          <cell r="J77">
            <v>0</v>
          </cell>
          <cell r="K77" t="str">
            <v>4027/4028</v>
          </cell>
          <cell r="L77" t="str">
            <v>OUN</v>
          </cell>
          <cell r="M77">
            <v>3.2256944446999114E-2</v>
          </cell>
          <cell r="N77">
            <v>46.450000003678724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https://search-rtdc-monitor-bjffxe2xuh6vdkpspy63sjmuny.us-east-1.es.amazonaws.com/_plugin/kibana/#/discover/Steve-Slow-Train-Analysis-(2080s-and-2083s)?_g=(refreshInterval:(display:Off,section:0,value:0),time:(from:'2016-08-01 10:29:08-0600',mode:absolute,to:'2016-08-01 13:17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77" t="str">
            <v>N</v>
          </cell>
          <cell r="X77">
            <v>1</v>
          </cell>
          <cell r="Y77">
            <v>4.6399999999999997E-2</v>
          </cell>
          <cell r="Z77">
            <v>23.331399999999999</v>
          </cell>
          <cell r="AA77">
            <v>23.285</v>
          </cell>
          <cell r="AB77" t="e">
            <v>#N/A</v>
          </cell>
          <cell r="AC77" t="e">
            <v>#N/A</v>
          </cell>
          <cell r="AD77" t="str">
            <v>0163-01</v>
          </cell>
          <cell r="AE77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78">
          <cell r="A78" t="str">
            <v>164-01</v>
          </cell>
          <cell r="B78">
            <v>4028</v>
          </cell>
          <cell r="C78" t="str">
            <v>DE.1.0.7.0</v>
          </cell>
          <cell r="D78" t="str">
            <v>204:233000</v>
          </cell>
          <cell r="E78">
            <v>42583.514131944445</v>
          </cell>
          <cell r="F78">
            <v>42583.515243055554</v>
          </cell>
          <cell r="G78">
            <v>1</v>
          </cell>
          <cell r="H78" t="str">
            <v>204:134</v>
          </cell>
          <cell r="I78">
            <v>42583.545590277776</v>
          </cell>
          <cell r="J78">
            <v>0</v>
          </cell>
          <cell r="K78" t="str">
            <v>4027/4028</v>
          </cell>
          <cell r="L78" t="str">
            <v>OUN</v>
          </cell>
          <cell r="M78">
            <v>3.0347222222189885E-2</v>
          </cell>
          <cell r="N78">
            <v>43.699999999953434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https://search-rtdc-monitor-bjffxe2xuh6vdkpspy63sjmuny.us-east-1.es.amazonaws.com/_plugin/kibana/#/discover/Steve-Slow-Train-Analysis-(2080s-and-2083s)?_g=(refreshInterval:(display:Off,section:0,value:0),time:(from:'2016-08-01 11:20:21-0600',mode:absolute,to:'2016-08-01 14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78" t="str">
            <v>N</v>
          </cell>
          <cell r="X78">
            <v>1</v>
          </cell>
          <cell r="Y78">
            <v>23.3</v>
          </cell>
          <cell r="Z78">
            <v>1.34E-2</v>
          </cell>
          <cell r="AA78">
            <v>23.2866</v>
          </cell>
          <cell r="AB78" t="e">
            <v>#N/A</v>
          </cell>
          <cell r="AC78" t="e">
            <v>#N/A</v>
          </cell>
          <cell r="AD78" t="str">
            <v>0164-01</v>
          </cell>
          <cell r="AE78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79">
          <cell r="A79" t="str">
            <v>165-01</v>
          </cell>
          <cell r="B79">
            <v>4014</v>
          </cell>
          <cell r="C79" t="str">
            <v>DE.1.0.7.0</v>
          </cell>
          <cell r="D79" t="str">
            <v>204:444</v>
          </cell>
          <cell r="E79">
            <v>42583.487962962965</v>
          </cell>
          <cell r="F79">
            <v>42583.492303240739</v>
          </cell>
          <cell r="G79">
            <v>6</v>
          </cell>
          <cell r="H79" t="str">
            <v>204:233312</v>
          </cell>
          <cell r="I79">
            <v>42583.521863425929</v>
          </cell>
          <cell r="J79">
            <v>0</v>
          </cell>
          <cell r="K79" t="str">
            <v>4013/4014</v>
          </cell>
          <cell r="L79" t="str">
            <v>MAYBERRY</v>
          </cell>
          <cell r="M79">
            <v>2.956018519034842E-2</v>
          </cell>
          <cell r="N79">
            <v>42.566666674101725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https://search-rtdc-monitor-bjffxe2xuh6vdkpspy63sjmuny.us-east-1.es.amazonaws.com/_plugin/kibana/#/discover/Steve-Slow-Train-Analysis-(2080s-and-2083s)?_g=(refreshInterval:(display:Off,section:0,value:0),time:(from:'2016-08-01 10:42:40-0600',mode:absolute,to:'2016-08-01 13:31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79" t="str">
            <v>N</v>
          </cell>
          <cell r="X79">
            <v>1</v>
          </cell>
          <cell r="Y79">
            <v>4.4400000000000002E-2</v>
          </cell>
          <cell r="Z79">
            <v>23.331199999999999</v>
          </cell>
          <cell r="AA79">
            <v>23.286799999999999</v>
          </cell>
          <cell r="AB79" t="e">
            <v>#N/A</v>
          </cell>
          <cell r="AC79" t="e">
            <v>#N/A</v>
          </cell>
          <cell r="AD79" t="str">
            <v>0165-01</v>
          </cell>
          <cell r="AE79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80">
          <cell r="A80" t="str">
            <v>166-01</v>
          </cell>
          <cell r="B80">
            <v>4013</v>
          </cell>
          <cell r="C80" t="str">
            <v>DE.1.0.7.0</v>
          </cell>
          <cell r="D80" t="str">
            <v>204:232963</v>
          </cell>
          <cell r="E80">
            <v>42583.525000000001</v>
          </cell>
          <cell r="F80">
            <v>42583.526354166665</v>
          </cell>
          <cell r="G80">
            <v>1</v>
          </cell>
          <cell r="H80" t="str">
            <v>204:227</v>
          </cell>
          <cell r="I80">
            <v>42583.558738425927</v>
          </cell>
          <cell r="J80">
            <v>4</v>
          </cell>
          <cell r="K80" t="str">
            <v>4013/4014</v>
          </cell>
          <cell r="L80" t="str">
            <v>MAYBERRY</v>
          </cell>
          <cell r="M80">
            <v>3.238425926247146E-2</v>
          </cell>
          <cell r="N80">
            <v>46.633333337958902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https://search-rtdc-monitor-bjffxe2xuh6vdkpspy63sjmuny.us-east-1.es.amazonaws.com/_plugin/kibana/#/discover/Steve-Slow-Train-Analysis-(2080s-and-2083s)?_g=(refreshInterval:(display:Off,section:0,value:0),time:(from:'2016-08-01 11:36:00-0600',mode:absolute,to:'2016-08-01 14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80" t="str">
            <v>N</v>
          </cell>
          <cell r="X80">
            <v>1</v>
          </cell>
          <cell r="Y80">
            <v>23.296299999999999</v>
          </cell>
          <cell r="Z80">
            <v>2.2700000000000001E-2</v>
          </cell>
          <cell r="AA80">
            <v>23.273599999999998</v>
          </cell>
          <cell r="AB80">
            <v>63309</v>
          </cell>
          <cell r="AC80" t="str">
            <v>GRADE CROSSING</v>
          </cell>
          <cell r="AD80" t="str">
            <v>0166-01</v>
          </cell>
          <cell r="AE80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81">
          <cell r="A81" t="str">
            <v>167-01</v>
          </cell>
          <cell r="B81">
            <v>4011</v>
          </cell>
          <cell r="C81" t="str">
            <v>DE.1.0.7.0</v>
          </cell>
          <cell r="D81" t="str">
            <v>204:453</v>
          </cell>
          <cell r="E81">
            <v>42583.502627314818</v>
          </cell>
          <cell r="F81">
            <v>42583.503680555557</v>
          </cell>
          <cell r="G81">
            <v>1</v>
          </cell>
          <cell r="H81" t="str">
            <v>204:233329</v>
          </cell>
          <cell r="I81">
            <v>42583.534351851849</v>
          </cell>
          <cell r="J81">
            <v>0</v>
          </cell>
          <cell r="K81" t="str">
            <v>4011/4012</v>
          </cell>
          <cell r="L81" t="str">
            <v>YOUNG</v>
          </cell>
          <cell r="M81">
            <v>3.0671296291984618E-2</v>
          </cell>
          <cell r="N81">
            <v>44.16666666045785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https://search-rtdc-monitor-bjffxe2xuh6vdkpspy63sjmuny.us-east-1.es.amazonaws.com/_plugin/kibana/#/discover/Steve-Slow-Train-Analysis-(2080s-and-2083s)?_g=(refreshInterval:(display:Off,section:0,value:0),time:(from:'2016-08-01 11:03:47-0600',mode:absolute,to:'2016-08-01 13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81" t="str">
            <v>N</v>
          </cell>
          <cell r="X81">
            <v>1</v>
          </cell>
          <cell r="Y81">
            <v>4.53E-2</v>
          </cell>
          <cell r="Z81">
            <v>23.332899999999999</v>
          </cell>
          <cell r="AA81">
            <v>23.287599999999998</v>
          </cell>
          <cell r="AB81" t="e">
            <v>#N/A</v>
          </cell>
          <cell r="AC81" t="e">
            <v>#N/A</v>
          </cell>
          <cell r="AD81" t="str">
            <v>0167-01</v>
          </cell>
          <cell r="AE81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82">
          <cell r="A82" t="str">
            <v>168-01</v>
          </cell>
          <cell r="B82">
            <v>4012</v>
          </cell>
          <cell r="C82" t="str">
            <v>DE.1.0.7.0</v>
          </cell>
          <cell r="D82" t="str">
            <v>204:233013</v>
          </cell>
          <cell r="E82">
            <v>42583.535995370374</v>
          </cell>
          <cell r="F82">
            <v>42583.537187499998</v>
          </cell>
          <cell r="G82">
            <v>1</v>
          </cell>
          <cell r="H82" t="str">
            <v>204:189</v>
          </cell>
          <cell r="I82">
            <v>42583.569016203706</v>
          </cell>
          <cell r="J82">
            <v>0</v>
          </cell>
          <cell r="K82" t="str">
            <v>4011/4012</v>
          </cell>
          <cell r="L82" t="str">
            <v>YOUNG</v>
          </cell>
          <cell r="M82">
            <v>3.1828703708015382E-2</v>
          </cell>
          <cell r="N82">
            <v>45.83333333954215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https://search-rtdc-monitor-bjffxe2xuh6vdkpspy63sjmuny.us-east-1.es.amazonaws.com/_plugin/kibana/#/discover/Steve-Slow-Train-Analysis-(2080s-and-2083s)?_g=(refreshInterval:(display:Off,section:0,value:0),time:(from:'2016-08-01 11:51:50-0600',mode:absolute,to:'2016-08-01 14:39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82" t="str">
            <v>N</v>
          </cell>
          <cell r="X82">
            <v>1</v>
          </cell>
          <cell r="Y82">
            <v>23.301300000000001</v>
          </cell>
          <cell r="Z82">
            <v>1.89E-2</v>
          </cell>
          <cell r="AA82">
            <v>23.282400000000003</v>
          </cell>
          <cell r="AB82" t="e">
            <v>#N/A</v>
          </cell>
          <cell r="AC82" t="e">
            <v>#N/A</v>
          </cell>
          <cell r="AD82" t="str">
            <v>0168-01</v>
          </cell>
          <cell r="AE82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83">
          <cell r="A83" t="str">
            <v>169-01</v>
          </cell>
          <cell r="B83">
            <v>4009</v>
          </cell>
          <cell r="C83" t="str">
            <v>DE.1.0.7.0</v>
          </cell>
          <cell r="D83" t="str">
            <v>204:429</v>
          </cell>
          <cell r="E83">
            <v>42583.50712962963</v>
          </cell>
          <cell r="F83">
            <v>42583.509548611109</v>
          </cell>
          <cell r="G83">
            <v>3</v>
          </cell>
          <cell r="H83" t="str">
            <v>204:233351</v>
          </cell>
          <cell r="I83">
            <v>42583.544895833336</v>
          </cell>
          <cell r="J83">
            <v>0</v>
          </cell>
          <cell r="K83" t="str">
            <v>4009/4010</v>
          </cell>
          <cell r="L83" t="str">
            <v>STORY</v>
          </cell>
          <cell r="M83">
            <v>3.5347222226846498E-2</v>
          </cell>
          <cell r="N83">
            <v>50.900000006658956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https://search-rtdc-monitor-bjffxe2xuh6vdkpspy63sjmuny.us-east-1.es.amazonaws.com/_plugin/kibana/#/discover/Steve-Slow-Train-Analysis-(2080s-and-2083s)?_g=(refreshInterval:(display:Off,section:0,value:0),time:(from:'2016-08-01 11:10:16-0600',mode:absolute,to:'2016-08-01 14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83" t="str">
            <v>N</v>
          </cell>
          <cell r="X83">
            <v>1</v>
          </cell>
          <cell r="Y83">
            <v>4.2900000000000001E-2</v>
          </cell>
          <cell r="Z83">
            <v>23.335100000000001</v>
          </cell>
          <cell r="AA83">
            <v>23.292200000000001</v>
          </cell>
          <cell r="AB83" t="e">
            <v>#N/A</v>
          </cell>
          <cell r="AC83" t="e">
            <v>#N/A</v>
          </cell>
          <cell r="AD83" t="str">
            <v>0169-01</v>
          </cell>
          <cell r="AE83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84">
          <cell r="A84" t="str">
            <v>170-01</v>
          </cell>
          <cell r="B84">
            <v>4010</v>
          </cell>
          <cell r="C84" t="str">
            <v>DE.1.0.7.0</v>
          </cell>
          <cell r="D84" t="str">
            <v>204:233032</v>
          </cell>
          <cell r="E84">
            <v>42583.546805555554</v>
          </cell>
          <cell r="F84">
            <v>42583.548437500001</v>
          </cell>
          <cell r="G84">
            <v>2</v>
          </cell>
          <cell r="H84" t="str">
            <v>204:231</v>
          </cell>
          <cell r="I84">
            <v>42583.580474537041</v>
          </cell>
          <cell r="J84">
            <v>1</v>
          </cell>
          <cell r="K84" t="str">
            <v>4009/4010</v>
          </cell>
          <cell r="L84" t="str">
            <v>STORY</v>
          </cell>
          <cell r="M84">
            <v>3.2037037039117422E-2</v>
          </cell>
          <cell r="N84">
            <v>46.133333336329088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https://search-rtdc-monitor-bjffxe2xuh6vdkpspy63sjmuny.us-east-1.es.amazonaws.com/_plugin/kibana/#/discover/Steve-Slow-Train-Analysis-(2080s-and-2083s)?_g=(refreshInterval:(display:Off,section:0,value:0),time:(from:'2016-08-01 12:07:24-0600',mode:absolute,to:'2016-08-01 14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84" t="str">
            <v>N</v>
          </cell>
          <cell r="X84">
            <v>1</v>
          </cell>
          <cell r="Y84">
            <v>23.3032</v>
          </cell>
          <cell r="Z84">
            <v>2.3099999999999999E-2</v>
          </cell>
          <cell r="AA84">
            <v>23.280100000000001</v>
          </cell>
          <cell r="AB84" t="e">
            <v>#N/A</v>
          </cell>
          <cell r="AC84" t="e">
            <v>#N/A</v>
          </cell>
          <cell r="AD84" t="str">
            <v>0170-01</v>
          </cell>
          <cell r="AE84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85">
          <cell r="A85" t="str">
            <v>171-01</v>
          </cell>
          <cell r="B85">
            <v>4029</v>
          </cell>
          <cell r="C85" t="str">
            <v>DE.1.0.7.0</v>
          </cell>
          <cell r="D85" t="str">
            <v>204:477</v>
          </cell>
          <cell r="E85">
            <v>42583.521261574075</v>
          </cell>
          <cell r="F85">
            <v>42583.522534722222</v>
          </cell>
          <cell r="G85">
            <v>1</v>
          </cell>
          <cell r="H85" t="str">
            <v>204:233302</v>
          </cell>
          <cell r="I85">
            <v>42583.555497685185</v>
          </cell>
          <cell r="J85">
            <v>0</v>
          </cell>
          <cell r="K85" t="str">
            <v>4029/4030</v>
          </cell>
          <cell r="L85" t="str">
            <v>DE LA ROSA</v>
          </cell>
          <cell r="M85">
            <v>3.2962962963210884E-2</v>
          </cell>
          <cell r="N85">
            <v>47.466666667023674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https://search-rtdc-monitor-bjffxe2xuh6vdkpspy63sjmuny.us-east-1.es.amazonaws.com/_plugin/kibana/#/discover/Steve-Slow-Train-Analysis-(2080s-and-2083s)?_g=(refreshInterval:(display:Off,section:0,value:0),time:(from:'2016-08-01 11:30:37-0600',mode:absolute,to:'2016-08-01 14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85" t="str">
            <v>N</v>
          </cell>
          <cell r="X85">
            <v>1</v>
          </cell>
          <cell r="Y85">
            <v>4.7699999999999999E-2</v>
          </cell>
          <cell r="Z85">
            <v>23.330200000000001</v>
          </cell>
          <cell r="AA85">
            <v>23.282500000000002</v>
          </cell>
          <cell r="AB85" t="e">
            <v>#N/A</v>
          </cell>
          <cell r="AC85" t="e">
            <v>#N/A</v>
          </cell>
          <cell r="AD85" t="str">
            <v>0171-01</v>
          </cell>
          <cell r="AE8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86">
          <cell r="A86" t="str">
            <v>172-01</v>
          </cell>
          <cell r="B86">
            <v>4030</v>
          </cell>
          <cell r="C86" t="str">
            <v>DE.1.0.7.0</v>
          </cell>
          <cell r="D86" t="str">
            <v>204:232996</v>
          </cell>
          <cell r="E86">
            <v>42583.557430555556</v>
          </cell>
          <cell r="F86">
            <v>42583.558692129627</v>
          </cell>
          <cell r="G86">
            <v>1</v>
          </cell>
          <cell r="H86" t="str">
            <v>204:183</v>
          </cell>
          <cell r="I86">
            <v>42583.58871527778</v>
          </cell>
          <cell r="J86">
            <v>0</v>
          </cell>
          <cell r="K86" t="str">
            <v>4029/4030</v>
          </cell>
          <cell r="L86" t="str">
            <v>DE LA ROSA</v>
          </cell>
          <cell r="M86">
            <v>3.0023148152395152E-2</v>
          </cell>
          <cell r="N86">
            <v>43.233333339449018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https://search-rtdc-monitor-bjffxe2xuh6vdkpspy63sjmuny.us-east-1.es.amazonaws.com/_plugin/kibana/#/discover/Steve-Slow-Train-Analysis-(2080s-and-2083s)?_g=(refreshInterval:(display:Off,section:0,value:0),time:(from:'2016-08-01 12:22:42-0600',mode:absolute,to:'2016-08-01 15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86" t="str">
            <v>N</v>
          </cell>
          <cell r="X86">
            <v>1</v>
          </cell>
          <cell r="Y86">
            <v>23.299600000000002</v>
          </cell>
          <cell r="Z86">
            <v>1.83E-2</v>
          </cell>
          <cell r="AA86">
            <v>23.281300000000002</v>
          </cell>
          <cell r="AB86" t="e">
            <v>#N/A</v>
          </cell>
          <cell r="AC86" t="e">
            <v>#N/A</v>
          </cell>
          <cell r="AD86" t="str">
            <v>0172-01</v>
          </cell>
          <cell r="AE86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87">
          <cell r="A87" t="str">
            <v>173-01</v>
          </cell>
          <cell r="B87">
            <v>4016</v>
          </cell>
          <cell r="C87" t="str">
            <v>DE.1.0.7.0</v>
          </cell>
          <cell r="D87" t="str">
            <v>204:467</v>
          </cell>
          <cell r="E87">
            <v>42583.528657407405</v>
          </cell>
          <cell r="F87">
            <v>42583.529537037037</v>
          </cell>
          <cell r="G87">
            <v>1</v>
          </cell>
          <cell r="H87" t="str">
            <v>204:233305</v>
          </cell>
          <cell r="I87">
            <v>42583.559918981482</v>
          </cell>
          <cell r="J87">
            <v>0</v>
          </cell>
          <cell r="K87" t="str">
            <v>4015/4016</v>
          </cell>
          <cell r="L87" t="str">
            <v>STEWART</v>
          </cell>
          <cell r="M87">
            <v>3.0381944445252884E-2</v>
          </cell>
          <cell r="N87">
            <v>43.750000001164153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https://search-rtdc-monitor-bjffxe2xuh6vdkpspy63sjmuny.us-east-1.es.amazonaws.com/_plugin/kibana/#/discover/Steve-Slow-Train-Analysis-(2080s-and-2083s)?_g=(refreshInterval:(display:Off,section:0,value:0),time:(from:'2016-08-01 11:41:16-0600',mode:absolute,to:'2016-08-01 14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87" t="str">
            <v>N</v>
          </cell>
          <cell r="X87">
            <v>1</v>
          </cell>
          <cell r="Y87">
            <v>4.6699999999999998E-2</v>
          </cell>
          <cell r="Z87">
            <v>23.330500000000001</v>
          </cell>
          <cell r="AA87">
            <v>23.283799999999999</v>
          </cell>
          <cell r="AB87" t="e">
            <v>#N/A</v>
          </cell>
          <cell r="AC87" t="e">
            <v>#N/A</v>
          </cell>
          <cell r="AD87" t="str">
            <v>0173-01</v>
          </cell>
          <cell r="AE87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88">
          <cell r="A88" t="str">
            <v>174-01</v>
          </cell>
          <cell r="B88">
            <v>4015</v>
          </cell>
          <cell r="C88" t="str">
            <v>DE.1.0.7.0</v>
          </cell>
          <cell r="D88" t="str">
            <v>204:232982</v>
          </cell>
          <cell r="E88">
            <v>42583.567395833335</v>
          </cell>
          <cell r="F88">
            <v>42583.568460648145</v>
          </cell>
          <cell r="G88">
            <v>1</v>
          </cell>
          <cell r="H88" t="str">
            <v>204:165</v>
          </cell>
          <cell r="I88">
            <v>42583.601261574076</v>
          </cell>
          <cell r="J88">
            <v>1</v>
          </cell>
          <cell r="K88" t="str">
            <v>4015/4016</v>
          </cell>
          <cell r="L88" t="str">
            <v>STEWART</v>
          </cell>
          <cell r="M88">
            <v>3.2800925931951497E-2</v>
          </cell>
          <cell r="N88">
            <v>47.233333342010155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https://search-rtdc-monitor-bjffxe2xuh6vdkpspy63sjmuny.us-east-1.es.amazonaws.com/_plugin/kibana/#/discover/Steve-Slow-Train-Analysis-(2080s-and-2083s)?_g=(refreshInterval:(display:Off,section:0,value:0),time:(from:'2016-08-01 12:37:03-0600',mode:absolute,to:'2016-08-01 15:25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88" t="str">
            <v>N</v>
          </cell>
          <cell r="X88">
            <v>1</v>
          </cell>
          <cell r="Y88">
            <v>23.298200000000001</v>
          </cell>
          <cell r="Z88">
            <v>1.6500000000000001E-2</v>
          </cell>
          <cell r="AA88">
            <v>23.281700000000001</v>
          </cell>
          <cell r="AB88">
            <v>63309</v>
          </cell>
          <cell r="AC88" t="str">
            <v>GRADE CROSSING</v>
          </cell>
          <cell r="AD88" t="str">
            <v>0174-01</v>
          </cell>
          <cell r="AE88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89">
          <cell r="A89" t="str">
            <v>175-01</v>
          </cell>
          <cell r="B89">
            <v>4044</v>
          </cell>
          <cell r="C89" t="str">
            <v>DE.1.0.7.0</v>
          </cell>
          <cell r="D89" t="str">
            <v>204:451</v>
          </cell>
          <cell r="E89">
            <v>42583.538368055553</v>
          </cell>
          <cell r="F89">
            <v>42583.539918981478</v>
          </cell>
          <cell r="G89">
            <v>2</v>
          </cell>
          <cell r="H89" t="str">
            <v>204:233295</v>
          </cell>
          <cell r="I89">
            <v>42583.568402777775</v>
          </cell>
          <cell r="J89">
            <v>0</v>
          </cell>
          <cell r="K89" t="str">
            <v>4043/4044</v>
          </cell>
          <cell r="L89" t="str">
            <v>KILLION</v>
          </cell>
          <cell r="M89">
            <v>2.8483796297223307E-2</v>
          </cell>
          <cell r="N89">
            <v>41.016666668001562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https://search-rtdc-monitor-bjffxe2xuh6vdkpspy63sjmuny.us-east-1.es.amazonaws.com/_plugin/kibana/#/discover/Steve-Slow-Train-Analysis-(2080s-and-2083s)?_g=(refreshInterval:(display:Off,section:0,value:0),time:(from:'2016-08-01 11:55:15-0600',mode:absolute,to:'2016-08-01 14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89" t="str">
            <v>N</v>
          </cell>
          <cell r="X89">
            <v>1</v>
          </cell>
          <cell r="Y89">
            <v>4.5100000000000001E-2</v>
          </cell>
          <cell r="Z89">
            <v>23.329499999999999</v>
          </cell>
          <cell r="AA89">
            <v>23.284399999999998</v>
          </cell>
          <cell r="AB89" t="e">
            <v>#N/A</v>
          </cell>
          <cell r="AC89" t="e">
            <v>#N/A</v>
          </cell>
          <cell r="AD89" t="str">
            <v>0175-01</v>
          </cell>
          <cell r="AE89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90">
          <cell r="A90" t="str">
            <v>176-01</v>
          </cell>
          <cell r="B90">
            <v>4043</v>
          </cell>
          <cell r="C90" t="str">
            <v>DE.1.0.7.0</v>
          </cell>
          <cell r="D90" t="str">
            <v>204:232983</v>
          </cell>
          <cell r="E90">
            <v>42583.574618055558</v>
          </cell>
          <cell r="F90">
            <v>42583.575578703705</v>
          </cell>
          <cell r="G90">
            <v>1</v>
          </cell>
          <cell r="H90" t="str">
            <v>204:154</v>
          </cell>
          <cell r="I90">
            <v>42583.611655092594</v>
          </cell>
          <cell r="J90">
            <v>0</v>
          </cell>
          <cell r="K90" t="str">
            <v>4043/4044</v>
          </cell>
          <cell r="L90" t="str">
            <v>KILLION</v>
          </cell>
          <cell r="M90">
            <v>3.6076388889341615E-2</v>
          </cell>
          <cell r="N90">
            <v>51.950000000651926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https://search-rtdc-monitor-bjffxe2xuh6vdkpspy63sjmuny.us-east-1.es.amazonaws.com/_plugin/kibana/#/discover/Steve-Slow-Train-Analysis-(2080s-and-2083s)?_g=(refreshInterval:(display:Off,section:0,value:0),time:(from:'2016-08-01 12:47:27-0600',mode:absolute,to:'2016-08-01 15:40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90" t="str">
            <v>N</v>
          </cell>
          <cell r="X90">
            <v>1</v>
          </cell>
          <cell r="Y90">
            <v>23.298300000000001</v>
          </cell>
          <cell r="Z90">
            <v>1.54E-2</v>
          </cell>
          <cell r="AA90">
            <v>23.282900000000001</v>
          </cell>
          <cell r="AB90" t="e">
            <v>#N/A</v>
          </cell>
          <cell r="AC90" t="e">
            <v>#N/A</v>
          </cell>
          <cell r="AD90" t="str">
            <v>0176-01</v>
          </cell>
          <cell r="AE90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91">
          <cell r="A91" t="str">
            <v>177-01</v>
          </cell>
          <cell r="B91">
            <v>4027</v>
          </cell>
          <cell r="C91" t="str">
            <v>DE.1.0.7.0</v>
          </cell>
          <cell r="D91" t="str">
            <v>204:427</v>
          </cell>
          <cell r="E91">
            <v>42583.547291666669</v>
          </cell>
          <cell r="F91">
            <v>42583.54923611111</v>
          </cell>
          <cell r="G91">
            <v>2</v>
          </cell>
          <cell r="H91" t="str">
            <v>204:233299</v>
          </cell>
          <cell r="I91">
            <v>42583.579398148147</v>
          </cell>
          <cell r="J91">
            <v>0</v>
          </cell>
          <cell r="K91" t="str">
            <v>4027/4028</v>
          </cell>
          <cell r="L91" t="str">
            <v>OUN</v>
          </cell>
          <cell r="M91">
            <v>3.0162037037371192E-2</v>
          </cell>
          <cell r="N91">
            <v>43.433333333814517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https://search-rtdc-monitor-bjffxe2xuh6vdkpspy63sjmuny.us-east-1.es.amazonaws.com/_plugin/kibana/#/discover/Steve-Slow-Train-Analysis-(2080s-and-2083s)?_g=(refreshInterval:(display:Off,section:0,value:0),time:(from:'2016-08-01 12:08:06-0600',mode:absolute,to:'2016-08-01 14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91" t="str">
            <v>N</v>
          </cell>
          <cell r="X91">
            <v>1</v>
          </cell>
          <cell r="Y91">
            <v>4.2700000000000002E-2</v>
          </cell>
          <cell r="Z91">
            <v>23.329899999999999</v>
          </cell>
          <cell r="AA91">
            <v>23.287199999999999</v>
          </cell>
          <cell r="AB91" t="e">
            <v>#N/A</v>
          </cell>
          <cell r="AC91" t="e">
            <v>#N/A</v>
          </cell>
          <cell r="AD91" t="str">
            <v>0177-01</v>
          </cell>
          <cell r="AE91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92">
          <cell r="A92" t="str">
            <v>178-01</v>
          </cell>
          <cell r="B92">
            <v>4028</v>
          </cell>
          <cell r="C92" t="str">
            <v>DE.1.0.7.0</v>
          </cell>
          <cell r="D92" t="str">
            <v>204:232973</v>
          </cell>
          <cell r="E92">
            <v>42583.587673611109</v>
          </cell>
          <cell r="F92">
            <v>42583.58865740741</v>
          </cell>
          <cell r="G92">
            <v>1</v>
          </cell>
          <cell r="H92" t="str">
            <v>204:141</v>
          </cell>
          <cell r="I92">
            <v>42583.621828703705</v>
          </cell>
          <cell r="J92">
            <v>0</v>
          </cell>
          <cell r="K92" t="str">
            <v>4027/4028</v>
          </cell>
          <cell r="L92" t="str">
            <v>OUN</v>
          </cell>
          <cell r="M92">
            <v>3.3171296294312924E-2</v>
          </cell>
          <cell r="N92">
            <v>47.766666663810611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https://search-rtdc-monitor-bjffxe2xuh6vdkpspy63sjmuny.us-east-1.es.amazonaws.com/_plugin/kibana/#/discover/Steve-Slow-Train-Analysis-(2080s-and-2083s)?_g=(refreshInterval:(display:Off,section:0,value:0),time:(from:'2016-08-01 13:06:15-0600',mode:absolute,to:'2016-08-01 15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92" t="str">
            <v>N</v>
          </cell>
          <cell r="X92">
            <v>1</v>
          </cell>
          <cell r="Y92">
            <v>23.2973</v>
          </cell>
          <cell r="Z92">
            <v>1.41E-2</v>
          </cell>
          <cell r="AA92">
            <v>23.283200000000001</v>
          </cell>
          <cell r="AB92" t="e">
            <v>#N/A</v>
          </cell>
          <cell r="AC92" t="e">
            <v>#N/A</v>
          </cell>
          <cell r="AD92" t="str">
            <v>0178-01</v>
          </cell>
          <cell r="AE92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93">
          <cell r="A93" t="str">
            <v>179-01</v>
          </cell>
          <cell r="B93">
            <v>4014</v>
          </cell>
          <cell r="C93" t="str">
            <v>DE.1.0.7.0</v>
          </cell>
          <cell r="D93" t="str">
            <v>204:517</v>
          </cell>
          <cell r="E93">
            <v>42583.560104166667</v>
          </cell>
          <cell r="F93">
            <v>42583.563067129631</v>
          </cell>
          <cell r="G93">
            <v>4</v>
          </cell>
          <cell r="H93" t="str">
            <v>204:233297</v>
          </cell>
          <cell r="I93">
            <v>42583.590995370374</v>
          </cell>
          <cell r="J93">
            <v>0</v>
          </cell>
          <cell r="K93" t="str">
            <v>4013/4014</v>
          </cell>
          <cell r="L93" t="str">
            <v>MAYBERRY</v>
          </cell>
          <cell r="M93">
            <v>2.792824074276723E-2</v>
          </cell>
          <cell r="N93">
            <v>40.216666669584811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https://search-rtdc-monitor-bjffxe2xuh6vdkpspy63sjmuny.us-east-1.es.amazonaws.com/_plugin/kibana/#/discover/Steve-Slow-Train-Analysis-(2080s-and-2083s)?_g=(refreshInterval:(display:Off,section:0,value:0),time:(from:'2016-08-01 12:26:33-0600',mode:absolute,to:'2016-08-01 15:11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93" t="str">
            <v>N</v>
          </cell>
          <cell r="X93">
            <v>1</v>
          </cell>
          <cell r="Y93">
            <v>5.1700000000000003E-2</v>
          </cell>
          <cell r="Z93">
            <v>23.329699999999999</v>
          </cell>
          <cell r="AA93">
            <v>23.277999999999999</v>
          </cell>
          <cell r="AB93" t="e">
            <v>#N/A</v>
          </cell>
          <cell r="AC93" t="e">
            <v>#N/A</v>
          </cell>
          <cell r="AD93" t="str">
            <v>0179-01</v>
          </cell>
          <cell r="AE93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94">
          <cell r="A94" t="str">
            <v>180-01</v>
          </cell>
          <cell r="B94">
            <v>4013</v>
          </cell>
          <cell r="C94" t="str">
            <v>DE.1.0.7.0</v>
          </cell>
          <cell r="D94" t="str">
            <v>204:232983</v>
          </cell>
          <cell r="E94">
            <v>42583.596435185187</v>
          </cell>
          <cell r="F94">
            <v>42583.597569444442</v>
          </cell>
          <cell r="G94">
            <v>1</v>
          </cell>
          <cell r="H94" t="str">
            <v>204:152</v>
          </cell>
          <cell r="I94">
            <v>42583.631157407406</v>
          </cell>
          <cell r="J94">
            <v>2</v>
          </cell>
          <cell r="K94" t="str">
            <v>4013/4014</v>
          </cell>
          <cell r="L94" t="str">
            <v>MAYBERRY</v>
          </cell>
          <cell r="M94">
            <v>3.3587962963792961E-2</v>
          </cell>
          <cell r="N94">
            <v>48.366666667861864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https://search-rtdc-monitor-bjffxe2xuh6vdkpspy63sjmuny.us-east-1.es.amazonaws.com/_plugin/kibana/#/discover/Steve-Slow-Train-Analysis-(2080s-and-2083s)?_g=(refreshInterval:(display:Off,section:0,value:0),time:(from:'2016-08-01 13:18:52-0600',mode:absolute,to:'2016-08-01 16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94" t="str">
            <v>N</v>
          </cell>
          <cell r="X94">
            <v>1</v>
          </cell>
          <cell r="Y94">
            <v>23.298300000000001</v>
          </cell>
          <cell r="Z94">
            <v>1.52E-2</v>
          </cell>
          <cell r="AA94">
            <v>23.283100000000001</v>
          </cell>
          <cell r="AB94" t="e">
            <v>#N/A</v>
          </cell>
          <cell r="AC94" t="e">
            <v>#N/A</v>
          </cell>
          <cell r="AD94" t="str">
            <v>0180-01</v>
          </cell>
          <cell r="AE94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95">
          <cell r="A95" t="str">
            <v>181-01</v>
          </cell>
          <cell r="B95">
            <v>4011</v>
          </cell>
          <cell r="C95" t="str">
            <v>DE.1.0.7.0</v>
          </cell>
          <cell r="D95" t="str">
            <v>204:486</v>
          </cell>
          <cell r="E95">
            <v>42583.570694444446</v>
          </cell>
          <cell r="F95">
            <v>42583.571770833332</v>
          </cell>
          <cell r="G95">
            <v>1</v>
          </cell>
          <cell r="H95" t="str">
            <v>204:233301</v>
          </cell>
          <cell r="I95">
            <v>42583.600405092591</v>
          </cell>
          <cell r="J95">
            <v>0</v>
          </cell>
          <cell r="K95" t="str">
            <v>4011/4012</v>
          </cell>
          <cell r="L95" t="str">
            <v>YOUNG</v>
          </cell>
          <cell r="M95">
            <v>2.8634259258979E-2</v>
          </cell>
          <cell r="N95">
            <v>41.23333333292976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https://search-rtdc-monitor-bjffxe2xuh6vdkpspy63sjmuny.us-east-1.es.amazonaws.com/_plugin/kibana/#/discover/Steve-Slow-Train-Analysis-(2080s-and-2083s)?_g=(refreshInterval:(display:Off,section:0,value:0),time:(from:'2016-08-01 12:41:48-0600',mode:absolute,to:'2016-08-01 15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95" t="str">
            <v>N</v>
          </cell>
          <cell r="X95">
            <v>1</v>
          </cell>
          <cell r="Y95">
            <v>4.8599999999999997E-2</v>
          </cell>
          <cell r="Z95">
            <v>23.330100000000002</v>
          </cell>
          <cell r="AA95">
            <v>23.281500000000001</v>
          </cell>
          <cell r="AB95" t="e">
            <v>#N/A</v>
          </cell>
          <cell r="AC95" t="e">
            <v>#N/A</v>
          </cell>
          <cell r="AD95" t="str">
            <v>0181-01</v>
          </cell>
          <cell r="AE95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96">
          <cell r="A96" t="str">
            <v>182-01</v>
          </cell>
          <cell r="B96">
            <v>4012</v>
          </cell>
          <cell r="C96" t="str">
            <v>DE.1.0.7.0</v>
          </cell>
          <cell r="D96" t="str">
            <v>204:232990</v>
          </cell>
          <cell r="E96">
            <v>42583.605775462966</v>
          </cell>
          <cell r="F96">
            <v>42583.607523148145</v>
          </cell>
          <cell r="G96">
            <v>2</v>
          </cell>
          <cell r="H96" t="str">
            <v>204:163</v>
          </cell>
          <cell r="I96">
            <v>42583.641944444447</v>
          </cell>
          <cell r="J96">
            <v>0</v>
          </cell>
          <cell r="K96" t="str">
            <v>4011/4012</v>
          </cell>
          <cell r="L96" t="str">
            <v>YOUNG</v>
          </cell>
          <cell r="M96">
            <v>3.4421296302753035E-2</v>
          </cell>
          <cell r="N96">
            <v>49.56666667596437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https://search-rtdc-monitor-bjffxe2xuh6vdkpspy63sjmuny.us-east-1.es.amazonaws.com/_plugin/kibana/#/discover/Steve-Slow-Train-Analysis-(2080s-and-2083s)?_g=(refreshInterval:(display:Off,section:0,value:0),time:(from:'2016-08-01 13:32:19-0600',mode:absolute,to:'2016-08-01 16:24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96" t="str">
            <v>N</v>
          </cell>
          <cell r="X96">
            <v>1</v>
          </cell>
          <cell r="Y96">
            <v>23.298999999999999</v>
          </cell>
          <cell r="Z96">
            <v>1.6299999999999999E-2</v>
          </cell>
          <cell r="AA96">
            <v>23.282699999999998</v>
          </cell>
          <cell r="AB96" t="e">
            <v>#N/A</v>
          </cell>
          <cell r="AC96" t="e">
            <v>#N/A</v>
          </cell>
          <cell r="AD96" t="str">
            <v>0182-01</v>
          </cell>
          <cell r="AE96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97">
          <cell r="A97" t="str">
            <v>183-01</v>
          </cell>
          <cell r="B97">
            <v>4009</v>
          </cell>
          <cell r="C97" t="str">
            <v>DE.1.0.7.0</v>
          </cell>
          <cell r="D97" t="str">
            <v>204:546</v>
          </cell>
          <cell r="E97">
            <v>42583.581446759257</v>
          </cell>
          <cell r="F97">
            <v>42583.582453703704</v>
          </cell>
          <cell r="G97">
            <v>1</v>
          </cell>
          <cell r="H97" t="str">
            <v>204:233338</v>
          </cell>
          <cell r="I97">
            <v>42583.611990740741</v>
          </cell>
          <cell r="J97">
            <v>3</v>
          </cell>
          <cell r="K97" t="str">
            <v>4009/4010</v>
          </cell>
          <cell r="L97" t="str">
            <v>STORY</v>
          </cell>
          <cell r="M97">
            <v>2.9537037036789116E-2</v>
          </cell>
          <cell r="N97">
            <v>42.533333332976326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https://search-rtdc-monitor-bjffxe2xuh6vdkpspy63sjmuny.us-east-1.es.amazonaws.com/_plugin/kibana/#/discover/Steve-Slow-Train-Analysis-(2080s-and-2083s)?_g=(refreshInterval:(display:Off,section:0,value:0),time:(from:'2016-08-01 12:57:17-0600',mode:absolute,to:'2016-08-01 15:41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97" t="str">
            <v>N</v>
          </cell>
          <cell r="X97">
            <v>1</v>
          </cell>
          <cell r="Y97">
            <v>5.4600000000000003E-2</v>
          </cell>
          <cell r="Z97">
            <v>23.3338</v>
          </cell>
          <cell r="AA97">
            <v>23.279199999999999</v>
          </cell>
          <cell r="AB97" t="e">
            <v>#N/A</v>
          </cell>
          <cell r="AC97" t="e">
            <v>#N/A</v>
          </cell>
          <cell r="AD97" t="str">
            <v>0183-01</v>
          </cell>
          <cell r="AE97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98">
          <cell r="A98" t="str">
            <v>184-01</v>
          </cell>
          <cell r="B98">
            <v>4010</v>
          </cell>
          <cell r="C98" t="str">
            <v>DE.1.0.7.0</v>
          </cell>
          <cell r="D98" t="str">
            <v>204:233017</v>
          </cell>
          <cell r="E98">
            <v>42583.618634259263</v>
          </cell>
          <cell r="F98">
            <v>42583.620127314818</v>
          </cell>
          <cell r="G98">
            <v>2</v>
          </cell>
          <cell r="H98" t="str">
            <v>204:143</v>
          </cell>
          <cell r="I98">
            <v>42583.650949074072</v>
          </cell>
          <cell r="J98">
            <v>2</v>
          </cell>
          <cell r="K98" t="str">
            <v>4009/4010</v>
          </cell>
          <cell r="L98" t="str">
            <v>STORY</v>
          </cell>
          <cell r="M98">
            <v>3.0821759253740311E-2</v>
          </cell>
          <cell r="N98">
            <v>44.383333325386047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https://search-rtdc-monitor-bjffxe2xuh6vdkpspy63sjmuny.us-east-1.es.amazonaws.com/_plugin/kibana/#/discover/Steve-Slow-Train-Analysis-(2080s-and-2083s)?_g=(refreshInterval:(display:Off,section:0,value:0),time:(from:'2016-08-01 13:50:50-0600',mode:absolute,to:'2016-08-01 16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98" t="str">
            <v>N</v>
          </cell>
          <cell r="X98">
            <v>1</v>
          </cell>
          <cell r="Y98">
            <v>23.3017</v>
          </cell>
          <cell r="Z98">
            <v>1.43E-2</v>
          </cell>
          <cell r="AA98">
            <v>23.287400000000002</v>
          </cell>
          <cell r="AB98">
            <v>33257</v>
          </cell>
          <cell r="AC98" t="str">
            <v>GRADE CROSSING</v>
          </cell>
          <cell r="AD98" t="str">
            <v>0184-01</v>
          </cell>
          <cell r="AE98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99">
          <cell r="A99" t="str">
            <v>185-01</v>
          </cell>
          <cell r="B99">
            <v>4029</v>
          </cell>
          <cell r="C99" t="str">
            <v>DE.1.0.7.0</v>
          </cell>
          <cell r="D99" t="str">
            <v>204:478</v>
          </cell>
          <cell r="E99">
            <v>42583.590567129628</v>
          </cell>
          <cell r="F99">
            <v>42583.591574074075</v>
          </cell>
          <cell r="G99">
            <v>1</v>
          </cell>
          <cell r="H99" t="str">
            <v>204:233282</v>
          </cell>
          <cell r="I99">
            <v>42583.618923611109</v>
          </cell>
          <cell r="J99">
            <v>0</v>
          </cell>
          <cell r="K99" t="str">
            <v>4029/4030</v>
          </cell>
          <cell r="L99" t="str">
            <v>DE LA ROSA</v>
          </cell>
          <cell r="M99">
            <v>2.7349537034751847E-2</v>
          </cell>
          <cell r="N99">
            <v>39.38333333004266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https://search-rtdc-monitor-bjffxe2xuh6vdkpspy63sjmuny.us-east-1.es.amazonaws.com/_plugin/kibana/#/discover/Steve-Slow-Train-Analysis-(2080s-and-2083s)?_g=(refreshInterval:(display:Off,section:0,value:0),time:(from:'2016-08-01 13:10:25-0600',mode:absolute,to:'2016-08-01 15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99" t="str">
            <v>N</v>
          </cell>
          <cell r="X99">
            <v>1</v>
          </cell>
          <cell r="Y99">
            <v>4.7800000000000002E-2</v>
          </cell>
          <cell r="Z99">
            <v>23.328199999999999</v>
          </cell>
          <cell r="AA99">
            <v>23.2804</v>
          </cell>
          <cell r="AB99" t="e">
            <v>#N/A</v>
          </cell>
          <cell r="AC99" t="e">
            <v>#N/A</v>
          </cell>
          <cell r="AD99" t="str">
            <v>0185-01</v>
          </cell>
          <cell r="AE99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00">
          <cell r="A100" t="str">
            <v>186-01</v>
          </cell>
          <cell r="B100">
            <v>4030</v>
          </cell>
          <cell r="C100" t="str">
            <v>DE.1.0.7.0</v>
          </cell>
          <cell r="D100" t="str">
            <v>204:232977</v>
          </cell>
          <cell r="E100">
            <v>42583.628553240742</v>
          </cell>
          <cell r="F100">
            <v>42583.629421296297</v>
          </cell>
          <cell r="G100">
            <v>1</v>
          </cell>
          <cell r="H100" t="str">
            <v>204:163</v>
          </cell>
          <cell r="I100">
            <v>42583.659687500003</v>
          </cell>
          <cell r="J100">
            <v>0</v>
          </cell>
          <cell r="K100" t="str">
            <v>4029/4030</v>
          </cell>
          <cell r="L100" t="str">
            <v>DE LA ROSA</v>
          </cell>
          <cell r="M100">
            <v>3.0266203706560191E-2</v>
          </cell>
          <cell r="N100">
            <v>43.583333337446675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https://search-rtdc-monitor-bjffxe2xuh6vdkpspy63sjmuny.us-east-1.es.amazonaws.com/_plugin/kibana/#/discover/Steve-Slow-Train-Analysis-(2080s-and-2083s)?_g=(refreshInterval:(display:Off,section:0,value:0),time:(from:'2016-08-01 14:05:07-0600',mode:absolute,to:'2016-08-01 16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00" t="str">
            <v>N</v>
          </cell>
          <cell r="X100">
            <v>1</v>
          </cell>
          <cell r="Y100">
            <v>23.297699999999999</v>
          </cell>
          <cell r="Z100">
            <v>1.6299999999999999E-2</v>
          </cell>
          <cell r="AA100">
            <v>23.281399999999998</v>
          </cell>
          <cell r="AB100" t="e">
            <v>#N/A</v>
          </cell>
          <cell r="AC100" t="e">
            <v>#N/A</v>
          </cell>
          <cell r="AD100" t="str">
            <v>0186-01</v>
          </cell>
          <cell r="AE100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01">
          <cell r="A101" t="str">
            <v>187-01</v>
          </cell>
          <cell r="B101">
            <v>4016</v>
          </cell>
          <cell r="C101" t="str">
            <v>DE.1.0.7.0</v>
          </cell>
          <cell r="D101" t="str">
            <v>204:449</v>
          </cell>
          <cell r="E101">
            <v>42583.603217592594</v>
          </cell>
          <cell r="F101">
            <v>42583.604432870372</v>
          </cell>
          <cell r="G101">
            <v>1</v>
          </cell>
          <cell r="H101" t="str">
            <v>204:233293</v>
          </cell>
          <cell r="I101">
            <v>42583.630636574075</v>
          </cell>
          <cell r="J101">
            <v>0</v>
          </cell>
          <cell r="K101" t="str">
            <v>4015/4016</v>
          </cell>
          <cell r="L101" t="str">
            <v>STEWART</v>
          </cell>
          <cell r="M101">
            <v>2.6203703702776693E-2</v>
          </cell>
          <cell r="N101">
            <v>37.733333331998438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https://search-rtdc-monitor-bjffxe2xuh6vdkpspy63sjmuny.us-east-1.es.amazonaws.com/_plugin/kibana/#/discover/Steve-Slow-Train-Analysis-(2080s-and-2083s)?_g=(refreshInterval:(display:Off,section:0,value:0),time:(from:'2016-08-01 13:28:38-0600',mode:absolute,to:'2016-08-01 16:08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01" t="str">
            <v>N</v>
          </cell>
          <cell r="X101">
            <v>1</v>
          </cell>
          <cell r="Y101">
            <v>4.4900000000000002E-2</v>
          </cell>
          <cell r="Z101">
            <v>23.3293</v>
          </cell>
          <cell r="AA101">
            <v>23.284400000000002</v>
          </cell>
          <cell r="AB101" t="e">
            <v>#N/A</v>
          </cell>
          <cell r="AC101" t="e">
            <v>#N/A</v>
          </cell>
          <cell r="AD101" t="str">
            <v>0187-01</v>
          </cell>
          <cell r="AE101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102">
          <cell r="A102" t="str">
            <v>188-01</v>
          </cell>
          <cell r="B102">
            <v>4015</v>
          </cell>
          <cell r="C102" t="str">
            <v>DE.1.0.7.0</v>
          </cell>
          <cell r="D102" t="str">
            <v>204:232993</v>
          </cell>
          <cell r="E102">
            <v>42583.640127314815</v>
          </cell>
          <cell r="F102">
            <v>42583.640925925924</v>
          </cell>
          <cell r="G102">
            <v>1</v>
          </cell>
          <cell r="H102" t="str">
            <v>204:160</v>
          </cell>
          <cell r="I102">
            <v>42583.672256944446</v>
          </cell>
          <cell r="J102">
            <v>1</v>
          </cell>
          <cell r="K102" t="str">
            <v>4015/4016</v>
          </cell>
          <cell r="L102" t="str">
            <v>STEWART</v>
          </cell>
          <cell r="M102">
            <v>3.1331018522905651E-2</v>
          </cell>
          <cell r="N102">
            <v>45.116666672984138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https://search-rtdc-monitor-bjffxe2xuh6vdkpspy63sjmuny.us-east-1.es.amazonaws.com/_plugin/kibana/#/discover/Steve-Slow-Train-Analysis-(2080s-and-2083s)?_g=(refreshInterval:(display:Off,section:0,value:0),time:(from:'2016-08-01 14:21:47-0600',mode:absolute,to:'2016-08-01 17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02" t="str">
            <v>N</v>
          </cell>
          <cell r="X102">
            <v>1</v>
          </cell>
          <cell r="Y102">
            <v>23.299299999999999</v>
          </cell>
          <cell r="Z102">
            <v>1.6E-2</v>
          </cell>
          <cell r="AA102">
            <v>23.283300000000001</v>
          </cell>
          <cell r="AB102">
            <v>128462</v>
          </cell>
          <cell r="AC102" t="str">
            <v>GRADE CROSSING</v>
          </cell>
          <cell r="AD102" t="str">
            <v>0188-01</v>
          </cell>
          <cell r="AE102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03">
          <cell r="A103" t="str">
            <v>189-01</v>
          </cell>
          <cell r="B103">
            <v>4044</v>
          </cell>
          <cell r="C103" t="str">
            <v>DE.1.0.7.0</v>
          </cell>
          <cell r="D103" t="str">
            <v>204:460</v>
          </cell>
          <cell r="E103">
            <v>42583.61278935185</v>
          </cell>
          <cell r="F103">
            <v>42583.613993055558</v>
          </cell>
          <cell r="G103">
            <v>1</v>
          </cell>
          <cell r="H103" t="str">
            <v>204:233255</v>
          </cell>
          <cell r="I103">
            <v>42583.644918981481</v>
          </cell>
          <cell r="J103">
            <v>1</v>
          </cell>
          <cell r="K103" t="str">
            <v>4043/4044</v>
          </cell>
          <cell r="L103" t="str">
            <v>KILLION</v>
          </cell>
          <cell r="M103">
            <v>3.0925925922929309E-2</v>
          </cell>
          <cell r="N103">
            <v>44.533333329018205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https://search-rtdc-monitor-bjffxe2xuh6vdkpspy63sjmuny.us-east-1.es.amazonaws.com/_plugin/kibana/#/discover/Steve-Slow-Train-Analysis-(2080s-and-2083s)?_g=(refreshInterval:(display:Off,section:0,value:0),time:(from:'2016-08-01 13:42:25-0600',mode:absolute,to:'2016-08-01 16:28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03" t="str">
            <v>N</v>
          </cell>
          <cell r="X103">
            <v>1</v>
          </cell>
          <cell r="Y103">
            <v>4.5999999999999999E-2</v>
          </cell>
          <cell r="Z103">
            <v>23.325500000000002</v>
          </cell>
          <cell r="AA103">
            <v>23.279500000000002</v>
          </cell>
          <cell r="AB103" t="e">
            <v>#N/A</v>
          </cell>
          <cell r="AC103" t="e">
            <v>#N/A</v>
          </cell>
          <cell r="AD103" t="str">
            <v>0189-01</v>
          </cell>
          <cell r="AE103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04">
          <cell r="A104" t="str">
            <v>190-01</v>
          </cell>
          <cell r="B104">
            <v>4043</v>
          </cell>
          <cell r="C104" t="str">
            <v>DE.1.0.7.0</v>
          </cell>
          <cell r="D104" t="str">
            <v>204:232959</v>
          </cell>
          <cell r="E104">
            <v>42583.647002314814</v>
          </cell>
          <cell r="F104">
            <v>42583.648298611108</v>
          </cell>
          <cell r="G104">
            <v>1</v>
          </cell>
          <cell r="H104" t="str">
            <v>204:165</v>
          </cell>
          <cell r="I104">
            <v>42583.681828703702</v>
          </cell>
          <cell r="J104">
            <v>1</v>
          </cell>
          <cell r="K104" t="str">
            <v>4043/4044</v>
          </cell>
          <cell r="L104" t="str">
            <v>KILLION</v>
          </cell>
          <cell r="M104">
            <v>3.3530092594446614E-2</v>
          </cell>
          <cell r="N104">
            <v>48.283333336003125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https://search-rtdc-monitor-bjffxe2xuh6vdkpspy63sjmuny.us-east-1.es.amazonaws.com/_plugin/kibana/#/discover/Steve-Slow-Train-Analysis-(2080s-and-2083s)?_g=(refreshInterval:(display:Off,section:0,value:0),time:(from:'2016-08-01 14:31:41-0600',mode:absolute,to:'2016-08-01 17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04" t="str">
            <v>N</v>
          </cell>
          <cell r="X104">
            <v>1</v>
          </cell>
          <cell r="Y104">
            <v>23.2959</v>
          </cell>
          <cell r="Z104">
            <v>1.6500000000000001E-2</v>
          </cell>
          <cell r="AA104">
            <v>23.279399999999999</v>
          </cell>
          <cell r="AB104" t="e">
            <v>#N/A</v>
          </cell>
          <cell r="AC104" t="e">
            <v>#N/A</v>
          </cell>
          <cell r="AD104" t="str">
            <v>0190-01</v>
          </cell>
          <cell r="AE104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05">
          <cell r="A105" t="str">
            <v>191-01</v>
          </cell>
          <cell r="B105">
            <v>4027</v>
          </cell>
          <cell r="C105" t="str">
            <v>DE.1.0.7.0</v>
          </cell>
          <cell r="D105" t="str">
            <v>204:457</v>
          </cell>
          <cell r="E105">
            <v>42583.623206018521</v>
          </cell>
          <cell r="F105">
            <v>42583.624155092592</v>
          </cell>
          <cell r="G105">
            <v>1</v>
          </cell>
          <cell r="H105" t="str">
            <v>204:233331</v>
          </cell>
          <cell r="I105">
            <v>42583.651354166665</v>
          </cell>
          <cell r="J105">
            <v>0</v>
          </cell>
          <cell r="K105" t="str">
            <v>4027/4028</v>
          </cell>
          <cell r="L105" t="str">
            <v>OUN</v>
          </cell>
          <cell r="M105">
            <v>2.7199074072996154E-2</v>
          </cell>
          <cell r="N105">
            <v>39.166666665114462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https://search-rtdc-monitor-bjffxe2xuh6vdkpspy63sjmuny.us-east-1.es.amazonaws.com/_plugin/kibana/#/discover/Steve-Slow-Train-Analysis-(2080s-and-2083s)?_g=(refreshInterval:(display:Off,section:0,value:0),time:(from:'2016-08-01 13:57:25-0600',mode:absolute,to:'2016-08-01 16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05" t="str">
            <v>N</v>
          </cell>
          <cell r="X105">
            <v>1</v>
          </cell>
          <cell r="Y105">
            <v>4.5699999999999998E-2</v>
          </cell>
          <cell r="Z105">
            <v>23.333100000000002</v>
          </cell>
          <cell r="AA105">
            <v>23.287400000000002</v>
          </cell>
          <cell r="AB105" t="e">
            <v>#N/A</v>
          </cell>
          <cell r="AC105" t="e">
            <v>#N/A</v>
          </cell>
          <cell r="AD105" t="str">
            <v>0191-01</v>
          </cell>
          <cell r="AE105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06">
          <cell r="A106" t="str">
            <v>192-01</v>
          </cell>
          <cell r="B106">
            <v>4028</v>
          </cell>
          <cell r="C106" t="str">
            <v>DE.1.0.7.0</v>
          </cell>
          <cell r="D106" t="str">
            <v>204:233027</v>
          </cell>
          <cell r="E106">
            <v>42583.661215277774</v>
          </cell>
          <cell r="F106">
            <v>42583.662048611113</v>
          </cell>
          <cell r="G106">
            <v>1</v>
          </cell>
          <cell r="H106" t="str">
            <v>204:154</v>
          </cell>
          <cell r="I106">
            <v>42583.694189814814</v>
          </cell>
          <cell r="J106">
            <v>0</v>
          </cell>
          <cell r="K106" t="str">
            <v>4027/4028</v>
          </cell>
          <cell r="L106" t="str">
            <v>OUN</v>
          </cell>
          <cell r="M106">
            <v>3.2141203701030463E-2</v>
          </cell>
          <cell r="N106">
            <v>46.283333329483867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https://search-rtdc-monitor-bjffxe2xuh6vdkpspy63sjmuny.us-east-1.es.amazonaws.com/_plugin/kibana/#/discover/Steve-Slow-Train-Analysis-(2080s-and-2083s)?_g=(refreshInterval:(display:Off,section:0,value:0),time:(from:'2016-08-01 14:52:09-0600',mode:absolute,to:'2016-08-01 17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06" t="str">
            <v>N</v>
          </cell>
          <cell r="X106">
            <v>1</v>
          </cell>
          <cell r="Y106">
            <v>23.302700000000002</v>
          </cell>
          <cell r="Z106">
            <v>1.54E-2</v>
          </cell>
          <cell r="AA106">
            <v>23.287300000000002</v>
          </cell>
          <cell r="AB106" t="e">
            <v>#N/A</v>
          </cell>
          <cell r="AC106" t="e">
            <v>#N/A</v>
          </cell>
          <cell r="AD106" t="str">
            <v>0192-01</v>
          </cell>
          <cell r="AE106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07">
          <cell r="A107" t="str">
            <v>193-01</v>
          </cell>
          <cell r="B107">
            <v>4014</v>
          </cell>
          <cell r="C107" t="str">
            <v>DE.1.0.7.0</v>
          </cell>
          <cell r="D107" t="str">
            <v>204:460</v>
          </cell>
          <cell r="E107">
            <v>42583.634710648148</v>
          </cell>
          <cell r="F107">
            <v>42583.635601851849</v>
          </cell>
          <cell r="G107">
            <v>1</v>
          </cell>
          <cell r="H107" t="str">
            <v>204:233261</v>
          </cell>
          <cell r="I107">
            <v>42583.661423611113</v>
          </cell>
          <cell r="J107">
            <v>0</v>
          </cell>
          <cell r="K107" t="str">
            <v>4013/4014</v>
          </cell>
          <cell r="L107" t="str">
            <v>MAYBERRY</v>
          </cell>
          <cell r="M107">
            <v>2.5821759263635613E-2</v>
          </cell>
          <cell r="N107">
            <v>37.183333339635283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https://search-rtdc-monitor-bjffxe2xuh6vdkpspy63sjmuny.us-east-1.es.amazonaws.com/_plugin/kibana/#/discover/Steve-Slow-Train-Analysis-(2080s-and-2083s)?_g=(refreshInterval:(display:Off,section:0,value:0),time:(from:'2016-08-01 14:13:59-0600',mode:absolute,to:'2016-08-01 16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07" t="str">
            <v>N</v>
          </cell>
          <cell r="X107">
            <v>1</v>
          </cell>
          <cell r="Y107">
            <v>4.5999999999999999E-2</v>
          </cell>
          <cell r="Z107">
            <v>23.3261</v>
          </cell>
          <cell r="AA107">
            <v>23.280100000000001</v>
          </cell>
          <cell r="AB107" t="e">
            <v>#N/A</v>
          </cell>
          <cell r="AC107" t="e">
            <v>#N/A</v>
          </cell>
          <cell r="AD107" t="str">
            <v>0193-01</v>
          </cell>
          <cell r="AE107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108">
          <cell r="A108" t="str">
            <v>194-01</v>
          </cell>
          <cell r="B108">
            <v>4013</v>
          </cell>
          <cell r="C108" t="str">
            <v>DE.1.0.7.0</v>
          </cell>
          <cell r="D108" t="str">
            <v>204:232963</v>
          </cell>
          <cell r="E108">
            <v>42583.671643518515</v>
          </cell>
          <cell r="F108">
            <v>42583.672453703701</v>
          </cell>
          <cell r="G108">
            <v>1</v>
          </cell>
          <cell r="H108" t="str">
            <v>204:143</v>
          </cell>
          <cell r="I108">
            <v>42583.702118055553</v>
          </cell>
          <cell r="J108">
            <v>0</v>
          </cell>
          <cell r="K108" t="str">
            <v>4013/4014</v>
          </cell>
          <cell r="L108" t="str">
            <v>MAYBERRY</v>
          </cell>
          <cell r="M108">
            <v>2.9664351852261461E-2</v>
          </cell>
          <cell r="N108">
            <v>42.716666667256504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https://search-rtdc-monitor-bjffxe2xuh6vdkpspy63sjmuny.us-east-1.es.amazonaws.com/_plugin/kibana/#/discover/Steve-Slow-Train-Analysis-(2080s-and-2083s)?_g=(refreshInterval:(display:Off,section:0,value:0),time:(from:'2016-08-01 15:07:10-0600',mode:absolute,to:'2016-08-01 17:51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08" t="str">
            <v>N</v>
          </cell>
          <cell r="X108">
            <v>1</v>
          </cell>
          <cell r="Y108">
            <v>23.296299999999999</v>
          </cell>
          <cell r="Z108">
            <v>1.43E-2</v>
          </cell>
          <cell r="AA108">
            <v>23.282</v>
          </cell>
          <cell r="AB108" t="e">
            <v>#N/A</v>
          </cell>
          <cell r="AC108" t="e">
            <v>#N/A</v>
          </cell>
          <cell r="AD108" t="str">
            <v>0194-01</v>
          </cell>
          <cell r="AE108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109">
          <cell r="A109" t="str">
            <v>195-01</v>
          </cell>
          <cell r="B109">
            <v>4011</v>
          </cell>
          <cell r="C109" t="str">
            <v>DE.1.0.7.0</v>
          </cell>
          <cell r="D109" t="str">
            <v>204:457</v>
          </cell>
          <cell r="E109">
            <v>42583.643437500003</v>
          </cell>
          <cell r="F109">
            <v>42583.644606481481</v>
          </cell>
          <cell r="G109">
            <v>1</v>
          </cell>
          <cell r="H109" t="str">
            <v>204:233315</v>
          </cell>
          <cell r="I109">
            <v>42583.67423611111</v>
          </cell>
          <cell r="J109">
            <v>0</v>
          </cell>
          <cell r="K109" t="str">
            <v>4011/4012</v>
          </cell>
          <cell r="L109" t="str">
            <v>YOUNG</v>
          </cell>
          <cell r="M109">
            <v>2.9629629629198462E-2</v>
          </cell>
          <cell r="N109">
            <v>42.666666666045785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https://search-rtdc-monitor-bjffxe2xuh6vdkpspy63sjmuny.us-east-1.es.amazonaws.com/_plugin/kibana/#/discover/Steve-Slow-Train-Analysis-(2080s-and-2083s)?_g=(refreshInterval:(display:Off,section:0,value:0),time:(from:'2016-08-01 14:26:33-0600',mode:absolute,to:'2016-08-01 17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09" t="str">
            <v>N</v>
          </cell>
          <cell r="X109">
            <v>1</v>
          </cell>
          <cell r="Y109">
            <v>4.5699999999999998E-2</v>
          </cell>
          <cell r="Z109">
            <v>23.331499999999998</v>
          </cell>
          <cell r="AA109">
            <v>23.285799999999998</v>
          </cell>
          <cell r="AB109" t="e">
            <v>#N/A</v>
          </cell>
          <cell r="AC109" t="e">
            <v>#N/A</v>
          </cell>
          <cell r="AD109" t="str">
            <v>0195-01</v>
          </cell>
          <cell r="AE109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10">
          <cell r="A110" t="str">
            <v>196-01</v>
          </cell>
          <cell r="B110">
            <v>4012</v>
          </cell>
          <cell r="C110" t="str">
            <v>DE.1.0.7.0</v>
          </cell>
          <cell r="D110" t="str">
            <v>204:233004</v>
          </cell>
          <cell r="E110">
            <v>42583.677129629628</v>
          </cell>
          <cell r="F110">
            <v>42583.678159722222</v>
          </cell>
          <cell r="G110">
            <v>1</v>
          </cell>
          <cell r="H110" t="str">
            <v>204:180</v>
          </cell>
          <cell r="I110">
            <v>42583.714375000003</v>
          </cell>
          <cell r="J110">
            <v>1</v>
          </cell>
          <cell r="K110" t="str">
            <v>4011/4012</v>
          </cell>
          <cell r="L110" t="str">
            <v>YOUNG</v>
          </cell>
          <cell r="M110">
            <v>3.6215277781593613E-2</v>
          </cell>
          <cell r="N110">
            <v>52.150000005494803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https://search-rtdc-monitor-bjffxe2xuh6vdkpspy63sjmuny.us-east-1.es.amazonaws.com/_plugin/kibana/#/discover/Steve-Slow-Train-Analysis-(2080s-and-2083s)?_g=(refreshInterval:(display:Off,section:0,value:0),time:(from:'2016-08-01 15:15:04-0600',mode:absolute,to:'2016-08-01 18:08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10" t="str">
            <v>N</v>
          </cell>
          <cell r="X110">
            <v>1</v>
          </cell>
          <cell r="Y110">
            <v>23.3004</v>
          </cell>
          <cell r="Z110">
            <v>1.7999999999999999E-2</v>
          </cell>
          <cell r="AA110">
            <v>23.282399999999999</v>
          </cell>
          <cell r="AB110" t="e">
            <v>#N/A</v>
          </cell>
          <cell r="AC110" t="e">
            <v>#N/A</v>
          </cell>
          <cell r="AD110" t="str">
            <v>0196-01</v>
          </cell>
          <cell r="AE110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11">
          <cell r="A111" t="str">
            <v>197-01</v>
          </cell>
          <cell r="B111">
            <v>4009</v>
          </cell>
          <cell r="C111" t="str">
            <v>DE.1.0.7.0</v>
          </cell>
          <cell r="D111" t="str">
            <v>204:453</v>
          </cell>
          <cell r="E111">
            <v>42583.652326388888</v>
          </cell>
          <cell r="F111">
            <v>42583.653368055559</v>
          </cell>
          <cell r="G111">
            <v>1</v>
          </cell>
          <cell r="H111" t="str">
            <v>204:233374</v>
          </cell>
          <cell r="I111">
            <v>42583.681342592594</v>
          </cell>
          <cell r="J111">
            <v>0</v>
          </cell>
          <cell r="K111" t="str">
            <v>4009/4010</v>
          </cell>
          <cell r="L111" t="str">
            <v>STORY</v>
          </cell>
          <cell r="M111">
            <v>2.7974537035333924E-2</v>
          </cell>
          <cell r="N111">
            <v>40.283333330880851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https://search-rtdc-monitor-bjffxe2xuh6vdkpspy63sjmuny.us-east-1.es.amazonaws.com/_plugin/kibana/#/discover/Steve-Slow-Train-Analysis-(2080s-and-2083s)?_g=(refreshInterval:(display:Off,section:0,value:0),time:(from:'2016-08-01 14:39:21-0600',mode:absolute,to:'2016-08-01 17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11" t="str">
            <v>N</v>
          </cell>
          <cell r="X111">
            <v>1</v>
          </cell>
          <cell r="Y111">
            <v>4.53E-2</v>
          </cell>
          <cell r="Z111">
            <v>23.337399999999999</v>
          </cell>
          <cell r="AA111">
            <v>23.292099999999998</v>
          </cell>
          <cell r="AB111" t="e">
            <v>#N/A</v>
          </cell>
          <cell r="AC111" t="e">
            <v>#N/A</v>
          </cell>
          <cell r="AD111" t="str">
            <v>0197-01</v>
          </cell>
          <cell r="AE111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112">
          <cell r="A112" t="str">
            <v>198-01</v>
          </cell>
          <cell r="B112">
            <v>4010</v>
          </cell>
          <cell r="C112" t="str">
            <v>DE.1.0.7.0</v>
          </cell>
          <cell r="D112" t="str">
            <v>204:233057</v>
          </cell>
          <cell r="E112">
            <v>42583.690150462964</v>
          </cell>
          <cell r="F112">
            <v>42583.691250000003</v>
          </cell>
          <cell r="G112">
            <v>1</v>
          </cell>
          <cell r="H112" t="str">
            <v>204:114</v>
          </cell>
          <cell r="I112">
            <v>42583.723217592589</v>
          </cell>
          <cell r="J112">
            <v>0</v>
          </cell>
          <cell r="K112" t="str">
            <v>4009/4010</v>
          </cell>
          <cell r="L112" t="str">
            <v>STORY</v>
          </cell>
          <cell r="M112">
            <v>3.1967592585715465E-2</v>
          </cell>
          <cell r="N112">
            <v>46.03333332343027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https://search-rtdc-monitor-bjffxe2xuh6vdkpspy63sjmuny.us-east-1.es.amazonaws.com/_plugin/kibana/#/discover/Steve-Slow-Train-Analysis-(2080s-and-2083s)?_g=(refreshInterval:(display:Off,section:0,value:0),time:(from:'2016-08-01 15:33:49-0600',mode:absolute,to:'2016-08-01 18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12" t="str">
            <v>N</v>
          </cell>
          <cell r="X112">
            <v>1</v>
          </cell>
          <cell r="Y112">
            <v>23.305700000000002</v>
          </cell>
          <cell r="Z112">
            <v>1.14E-2</v>
          </cell>
          <cell r="AA112">
            <v>23.294300000000003</v>
          </cell>
          <cell r="AB112" t="e">
            <v>#N/A</v>
          </cell>
          <cell r="AC112" t="e">
            <v>#N/A</v>
          </cell>
          <cell r="AD112" t="str">
            <v>0198-01</v>
          </cell>
          <cell r="AE112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113">
          <cell r="A113" t="str">
            <v>199-01</v>
          </cell>
          <cell r="B113">
            <v>4029</v>
          </cell>
          <cell r="C113" t="str">
            <v>DE.1.0.7.0</v>
          </cell>
          <cell r="D113" t="str">
            <v>204:491</v>
          </cell>
          <cell r="E113">
            <v>42583.666435185187</v>
          </cell>
          <cell r="F113">
            <v>42583.667210648149</v>
          </cell>
          <cell r="G113">
            <v>1</v>
          </cell>
          <cell r="H113" t="str">
            <v>204:233310</v>
          </cell>
          <cell r="I113">
            <v>42583.692233796297</v>
          </cell>
          <cell r="J113">
            <v>0</v>
          </cell>
          <cell r="K113" t="str">
            <v>4029/4030</v>
          </cell>
          <cell r="L113" t="str">
            <v>DE LA ROSA</v>
          </cell>
          <cell r="M113">
            <v>2.5023148147738539E-2</v>
          </cell>
          <cell r="N113">
            <v>36.033333332743496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https://search-rtdc-monitor-bjffxe2xuh6vdkpspy63sjmuny.us-east-1.es.amazonaws.com/_plugin/kibana/#/discover/Steve-Slow-Train-Analysis-(2080s-and-2083s)?_g=(refreshInterval:(display:Off,section:0,value:0),time:(from:'2016-08-01 14:59:40-0600',mode:absolute,to:'2016-08-01 17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13" t="str">
            <v>N</v>
          </cell>
          <cell r="X113">
            <v>1</v>
          </cell>
          <cell r="Y113">
            <v>4.9099999999999998E-2</v>
          </cell>
          <cell r="Z113">
            <v>23.331</v>
          </cell>
          <cell r="AA113">
            <v>23.2819</v>
          </cell>
          <cell r="AB113" t="e">
            <v>#N/A</v>
          </cell>
          <cell r="AC113" t="e">
            <v>#N/A</v>
          </cell>
          <cell r="AD113" t="str">
            <v>0199-01</v>
          </cell>
          <cell r="AE113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14">
          <cell r="A114" t="str">
            <v>200-01</v>
          </cell>
          <cell r="B114">
            <v>4030</v>
          </cell>
          <cell r="C114" t="str">
            <v>DE.1.0.7.0</v>
          </cell>
          <cell r="D114" t="str">
            <v>204:232993</v>
          </cell>
          <cell r="E114">
            <v>42583.701770833337</v>
          </cell>
          <cell r="F114">
            <v>42583.702650462961</v>
          </cell>
          <cell r="G114">
            <v>1</v>
          </cell>
          <cell r="H114" t="str">
            <v>204:161</v>
          </cell>
          <cell r="I114">
            <v>42583.73232638889</v>
          </cell>
          <cell r="J114">
            <v>0</v>
          </cell>
          <cell r="K114" t="str">
            <v>4029/4030</v>
          </cell>
          <cell r="L114" t="str">
            <v>DE LA ROSA</v>
          </cell>
          <cell r="M114">
            <v>2.9675925929041114E-2</v>
          </cell>
          <cell r="N114">
            <v>42.733333337819204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https://search-rtdc-monitor-bjffxe2xuh6vdkpspy63sjmuny.us-east-1.es.amazonaws.com/_plugin/kibana/#/discover/Steve-Slow-Train-Analysis-(2080s-and-2083s)?_g=(refreshInterval:(display:Off,section:0,value:0),time:(from:'2016-08-01 15:50:33-0600',mode:absolute,to:'2016-08-01 18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14" t="str">
            <v>N</v>
          </cell>
          <cell r="X114">
            <v>1</v>
          </cell>
          <cell r="Y114">
            <v>23.299299999999999</v>
          </cell>
          <cell r="Z114">
            <v>1.61E-2</v>
          </cell>
          <cell r="AA114">
            <v>23.283199999999997</v>
          </cell>
          <cell r="AB114" t="e">
            <v>#N/A</v>
          </cell>
          <cell r="AC114" t="e">
            <v>#N/A</v>
          </cell>
          <cell r="AD114" t="str">
            <v>0200-01</v>
          </cell>
          <cell r="AE114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15">
          <cell r="A115" t="str">
            <v>201-01</v>
          </cell>
          <cell r="B115">
            <v>4016</v>
          </cell>
          <cell r="C115" t="str">
            <v>DE.1.0.7.0</v>
          </cell>
          <cell r="D115" t="str">
            <v>204:437</v>
          </cell>
          <cell r="E115">
            <v>42583.674872685187</v>
          </cell>
          <cell r="F115">
            <v>42583.675949074073</v>
          </cell>
          <cell r="G115">
            <v>1</v>
          </cell>
          <cell r="H115" t="str">
            <v>204:233297</v>
          </cell>
          <cell r="I115">
            <v>42583.703587962962</v>
          </cell>
          <cell r="J115">
            <v>0</v>
          </cell>
          <cell r="K115" t="str">
            <v>4015/4016</v>
          </cell>
          <cell r="L115" t="str">
            <v>STEWART</v>
          </cell>
          <cell r="M115">
            <v>2.7638888888759539E-2</v>
          </cell>
          <cell r="N115">
            <v>39.799999999813735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https://search-rtdc-monitor-bjffxe2xuh6vdkpspy63sjmuny.us-east-1.es.amazonaws.com/_plugin/kibana/#/discover/Steve-Slow-Train-Analysis-(2080s-and-2083s)?_g=(refreshInterval:(display:Off,section:0,value:0),time:(from:'2016-08-01 15:11:49-0600',mode:absolute,to:'2016-08-01 17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15" t="str">
            <v>N</v>
          </cell>
          <cell r="X115">
            <v>1</v>
          </cell>
          <cell r="Y115">
            <v>4.3700000000000003E-2</v>
          </cell>
          <cell r="Z115">
            <v>23.329699999999999</v>
          </cell>
          <cell r="AA115">
            <v>23.285999999999998</v>
          </cell>
          <cell r="AB115" t="e">
            <v>#N/A</v>
          </cell>
          <cell r="AC115" t="e">
            <v>#N/A</v>
          </cell>
          <cell r="AD115" t="str">
            <v>0201-01</v>
          </cell>
          <cell r="AE115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116">
          <cell r="A116" t="str">
            <v>202-01</v>
          </cell>
          <cell r="B116">
            <v>4015</v>
          </cell>
          <cell r="C116" t="str">
            <v>DE.1.0.7.0</v>
          </cell>
          <cell r="D116" t="str">
            <v>204:232969</v>
          </cell>
          <cell r="E116">
            <v>42583.712997685187</v>
          </cell>
          <cell r="F116">
            <v>42583.713738425926</v>
          </cell>
          <cell r="G116">
            <v>1</v>
          </cell>
          <cell r="H116" t="str">
            <v>204:150</v>
          </cell>
          <cell r="I116">
            <v>42583.744525462964</v>
          </cell>
          <cell r="J116">
            <v>0</v>
          </cell>
          <cell r="K116" t="str">
            <v>4015/4016</v>
          </cell>
          <cell r="L116" t="str">
            <v>STEWART</v>
          </cell>
          <cell r="M116">
            <v>3.0787037037953269E-2</v>
          </cell>
          <cell r="N116">
            <v>44.333333334652707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https://search-rtdc-monitor-bjffxe2xuh6vdkpspy63sjmuny.us-east-1.es.amazonaws.com/_plugin/kibana/#/discover/Steve-Slow-Train-Analysis-(2080s-and-2083s)?_g=(refreshInterval:(display:Off,section:0,value:0),time:(from:'2016-08-01 16:06:43-0600',mode:absolute,to:'2016-08-01 18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16" t="str">
            <v>N</v>
          </cell>
          <cell r="X116">
            <v>1</v>
          </cell>
          <cell r="Y116">
            <v>23.296900000000001</v>
          </cell>
          <cell r="Z116">
            <v>1.4999999999999999E-2</v>
          </cell>
          <cell r="AA116">
            <v>23.2819</v>
          </cell>
          <cell r="AB116" t="e">
            <v>#N/A</v>
          </cell>
          <cell r="AC116" t="e">
            <v>#N/A</v>
          </cell>
          <cell r="AD116" t="str">
            <v>0202-01</v>
          </cell>
          <cell r="AE116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17">
          <cell r="A117" t="str">
            <v>203-01</v>
          </cell>
          <cell r="B117">
            <v>4044</v>
          </cell>
          <cell r="C117" t="str">
            <v>DE.1.0.7.0</v>
          </cell>
          <cell r="D117" t="str">
            <v>204:449</v>
          </cell>
          <cell r="E117">
            <v>42583.683622685188</v>
          </cell>
          <cell r="F117">
            <v>42583.684606481482</v>
          </cell>
          <cell r="G117">
            <v>1</v>
          </cell>
          <cell r="H117" t="str">
            <v>204:233244</v>
          </cell>
          <cell r="I117">
            <v>42583.713541666664</v>
          </cell>
          <cell r="J117">
            <v>2</v>
          </cell>
          <cell r="K117" t="str">
            <v>4043/4044</v>
          </cell>
          <cell r="L117" t="str">
            <v>KILLION</v>
          </cell>
          <cell r="M117">
            <v>2.8935185182490386E-2</v>
          </cell>
          <cell r="N117">
            <v>41.666666662786156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https://search-rtdc-monitor-bjffxe2xuh6vdkpspy63sjmuny.us-east-1.es.amazonaws.com/_plugin/kibana/#/discover/Steve-Slow-Train-Analysis-(2080s-and-2083s)?_g=(refreshInterval:(display:Off,section:0,value:0),time:(from:'2016-08-01 15:24:25-0600',mode:absolute,to:'2016-08-01 18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17" t="str">
            <v>N</v>
          </cell>
          <cell r="X117">
            <v>1</v>
          </cell>
          <cell r="Y117">
            <v>4.4900000000000002E-2</v>
          </cell>
          <cell r="Z117">
            <v>23.324400000000001</v>
          </cell>
          <cell r="AA117">
            <v>23.279500000000002</v>
          </cell>
          <cell r="AB117" t="e">
            <v>#N/A</v>
          </cell>
          <cell r="AC117" t="e">
            <v>#N/A</v>
          </cell>
          <cell r="AD117" t="str">
            <v>0203-01</v>
          </cell>
          <cell r="AE11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18">
          <cell r="A118" t="str">
            <v>204-01</v>
          </cell>
          <cell r="B118">
            <v>4043</v>
          </cell>
          <cell r="C118" t="str">
            <v>DE.1.0.7.0</v>
          </cell>
          <cell r="D118" t="str">
            <v>204:232928</v>
          </cell>
          <cell r="E118">
            <v>42583.720127314817</v>
          </cell>
          <cell r="F118">
            <v>42583.720995370371</v>
          </cell>
          <cell r="G118">
            <v>1</v>
          </cell>
          <cell r="H118" t="str">
            <v>204:223</v>
          </cell>
          <cell r="I118">
            <v>42583.754247685189</v>
          </cell>
          <cell r="J118">
            <v>1</v>
          </cell>
          <cell r="K118" t="str">
            <v>4043/4044</v>
          </cell>
          <cell r="L118" t="str">
            <v>KILLION</v>
          </cell>
          <cell r="M118">
            <v>3.3252314817218576E-2</v>
          </cell>
          <cell r="N118">
            <v>47.883333336794749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https://search-rtdc-monitor-bjffxe2xuh6vdkpspy63sjmuny.us-east-1.es.amazonaws.com/_plugin/kibana/#/discover/Steve-Slow-Train-Analysis-(2080s-and-2083s)?_g=(refreshInterval:(display:Off,section:0,value:0),time:(from:'2016-08-01 16:16:59-0600',mode:absolute,to:'2016-08-01 19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18" t="str">
            <v>N</v>
          </cell>
          <cell r="X118">
            <v>1</v>
          </cell>
          <cell r="Y118">
            <v>23.2928</v>
          </cell>
          <cell r="Z118">
            <v>2.23E-2</v>
          </cell>
          <cell r="AA118">
            <v>23.270499999999998</v>
          </cell>
          <cell r="AB118" t="e">
            <v>#N/A</v>
          </cell>
          <cell r="AC118" t="e">
            <v>#N/A</v>
          </cell>
          <cell r="AD118" t="str">
            <v>0204-01</v>
          </cell>
          <cell r="AE118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19">
          <cell r="A119" t="str">
            <v>205-01</v>
          </cell>
          <cell r="B119">
            <v>4027</v>
          </cell>
          <cell r="C119" t="str">
            <v>DE.1.0.7.0</v>
          </cell>
          <cell r="D119" t="str">
            <v>204:446</v>
          </cell>
          <cell r="E119">
            <v>42583.695763888885</v>
          </cell>
          <cell r="F119">
            <v>42583.696770833332</v>
          </cell>
          <cell r="G119">
            <v>1</v>
          </cell>
          <cell r="H119" t="str">
            <v>204:233234</v>
          </cell>
          <cell r="I119">
            <v>42583.724317129629</v>
          </cell>
          <cell r="J119">
            <v>0</v>
          </cell>
          <cell r="K119" t="str">
            <v>4027/4028</v>
          </cell>
          <cell r="L119" t="str">
            <v>OUN</v>
          </cell>
          <cell r="M119">
            <v>2.7546296296350192E-2</v>
          </cell>
          <cell r="N119">
            <v>39.666666666744277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https://search-rtdc-monitor-bjffxe2xuh6vdkpspy63sjmuny.us-east-1.es.amazonaws.com/_plugin/kibana/#/discover/Steve-Slow-Train-Analysis-(2080s-and-2083s)?_g=(refreshInterval:(display:Off,section:0,value:0),time:(from:'2016-08-01 15:41:54-0600',mode:absolute,to:'2016-08-01 18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19" t="str">
            <v>N</v>
          </cell>
          <cell r="X119">
            <v>1</v>
          </cell>
          <cell r="Y119">
            <v>4.4600000000000001E-2</v>
          </cell>
          <cell r="Z119">
            <v>23.323399999999999</v>
          </cell>
          <cell r="AA119">
            <v>23.2788</v>
          </cell>
          <cell r="AB119" t="e">
            <v>#N/A</v>
          </cell>
          <cell r="AC119" t="e">
            <v>#N/A</v>
          </cell>
          <cell r="AD119" t="str">
            <v>0205-01</v>
          </cell>
          <cell r="AE119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20">
          <cell r="A120" t="str">
            <v>206-01</v>
          </cell>
          <cell r="B120">
            <v>4028</v>
          </cell>
          <cell r="C120" t="str">
            <v>DE.1.0.7.0</v>
          </cell>
          <cell r="D120" t="str">
            <v>204:232917</v>
          </cell>
          <cell r="E120">
            <v>42583.733761574076</v>
          </cell>
          <cell r="F120">
            <v>42583.734571759262</v>
          </cell>
          <cell r="G120">
            <v>1</v>
          </cell>
          <cell r="H120" t="str">
            <v>204:160</v>
          </cell>
          <cell r="I120">
            <v>42583.764479166668</v>
          </cell>
          <cell r="J120">
            <v>0</v>
          </cell>
          <cell r="K120" t="str">
            <v>4027/4028</v>
          </cell>
          <cell r="L120" t="str">
            <v>OUN</v>
          </cell>
          <cell r="M120">
            <v>2.9907407406426501E-2</v>
          </cell>
          <cell r="N120">
            <v>43.066666665254161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https://search-rtdc-monitor-bjffxe2xuh6vdkpspy63sjmuny.us-east-1.es.amazonaws.com/_plugin/kibana/#/discover/Steve-Slow-Train-Analysis-(2080s-and-2083s)?_g=(refreshInterval:(display:Off,section:0,value:0),time:(from:'2016-08-01 16:36:37-0600',mode:absolute,to:'2016-08-01 19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20" t="str">
            <v>N</v>
          </cell>
          <cell r="X120">
            <v>1</v>
          </cell>
          <cell r="Y120">
            <v>23.291699999999999</v>
          </cell>
          <cell r="Z120">
            <v>1.6E-2</v>
          </cell>
          <cell r="AA120">
            <v>23.275700000000001</v>
          </cell>
          <cell r="AB120" t="e">
            <v>#N/A</v>
          </cell>
          <cell r="AC120" t="e">
            <v>#N/A</v>
          </cell>
          <cell r="AD120" t="str">
            <v>0206-01</v>
          </cell>
          <cell r="AE120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21">
          <cell r="A121" t="str">
            <v>207-01</v>
          </cell>
          <cell r="B121">
            <v>4014</v>
          </cell>
          <cell r="C121" t="str">
            <v>DE.1.0.7.0</v>
          </cell>
          <cell r="D121" t="str">
            <v>204:457</v>
          </cell>
          <cell r="E121">
            <v>42583.704687500001</v>
          </cell>
          <cell r="F121">
            <v>42583.706157407411</v>
          </cell>
          <cell r="G121">
            <v>2</v>
          </cell>
          <cell r="H121" t="str">
            <v>204:233297</v>
          </cell>
          <cell r="I121">
            <v>42583.734942129631</v>
          </cell>
          <cell r="J121">
            <v>2</v>
          </cell>
          <cell r="K121" t="str">
            <v>4013/4014</v>
          </cell>
          <cell r="L121" t="str">
            <v>MAYBERRY</v>
          </cell>
          <cell r="M121">
            <v>2.8784722220734693E-2</v>
          </cell>
          <cell r="N121">
            <v>41.449999997857958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https://search-rtdc-monitor-bjffxe2xuh6vdkpspy63sjmuny.us-east-1.es.amazonaws.com/_plugin/kibana/#/discover/Steve-Slow-Train-Analysis-(2080s-and-2083s)?_g=(refreshInterval:(display:Off,section:0,value:0),time:(from:'2016-08-01 15:54:45-0600',mode:absolute,to:'2016-08-01 18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    </cell>
          <cell r="W121" t="str">
            <v>N</v>
          </cell>
          <cell r="X121">
            <v>1</v>
          </cell>
          <cell r="Y121">
            <v>4.5699999999999998E-2</v>
          </cell>
          <cell r="Z121">
            <v>23.329699999999999</v>
          </cell>
          <cell r="AA121">
            <v>23.283999999999999</v>
          </cell>
          <cell r="AB121">
            <v>17867</v>
          </cell>
          <cell r="AC121" t="str">
            <v>PERMANENT SPEED RESTRICTION</v>
          </cell>
          <cell r="AD121" t="str">
            <v>0207-01</v>
          </cell>
          <cell r="AE121" t="str">
            <v>aws s3 cp s3://rtdc.mdm.uploadarchive/RTDC4014/2016-08-01/ "C:\Users\stu\Documents\Analysis\2016-02-23 RTDC Observations"\RTDC4014\2016-08-01 --recursive &amp; "C:\Users\stu\Documents\GitHub\mrs-test-scripts\Headless Mode &amp; Sideloading\WalkAndUnGZ.bat" "C:\Users\stu\Documents\Analysis\2016-02-23 RTDC Observations"\RTDC4014\2016-08-01 &amp; aws s3 cp s3://rtdc.mdm.uploadarchive/RTDC4014/2016-08-02/ "C:\Users\stu\Documents\Analysis\2016-02-23 RTDC Observations"\RTDC4014\2016-08-02 --recursive &amp; "C:\Users\stu\Documents\GitHub\mrs-test-scripts\Headless Mode &amp; Sideloading\WalkAndUnGZ.bat" "C:\Users\stu\Documents\Analysis\2016-02-23 RTDC Observations"\RTDC4014\2016-08-02</v>
          </cell>
        </row>
        <row r="122">
          <cell r="A122" t="str">
            <v>208-01</v>
          </cell>
          <cell r="B122">
            <v>4013</v>
          </cell>
          <cell r="C122" t="str">
            <v>DE.1.0.7.0</v>
          </cell>
          <cell r="D122" t="str">
            <v>204:232985</v>
          </cell>
          <cell r="E122">
            <v>42583.737627314818</v>
          </cell>
          <cell r="F122">
            <v>42583.739768518521</v>
          </cell>
          <cell r="G122">
            <v>3</v>
          </cell>
          <cell r="H122" t="str">
            <v>204:156</v>
          </cell>
          <cell r="I122">
            <v>42583.777025462965</v>
          </cell>
          <cell r="J122">
            <v>0</v>
          </cell>
          <cell r="K122" t="str">
            <v>4013/4014</v>
          </cell>
          <cell r="L122" t="str">
            <v>MAYBERRY</v>
          </cell>
          <cell r="M122">
            <v>3.7256944444379769E-2</v>
          </cell>
          <cell r="N122">
            <v>53.649999999906868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https://search-rtdc-monitor-bjffxe2xuh6vdkpspy63sjmuny.us-east-1.es.amazonaws.com/_plugin/kibana/#/discover/Steve-Slow-Train-Analysis-(2080s-and-2083s)?_g=(refreshInterval:(display:Off,section:0,value:0),time:(from:'2016-08-01 16:42:11-0600',mode:absolute,to:'2016-08-01 19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    </cell>
          <cell r="W122" t="str">
            <v>N</v>
          </cell>
          <cell r="X122">
            <v>1</v>
          </cell>
          <cell r="Y122">
            <v>23.298500000000001</v>
          </cell>
          <cell r="Z122">
            <v>1.5599999999999999E-2</v>
          </cell>
          <cell r="AA122">
            <v>23.282900000000001</v>
          </cell>
          <cell r="AB122" t="e">
            <v>#N/A</v>
          </cell>
          <cell r="AC122" t="e">
            <v>#N/A</v>
          </cell>
          <cell r="AD122" t="str">
            <v>0208-01</v>
          </cell>
          <cell r="AE122" t="str">
            <v>aws s3 cp s3://rtdc.mdm.uploadarchive/RTDC4013/2016-08-01/ "C:\Users\stu\Documents\Analysis\2016-02-23 RTDC Observations"\RTDC4013\2016-08-01 --recursive &amp; "C:\Users\stu\Documents\GitHub\mrs-test-scripts\Headless Mode &amp; Sideloading\WalkAndUnGZ.bat" "C:\Users\stu\Documents\Analysis\2016-02-23 RTDC Observations"\RTDC4013\2016-08-01 &amp; aws s3 cp s3://rtdc.mdm.uploadarchive/RTDC4013/2016-08-02/ "C:\Users\stu\Documents\Analysis\2016-02-23 RTDC Observations"\RTDC4013\2016-08-02 --recursive &amp; "C:\Users\stu\Documents\GitHub\mrs-test-scripts\Headless Mode &amp; Sideloading\WalkAndUnGZ.bat" "C:\Users\stu\Documents\Analysis\2016-02-23 RTDC Observations"\RTDC4013\2016-08-02</v>
          </cell>
        </row>
        <row r="123">
          <cell r="A123" t="str">
            <v>209-01</v>
          </cell>
          <cell r="B123">
            <v>4011</v>
          </cell>
          <cell r="C123" t="str">
            <v>DE.1.0.7.0</v>
          </cell>
          <cell r="D123" t="str">
            <v>204:489</v>
          </cell>
          <cell r="E123">
            <v>42583.71733796296</v>
          </cell>
          <cell r="F123">
            <v>42583.718900462962</v>
          </cell>
          <cell r="G123">
            <v>2</v>
          </cell>
          <cell r="H123" t="str">
            <v>204:233284</v>
          </cell>
          <cell r="I123">
            <v>42583.744328703702</v>
          </cell>
          <cell r="J123">
            <v>0</v>
          </cell>
          <cell r="K123" t="str">
            <v>4011/4012</v>
          </cell>
          <cell r="L123" t="str">
            <v>ROBINSON</v>
          </cell>
          <cell r="M123">
            <v>2.5428240740438923E-2</v>
          </cell>
          <cell r="N123">
            <v>36.616666666232049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https://search-rtdc-monitor-bjffxe2xuh6vdkpspy63sjmuny.us-east-1.es.amazonaws.com/_plugin/kibana/#/discover/Steve-Slow-Train-Analysis-(2080s-and-2083s)?_g=(refreshInterval:(display:Off,section:0,value:0),time:(from:'2016-08-01 16:12:58-0600',mode:absolute,to:'2016-08-01 18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23" t="str">
            <v>N</v>
          </cell>
          <cell r="X123">
            <v>1</v>
          </cell>
          <cell r="Y123">
            <v>4.8899999999999999E-2</v>
          </cell>
          <cell r="Z123">
            <v>23.328399999999998</v>
          </cell>
          <cell r="AA123">
            <v>23.279499999999999</v>
          </cell>
          <cell r="AB123" t="e">
            <v>#N/A</v>
          </cell>
          <cell r="AC123" t="e">
            <v>#N/A</v>
          </cell>
          <cell r="AD123" t="str">
            <v>0209-01</v>
          </cell>
          <cell r="AE123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24">
          <cell r="A124" t="str">
            <v>210-01</v>
          </cell>
          <cell r="B124">
            <v>4012</v>
          </cell>
          <cell r="C124" t="str">
            <v>DE.1.0.7.0</v>
          </cell>
          <cell r="D124" t="str">
            <v>204:232965</v>
          </cell>
          <cell r="E124">
            <v>42583.751562500001</v>
          </cell>
          <cell r="F124">
            <v>42583.752627314818</v>
          </cell>
          <cell r="G124">
            <v>1</v>
          </cell>
          <cell r="H124" t="str">
            <v>204:169</v>
          </cell>
          <cell r="I124">
            <v>42583.784907407404</v>
          </cell>
          <cell r="J124">
            <v>0</v>
          </cell>
          <cell r="K124" t="str">
            <v>4011/4012</v>
          </cell>
          <cell r="L124" t="str">
            <v>ROBINSON</v>
          </cell>
          <cell r="M124">
            <v>3.2280092586006504E-2</v>
          </cell>
          <cell r="N124">
            <v>46.483333323849365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https://search-rtdc-monitor-bjffxe2xuh6vdkpspy63sjmuny.us-east-1.es.amazonaws.com/_plugin/kibana/#/discover/Steve-Slow-Train-Analysis-(2080s-and-2083s)?_g=(refreshInterval:(display:Off,section:0,value:0),time:(from:'2016-08-01 17:02:15-0600',mode:absolute,to:'2016-08-01 19:50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24" t="str">
            <v>N</v>
          </cell>
          <cell r="X124">
            <v>1</v>
          </cell>
          <cell r="Y124">
            <v>23.296500000000002</v>
          </cell>
          <cell r="Z124">
            <v>1.6899999999999998E-2</v>
          </cell>
          <cell r="AA124">
            <v>23.279600000000002</v>
          </cell>
          <cell r="AB124" t="e">
            <v>#N/A</v>
          </cell>
          <cell r="AC124" t="e">
            <v>#N/A</v>
          </cell>
          <cell r="AD124" t="str">
            <v>0210-01</v>
          </cell>
          <cell r="AE124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25">
          <cell r="A125" t="str">
            <v>211-01</v>
          </cell>
          <cell r="B125">
            <v>4009</v>
          </cell>
          <cell r="C125" t="str">
            <v>DE.1.0.7.0</v>
          </cell>
          <cell r="D125" t="str">
            <v>204:411</v>
          </cell>
          <cell r="E125">
            <v>42583.725601851853</v>
          </cell>
          <cell r="F125">
            <v>42583.726643518516</v>
          </cell>
          <cell r="G125">
            <v>1</v>
          </cell>
          <cell r="H125" t="str">
            <v>204:233308</v>
          </cell>
          <cell r="I125">
            <v>42583.756782407407</v>
          </cell>
          <cell r="J125">
            <v>0</v>
          </cell>
          <cell r="K125" t="str">
            <v>4009/4010</v>
          </cell>
          <cell r="L125" t="str">
            <v>YOUNG</v>
          </cell>
          <cell r="M125">
            <v>3.0138888891087845E-2</v>
          </cell>
          <cell r="N125">
            <v>43.400000003166497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https://search-rtdc-monitor-bjffxe2xuh6vdkpspy63sjmuny.us-east-1.es.amazonaws.com/_plugin/kibana/#/discover/Steve-Slow-Train-Analysis-(2080s-and-2083s)?_g=(refreshInterval:(display:Off,section:0,value:0),time:(from:'2016-08-01 16:24:52-0600',mode:absolute,to:'2016-08-01 19:09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4009%22')),sort:!(Time,asc))</v>
          </cell>
          <cell r="W125" t="str">
            <v>N</v>
          </cell>
          <cell r="X125">
            <v>1</v>
          </cell>
          <cell r="Y125">
            <v>4.1099999999999998E-2</v>
          </cell>
          <cell r="Z125">
            <v>23.3308</v>
          </cell>
          <cell r="AA125">
            <v>23.2897</v>
          </cell>
          <cell r="AB125" t="e">
            <v>#N/A</v>
          </cell>
          <cell r="AC125" t="e">
            <v>#N/A</v>
          </cell>
          <cell r="AD125" t="str">
            <v>0211-01</v>
          </cell>
          <cell r="AE125" t="str">
            <v>aws s3 cp s3://rtdc.mdm.uploadarchive/RTDC4009/2016-08-01/ "C:\Users\stu\Documents\Analysis\2016-02-23 RTDC Observations"\RTDC4009\2016-08-01 --recursive &amp; "C:\Users\stu\Documents\GitHub\mrs-test-scripts\Headless Mode &amp; Sideloading\WalkAndUnGZ.bat" "C:\Users\stu\Documents\Analysis\2016-02-23 RTDC Observations"\RTDC4009\2016-08-01 &amp; aws s3 cp s3://rtdc.mdm.uploadarchive/RTDC4009/2016-08-02/ "C:\Users\stu\Documents\Analysis\2016-02-23 RTDC Observations"\RTDC4009\2016-08-02 --recursive &amp; "C:\Users\stu\Documents\GitHub\mrs-test-scripts\Headless Mode &amp; Sideloading\WalkAndUnGZ.bat" "C:\Users\stu\Documents\Analysis\2016-02-23 RTDC Observations"\RTDC4009\2016-08-02</v>
          </cell>
        </row>
        <row r="126">
          <cell r="A126" t="str">
            <v>212-01</v>
          </cell>
          <cell r="B126">
            <v>4010</v>
          </cell>
          <cell r="C126" t="str">
            <v>DE.1.0.7.0</v>
          </cell>
          <cell r="D126" t="str">
            <v>204:232996</v>
          </cell>
          <cell r="E126">
            <v>42583.760868055557</v>
          </cell>
          <cell r="F126">
            <v>42583.762233796297</v>
          </cell>
          <cell r="G126">
            <v>1</v>
          </cell>
          <cell r="H126" t="str">
            <v>204:156</v>
          </cell>
          <cell r="I126">
            <v>42583.798275462963</v>
          </cell>
          <cell r="J126">
            <v>1</v>
          </cell>
          <cell r="K126" t="str">
            <v>4009/4010</v>
          </cell>
          <cell r="L126" t="str">
            <v>YOUNG</v>
          </cell>
          <cell r="M126">
            <v>3.6041666666278616E-2</v>
          </cell>
          <cell r="N126">
            <v>51.899999999441206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https://search-rtdc-monitor-bjffxe2xuh6vdkpspy63sjmuny.us-east-1.es.amazonaws.com/_plugin/kibana/#/discover/Steve-Slow-Train-Analysis-(2080s-and-2083s)?_g=(refreshInterval:(display:Off,section:0,value:0),time:(from:'2016-08-01 17:15:39-0600',mode:absolute,to:'2016-08-01 20:09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    </cell>
          <cell r="W126" t="str">
            <v>N</v>
          </cell>
          <cell r="X126">
            <v>1</v>
          </cell>
          <cell r="Y126">
            <v>23.299600000000002</v>
          </cell>
          <cell r="Z126">
            <v>1.5599999999999999E-2</v>
          </cell>
          <cell r="AA126">
            <v>23.284000000000002</v>
          </cell>
          <cell r="AB126" t="e">
            <v>#N/A</v>
          </cell>
          <cell r="AC126" t="e">
            <v>#N/A</v>
          </cell>
          <cell r="AD126" t="str">
            <v>0212-01</v>
          </cell>
          <cell r="AE126" t="str">
    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    </cell>
        </row>
        <row r="127">
          <cell r="A127" t="str">
            <v>213-01</v>
          </cell>
          <cell r="B127">
            <v>4029</v>
          </cell>
          <cell r="C127" t="str">
            <v>DE.1.0.7.0</v>
          </cell>
          <cell r="D127" t="str">
            <v>204:467</v>
          </cell>
          <cell r="E127">
            <v>42583.734988425924</v>
          </cell>
          <cell r="F127">
            <v>42583.736759259256</v>
          </cell>
          <cell r="G127">
            <v>2</v>
          </cell>
          <cell r="H127" t="str">
            <v>204:233303</v>
          </cell>
          <cell r="I127">
            <v>42583.764097222222</v>
          </cell>
          <cell r="J127">
            <v>0</v>
          </cell>
          <cell r="K127" t="str">
            <v>4029/4030</v>
          </cell>
          <cell r="L127" t="str">
            <v>NEWELL</v>
          </cell>
          <cell r="M127">
            <v>2.7337962965248153E-2</v>
          </cell>
          <cell r="N127">
            <v>39.36666666995734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https://search-rtdc-monitor-bjffxe2xuh6vdkpspy63sjmuny.us-east-1.es.amazonaws.com/_plugin/kibana/#/discover/Steve-Slow-Train-Analysis-(2080s-and-2083s)?_g=(refreshInterval:(display:Off,section:0,value:0),time:(from:'2016-08-01 16:38:23-0600',mode:absolute,to:'2016-08-01 19:20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27" t="str">
            <v>N</v>
          </cell>
          <cell r="X127">
            <v>1</v>
          </cell>
          <cell r="Y127">
            <v>4.6699999999999998E-2</v>
          </cell>
          <cell r="Z127">
            <v>23.330300000000001</v>
          </cell>
          <cell r="AA127">
            <v>23.2836</v>
          </cell>
          <cell r="AB127" t="e">
            <v>#N/A</v>
          </cell>
          <cell r="AC127" t="e">
            <v>#N/A</v>
          </cell>
          <cell r="AD127" t="str">
            <v>0213-01</v>
          </cell>
          <cell r="AE12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28">
          <cell r="A128" t="str">
            <v>214-01</v>
          </cell>
          <cell r="B128">
            <v>4030</v>
          </cell>
          <cell r="C128" t="str">
            <v>DE.1.0.7.0</v>
          </cell>
          <cell r="D128" t="str">
            <v>204:232996</v>
          </cell>
          <cell r="E128">
            <v>42583.77443287037</v>
          </cell>
          <cell r="F128">
            <v>42583.778749999998</v>
          </cell>
          <cell r="G128">
            <v>6</v>
          </cell>
          <cell r="H128" t="str">
            <v>204:163</v>
          </cell>
          <cell r="I128">
            <v>42583.8049537037</v>
          </cell>
          <cell r="J128">
            <v>0</v>
          </cell>
          <cell r="K128" t="str">
            <v>4029/4030</v>
          </cell>
          <cell r="L128" t="str">
            <v>NEWELL</v>
          </cell>
          <cell r="M128">
            <v>2.6203703702776693E-2</v>
          </cell>
          <cell r="N128">
            <v>37.733333331998438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https://search-rtdc-monitor-bjffxe2xuh6vdkpspy63sjmuny.us-east-1.es.amazonaws.com/_plugin/kibana/#/discover/Steve-Slow-Train-Analysis-(2080s-and-2083s)?_g=(refreshInterval:(display:Off,section:0,value:0),time:(from:'2016-08-01 17:35:11-0600',mode:absolute,to:'2016-08-01 20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28" t="str">
            <v>N</v>
          </cell>
          <cell r="X128">
            <v>1</v>
          </cell>
          <cell r="Y128">
            <v>23.299600000000002</v>
          </cell>
          <cell r="Z128">
            <v>1.6299999999999999E-2</v>
          </cell>
          <cell r="AA128">
            <v>23.283300000000001</v>
          </cell>
          <cell r="AB128" t="e">
            <v>#N/A</v>
          </cell>
          <cell r="AC128" t="e">
            <v>#N/A</v>
          </cell>
          <cell r="AD128" t="str">
            <v>0214-01</v>
          </cell>
          <cell r="AE12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29">
          <cell r="A129" t="str">
            <v>215-01</v>
          </cell>
          <cell r="B129">
            <v>4016</v>
          </cell>
          <cell r="C129" t="str">
            <v>DE.1.0.7.0</v>
          </cell>
          <cell r="D129" t="str">
            <v>204:469</v>
          </cell>
          <cell r="E129">
            <v>42583.745937500003</v>
          </cell>
          <cell r="F129">
            <v>42583.747002314813</v>
          </cell>
          <cell r="G129">
            <v>1</v>
          </cell>
          <cell r="H129" t="str">
            <v>204:233291</v>
          </cell>
          <cell r="I129">
            <v>42583.775972222225</v>
          </cell>
          <cell r="J129">
            <v>0</v>
          </cell>
          <cell r="K129" t="str">
            <v>4015/4016</v>
          </cell>
          <cell r="L129" t="str">
            <v>DE LA ROSA</v>
          </cell>
          <cell r="M129">
            <v>2.8969907412829343E-2</v>
          </cell>
          <cell r="N129">
            <v>41.716666674474254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https://search-rtdc-monitor-bjffxe2xuh6vdkpspy63sjmuny.us-east-1.es.amazonaws.com/_plugin/kibana/#/discover/Steve-Slow-Train-Analysis-(2080s-and-2083s)?_g=(refreshInterval:(display:Off,section:0,value:0),time:(from:'2016-08-01 16:54:09-0600',mode:absolute,to:'2016-08-01 19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129" t="str">
            <v>N</v>
          </cell>
          <cell r="X129">
            <v>1</v>
          </cell>
          <cell r="Y129">
            <v>4.6899999999999997E-2</v>
          </cell>
          <cell r="Z129">
            <v>23.3291</v>
          </cell>
          <cell r="AA129">
            <v>23.2822</v>
          </cell>
          <cell r="AB129" t="e">
            <v>#N/A</v>
          </cell>
          <cell r="AC129" t="e">
            <v>#N/A</v>
          </cell>
          <cell r="AD129" t="str">
            <v>0215-01</v>
          </cell>
          <cell r="AE129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130">
          <cell r="A130" t="str">
            <v>216-01</v>
          </cell>
          <cell r="B130">
            <v>4015</v>
          </cell>
          <cell r="C130" t="str">
            <v>DE.1.0.7.0</v>
          </cell>
          <cell r="D130" t="str">
            <v>204:232987</v>
          </cell>
          <cell r="E130">
            <v>42583.785462962966</v>
          </cell>
          <cell r="F130">
            <v>42583.786446759259</v>
          </cell>
          <cell r="G130">
            <v>1</v>
          </cell>
          <cell r="H130" t="str">
            <v>204:160</v>
          </cell>
          <cell r="I130">
            <v>42583.817060185182</v>
          </cell>
          <cell r="J130">
            <v>1</v>
          </cell>
          <cell r="K130" t="str">
            <v>4015/4016</v>
          </cell>
          <cell r="L130" t="str">
            <v>DE LA ROSA</v>
          </cell>
          <cell r="M130">
            <v>3.0613425922638271E-2</v>
          </cell>
          <cell r="N130">
            <v>44.08333332859911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https://search-rtdc-monitor-bjffxe2xuh6vdkpspy63sjmuny.us-east-1.es.amazonaws.com/_plugin/kibana/#/discover/Steve-Slow-Train-Analysis-(2080s-and-2083s)?_g=(refreshInterval:(display:Off,section:0,value:0),time:(from:'2016-08-01 17:51:04-0600',mode:absolute,to:'2016-08-01 20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    </cell>
          <cell r="W130" t="str">
            <v>N</v>
          </cell>
          <cell r="X130">
            <v>1</v>
          </cell>
          <cell r="Y130">
            <v>23.2987</v>
          </cell>
          <cell r="Z130">
            <v>1.6E-2</v>
          </cell>
          <cell r="AA130">
            <v>23.282700000000002</v>
          </cell>
          <cell r="AB130">
            <v>78469</v>
          </cell>
          <cell r="AC130" t="str">
            <v>GRADE CROSSING</v>
          </cell>
          <cell r="AD130" t="str">
            <v>0216-01</v>
          </cell>
          <cell r="AE130" t="str">
            <v>aws s3 cp s3://rtdc.mdm.uploadarchive/RTDC4015/2016-08-01/ "C:\Users\stu\Documents\Analysis\2016-02-23 RTDC Observations"\RTDC4015\2016-08-01 --recursive &amp; "C:\Users\stu\Documents\GitHub\mrs-test-scripts\Headless Mode &amp; Sideloading\WalkAndUnGZ.bat" "C:\Users\stu\Documents\Analysis\2016-02-23 RTDC Observations"\RTDC4015\2016-08-01 &amp; aws s3 cp s3://rtdc.mdm.uploadarchive/RTDC4015/2016-08-02/ "C:\Users\stu\Documents\Analysis\2016-02-23 RTDC Observations"\RTDC4015\2016-08-02 --recursive &amp; "C:\Users\stu\Documents\GitHub\mrs-test-scripts\Headless Mode &amp; Sideloading\WalkAndUnGZ.bat" "C:\Users\stu\Documents\Analysis\2016-02-23 RTDC Observations"\RTDC4015\2016-08-02</v>
          </cell>
        </row>
        <row r="131">
          <cell r="A131" t="str">
            <v>217-01</v>
          </cell>
          <cell r="B131">
            <v>4044</v>
          </cell>
          <cell r="C131" t="str">
            <v>DE.1.0.7.0</v>
          </cell>
          <cell r="D131" t="str">
            <v>204:533</v>
          </cell>
          <cell r="E131">
            <v>42583.758506944447</v>
          </cell>
          <cell r="F131">
            <v>42583.759594907409</v>
          </cell>
          <cell r="G131">
            <v>1</v>
          </cell>
          <cell r="H131" t="str">
            <v>204:233295</v>
          </cell>
          <cell r="I131">
            <v>42583.785486111112</v>
          </cell>
          <cell r="J131">
            <v>0</v>
          </cell>
          <cell r="K131" t="str">
            <v>4043/4044</v>
          </cell>
          <cell r="L131" t="str">
            <v>CHANDLER</v>
          </cell>
          <cell r="M131">
            <v>2.5891203702485655E-2</v>
          </cell>
          <cell r="N131">
            <v>37.283333331579342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https://search-rtdc-monitor-bjffxe2xuh6vdkpspy63sjmuny.us-east-1.es.amazonaws.com/_plugin/kibana/#/discover/Steve-Slow-Train-Analysis-(2080s-and-2083s)?_g=(refreshInterval:(display:Off,section:0,value:0),time:(from:'2016-08-01 17:12:15-0600',mode:absolute,to:'2016-08-01 19:51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1" t="str">
            <v>N</v>
          </cell>
          <cell r="X131">
            <v>1</v>
          </cell>
          <cell r="Y131">
            <v>5.33E-2</v>
          </cell>
          <cell r="Z131">
            <v>23.329499999999999</v>
          </cell>
          <cell r="AA131">
            <v>23.276199999999999</v>
          </cell>
          <cell r="AB131" t="e">
            <v>#N/A</v>
          </cell>
          <cell r="AC131" t="e">
            <v>#N/A</v>
          </cell>
          <cell r="AD131" t="str">
            <v>0217-01</v>
          </cell>
          <cell r="AE131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32">
          <cell r="A132" t="str">
            <v>218-01</v>
          </cell>
          <cell r="B132">
            <v>4043</v>
          </cell>
          <cell r="C132" t="str">
            <v>DE.1.0.7.0</v>
          </cell>
          <cell r="D132" t="str">
            <v>204:232988</v>
          </cell>
          <cell r="E132">
            <v>42583.797407407408</v>
          </cell>
          <cell r="F132">
            <v>42583.798263888886</v>
          </cell>
          <cell r="G132">
            <v>1</v>
          </cell>
          <cell r="H132" t="str">
            <v>204:160</v>
          </cell>
          <cell r="I132">
            <v>42583.826678240737</v>
          </cell>
          <cell r="J132">
            <v>0</v>
          </cell>
          <cell r="K132" t="str">
            <v>4043/4044</v>
          </cell>
          <cell r="L132" t="str">
            <v>CHANDLER</v>
          </cell>
          <cell r="M132">
            <v>2.8414351851097308E-2</v>
          </cell>
          <cell r="N132">
            <v>40.916666665580124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https://search-rtdc-monitor-bjffxe2xuh6vdkpspy63sjmuny.us-east-1.es.amazonaws.com/_plugin/kibana/#/discover/Steve-Slow-Train-Analysis-(2080s-and-2083s)?_g=(refreshInterval:(display:Off,section:0,value:0),time:(from:'2016-08-01 18:08:16-0600',mode:absolute,to:'2016-08-01 20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32" t="str">
            <v>N</v>
          </cell>
          <cell r="X132">
            <v>1</v>
          </cell>
          <cell r="Y132">
            <v>23.2988</v>
          </cell>
          <cell r="Z132">
            <v>1.6E-2</v>
          </cell>
          <cell r="AA132">
            <v>23.282800000000002</v>
          </cell>
          <cell r="AB132" t="e">
            <v>#N/A</v>
          </cell>
          <cell r="AC132" t="e">
            <v>#N/A</v>
          </cell>
          <cell r="AD132" t="str">
            <v>0218-01</v>
          </cell>
          <cell r="AE132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33">
          <cell r="A133" t="str">
            <v>219-01</v>
          </cell>
          <cell r="B133">
            <v>4027</v>
          </cell>
          <cell r="C133" t="str">
            <v>DE.1.0.7.0</v>
          </cell>
          <cell r="D133" t="str">
            <v>204:469</v>
          </cell>
          <cell r="E133">
            <v>42583.767407407409</v>
          </cell>
          <cell r="F133">
            <v>42583.770983796298</v>
          </cell>
          <cell r="G133">
            <v>5</v>
          </cell>
          <cell r="H133" t="str">
            <v>204:233287</v>
          </cell>
          <cell r="I133">
            <v>42583.796446759261</v>
          </cell>
          <cell r="J133">
            <v>0</v>
          </cell>
          <cell r="K133" t="str">
            <v>4027/4028</v>
          </cell>
          <cell r="L133" t="str">
            <v>HAITHCOX</v>
          </cell>
          <cell r="M133">
            <v>2.5462962963501923E-2</v>
          </cell>
          <cell r="N133">
            <v>36.666666667442769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https://search-rtdc-monitor-bjffxe2xuh6vdkpspy63sjmuny.us-east-1.es.amazonaws.com/_plugin/kibana/#/discover/Steve-Slow-Train-Analysis-(2080s-and-2083s)?_g=(refreshInterval:(display:Off,section:0,value:0),time:(from:'2016-08-01 17:25:04-0600',mode:absolute,to:'2016-08-01 20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33" t="str">
            <v>N</v>
          </cell>
          <cell r="X133">
            <v>1</v>
          </cell>
          <cell r="Y133">
            <v>4.6899999999999997E-2</v>
          </cell>
          <cell r="Z133">
            <v>23.328700000000001</v>
          </cell>
          <cell r="AA133">
            <v>23.2818</v>
          </cell>
          <cell r="AB133" t="e">
            <v>#N/A</v>
          </cell>
          <cell r="AC133" t="e">
            <v>#N/A</v>
          </cell>
          <cell r="AD133" t="str">
            <v>0219-01</v>
          </cell>
          <cell r="AE133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34">
          <cell r="A134" t="str">
            <v>220-01</v>
          </cell>
          <cell r="B134">
            <v>4028</v>
          </cell>
          <cell r="C134" t="str">
            <v>DE.1.0.7.0</v>
          </cell>
          <cell r="D134" t="str">
            <v>204:232974</v>
          </cell>
          <cell r="E134">
            <v>42583.80537037037</v>
          </cell>
          <cell r="F134">
            <v>42583.80641203704</v>
          </cell>
          <cell r="G134">
            <v>1</v>
          </cell>
          <cell r="H134" t="str">
            <v>204:141</v>
          </cell>
          <cell r="I134">
            <v>42583.836944444447</v>
          </cell>
          <cell r="J134">
            <v>0</v>
          </cell>
          <cell r="K134" t="str">
            <v>4027/4028</v>
          </cell>
          <cell r="L134" t="str">
            <v>HAITHCOX</v>
          </cell>
          <cell r="M134">
            <v>3.0532407407008577E-2</v>
          </cell>
          <cell r="N134">
            <v>43.966666666092351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https://search-rtdc-monitor-bjffxe2xuh6vdkpspy63sjmuny.us-east-1.es.amazonaws.com/_plugin/kibana/#/discover/Steve-Slow-Train-Analysis-(2080s-and-2083s)?_g=(refreshInterval:(display:Off,section:0,value:0),time:(from:'2016-08-01 18:19:44-0600',mode:absolute,to:'2016-08-01 21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34" t="str">
            <v>N</v>
          </cell>
          <cell r="X134">
            <v>1</v>
          </cell>
          <cell r="Y134">
            <v>23.2974</v>
          </cell>
          <cell r="Z134">
            <v>1.41E-2</v>
          </cell>
          <cell r="AA134">
            <v>23.283300000000001</v>
          </cell>
          <cell r="AB134" t="e">
            <v>#N/A</v>
          </cell>
          <cell r="AC134" t="e">
            <v>#N/A</v>
          </cell>
          <cell r="AD134" t="str">
            <v>0220-01</v>
          </cell>
          <cell r="AE134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35">
          <cell r="A135" t="str">
            <v>221-01</v>
          </cell>
          <cell r="B135">
            <v>4011</v>
          </cell>
          <cell r="C135" t="str">
            <v>DE.1.0.7.0</v>
          </cell>
          <cell r="D135" t="str">
            <v>204:449</v>
          </cell>
          <cell r="E135">
            <v>42583.786597222221</v>
          </cell>
          <cell r="F135">
            <v>42583.787604166668</v>
          </cell>
          <cell r="G135">
            <v>1</v>
          </cell>
          <cell r="H135" t="str">
            <v>204:233280</v>
          </cell>
          <cell r="I135">
            <v>42583.819386574076</v>
          </cell>
          <cell r="J135">
            <v>1</v>
          </cell>
          <cell r="K135" t="str">
            <v>4011/4012</v>
          </cell>
          <cell r="L135" t="str">
            <v>ROBINSON</v>
          </cell>
          <cell r="M135">
            <v>3.178240740817273E-2</v>
          </cell>
          <cell r="N135">
            <v>45.766666667768732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https://search-rtdc-monitor-bjffxe2xuh6vdkpspy63sjmuny.us-east-1.es.amazonaws.com/_plugin/kibana/#/discover/Steve-Slow-Train-Analysis-(2080s-and-2083s)?_g=(refreshInterval:(display:Off,section:0,value:0),time:(from:'2016-08-01 17:52:42-0600',mode:absolute,to:'2016-08-01 20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35" t="str">
            <v>N</v>
          </cell>
          <cell r="X135">
            <v>1</v>
          </cell>
          <cell r="Y135">
            <v>4.4900000000000002E-2</v>
          </cell>
          <cell r="Z135">
            <v>23.327999999999999</v>
          </cell>
          <cell r="AA135">
            <v>23.283100000000001</v>
          </cell>
          <cell r="AB135" t="e">
            <v>#N/A</v>
          </cell>
          <cell r="AC135" t="e">
            <v>#N/A</v>
          </cell>
          <cell r="AD135" t="str">
            <v>0221-01</v>
          </cell>
          <cell r="AE135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36">
          <cell r="A136" t="str">
            <v>222-01</v>
          </cell>
          <cell r="B136">
            <v>4012</v>
          </cell>
          <cell r="C136" t="str">
            <v>DE.1.0.7.0</v>
          </cell>
          <cell r="D136" t="str">
            <v>204:232970</v>
          </cell>
          <cell r="E136">
            <v>42583.825995370367</v>
          </cell>
          <cell r="F136">
            <v>42583.827060185184</v>
          </cell>
          <cell r="G136">
            <v>1</v>
          </cell>
          <cell r="H136" t="str">
            <v>204:158</v>
          </cell>
          <cell r="I136">
            <v>42583.859571759262</v>
          </cell>
          <cell r="J136">
            <v>1</v>
          </cell>
          <cell r="K136" t="str">
            <v>4011/4012</v>
          </cell>
          <cell r="L136" t="str">
            <v>ROBINSON</v>
          </cell>
          <cell r="M136">
            <v>3.2511574077943806E-2</v>
          </cell>
          <cell r="N136">
            <v>46.81666667223908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https://search-rtdc-monitor-bjffxe2xuh6vdkpspy63sjmuny.us-east-1.es.amazonaws.com/_plugin/kibana/#/discover/Steve-Slow-Train-Analysis-(2080s-and-2083s)?_g=(refreshInterval:(display:Off,section:0,value:0),time:(from:'2016-08-01 18:49:26-0600',mode:absolute,to:'2016-08-01 21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36" t="str">
            <v>N</v>
          </cell>
          <cell r="X136">
            <v>1</v>
          </cell>
          <cell r="Y136">
            <v>23.297000000000001</v>
          </cell>
          <cell r="Z136">
            <v>1.5800000000000002E-2</v>
          </cell>
          <cell r="AA136">
            <v>23.281200000000002</v>
          </cell>
          <cell r="AB136" t="e">
            <v>#N/A</v>
          </cell>
          <cell r="AC136" t="e">
            <v>#N/A</v>
          </cell>
          <cell r="AD136" t="str">
            <v>0222-01</v>
          </cell>
          <cell r="AE136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37">
          <cell r="A137" t="str">
            <v>223-01</v>
          </cell>
          <cell r="B137">
            <v>4029</v>
          </cell>
          <cell r="C137" t="str">
            <v>DE.1.0.7.0</v>
          </cell>
          <cell r="D137" t="str">
            <v>204:446</v>
          </cell>
          <cell r="E137">
            <v>42583.806759259256</v>
          </cell>
          <cell r="F137">
            <v>42583.807766203703</v>
          </cell>
          <cell r="G137">
            <v>1</v>
          </cell>
          <cell r="H137" t="str">
            <v>204:233312</v>
          </cell>
          <cell r="I137">
            <v>42583.837210648147</v>
          </cell>
          <cell r="J137">
            <v>0</v>
          </cell>
          <cell r="K137" t="str">
            <v>4029/4030</v>
          </cell>
          <cell r="L137" t="str">
            <v>NEWELL</v>
          </cell>
          <cell r="M137">
            <v>2.9444444444379769E-2</v>
          </cell>
          <cell r="N137">
            <v>42.399999999906868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https://search-rtdc-monitor-bjffxe2xuh6vdkpspy63sjmuny.us-east-1.es.amazonaws.com/_plugin/kibana/#/discover/Steve-Slow-Train-Analysis-(2080s-and-2083s)?_g=(refreshInterval:(display:Off,section:0,value:0),time:(from:'2016-08-01 18:21:44-0600',mode:absolute,to:'2016-08-01 21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37" t="str">
            <v>N</v>
          </cell>
          <cell r="X137">
            <v>1</v>
          </cell>
          <cell r="Y137">
            <v>4.4600000000000001E-2</v>
          </cell>
          <cell r="Z137">
            <v>23.331199999999999</v>
          </cell>
          <cell r="AA137">
            <v>23.2866</v>
          </cell>
          <cell r="AB137" t="e">
            <v>#N/A</v>
          </cell>
          <cell r="AC137" t="e">
            <v>#N/A</v>
          </cell>
          <cell r="AD137" t="str">
            <v>0223-01</v>
          </cell>
          <cell r="AE137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38">
          <cell r="A138" t="str">
            <v>224-01</v>
          </cell>
          <cell r="B138">
            <v>4030</v>
          </cell>
          <cell r="C138" t="str">
            <v>DE.1.0.7.0</v>
          </cell>
          <cell r="D138" t="str">
            <v>204:232998</v>
          </cell>
          <cell r="E138">
            <v>42583.83861111111</v>
          </cell>
          <cell r="F138">
            <v>42583.839594907404</v>
          </cell>
          <cell r="G138">
            <v>1</v>
          </cell>
          <cell r="H138" t="str">
            <v>204:143</v>
          </cell>
          <cell r="I138">
            <v>42583.877847222226</v>
          </cell>
          <cell r="J138">
            <v>0</v>
          </cell>
          <cell r="K138" t="str">
            <v>4029/4030</v>
          </cell>
          <cell r="L138" t="str">
            <v>NEWELL</v>
          </cell>
          <cell r="M138">
            <v>3.8252314821875188E-2</v>
          </cell>
          <cell r="N138">
            <v>55.083333343500271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https://search-rtdc-monitor-bjffxe2xuh6vdkpspy63sjmuny.us-east-1.es.amazonaws.com/_plugin/kibana/#/discover/Steve-Slow-Train-Analysis-(2080s-and-2083s)?_g=(refreshInterval:(display:Off,section:0,value:0),time:(from:'2016-08-01 19:07:36-0600',mode:absolute,to:'2016-08-01 22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38" t="str">
            <v>N</v>
          </cell>
          <cell r="X138">
            <v>1</v>
          </cell>
          <cell r="Y138">
            <v>23.299800000000001</v>
          </cell>
          <cell r="Z138">
            <v>1.43E-2</v>
          </cell>
          <cell r="AA138">
            <v>23.285500000000003</v>
          </cell>
          <cell r="AB138" t="e">
            <v>#N/A</v>
          </cell>
          <cell r="AC138" t="e">
            <v>#N/A</v>
          </cell>
          <cell r="AD138" t="str">
            <v>0224-01</v>
          </cell>
          <cell r="AE138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39">
          <cell r="A139" t="str">
            <v>225-01</v>
          </cell>
          <cell r="B139">
            <v>4044</v>
          </cell>
          <cell r="C139" t="str">
            <v>DE.1.0.7.0</v>
          </cell>
          <cell r="D139" t="str">
            <v>204:497</v>
          </cell>
          <cell r="E139">
            <v>42583.830740740741</v>
          </cell>
          <cell r="F139">
            <v>42583.832048611112</v>
          </cell>
          <cell r="G139">
            <v>1</v>
          </cell>
          <cell r="H139" t="str">
            <v>204:233287</v>
          </cell>
          <cell r="I139">
            <v>42583.859293981484</v>
          </cell>
          <cell r="J139">
            <v>0</v>
          </cell>
          <cell r="K139" t="str">
            <v>4043/4044</v>
          </cell>
          <cell r="L139" t="str">
            <v>CHANDLER</v>
          </cell>
          <cell r="M139">
            <v>2.7245370372838806E-2</v>
          </cell>
          <cell r="N139">
            <v>39.233333336887881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https://search-rtdc-monitor-bjffxe2xuh6vdkpspy63sjmuny.us-east-1.es.amazonaws.com/_plugin/kibana/#/discover/Steve-Slow-Train-Analysis-(2080s-and-2083s)?_g=(refreshInterval:(display:Off,section:0,value:0),time:(from:'2016-08-01 18:56:16-0600',mode:absolute,to:'2016-08-01 21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39" t="str">
            <v>N</v>
          </cell>
          <cell r="X139">
            <v>1</v>
          </cell>
          <cell r="Y139">
            <v>4.9700000000000001E-2</v>
          </cell>
          <cell r="Z139">
            <v>23.328700000000001</v>
          </cell>
          <cell r="AA139">
            <v>23.279</v>
          </cell>
          <cell r="AB139" t="e">
            <v>#N/A</v>
          </cell>
          <cell r="AC139" t="e">
            <v>#N/A</v>
          </cell>
          <cell r="AD139" t="str">
            <v>0225-01</v>
          </cell>
          <cell r="AE139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40">
          <cell r="A140" t="str">
            <v>226-01</v>
          </cell>
          <cell r="B140">
            <v>4043</v>
          </cell>
          <cell r="C140" t="str">
            <v>DE.1.0.7.0</v>
          </cell>
          <cell r="D140" t="str">
            <v>204:232977</v>
          </cell>
          <cell r="E140">
            <v>42583.870532407411</v>
          </cell>
          <cell r="F140">
            <v>42583.871550925927</v>
          </cell>
          <cell r="G140">
            <v>1</v>
          </cell>
          <cell r="H140" t="str">
            <v>204:176</v>
          </cell>
          <cell r="I140">
            <v>42583.899756944447</v>
          </cell>
          <cell r="J140">
            <v>0</v>
          </cell>
          <cell r="K140" t="str">
            <v>4043/4044</v>
          </cell>
          <cell r="L140" t="str">
            <v>CHANDLER</v>
          </cell>
          <cell r="M140">
            <v>2.8206018519995268E-2</v>
          </cell>
          <cell r="N140">
            <v>40.616666668793187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https://search-rtdc-monitor-bjffxe2xuh6vdkpspy63sjmuny.us-east-1.es.amazonaws.com/_plugin/kibana/#/discover/Steve-Slow-Train-Analysis-(2080s-and-2083s)?_g=(refreshInterval:(display:Off,section:0,value:0),time:(from:'2016-08-01 19:53:34-0600',mode:absolute,to:'2016-08-01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0" t="str">
            <v>N</v>
          </cell>
          <cell r="X140">
            <v>1</v>
          </cell>
          <cell r="Y140">
            <v>23.297699999999999</v>
          </cell>
          <cell r="Z140">
            <v>1.7600000000000001E-2</v>
          </cell>
          <cell r="AA140">
            <v>23.280099999999997</v>
          </cell>
          <cell r="AB140" t="e">
            <v>#N/A</v>
          </cell>
          <cell r="AC140" t="e">
            <v>#N/A</v>
          </cell>
          <cell r="AD140" t="str">
            <v>0226-01</v>
          </cell>
          <cell r="AE140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41">
          <cell r="A141" t="str">
            <v>227-01</v>
          </cell>
          <cell r="B141">
            <v>4027</v>
          </cell>
          <cell r="C141" t="str">
            <v>DE.1.0.7.0</v>
          </cell>
          <cell r="D141" t="str">
            <v>204:437</v>
          </cell>
          <cell r="E141">
            <v>42583.850347222222</v>
          </cell>
          <cell r="F141">
            <v>42583.854456018518</v>
          </cell>
          <cell r="G141">
            <v>5</v>
          </cell>
          <cell r="H141" t="str">
            <v>204:233302</v>
          </cell>
          <cell r="I141">
            <v>42583.880104166667</v>
          </cell>
          <cell r="J141">
            <v>0</v>
          </cell>
          <cell r="K141" t="str">
            <v>4027/4028</v>
          </cell>
          <cell r="L141" t="str">
            <v>HAITHCOX</v>
          </cell>
          <cell r="M141">
            <v>2.5648148148320615E-2</v>
          </cell>
          <cell r="N141">
            <v>36.933333333581686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https://search-rtdc-monitor-bjffxe2xuh6vdkpspy63sjmuny.us-east-1.es.amazonaws.com/_plugin/kibana/#/discover/Steve-Slow-Train-Analysis-(2080s-and-2083s)?_g=(refreshInterval:(display:Off,section:0,value:0),time:(from:'2016-08-01 19:24:30-0600',mode:absolute,to:'2016-08-01 22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41" t="str">
            <v>N</v>
          </cell>
          <cell r="X141">
            <v>1</v>
          </cell>
          <cell r="Y141">
            <v>4.3700000000000003E-2</v>
          </cell>
          <cell r="Z141">
            <v>23.330200000000001</v>
          </cell>
          <cell r="AA141">
            <v>23.2865</v>
          </cell>
          <cell r="AB141" t="e">
            <v>#N/A</v>
          </cell>
          <cell r="AC141" t="e">
            <v>#N/A</v>
          </cell>
          <cell r="AD141" t="str">
            <v>0227-01</v>
          </cell>
          <cell r="AE141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42">
          <cell r="A142" t="str">
            <v>228-01</v>
          </cell>
          <cell r="B142">
            <v>4028</v>
          </cell>
          <cell r="C142" t="str">
            <v>DE.1.0.7.0</v>
          </cell>
          <cell r="D142" t="str">
            <v>204:232998</v>
          </cell>
          <cell r="E142">
            <v>42583.888680555552</v>
          </cell>
          <cell r="F142">
            <v>42583.890497685185</v>
          </cell>
          <cell r="G142">
            <v>2</v>
          </cell>
          <cell r="H142" t="str">
            <v>204:134</v>
          </cell>
          <cell r="I142">
            <v>42583.924340277779</v>
          </cell>
          <cell r="J142">
            <v>1</v>
          </cell>
          <cell r="K142" t="str">
            <v>4027/4028</v>
          </cell>
          <cell r="L142" t="str">
            <v>HAITHCOX</v>
          </cell>
          <cell r="M142">
            <v>3.3842592594737653E-2</v>
          </cell>
          <cell r="N142">
            <v>48.73333333642222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https://search-rtdc-monitor-bjffxe2xuh6vdkpspy63sjmuny.us-east-1.es.amazonaws.com/_plugin/kibana/#/discover/Steve-Slow-Train-Analysis-(2080s-and-2083s)?_g=(refreshInterval:(display:Off,section:0,value:0),time:(from:'2016-08-01 20:19:42-0600',mode:absolute,to:'2016-08-01 23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42" t="str">
            <v>N</v>
          </cell>
          <cell r="X142">
            <v>1</v>
          </cell>
          <cell r="Y142">
            <v>23.299800000000001</v>
          </cell>
          <cell r="Z142">
            <v>1.34E-2</v>
          </cell>
          <cell r="AA142">
            <v>23.2864</v>
          </cell>
          <cell r="AB142" t="e">
            <v>#N/A</v>
          </cell>
          <cell r="AC142" t="e">
            <v>#N/A</v>
          </cell>
          <cell r="AD142" t="str">
            <v>0228-01</v>
          </cell>
          <cell r="AE142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43">
          <cell r="A143" t="str">
            <v>229-01</v>
          </cell>
          <cell r="B143">
            <v>4011</v>
          </cell>
          <cell r="C143" t="str">
            <v>DE.1.0.7.0</v>
          </cell>
          <cell r="D143" t="str">
            <v>204:458</v>
          </cell>
          <cell r="E143">
            <v>42583.868993055556</v>
          </cell>
          <cell r="F143">
            <v>42583.87</v>
          </cell>
          <cell r="G143">
            <v>1</v>
          </cell>
          <cell r="H143" t="str">
            <v>204:233291</v>
          </cell>
          <cell r="I143">
            <v>42583.903703703705</v>
          </cell>
          <cell r="J143">
            <v>0</v>
          </cell>
          <cell r="K143" t="str">
            <v>4011/4012</v>
          </cell>
          <cell r="L143" t="str">
            <v>ROBINSON</v>
          </cell>
          <cell r="M143">
            <v>3.3703703702485655E-2</v>
          </cell>
          <cell r="N143">
            <v>48.533333331579342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https://search-rtdc-monitor-bjffxe2xuh6vdkpspy63sjmuny.us-east-1.es.amazonaws.com/_plugin/kibana/#/discover/Steve-Slow-Train-Analysis-(2080s-and-2083s)?_g=(refreshInterval:(display:Off,section:0,value:0),time:(from:'2016-08-01 19:51:21-0600',mode:absolute,to:'2016-08-01 22:41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43" t="str">
            <v>N</v>
          </cell>
          <cell r="X143">
            <v>1</v>
          </cell>
          <cell r="Y143">
            <v>4.58E-2</v>
          </cell>
          <cell r="Z143">
            <v>23.3291</v>
          </cell>
          <cell r="AA143">
            <v>23.283300000000001</v>
          </cell>
          <cell r="AB143" t="e">
            <v>#N/A</v>
          </cell>
          <cell r="AC143" t="e">
            <v>#N/A</v>
          </cell>
          <cell r="AD143" t="str">
            <v>0229-01</v>
          </cell>
          <cell r="AE143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44">
          <cell r="A144" t="str">
            <v>230-01</v>
          </cell>
          <cell r="B144">
            <v>4012</v>
          </cell>
          <cell r="C144" t="str">
            <v>DE.1.0.7.0</v>
          </cell>
          <cell r="D144" t="str">
            <v>204:232981</v>
          </cell>
          <cell r="E144">
            <v>42583.908761574072</v>
          </cell>
          <cell r="F144">
            <v>42583.90960648148</v>
          </cell>
          <cell r="G144">
            <v>1</v>
          </cell>
          <cell r="H144" t="str">
            <v>204:174</v>
          </cell>
          <cell r="I144">
            <v>42583.943796296298</v>
          </cell>
          <cell r="J144">
            <v>1</v>
          </cell>
          <cell r="K144" t="str">
            <v>4011/4012</v>
          </cell>
          <cell r="L144" t="str">
            <v>ROBINSON</v>
          </cell>
          <cell r="M144">
            <v>3.4189814818091691E-2</v>
          </cell>
          <cell r="N144">
            <v>49.233333338052034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https://search-rtdc-monitor-bjffxe2xuh6vdkpspy63sjmuny.us-east-1.es.amazonaws.com/_plugin/kibana/#/discover/Steve-Slow-Train-Analysis-(2080s-and-2083s)?_g=(refreshInterval:(display:Off,section:0,value:0),time:(from:'2016-08-01 20:48:37-0600',mode:absolute,to:'2016-08-01 23:39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44" t="str">
            <v>N</v>
          </cell>
          <cell r="X144">
            <v>1</v>
          </cell>
          <cell r="Y144">
            <v>23.298100000000002</v>
          </cell>
          <cell r="Z144">
            <v>1.7399999999999999E-2</v>
          </cell>
          <cell r="AA144">
            <v>23.280700000000003</v>
          </cell>
          <cell r="AB144" t="e">
            <v>#N/A</v>
          </cell>
          <cell r="AC144" t="e">
            <v>#N/A</v>
          </cell>
          <cell r="AD144" t="str">
            <v>0230-01</v>
          </cell>
          <cell r="AE144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45">
          <cell r="A145" t="str">
            <v>231-01</v>
          </cell>
          <cell r="B145">
            <v>4029</v>
          </cell>
          <cell r="C145" t="str">
            <v>DE.1.0.7.0</v>
          </cell>
          <cell r="D145" t="str">
            <v>204:469</v>
          </cell>
          <cell r="E145">
            <v>42583.892604166664</v>
          </cell>
          <cell r="F145">
            <v>42583.89371527778</v>
          </cell>
          <cell r="G145">
            <v>1</v>
          </cell>
          <cell r="H145" t="str">
            <v>204:233353</v>
          </cell>
          <cell r="I145">
            <v>42583.921967592592</v>
          </cell>
          <cell r="J145">
            <v>0</v>
          </cell>
          <cell r="K145" t="str">
            <v>4029/4030</v>
          </cell>
          <cell r="L145" t="str">
            <v>NEWELL</v>
          </cell>
          <cell r="M145">
            <v>2.8252314812561963E-2</v>
          </cell>
          <cell r="N145">
            <v>40.683333330089226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https://search-rtdc-monitor-bjffxe2xuh6vdkpspy63sjmuny.us-east-1.es.amazonaws.com/_plugin/kibana/#/discover/Steve-Slow-Train-Analysis-(2080s-and-2083s)?_g=(refreshInterval:(display:Off,section:0,value:0),time:(from:'2016-08-01 20:25:21-0600',mode:absolute,to:'2016-08-01 23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45" t="str">
            <v>N</v>
          </cell>
          <cell r="X145">
            <v>1</v>
          </cell>
          <cell r="Y145">
            <v>4.6899999999999997E-2</v>
          </cell>
          <cell r="Z145">
            <v>23.3353</v>
          </cell>
          <cell r="AA145">
            <v>23.288399999999999</v>
          </cell>
          <cell r="AB145" t="e">
            <v>#N/A</v>
          </cell>
          <cell r="AC145" t="e">
            <v>#N/A</v>
          </cell>
          <cell r="AD145" t="str">
            <v>0231-01</v>
          </cell>
          <cell r="AE14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46">
          <cell r="A146" t="str">
            <v>232-01</v>
          </cell>
          <cell r="B146">
            <v>4030</v>
          </cell>
          <cell r="C146" t="str">
            <v>DE.1.0.7.0</v>
          </cell>
          <cell r="D146" t="str">
            <v>204:232998</v>
          </cell>
          <cell r="E146">
            <v>42583.932141203702</v>
          </cell>
          <cell r="F146">
            <v>42583.933148148149</v>
          </cell>
          <cell r="G146">
            <v>1</v>
          </cell>
          <cell r="H146" t="str">
            <v>204:158</v>
          </cell>
          <cell r="I146">
            <v>42583.9612037037</v>
          </cell>
          <cell r="J146">
            <v>0</v>
          </cell>
          <cell r="K146" t="str">
            <v>4029/4030</v>
          </cell>
          <cell r="L146" t="str">
            <v>NEWELL</v>
          </cell>
          <cell r="M146">
            <v>2.8055555550963618E-2</v>
          </cell>
          <cell r="N146">
            <v>40.39999999338761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https://search-rtdc-monitor-bjffxe2xuh6vdkpspy63sjmuny.us-east-1.es.amazonaws.com/_plugin/kibana/#/discover/Steve-Slow-Train-Analysis-(2080s-and-2083s)?_g=(refreshInterval:(display:Off,section:0,value:0),time:(from:'2016-08-01 21:22:17-0600',mode:absolute,to:'2016-08-02 00:04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46" t="str">
            <v>N</v>
          </cell>
          <cell r="X146">
            <v>1</v>
          </cell>
          <cell r="Y146">
            <v>23.299800000000001</v>
          </cell>
          <cell r="Z146">
            <v>1.5800000000000002E-2</v>
          </cell>
          <cell r="AA146">
            <v>23.284000000000002</v>
          </cell>
          <cell r="AB146" t="e">
            <v>#N/A</v>
          </cell>
          <cell r="AC146" t="e">
            <v>#N/A</v>
          </cell>
          <cell r="AD146" t="str">
            <v>0232-01</v>
          </cell>
          <cell r="AE146" t="str">
            <v>aws s3 cp s3://rtdc.mdm.uploadarchive/RTDC4030/2016-08-01/ "C:\Users\stu\Documents\Analysis\2016-02-23 RTDC Observations"\RTDC4030\2016-08-01 --recursive &amp; "C:\Users\stu\Documents\GitHub\mrs-test-scripts\Headless Mode &amp; Sideloading\WalkAndUnGZ.bat" "C:\Users\stu\Documents\Analysis\2016-02-23 RTDC Observations"\RTDC4030\2016-08-01 &amp; 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</v>
          </cell>
        </row>
        <row r="147">
          <cell r="A147" t="str">
            <v>233-01</v>
          </cell>
          <cell r="B147">
            <v>4044</v>
          </cell>
          <cell r="C147" t="str">
            <v>DE.1.0.7.0</v>
          </cell>
          <cell r="D147" t="str">
            <v>204:467</v>
          </cell>
          <cell r="E147">
            <v>42583.90997685185</v>
          </cell>
          <cell r="F147">
            <v>42583.91101851852</v>
          </cell>
          <cell r="G147">
            <v>1</v>
          </cell>
          <cell r="H147" t="str">
            <v>204:36932</v>
          </cell>
          <cell r="I147">
            <v>42583.925185185188</v>
          </cell>
          <cell r="J147">
            <v>3</v>
          </cell>
          <cell r="K147" t="str">
            <v>4043/4044</v>
          </cell>
          <cell r="L147" t="str">
            <v>CHANDLER</v>
          </cell>
          <cell r="M147">
            <v>1.4166666667733807E-2</v>
          </cell>
          <cell r="P147">
            <v>45.86666667019017</v>
          </cell>
          <cell r="R147" t="str">
            <v>Wi-MAX outage</v>
          </cell>
          <cell r="S147">
            <v>0.5</v>
          </cell>
          <cell r="T147" t="str">
            <v>NorthBound</v>
          </cell>
          <cell r="U147">
            <v>3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https://search-rtdc-monitor-bjffxe2xuh6vdkpspy63sjmuny.us-east-1.es.amazonaws.com/_plugin/kibana/#/discover/Steve-Slow-Train-Analysis-(2080s-and-2083s)?_g=(refreshInterval:(display:Off,section:0,value:0),time:(from:'2016-08-01 20:50:22-0600',mode:absolute,to:'2016-08-01 23:12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7" t="str">
            <v>Y</v>
          </cell>
          <cell r="X147">
            <v>1</v>
          </cell>
          <cell r="Y147">
            <v>4.6699999999999998E-2</v>
          </cell>
          <cell r="Z147">
            <v>3.6932</v>
          </cell>
          <cell r="AA147">
            <v>3.6465000000000001</v>
          </cell>
          <cell r="AB147" t="e">
            <v>#N/A</v>
          </cell>
          <cell r="AC147" t="e">
            <v>#N/A</v>
          </cell>
          <cell r="AD147" t="str">
            <v>0233-01</v>
          </cell>
          <cell r="AE14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48">
          <cell r="A148" t="str">
            <v>233-01</v>
          </cell>
          <cell r="B148">
            <v>4044</v>
          </cell>
          <cell r="C148" t="str">
            <v>DE.1.0.7.0</v>
          </cell>
          <cell r="D148" t="str">
            <v>204:64688</v>
          </cell>
          <cell r="E148">
            <v>42583.930474537039</v>
          </cell>
          <cell r="F148">
            <v>42583.931111111109</v>
          </cell>
          <cell r="G148">
            <v>0</v>
          </cell>
          <cell r="H148" t="str">
            <v>204:233291</v>
          </cell>
          <cell r="I148">
            <v>42583.948796296296</v>
          </cell>
          <cell r="J148">
            <v>0</v>
          </cell>
          <cell r="K148" t="str">
            <v>4043/4044</v>
          </cell>
          <cell r="L148" t="str">
            <v>CHANDLER</v>
          </cell>
          <cell r="M148">
            <v>1.7685185186564922E-2</v>
          </cell>
          <cell r="T148" t="str">
            <v>NorthBound</v>
          </cell>
          <cell r="U148">
            <v>3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https://search-rtdc-monitor-bjffxe2xuh6vdkpspy63sjmuny.us-east-1.es.amazonaws.com/_plugin/kibana/#/discover/Steve-Slow-Train-Analysis-(2080s-and-2083s)?_g=(refreshInterval:(display:Off,section:0,value:0),time:(from:'2016-08-01 21:19:53-0600',mode:absolute,to:'2016-08-01 23:46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48" t="str">
            <v>Y</v>
          </cell>
          <cell r="X148">
            <v>0</v>
          </cell>
          <cell r="Y148">
            <v>6.4687999999999999</v>
          </cell>
          <cell r="Z148">
            <v>23.3291</v>
          </cell>
          <cell r="AA148">
            <v>16.860300000000002</v>
          </cell>
          <cell r="AB148" t="e">
            <v>#N/A</v>
          </cell>
          <cell r="AC148" t="e">
            <v>#N/A</v>
          </cell>
          <cell r="AD148" t="str">
            <v>0233-01</v>
          </cell>
          <cell r="AE148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49">
          <cell r="A149" t="str">
            <v>234-01</v>
          </cell>
          <cell r="B149">
            <v>4043</v>
          </cell>
          <cell r="C149" t="str">
            <v>DE.1.0.7.0</v>
          </cell>
          <cell r="D149" t="str">
            <v>204:232982</v>
          </cell>
          <cell r="E149">
            <v>42583.953726851854</v>
          </cell>
          <cell r="F149">
            <v>42583.954687500001</v>
          </cell>
          <cell r="G149">
            <v>1</v>
          </cell>
          <cell r="H149" t="str">
            <v>204:161</v>
          </cell>
          <cell r="I149">
            <v>42583.983634259261</v>
          </cell>
          <cell r="J149">
            <v>0</v>
          </cell>
          <cell r="K149" t="str">
            <v>4043/4044</v>
          </cell>
          <cell r="L149" t="str">
            <v>CHANDLER</v>
          </cell>
          <cell r="M149">
            <v>2.8946759259270038E-2</v>
          </cell>
          <cell r="N149">
            <v>41.683333333348855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https://search-rtdc-monitor-bjffxe2xuh6vdkpspy63sjmuny.us-east-1.es.amazonaws.com/_plugin/kibana/#/discover/Steve-Slow-Train-Analysis-(2080s-and-2083s)?_g=(refreshInterval:(display:Off,section:0,value:0),time:(from:'2016-08-01 21:53:22-0600',mode:absolute,to:'2016-08-02 00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49" t="str">
            <v>N</v>
          </cell>
          <cell r="X149">
            <v>1</v>
          </cell>
          <cell r="Y149">
            <v>23.298200000000001</v>
          </cell>
          <cell r="Z149">
            <v>1.61E-2</v>
          </cell>
          <cell r="AA149">
            <v>23.2821</v>
          </cell>
          <cell r="AB149" t="e">
            <v>#N/A</v>
          </cell>
          <cell r="AC149" t="e">
            <v>#N/A</v>
          </cell>
          <cell r="AD149" t="str">
            <v>0234-01</v>
          </cell>
          <cell r="AE149" t="str">
            <v>aws s3 cp s3://rtdc.mdm.uploadarchive/RTDC4043/2016-08-01/ "C:\Users\stu\Documents\Analysis\2016-02-23 RTDC Observations"\RTDC4043\2016-08-01 --recursive &amp; "C:\Users\stu\Documents\GitHub\mrs-test-scripts\Headless Mode &amp; Sideloading\WalkAndUnGZ.bat" "C:\Users\stu\Documents\Analysis\2016-02-23 RTDC Observations"\RTDC4043\2016-08-01 &amp; 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</v>
          </cell>
        </row>
        <row r="150">
          <cell r="A150" t="str">
            <v>235-01</v>
          </cell>
          <cell r="B150">
            <v>4027</v>
          </cell>
          <cell r="C150" t="str">
            <v>DE.1.0.7.0</v>
          </cell>
          <cell r="D150" t="str">
            <v>204:457</v>
          </cell>
          <cell r="E150">
            <v>42583.936921296299</v>
          </cell>
          <cell r="F150">
            <v>42583.937835648147</v>
          </cell>
          <cell r="G150">
            <v>1</v>
          </cell>
          <cell r="H150" t="str">
            <v>204:233291</v>
          </cell>
          <cell r="I150">
            <v>42583.963275462964</v>
          </cell>
          <cell r="J150">
            <v>0</v>
          </cell>
          <cell r="K150" t="str">
            <v>4027/4028</v>
          </cell>
          <cell r="L150" t="str">
            <v>HAITHCOX</v>
          </cell>
          <cell r="M150">
            <v>2.5439814817218576E-2</v>
          </cell>
          <cell r="N150">
            <v>36.633333336794749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https://search-rtdc-monitor-bjffxe2xuh6vdkpspy63sjmuny.us-east-1.es.amazonaws.com/_plugin/kibana/#/discover/Steve-Slow-Train-Analysis-(2080s-and-2083s)?_g=(refreshInterval:(display:Off,section:0,value:0),time:(from:'2016-08-01 21:29:10-0600',mode:absolute,to:'2016-08-02 00:07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0" t="str">
            <v>N</v>
          </cell>
          <cell r="X150">
            <v>1</v>
          </cell>
          <cell r="Y150">
            <v>4.5699999999999998E-2</v>
          </cell>
          <cell r="Z150">
            <v>23.3291</v>
          </cell>
          <cell r="AA150">
            <v>23.2834</v>
          </cell>
          <cell r="AB150" t="e">
            <v>#N/A</v>
          </cell>
          <cell r="AC150" t="e">
            <v>#N/A</v>
          </cell>
          <cell r="AD150" t="str">
            <v>0235-01</v>
          </cell>
          <cell r="AE150" t="str">
            <v>aws s3 cp s3://rtdc.mdm.uploadarchive/RTDC4027/2016-08-01/ "C:\Users\stu\Documents\Analysis\2016-02-23 RTDC Observations"\RTDC4027\2016-08-01 --recursive &amp; "C:\Users\stu\Documents\GitHub\mrs-test-scripts\Headless Mode &amp; Sideloading\WalkAndUnGZ.bat" "C:\Users\stu\Documents\Analysis\2016-02-23 RTDC Observations"\RTDC4027\2016-08-01 &amp; 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</v>
          </cell>
        </row>
        <row r="151">
          <cell r="A151" t="str">
            <v>236-01</v>
          </cell>
          <cell r="B151">
            <v>4028</v>
          </cell>
          <cell r="C151" t="str">
            <v>DE.1.0.7.0</v>
          </cell>
          <cell r="D151" t="str">
            <v>204:232994</v>
          </cell>
          <cell r="E151">
            <v>42583.971886574072</v>
          </cell>
          <cell r="F151">
            <v>42583.973530092589</v>
          </cell>
          <cell r="G151">
            <v>2</v>
          </cell>
          <cell r="H151" t="str">
            <v>204:163</v>
          </cell>
          <cell r="I151">
            <v>42584.002997685187</v>
          </cell>
          <cell r="J151">
            <v>0</v>
          </cell>
          <cell r="K151" t="str">
            <v>4027/4028</v>
          </cell>
          <cell r="L151" t="str">
            <v>HAITHCOX</v>
          </cell>
          <cell r="M151">
            <v>2.9467592597939074E-2</v>
          </cell>
          <cell r="N151">
            <v>42.433333341032267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https://search-rtdc-monitor-bjffxe2xuh6vdkpspy63sjmuny.us-east-1.es.amazonaws.com/_plugin/kibana/#/discover/Steve-Slow-Train-Analysis-(2080s-and-2083s)?_g=(refreshInterval:(display:Off,section:0,value:0),time:(from:'2016-08-01 22:19:31-0600',mode:absolute,to:'2016-08-02 01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51" t="str">
            <v>N</v>
          </cell>
          <cell r="X151">
            <v>1</v>
          </cell>
          <cell r="Y151">
            <v>23.299399999999999</v>
          </cell>
          <cell r="Z151">
            <v>1.6299999999999999E-2</v>
          </cell>
          <cell r="AA151">
            <v>23.283099999999997</v>
          </cell>
          <cell r="AB151" t="e">
            <v>#N/A</v>
          </cell>
          <cell r="AC151" t="e">
            <v>#N/A</v>
          </cell>
          <cell r="AD151" t="str">
            <v>0236-01</v>
          </cell>
          <cell r="AE151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152">
          <cell r="A152" t="str">
            <v>237-01</v>
          </cell>
          <cell r="B152">
            <v>4011</v>
          </cell>
          <cell r="C152" t="str">
            <v>DE.1.0.7.0</v>
          </cell>
          <cell r="D152" t="str">
            <v>204:493</v>
          </cell>
          <cell r="E152">
            <v>42583.947708333333</v>
          </cell>
          <cell r="F152">
            <v>42583.951423611114</v>
          </cell>
          <cell r="G152">
            <v>5</v>
          </cell>
          <cell r="H152" t="str">
            <v>204:233299</v>
          </cell>
          <cell r="I152">
            <v>42583.98364583333</v>
          </cell>
          <cell r="J152">
            <v>0</v>
          </cell>
          <cell r="K152" t="str">
            <v>4011/4012</v>
          </cell>
          <cell r="L152" t="str">
            <v>ROBINSON</v>
          </cell>
          <cell r="M152">
            <v>3.2222222216660157E-2</v>
          </cell>
          <cell r="N152">
            <v>46.399999991990626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https://search-rtdc-monitor-bjffxe2xuh6vdkpspy63sjmuny.us-east-1.es.amazonaws.com/_plugin/kibana/#/discover/Steve-Slow-Train-Analysis-(2080s-and-2083s)?_g=(refreshInterval:(display:Off,section:0,value:0),time:(from:'2016-08-01 21:44:42-0600',mode:absolute,to:'2016-08-02 00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152" t="str">
            <v>N</v>
          </cell>
          <cell r="X152">
            <v>1</v>
          </cell>
          <cell r="Y152">
            <v>4.9299999999999997E-2</v>
          </cell>
          <cell r="Z152">
            <v>23.329899999999999</v>
          </cell>
          <cell r="AA152">
            <v>23.2806</v>
          </cell>
          <cell r="AB152" t="e">
            <v>#N/A</v>
          </cell>
          <cell r="AC152" t="e">
            <v>#N/A</v>
          </cell>
          <cell r="AD152" t="str">
            <v>0237-01</v>
          </cell>
          <cell r="AE152" t="str">
            <v>aws s3 cp s3://rtdc.mdm.uploadarchive/RTDC4011/2016-08-01/ "C:\Users\stu\Documents\Analysis\2016-02-23 RTDC Observations"\RTDC4011\2016-08-01 --recursive &amp; "C:\Users\stu\Documents\GitHub\mrs-test-scripts\Headless Mode &amp; Sideloading\WalkAndUnGZ.bat" "C:\Users\stu\Documents\Analysis\2016-02-23 RTDC Observations"\RTDC4011\2016-08-01 &amp; 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</v>
          </cell>
        </row>
        <row r="153">
          <cell r="A153" t="str">
            <v>238-01</v>
          </cell>
          <cell r="B153">
            <v>4012</v>
          </cell>
          <cell r="C153" t="str">
            <v>DE.1.0.7.0</v>
          </cell>
          <cell r="D153" t="str">
            <v>204:232971</v>
          </cell>
          <cell r="E153">
            <v>42583.989814814813</v>
          </cell>
          <cell r="F153">
            <v>42583.990937499999</v>
          </cell>
          <cell r="G153">
            <v>1</v>
          </cell>
          <cell r="H153" t="str">
            <v>204:205</v>
          </cell>
          <cell r="I153">
            <v>42584.027083333334</v>
          </cell>
          <cell r="J153">
            <v>1</v>
          </cell>
          <cell r="K153" t="str">
            <v>4011/4012</v>
          </cell>
          <cell r="L153" t="str">
            <v>ROBINSON</v>
          </cell>
          <cell r="M153">
            <v>3.6145833335467614E-2</v>
          </cell>
          <cell r="N153">
            <v>52.050000003073364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https://search-rtdc-monitor-bjffxe2xuh6vdkpspy63sjmuny.us-east-1.es.amazonaws.com/_plugin/kibana/#/discover/Steve-Slow-Train-Analysis-(2080s-and-2083s)?_g=(refreshInterval:(display:Off,section:0,value:0),time:(from:'2016-08-01 22:45:20-0600',mode:absolute,to:'2016-08-02 01:39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    </cell>
          <cell r="W153" t="str">
            <v>N</v>
          </cell>
          <cell r="X153">
            <v>1</v>
          </cell>
          <cell r="Y153">
            <v>23.2971</v>
          </cell>
          <cell r="Z153">
            <v>2.0500000000000001E-2</v>
          </cell>
          <cell r="AA153">
            <v>23.276600000000002</v>
          </cell>
          <cell r="AB153" t="e">
            <v>#N/A</v>
          </cell>
          <cell r="AC153" t="e">
            <v>#N/A</v>
          </cell>
          <cell r="AD153" t="str">
            <v>0238-01</v>
          </cell>
          <cell r="AE153" t="str">
            <v>aws s3 cp s3://rtdc.mdm.uploadarchive/RTDC4012/2016-08-01/ "C:\Users\stu\Documents\Analysis\2016-02-23 RTDC Observations"\RTDC4012\2016-08-01 --recursive &amp; "C:\Users\stu\Documents\GitHub\mrs-test-scripts\Headless Mode &amp; Sideloading\WalkAndUnGZ.bat" "C:\Users\stu\Documents\Analysis\2016-02-23 RTDC Observations"\RTDC4012\2016-08-01 &amp; aws s3 cp s3://rtdc.mdm.uploadarchive/RTDC4012/2016-08-02/ "C:\Users\stu\Documents\Analysis\2016-02-23 RTDC Observations"\RTDC4012\2016-08-02 --recursive &amp; "C:\Users\stu\Documents\GitHub\mrs-test-scripts\Headless Mode &amp; Sideloading\WalkAndUnGZ.bat" "C:\Users\stu\Documents\Analysis\2016-02-23 RTDC Observations"\RTDC4012\2016-08-02</v>
          </cell>
        </row>
        <row r="154">
          <cell r="A154" t="str">
            <v>239-01</v>
          </cell>
          <cell r="B154">
            <v>4029</v>
          </cell>
          <cell r="C154" t="str">
            <v>DE.1.0.7.0</v>
          </cell>
          <cell r="D154" t="str">
            <v>204:128246</v>
          </cell>
          <cell r="E154">
            <v>42583.997314814813</v>
          </cell>
          <cell r="F154">
            <v>42583.997858796298</v>
          </cell>
          <cell r="G154">
            <v>0</v>
          </cell>
          <cell r="H154" t="str">
            <v>204:233312</v>
          </cell>
          <cell r="I154">
            <v>42584.0078125</v>
          </cell>
          <cell r="J154">
            <v>0</v>
          </cell>
          <cell r="K154" t="str">
            <v>4029/4030</v>
          </cell>
          <cell r="L154" t="str">
            <v>NEWELL</v>
          </cell>
          <cell r="M154">
            <v>9.9537037021946162E-3</v>
          </cell>
          <cell r="P154">
            <v>31.8999999971129</v>
          </cell>
          <cell r="R154" t="str">
            <v>Wi-MAX outage</v>
          </cell>
          <cell r="S154">
            <v>0.75</v>
          </cell>
          <cell r="T154" t="str">
            <v>NorthBound</v>
          </cell>
          <cell r="U154">
            <v>0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https://search-rtdc-monitor-bjffxe2xuh6vdkpspy63sjmuny.us-east-1.es.amazonaws.com/_plugin/kibana/#/discover/Steve-Slow-Train-Analysis-(2080s-and-2083s)?_g=(refreshInterval:(display:Off,section:0,value:0),time:(from:'2016-08-01 22:56:08-0600',mode:absolute,to:'2016-08-02 01:11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4" t="str">
            <v>Y</v>
          </cell>
          <cell r="X154">
            <v>1</v>
          </cell>
          <cell r="Y154">
            <v>12.8246</v>
          </cell>
          <cell r="Z154">
            <v>23.331199999999999</v>
          </cell>
          <cell r="AA154">
            <v>10.506599999999999</v>
          </cell>
          <cell r="AB154" t="e">
            <v>#N/A</v>
          </cell>
          <cell r="AC154" t="e">
            <v>#N/A</v>
          </cell>
          <cell r="AD154" t="str">
            <v>0239-01</v>
          </cell>
          <cell r="AE154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55">
          <cell r="A155" t="str">
            <v>239-01</v>
          </cell>
          <cell r="B155">
            <v>4029</v>
          </cell>
          <cell r="C155" t="str">
            <v>DE.1.0.7.0</v>
          </cell>
          <cell r="D155" t="str">
            <v>204:480</v>
          </cell>
          <cell r="E155">
            <v>42583.975624999999</v>
          </cell>
          <cell r="F155">
            <v>42583.976805555554</v>
          </cell>
          <cell r="G155">
            <v>1</v>
          </cell>
          <cell r="H155" t="str">
            <v>204:64194</v>
          </cell>
          <cell r="I155">
            <v>42583.989004629628</v>
          </cell>
          <cell r="J155">
            <v>1</v>
          </cell>
          <cell r="K155" t="str">
            <v>4029/4030</v>
          </cell>
          <cell r="L155" t="str">
            <v>NEWELL</v>
          </cell>
          <cell r="M155">
            <v>1.2199074073578231E-2</v>
          </cell>
          <cell r="T155" t="str">
            <v>NorthBound</v>
          </cell>
          <cell r="U155">
            <v>9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https://search-rtdc-monitor-bjffxe2xuh6vdkpspy63sjmuny.us-east-1.es.amazonaws.com/_plugin/kibana/#/discover/Steve-Slow-Train-Analysis-(2080s-and-2083s)?_g=(refreshInterval:(display:Off,section:0,value:0),time:(from:'2016-08-01 22:24:54-0600',mode:absolute,to:'2016-08-02 00:44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    </cell>
          <cell r="W155" t="str">
            <v>Y</v>
          </cell>
          <cell r="X155">
            <v>0</v>
          </cell>
          <cell r="Y155">
            <v>4.8000000000000001E-2</v>
          </cell>
          <cell r="Z155">
            <v>6.4194000000000004</v>
          </cell>
          <cell r="AA155">
            <v>6.3714000000000004</v>
          </cell>
          <cell r="AB155" t="e">
            <v>#N/A</v>
          </cell>
          <cell r="AC155" t="e">
            <v>#N/A</v>
          </cell>
          <cell r="AD155" t="str">
            <v>0239-01</v>
          </cell>
          <cell r="AE155" t="str">
            <v>aws s3 cp s3://rtdc.mdm.uploadarchive/RTDC4029/2016-08-01/ "C:\Users\stu\Documents\Analysis\2016-02-23 RTDC Observations"\RTDC4029\2016-08-01 --recursive &amp; "C:\Users\stu\Documents\GitHub\mrs-test-scripts\Headless Mode &amp; Sideloading\WalkAndUnGZ.bat" "C:\Users\stu\Documents\Analysis\2016-02-23 RTDC Observations"\RTDC4029\2016-08-01 &amp; aws s3 cp s3://rtdc.mdm.uploadarchive/RTDC4029/2016-08-02/ "C:\Users\stu\Documents\Analysis\2016-02-23 RTDC Observations"\RTDC4029\2016-08-02 --recursive &amp; "C:\Users\stu\Documents\GitHub\mrs-test-scripts\Headless Mode &amp; Sideloading\WalkAndUnGZ.bat" "C:\Users\stu\Documents\Analysis\2016-02-23 RTDC Observations"\RTDC4029\2016-08-02</v>
          </cell>
        </row>
        <row r="156">
          <cell r="A156" t="str">
            <v>240-01</v>
          </cell>
          <cell r="B156">
            <v>4030</v>
          </cell>
          <cell r="C156" t="str">
            <v>DE.1.0.7.0</v>
          </cell>
          <cell r="D156" t="str">
            <v>204:232984</v>
          </cell>
          <cell r="E156">
            <v>42584.012511574074</v>
          </cell>
          <cell r="F156">
            <v>42584.013287037036</v>
          </cell>
          <cell r="G156">
            <v>1</v>
          </cell>
          <cell r="H156" t="str">
            <v>204:147</v>
          </cell>
          <cell r="I156">
            <v>42584.044328703705</v>
          </cell>
          <cell r="J156">
            <v>0</v>
          </cell>
          <cell r="K156" t="str">
            <v>4029/4030</v>
          </cell>
          <cell r="L156" t="str">
            <v>NEWELL</v>
          </cell>
          <cell r="M156">
            <v>3.104166666889796E-2</v>
          </cell>
          <cell r="N156">
            <v>44.700000003213063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https://search-rtdc-monitor-bjffxe2xuh6vdkpspy63sjmuny.us-east-1.es.amazonaws.com/_plugin/kibana/#/discover/Steve-Slow-Train-Analysis-(2080s-and-2083s)?_g=(refreshInterval:(display:Off,section:0,value:0),time:(from:'2016-08-01 23:18:01-0600',mode:absolute,to:'2016-08-02 02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    </cell>
          <cell r="W156" t="str">
            <v>N</v>
          </cell>
          <cell r="X156">
            <v>1</v>
          </cell>
          <cell r="Y156">
            <v>23.298400000000001</v>
          </cell>
          <cell r="Z156">
            <v>1.47E-2</v>
          </cell>
          <cell r="AA156">
            <v>23.2837</v>
          </cell>
          <cell r="AB156" t="e">
            <v>#N/A</v>
          </cell>
          <cell r="AC156" t="e">
            <v>#N/A</v>
          </cell>
          <cell r="AD156" t="str">
            <v>0240-01</v>
          </cell>
          <cell r="AE156" t="str">
            <v>aws s3 cp s3://rtdc.mdm.uploadarchive/RTDC4030/2016-08-02/ "C:\Users\stu\Documents\Analysis\2016-02-23 RTDC Observations"\RTDC4030\2016-08-02 --recursive &amp; "C:\Users\stu\Documents\GitHub\mrs-test-scripts\Headless Mode &amp; Sideloading\WalkAndUnGZ.bat" "C:\Users\stu\Documents\Analysis\2016-02-23 RTDC Observations"\RTDC4030\2016-08-02 &amp; aws s3 cp s3://rtdc.mdm.uploadarchive/RTDC4030/2016-08-03/ "C:\Users\stu\Documents\Analysis\2016-02-23 RTDC Observations"\RTDC4030\2016-08-03 --recursive &amp; "C:\Users\stu\Documents\GitHub\mrs-test-scripts\Headless Mode &amp; Sideloading\WalkAndUnGZ.bat" "C:\Users\stu\Documents\Analysis\2016-02-23 RTDC Observations"\RTDC4030\2016-08-03</v>
          </cell>
        </row>
        <row r="157">
          <cell r="A157" t="str">
            <v>241-01</v>
          </cell>
          <cell r="B157">
            <v>4044</v>
          </cell>
          <cell r="C157" t="str">
            <v>DE.1.0.7.0</v>
          </cell>
          <cell r="D157" t="str">
            <v>204:455</v>
          </cell>
          <cell r="E157">
            <v>42583.998425925929</v>
          </cell>
          <cell r="F157">
            <v>42583.999467592592</v>
          </cell>
          <cell r="G157">
            <v>1</v>
          </cell>
          <cell r="H157" t="str">
            <v>204:233282</v>
          </cell>
          <cell r="I157">
            <v>42584.025578703702</v>
          </cell>
          <cell r="J157">
            <v>0</v>
          </cell>
          <cell r="K157" t="str">
            <v>4043/4044</v>
          </cell>
          <cell r="L157" t="str">
            <v>CHANDLER</v>
          </cell>
          <cell r="M157">
            <v>2.6111111110367347E-2</v>
          </cell>
          <cell r="N157">
            <v>37.599999998928979</v>
          </cell>
          <cell r="S157">
            <v>1</v>
          </cell>
          <cell r="T157" t="str">
            <v>NorthBound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https://search-rtdc-monitor-bjffxe2xuh6vdkpspy63sjmuny.us-east-1.es.amazonaws.com/_plugin/kibana/#/discover/Steve-Slow-Train-Analysis-(2080s-and-2083s)?_g=(refreshInterval:(display:Off,section:0,value:0),time:(from:'2016-08-01 22:57:44-0600',mode:absolute,to:'2016-08-02 01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4044%22')),sort:!(Time,asc))</v>
          </cell>
          <cell r="W157" t="str">
            <v>N</v>
          </cell>
          <cell r="X157">
            <v>1</v>
          </cell>
          <cell r="Y157">
            <v>4.5499999999999999E-2</v>
          </cell>
          <cell r="Z157">
            <v>23.328199999999999</v>
          </cell>
          <cell r="AA157">
            <v>23.282699999999998</v>
          </cell>
          <cell r="AB157" t="e">
            <v>#N/A</v>
          </cell>
          <cell r="AC157" t="e">
            <v>#N/A</v>
          </cell>
          <cell r="AD157" t="str">
            <v>0241-01</v>
          </cell>
          <cell r="AE157" t="str">
            <v>aws s3 cp s3://rtdc.mdm.uploadarchive/RTDC4044/2016-08-01/ "C:\Users\stu\Documents\Analysis\2016-02-23 RTDC Observations"\RTDC4044\2016-08-01 --recursive &amp; "C:\Users\stu\Documents\GitHub\mrs-test-scripts\Headless Mode &amp; Sideloading\WalkAndUnGZ.bat" "C:\Users\stu\Documents\Analysis\2016-02-23 RTDC Observations"\RTDC4044\2016-08-01 &amp; aws s3 cp s3://rtdc.mdm.uploadarchive/RTDC4044/2016-08-02/ "C:\Users\stu\Documents\Analysis\2016-02-23 RTDC Observations"\RTDC4044\2016-08-02 --recursive &amp; "C:\Users\stu\Documents\GitHub\mrs-test-scripts\Headless Mode &amp; Sideloading\WalkAndUnGZ.bat" "C:\Users\stu\Documents\Analysis\2016-02-23 RTDC Observations"\RTDC4044\2016-08-02</v>
          </cell>
        </row>
        <row r="158">
          <cell r="A158" t="str">
            <v>242-01</v>
          </cell>
          <cell r="B158">
            <v>4043</v>
          </cell>
          <cell r="C158" t="str">
            <v>DE.1.0.7.0</v>
          </cell>
          <cell r="D158" t="str">
            <v>204:232963</v>
          </cell>
          <cell r="E158">
            <v>42584.037280092591</v>
          </cell>
          <cell r="F158">
            <v>42584.038321759261</v>
          </cell>
          <cell r="G158">
            <v>1</v>
          </cell>
          <cell r="H158" t="str">
            <v>204:154</v>
          </cell>
          <cell r="I158">
            <v>42584.066863425927</v>
          </cell>
          <cell r="J158">
            <v>0</v>
          </cell>
          <cell r="K158" t="str">
            <v>4043/4044</v>
          </cell>
          <cell r="L158" t="str">
            <v>CHANDLER</v>
          </cell>
          <cell r="M158">
            <v>2.8541666666569654E-2</v>
          </cell>
          <cell r="N158">
            <v>41.099999999860302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https://search-rtdc-monitor-bjffxe2xuh6vdkpspy63sjmuny.us-east-1.es.amazonaws.com/_plugin/kibana/#/discover/Steve-Slow-Train-Analysis-(2080s-and-2083s)?_g=(refreshInterval:(display:Off,section:0,value:0),time:(from:'2016-08-01 23:53:41-0600',mode:absolute,to:'2016-08-02 02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4043%22')),sort:!(Time,asc))</v>
          </cell>
          <cell r="W158" t="str">
            <v>N</v>
          </cell>
          <cell r="X158">
            <v>1</v>
          </cell>
          <cell r="Y158">
            <v>23.296299999999999</v>
          </cell>
          <cell r="Z158">
            <v>1.54E-2</v>
          </cell>
          <cell r="AA158">
            <v>23.280899999999999</v>
          </cell>
          <cell r="AB158" t="e">
            <v>#N/A</v>
          </cell>
          <cell r="AC158" t="e">
            <v>#N/A</v>
          </cell>
          <cell r="AD158" t="str">
            <v>0242-01</v>
          </cell>
          <cell r="AE158" t="str">
            <v>aws s3 cp s3://rtdc.mdm.uploadarchive/RTDC4043/2016-08-02/ "C:\Users\stu\Documents\Analysis\2016-02-23 RTDC Observations"\RTDC4043\2016-08-02 --recursive &amp; "C:\Users\stu\Documents\GitHub\mrs-test-scripts\Headless Mode &amp; Sideloading\WalkAndUnGZ.bat" "C:\Users\stu\Documents\Analysis\2016-02-23 RTDC Observations"\RTDC4043\2016-08-02 &amp; aws s3 cp s3://rtdc.mdm.uploadarchive/RTDC4043/2016-08-03/ "C:\Users\stu\Documents\Analysis\2016-02-23 RTDC Observations"\RTDC4043\2016-08-03 --recursive &amp; "C:\Users\stu\Documents\GitHub\mrs-test-scripts\Headless Mode &amp; Sideloading\WalkAndUnGZ.bat" "C:\Users\stu\Documents\Analysis\2016-02-23 RTDC Observations"\RTDC4043\2016-08-03</v>
          </cell>
        </row>
        <row r="159">
          <cell r="A159" t="str">
            <v>243-01</v>
          </cell>
          <cell r="B159">
            <v>4027</v>
          </cell>
          <cell r="C159" t="str">
            <v>DE.1.0.7.0</v>
          </cell>
          <cell r="D159" t="str">
            <v>204:451</v>
          </cell>
          <cell r="E159">
            <v>42584.016215277778</v>
          </cell>
          <cell r="F159">
            <v>42584.020983796298</v>
          </cell>
          <cell r="G159">
            <v>6</v>
          </cell>
          <cell r="H159" t="str">
            <v>204:233291</v>
          </cell>
          <cell r="I159">
            <v>42584.046550925923</v>
          </cell>
          <cell r="J159">
            <v>0</v>
          </cell>
          <cell r="K159" t="str">
            <v>4027/4028</v>
          </cell>
          <cell r="L159" t="str">
            <v>HAITHCOX</v>
          </cell>
          <cell r="M159">
            <v>2.5567129625414964E-2</v>
          </cell>
          <cell r="N159">
            <v>36.816666660597548</v>
          </cell>
          <cell r="S159">
            <v>1</v>
          </cell>
          <cell r="T159" t="str">
            <v>NorthBound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https://search-rtdc-monitor-bjffxe2xuh6vdkpspy63sjmuny.us-east-1.es.amazonaws.com/_plugin/kibana/#/discover/Steve-Slow-Train-Analysis-(2080s-and-2083s)?_g=(refreshInterval:(display:Off,section:0,value:0),time:(from:'2016-08-01 23:23:21-0600',mode:absolute,to:'2016-08-02 02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    </cell>
          <cell r="W159" t="str">
            <v>N</v>
          </cell>
          <cell r="X159">
            <v>1</v>
          </cell>
          <cell r="Y159">
            <v>4.5100000000000001E-2</v>
          </cell>
          <cell r="Z159">
            <v>23.3291</v>
          </cell>
          <cell r="AA159">
            <v>23.283999999999999</v>
          </cell>
          <cell r="AB159" t="e">
            <v>#N/A</v>
          </cell>
          <cell r="AC159" t="e">
            <v>#N/A</v>
          </cell>
          <cell r="AD159" t="str">
            <v>0243-01</v>
          </cell>
          <cell r="AE159" t="str">
            <v>aws s3 cp s3://rtdc.mdm.uploadarchive/RTDC4027/2016-08-02/ "C:\Users\stu\Documents\Analysis\2016-02-23 RTDC Observations"\RTDC4027\2016-08-02 --recursive &amp; "C:\Users\stu\Documents\GitHub\mrs-test-scripts\Headless Mode &amp; Sideloading\WalkAndUnGZ.bat" "C:\Users\stu\Documents\Analysis\2016-02-23 RTDC Observations"\RTDC4027\2016-08-02 &amp; aws s3 cp s3://rtdc.mdm.uploadarchive/RTDC4027/2016-08-03/ "C:\Users\stu\Documents\Analysis\2016-02-23 RTDC Observations"\RTDC4027\2016-08-03 --recursive &amp; "C:\Users\stu\Documents\GitHub\mrs-test-scripts\Headless Mode &amp; Sideloading\WalkAndUnGZ.bat" "C:\Users\stu\Documents\Analysis\2016-02-23 RTDC Observations"\RTDC4027\2016-08-03</v>
          </cell>
        </row>
        <row r="160">
          <cell r="A160" t="str">
            <v>244-01</v>
          </cell>
          <cell r="B160">
            <v>4028</v>
          </cell>
          <cell r="C160" t="str">
            <v>DE.1.0.7.0</v>
          </cell>
          <cell r="D160" t="str">
            <v>204:232971</v>
          </cell>
          <cell r="E160">
            <v>42584.053935185184</v>
          </cell>
          <cell r="F160">
            <v>42584.054629629631</v>
          </cell>
          <cell r="G160">
            <v>1</v>
          </cell>
          <cell r="H160" t="str">
            <v>204:176</v>
          </cell>
          <cell r="I160">
            <v>42584.085810185185</v>
          </cell>
          <cell r="J160">
            <v>0</v>
          </cell>
          <cell r="K160" t="str">
            <v>4027/4028</v>
          </cell>
          <cell r="L160" t="str">
            <v>HAITHCOX</v>
          </cell>
          <cell r="M160">
            <v>3.1180555553874001E-2</v>
          </cell>
          <cell r="N160">
            <v>44.899999997578561</v>
          </cell>
          <cell r="S160">
            <v>1</v>
          </cell>
          <cell r="T160" t="str">
            <v>Southbound</v>
          </cell>
          <cell r="U160">
            <v>12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https://search-rtdc-monitor-bjffxe2xuh6vdkpspy63sjmuny.us-east-1.es.amazonaws.com/_plugin/kibana/#/discover/Steve-Slow-Train-Analysis-(2080s-and-2083s)?_g=(refreshInterval:(display:Off,section:0,value:0),time:(from:'2016-08-02 00:17:40-0600',mode:absolute,to:'2016-08-02 03:03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160" t="str">
            <v>N</v>
          </cell>
          <cell r="X160">
            <v>1</v>
          </cell>
          <cell r="Y160">
            <v>23.2971</v>
          </cell>
          <cell r="Z160">
            <v>1.7600000000000001E-2</v>
          </cell>
          <cell r="AA160">
            <v>23.279499999999999</v>
          </cell>
          <cell r="AB160" t="e">
            <v>#N/A</v>
          </cell>
          <cell r="AC160" t="e">
            <v>#N/A</v>
          </cell>
          <cell r="AD160" t="str">
            <v>0244-01</v>
          </cell>
          <cell r="AE160" t="str">
            <v>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 &amp; aws s3 cp s3://rtdc.mdm.uploadarchive/RTDC4028/2016-08-03/ "C:\Users\stu\Documents\Analysis\2016-02-23 RTDC Observations"\RTDC4028\2016-08-03 --recursive &amp; "C:\Users\stu\Documents\GitHub\mrs-test-scripts\Headless Mode &amp; Sideloading\WalkAndUnGZ.bat" "C:\Users\stu\Documents\Analysis\2016-02-23 RTDC Observations"\RTDC4028\2016-08-03</v>
          </cell>
        </row>
        <row r="161">
          <cell r="A161" t="str">
            <v>800-01</v>
          </cell>
          <cell r="B161">
            <v>4041</v>
          </cell>
          <cell r="C161" t="str">
            <v>DE.1.0.7.0</v>
          </cell>
          <cell r="D161" t="str">
            <v>300:58656</v>
          </cell>
          <cell r="E161">
            <v>42583.209479166668</v>
          </cell>
          <cell r="F161">
            <v>42583.210694444446</v>
          </cell>
          <cell r="G161">
            <v>1</v>
          </cell>
          <cell r="H161" t="str">
            <v>204:680</v>
          </cell>
          <cell r="I161">
            <v>42583.227337962962</v>
          </cell>
          <cell r="J161">
            <v>1</v>
          </cell>
          <cell r="K161" t="str">
            <v>4041/4042</v>
          </cell>
          <cell r="L161" t="str">
            <v>SANTIZO</v>
          </cell>
          <cell r="M161">
            <v>1.6643518516502809E-2</v>
          </cell>
          <cell r="N161">
            <v>23.966666663764045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https://search-rtdc-monitor-bjffxe2xuh6vdkpspy63sjmuny.us-east-1.es.amazonaws.com/_plugin/kibana/#/discover/Steve-Slow-Train-Analysis-(2080s-and-2083s)?_g=(refreshInterval:(display:Off,section:0,value:0),time:(from:'2016-08-01 04:01:39-0600',mode:absolute,to:'2016-08-01 06:27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1" t="str">
            <v>N</v>
          </cell>
          <cell r="X161">
            <v>485</v>
          </cell>
          <cell r="Y161">
            <v>5.8655999999999997</v>
          </cell>
          <cell r="Z161">
            <v>6.8000000000000005E-2</v>
          </cell>
          <cell r="AA161">
            <v>5.7976000000000001</v>
          </cell>
          <cell r="AB161" t="e">
            <v>#N/A</v>
          </cell>
          <cell r="AC161" t="e">
            <v>#N/A</v>
          </cell>
          <cell r="AD161" t="str">
            <v>0800-01</v>
          </cell>
          <cell r="AE161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62">
          <cell r="A162" t="str">
            <v>801-01</v>
          </cell>
          <cell r="B162">
            <v>4042</v>
          </cell>
          <cell r="C162" t="str">
            <v>DE.1.0.7.0</v>
          </cell>
          <cell r="D162" t="str">
            <v>204:969</v>
          </cell>
          <cell r="E162">
            <v>42583.239907407406</v>
          </cell>
          <cell r="F162">
            <v>42583.241400462961</v>
          </cell>
          <cell r="G162">
            <v>2</v>
          </cell>
          <cell r="H162" t="str">
            <v>300:58956</v>
          </cell>
          <cell r="I162">
            <v>42583.255914351852</v>
          </cell>
          <cell r="J162">
            <v>1</v>
          </cell>
          <cell r="K162" t="str">
            <v>4041/4042</v>
          </cell>
          <cell r="L162" t="str">
            <v>SANTIZO</v>
          </cell>
          <cell r="M162">
            <v>1.4513888891087845E-2</v>
          </cell>
          <cell r="N162">
            <v>20.900000003166497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https://search-rtdc-monitor-bjffxe2xuh6vdkpspy63sjmuny.us-east-1.es.amazonaws.com/_plugin/kibana/#/discover/Steve-Slow-Train-Analysis-(2080s-and-2083s)?_g=(refreshInterval:(display:Off,section:0,value:0),time:(from:'2016-08-01 04:45:28-0600',mode:absolute,to:'2016-08-01 07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2" t="str">
            <v>N</v>
          </cell>
          <cell r="X162">
            <v>1</v>
          </cell>
          <cell r="Y162">
            <v>9.69E-2</v>
          </cell>
          <cell r="Z162">
            <v>5.8956</v>
          </cell>
          <cell r="AA162">
            <v>5.7987000000000002</v>
          </cell>
          <cell r="AB162" t="e">
            <v>#N/A</v>
          </cell>
          <cell r="AC162" t="e">
            <v>#N/A</v>
          </cell>
          <cell r="AD162" t="str">
            <v>0801-01</v>
          </cell>
          <cell r="AE162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63">
          <cell r="A163" t="str">
            <v>802-01</v>
          </cell>
          <cell r="B163">
            <v>4041</v>
          </cell>
          <cell r="C163" t="str">
            <v>DE.1.0.7.0</v>
          </cell>
          <cell r="D163" t="str">
            <v>300:58626</v>
          </cell>
          <cell r="E163">
            <v>42583.256631944445</v>
          </cell>
          <cell r="F163">
            <v>42583.257511574076</v>
          </cell>
          <cell r="G163">
            <v>1</v>
          </cell>
          <cell r="H163" t="str">
            <v>204:715</v>
          </cell>
          <cell r="I163">
            <v>42583.267893518518</v>
          </cell>
          <cell r="J163">
            <v>0</v>
          </cell>
          <cell r="K163" t="str">
            <v>4041/4042</v>
          </cell>
          <cell r="L163" t="str">
            <v>SANTIZO</v>
          </cell>
          <cell r="M163">
            <v>1.0381944441178348E-2</v>
          </cell>
          <cell r="N163">
            <v>14.949999995296821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https://search-rtdc-monitor-bjffxe2xuh6vdkpspy63sjmuny.us-east-1.es.amazonaws.com/_plugin/kibana/#/discover/Steve-Slow-Train-Analysis-(2080s-and-2083s)?_g=(refreshInterval:(display:Off,section:0,value:0),time:(from:'2016-08-01 05:09:33-0600',mode:absolute,to:'2016-08-01 07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3" t="str">
            <v>N</v>
          </cell>
          <cell r="X163">
            <v>1</v>
          </cell>
          <cell r="Y163">
            <v>5.8625999999999996</v>
          </cell>
          <cell r="Z163">
            <v>7.1499999999999994E-2</v>
          </cell>
          <cell r="AA163">
            <v>5.7910999999999992</v>
          </cell>
          <cell r="AB163" t="e">
            <v>#N/A</v>
          </cell>
          <cell r="AC163" t="e">
            <v>#N/A</v>
          </cell>
          <cell r="AD163" t="str">
            <v>0802-01</v>
          </cell>
          <cell r="AE163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64">
          <cell r="A164" t="str">
            <v>803-01</v>
          </cell>
          <cell r="B164">
            <v>4025</v>
          </cell>
          <cell r="C164" t="str">
            <v>DE.1.0.7.0</v>
          </cell>
          <cell r="D164" t="str">
            <v>204:878</v>
          </cell>
          <cell r="E164">
            <v>42583.261932870373</v>
          </cell>
          <cell r="F164">
            <v>42583.263148148151</v>
          </cell>
          <cell r="G164">
            <v>1</v>
          </cell>
          <cell r="H164" t="str">
            <v>300:58990</v>
          </cell>
          <cell r="I164">
            <v>42583.274618055555</v>
          </cell>
          <cell r="J164">
            <v>0</v>
          </cell>
          <cell r="K164" t="str">
            <v>4025/4026</v>
          </cell>
          <cell r="L164" t="str">
            <v>ROCHA</v>
          </cell>
          <cell r="M164">
            <v>1.1469907403807156E-2</v>
          </cell>
          <cell r="N164">
            <v>16.516666661482304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https://search-rtdc-monitor-bjffxe2xuh6vdkpspy63sjmuny.us-east-1.es.amazonaws.com/_plugin/kibana/#/discover/Steve-Slow-Train-Analysis-(2080s-and-2083s)?_g=(refreshInterval:(display:Off,section:0,value:0),time:(from:'2016-08-01 05:17:11-0600',mode:absolute,to:'2016-08-01 07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64" t="str">
            <v>N</v>
          </cell>
          <cell r="X164">
            <v>1</v>
          </cell>
          <cell r="Y164">
            <v>8.7800000000000003E-2</v>
          </cell>
          <cell r="Z164">
            <v>5.899</v>
          </cell>
          <cell r="AA164">
            <v>5.8112000000000004</v>
          </cell>
          <cell r="AB164" t="e">
            <v>#N/A</v>
          </cell>
          <cell r="AC164" t="e">
            <v>#N/A</v>
          </cell>
          <cell r="AD164" t="str">
            <v>0803-01</v>
          </cell>
          <cell r="AE16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65">
          <cell r="A165" t="str">
            <v>804-01</v>
          </cell>
          <cell r="B165">
            <v>4026</v>
          </cell>
          <cell r="C165" t="str">
            <v>DE.1.0.7.0</v>
          </cell>
          <cell r="D165" t="str">
            <v>300:58670</v>
          </cell>
          <cell r="E165">
            <v>42583.275833333333</v>
          </cell>
          <cell r="F165">
            <v>42583.276747685188</v>
          </cell>
          <cell r="G165">
            <v>1</v>
          </cell>
          <cell r="H165" t="str">
            <v>204:659</v>
          </cell>
          <cell r="I165">
            <v>42583.289351851854</v>
          </cell>
          <cell r="J165">
            <v>1</v>
          </cell>
          <cell r="K165" t="str">
            <v>4025/4026</v>
          </cell>
          <cell r="L165" t="str">
            <v>ROCHA</v>
          </cell>
          <cell r="M165">
            <v>1.2604166666278616E-2</v>
          </cell>
          <cell r="N165">
            <v>18.149999999441206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https://search-rtdc-monitor-bjffxe2xuh6vdkpspy63sjmuny.us-east-1.es.amazonaws.com/_plugin/kibana/#/discover/Steve-Slow-Train-Analysis-(2080s-and-2083s)?_g=(refreshInterval:(display:Off,section:0,value:0),time:(from:'2016-08-01 05:37:12-0600',mode:absolute,to:'2016-08-01 07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65" t="str">
            <v>N</v>
          </cell>
          <cell r="X165">
            <v>1</v>
          </cell>
          <cell r="Y165">
            <v>5.867</v>
          </cell>
          <cell r="Z165">
            <v>6.59E-2</v>
          </cell>
          <cell r="AA165">
            <v>5.8010999999999999</v>
          </cell>
          <cell r="AB165" t="e">
            <v>#N/A</v>
          </cell>
          <cell r="AC165" t="e">
            <v>#N/A</v>
          </cell>
          <cell r="AD165" t="str">
            <v>0804-01</v>
          </cell>
          <cell r="AE16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66">
          <cell r="A166" t="str">
            <v>805-01</v>
          </cell>
          <cell r="B166">
            <v>4042</v>
          </cell>
          <cell r="C166" t="str">
            <v>DE.1.0.7.0</v>
          </cell>
          <cell r="D166" t="str">
            <v>204:997</v>
          </cell>
          <cell r="E166">
            <v>42583.269050925926</v>
          </cell>
          <cell r="F166">
            <v>42583.269872685189</v>
          </cell>
          <cell r="G166">
            <v>1</v>
          </cell>
          <cell r="H166" t="str">
            <v>300:58952</v>
          </cell>
          <cell r="I166">
            <v>42583.295451388891</v>
          </cell>
          <cell r="J166">
            <v>0</v>
          </cell>
          <cell r="K166" t="str">
            <v>4041/4042</v>
          </cell>
          <cell r="L166" t="str">
            <v>SANTIZO</v>
          </cell>
          <cell r="M166">
            <v>2.5578703702194616E-2</v>
          </cell>
          <cell r="N166">
            <v>36.833333331160247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https://search-rtdc-monitor-bjffxe2xuh6vdkpspy63sjmuny.us-east-1.es.amazonaws.com/_plugin/kibana/#/discover/Steve-Slow-Train-Analysis-(2080s-and-2083s)?_g=(refreshInterval:(display:Off,section:0,value:0),time:(from:'2016-08-01 05:27:26-0600',mode:absolute,to:'2016-08-01 08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66" t="str">
            <v>N</v>
          </cell>
          <cell r="X166">
            <v>1</v>
          </cell>
          <cell r="Y166">
            <v>9.9699999999999997E-2</v>
          </cell>
          <cell r="Z166">
            <v>5.8952</v>
          </cell>
          <cell r="AA166">
            <v>5.7954999999999997</v>
          </cell>
          <cell r="AB166" t="e">
            <v>#N/A</v>
          </cell>
          <cell r="AC166" t="e">
            <v>#N/A</v>
          </cell>
          <cell r="AD166" t="str">
            <v>0805-01</v>
          </cell>
          <cell r="AE166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67">
          <cell r="A167" t="str">
            <v>806-01</v>
          </cell>
          <cell r="B167">
            <v>4041</v>
          </cell>
          <cell r="C167" t="str">
            <v>DE.1.0.7.0</v>
          </cell>
          <cell r="D167" t="str">
            <v>300:58636</v>
          </cell>
          <cell r="E167">
            <v>42583.296238425923</v>
          </cell>
          <cell r="F167">
            <v>42583.297164351854</v>
          </cell>
          <cell r="G167">
            <v>1</v>
          </cell>
          <cell r="H167" t="str">
            <v>204:663</v>
          </cell>
          <cell r="I167">
            <v>42583.30972222222</v>
          </cell>
          <cell r="J167">
            <v>1</v>
          </cell>
          <cell r="K167" t="str">
            <v>4041/4042</v>
          </cell>
          <cell r="L167" t="str">
            <v>SANTIZO</v>
          </cell>
          <cell r="M167">
            <v>1.2557870366435964E-2</v>
          </cell>
          <cell r="N167">
            <v>18.083333327667788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https://search-rtdc-monitor-bjffxe2xuh6vdkpspy63sjmuny.us-east-1.es.amazonaws.com/_plugin/kibana/#/discover/Steve-Slow-Train-Analysis-(2080s-and-2083s)?_g=(refreshInterval:(display:Off,section:0,value:0),time:(from:'2016-08-01 06:06:35-0600',mode:absolute,to:'2016-08-01 08:26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67" t="str">
            <v>N</v>
          </cell>
          <cell r="X167">
            <v>1</v>
          </cell>
          <cell r="Y167">
            <v>5.8635999999999999</v>
          </cell>
          <cell r="Z167">
            <v>6.6299999999999998E-2</v>
          </cell>
          <cell r="AA167">
            <v>5.7972999999999999</v>
          </cell>
          <cell r="AB167" t="e">
            <v>#N/A</v>
          </cell>
          <cell r="AC167" t="e">
            <v>#N/A</v>
          </cell>
          <cell r="AD167" t="str">
            <v>0806-01</v>
          </cell>
          <cell r="AE167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68">
          <cell r="A168" t="str">
            <v>807-01</v>
          </cell>
          <cell r="B168">
            <v>4025</v>
          </cell>
          <cell r="C168" t="str">
            <v>DE.1.0.7.0</v>
          </cell>
          <cell r="D168" t="str">
            <v>204:951</v>
          </cell>
          <cell r="E168">
            <v>42583.30572916667</v>
          </cell>
          <cell r="F168">
            <v>42583.306481481479</v>
          </cell>
          <cell r="G168">
            <v>1</v>
          </cell>
          <cell r="H168" t="str">
            <v>300:58992</v>
          </cell>
          <cell r="I168">
            <v>42583.316400462965</v>
          </cell>
          <cell r="J168">
            <v>0</v>
          </cell>
          <cell r="K168" t="str">
            <v>4025/4026</v>
          </cell>
          <cell r="L168" t="str">
            <v>ROCHA</v>
          </cell>
          <cell r="M168">
            <v>9.9189814864075743E-3</v>
          </cell>
          <cell r="N168">
            <v>14.283333340426907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https://search-rtdc-monitor-bjffxe2xuh6vdkpspy63sjmuny.us-east-1.es.amazonaws.com/_plugin/kibana/#/discover/Steve-Slow-Train-Analysis-(2080s-and-2083s)?_g=(refreshInterval:(display:Off,section:0,value:0),time:(from:'2016-08-01 06:20:15-0600',mode:absolute,to:'2016-08-01 08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68" t="str">
            <v>N</v>
          </cell>
          <cell r="X168">
            <v>1</v>
          </cell>
          <cell r="Y168">
            <v>9.5100000000000004E-2</v>
          </cell>
          <cell r="Z168">
            <v>5.8992000000000004</v>
          </cell>
          <cell r="AA168">
            <v>5.8041</v>
          </cell>
          <cell r="AB168" t="e">
            <v>#N/A</v>
          </cell>
          <cell r="AC168" t="e">
            <v>#N/A</v>
          </cell>
          <cell r="AD168" t="str">
            <v>0807-01</v>
          </cell>
          <cell r="AE168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69">
          <cell r="A169" t="str">
            <v>808-01</v>
          </cell>
          <cell r="B169">
            <v>4026</v>
          </cell>
          <cell r="C169" t="str">
            <v>DE.1.0.7.0</v>
          </cell>
          <cell r="D169" t="str">
            <v>300:58666</v>
          </cell>
          <cell r="E169">
            <v>42583.317962962959</v>
          </cell>
          <cell r="F169">
            <v>42583.318726851852</v>
          </cell>
          <cell r="G169">
            <v>1</v>
          </cell>
          <cell r="H169" t="str">
            <v>204:652</v>
          </cell>
          <cell r="I169">
            <v>42583.331296296295</v>
          </cell>
          <cell r="J169">
            <v>0</v>
          </cell>
          <cell r="K169" t="str">
            <v>4025/4026</v>
          </cell>
          <cell r="L169" t="str">
            <v>ROCHA</v>
          </cell>
          <cell r="M169">
            <v>1.2569444443215616E-2</v>
          </cell>
          <cell r="N169">
            <v>18.099999998230487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https://search-rtdc-monitor-bjffxe2xuh6vdkpspy63sjmuny.us-east-1.es.amazonaws.com/_plugin/kibana/#/discover/Steve-Slow-Train-Analysis-(2080s-and-2083s)?_g=(refreshInterval:(display:Off,section:0,value:0),time:(from:'2016-08-01 06:37:52-0600',mode:absolute,to:'2016-08-01 08:57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69" t="str">
            <v>N</v>
          </cell>
          <cell r="X169">
            <v>1</v>
          </cell>
          <cell r="Y169">
            <v>5.8666</v>
          </cell>
          <cell r="Z169">
            <v>6.5199999999999994E-2</v>
          </cell>
          <cell r="AA169">
            <v>5.8014000000000001</v>
          </cell>
          <cell r="AB169" t="e">
            <v>#N/A</v>
          </cell>
          <cell r="AC169" t="e">
            <v>#N/A</v>
          </cell>
          <cell r="AD169" t="str">
            <v>0808-01</v>
          </cell>
          <cell r="AE169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0">
          <cell r="A170" t="str">
            <v>809-01</v>
          </cell>
          <cell r="B170">
            <v>4042</v>
          </cell>
          <cell r="C170" t="str">
            <v>DE.1.0.7.0</v>
          </cell>
          <cell r="D170" t="str">
            <v>204:948</v>
          </cell>
          <cell r="E170">
            <v>42583.310891203706</v>
          </cell>
          <cell r="F170">
            <v>42583.311967592592</v>
          </cell>
          <cell r="G170">
            <v>1</v>
          </cell>
          <cell r="H170" t="str">
            <v>300:58931</v>
          </cell>
          <cell r="I170">
            <v>42583.337152777778</v>
          </cell>
          <cell r="J170">
            <v>0</v>
          </cell>
          <cell r="K170" t="str">
            <v>4041/4042</v>
          </cell>
          <cell r="L170" t="str">
            <v>SANTIZO</v>
          </cell>
          <cell r="M170">
            <v>2.5185185186273884E-2</v>
          </cell>
          <cell r="N170">
            <v>36.266666668234393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https://search-rtdc-monitor-bjffxe2xuh6vdkpspy63sjmuny.us-east-1.es.amazonaws.com/_plugin/kibana/#/discover/Steve-Slow-Train-Analysis-(2080s-and-2083s)?_g=(refreshInterval:(display:Off,section:0,value:0),time:(from:'2016-08-01 06:27:41-0600',mode:absolute,to:'2016-08-01 09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70" t="str">
            <v>N</v>
          </cell>
          <cell r="X170">
            <v>1</v>
          </cell>
          <cell r="Y170">
            <v>9.4799999999999995E-2</v>
          </cell>
          <cell r="Z170">
            <v>5.8930999999999996</v>
          </cell>
          <cell r="AA170">
            <v>5.7982999999999993</v>
          </cell>
          <cell r="AB170" t="e">
            <v>#N/A</v>
          </cell>
          <cell r="AC170" t="e">
            <v>#N/A</v>
          </cell>
          <cell r="AD170" t="str">
            <v>0809-01</v>
          </cell>
          <cell r="AE170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71">
          <cell r="A171" t="str">
            <v>810-01</v>
          </cell>
          <cell r="B171">
            <v>4041</v>
          </cell>
          <cell r="C171" t="str">
            <v>DE.1.0.7.0</v>
          </cell>
          <cell r="D171" t="str">
            <v>300:58624</v>
          </cell>
          <cell r="E171">
            <v>42583.337962962964</v>
          </cell>
          <cell r="F171">
            <v>42583.338819444441</v>
          </cell>
          <cell r="G171">
            <v>1</v>
          </cell>
          <cell r="H171" t="str">
            <v>204:733</v>
          </cell>
          <cell r="I171">
            <v>42583.351331018515</v>
          </cell>
          <cell r="J171">
            <v>1</v>
          </cell>
          <cell r="K171" t="str">
            <v>4041/4042</v>
          </cell>
          <cell r="L171" t="str">
            <v>SANTIZO</v>
          </cell>
          <cell r="M171">
            <v>1.2511574073869269E-2</v>
          </cell>
          <cell r="N171">
            <v>18.016666666371748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https://search-rtdc-monitor-bjffxe2xuh6vdkpspy63sjmuny.us-east-1.es.amazonaws.com/_plugin/kibana/#/discover/Steve-Slow-Train-Analysis-(2080s-and-2083s)?_g=(refreshInterval:(display:Off,section:0,value:0),time:(from:'2016-08-01 07:06:40-0600',mode:absolute,to:'2016-08-01 09:25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71" t="str">
            <v>N</v>
          </cell>
          <cell r="X171">
            <v>1</v>
          </cell>
          <cell r="Y171">
            <v>5.8624000000000001</v>
          </cell>
          <cell r="Z171">
            <v>7.3300000000000004E-2</v>
          </cell>
          <cell r="AA171">
            <v>5.7891000000000004</v>
          </cell>
          <cell r="AB171" t="e">
            <v>#N/A</v>
          </cell>
          <cell r="AC171" t="e">
            <v>#N/A</v>
          </cell>
          <cell r="AD171" t="str">
            <v>0810-01</v>
          </cell>
          <cell r="AE171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72">
          <cell r="A172" t="str">
            <v>811-01</v>
          </cell>
          <cell r="B172">
            <v>4025</v>
          </cell>
          <cell r="C172" t="str">
            <v>DE.1.0.7.0</v>
          </cell>
          <cell r="D172" t="str">
            <v>204:929</v>
          </cell>
          <cell r="E172">
            <v>42583.346932870372</v>
          </cell>
          <cell r="F172">
            <v>42583.347650462965</v>
          </cell>
          <cell r="G172">
            <v>1</v>
          </cell>
          <cell r="H172" t="str">
            <v>300:58976</v>
          </cell>
          <cell r="I172">
            <v>42583.357372685183</v>
          </cell>
          <cell r="J172">
            <v>0</v>
          </cell>
          <cell r="K172" t="str">
            <v>4025/4026</v>
          </cell>
          <cell r="L172" t="str">
            <v>ROCHA</v>
          </cell>
          <cell r="M172">
            <v>9.7222222175332718E-3</v>
          </cell>
          <cell r="N172">
            <v>13.999999993247911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https://search-rtdc-monitor-bjffxe2xuh6vdkpspy63sjmuny.us-east-1.es.amazonaws.com/_plugin/kibana/#/discover/Steve-Slow-Train-Analysis-(2080s-and-2083s)?_g=(refreshInterval:(display:Off,section:0,value:0),time:(from:'2016-08-01 07:19:35-0600',mode:absolute,to:'2016-08-01 09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2" t="str">
            <v>N</v>
          </cell>
          <cell r="X172">
            <v>1</v>
          </cell>
          <cell r="Y172">
            <v>9.2899999999999996E-2</v>
          </cell>
          <cell r="Z172">
            <v>5.8975999999999997</v>
          </cell>
          <cell r="AA172">
            <v>5.8046999999999995</v>
          </cell>
          <cell r="AB172" t="e">
            <v>#N/A</v>
          </cell>
          <cell r="AC172" t="e">
            <v>#N/A</v>
          </cell>
          <cell r="AD172" t="str">
            <v>0811-01</v>
          </cell>
          <cell r="AE172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3">
          <cell r="A173" t="str">
            <v>812-01</v>
          </cell>
          <cell r="B173">
            <v>4026</v>
          </cell>
          <cell r="C173" t="str">
            <v>DE.1.0.7.0</v>
          </cell>
          <cell r="D173" t="str">
            <v>300:58658</v>
          </cell>
          <cell r="E173">
            <v>42583.35832175926</v>
          </cell>
          <cell r="F173">
            <v>42583.359050925923</v>
          </cell>
          <cell r="G173">
            <v>1</v>
          </cell>
          <cell r="H173" t="str">
            <v>204:638</v>
          </cell>
          <cell r="I173">
            <v>42583.37164351852</v>
          </cell>
          <cell r="J173">
            <v>0</v>
          </cell>
          <cell r="K173" t="str">
            <v>4025/4026</v>
          </cell>
          <cell r="L173" t="str">
            <v>ROCHA</v>
          </cell>
          <cell r="M173">
            <v>1.2592592596774921E-2</v>
          </cell>
          <cell r="N173">
            <v>18.133333339355886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https://search-rtdc-monitor-bjffxe2xuh6vdkpspy63sjmuny.us-east-1.es.amazonaws.com/_plugin/kibana/#/discover/Steve-Slow-Train-Analysis-(2080s-and-2083s)?_g=(refreshInterval:(display:Off,section:0,value:0),time:(from:'2016-08-01 07:35:59-0600',mode:absolute,to:'2016-08-01 09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3" t="str">
            <v>N</v>
          </cell>
          <cell r="X173">
            <v>1</v>
          </cell>
          <cell r="Y173">
            <v>5.8658000000000001</v>
          </cell>
          <cell r="Z173">
            <v>6.3799999999999996E-2</v>
          </cell>
          <cell r="AA173">
            <v>5.8020000000000005</v>
          </cell>
          <cell r="AB173" t="e">
            <v>#N/A</v>
          </cell>
          <cell r="AC173" t="e">
            <v>#N/A</v>
          </cell>
          <cell r="AD173" t="str">
            <v>0812-01</v>
          </cell>
          <cell r="AE173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4">
          <cell r="A174" t="str">
            <v>813-01</v>
          </cell>
          <cell r="B174">
            <v>4025</v>
          </cell>
          <cell r="C174" t="str">
            <v>DE.1.0.7.0</v>
          </cell>
          <cell r="D174" t="str">
            <v>204:929</v>
          </cell>
          <cell r="E174">
            <v>42583.388819444444</v>
          </cell>
          <cell r="F174">
            <v>42583.389490740738</v>
          </cell>
          <cell r="G174">
            <v>0</v>
          </cell>
          <cell r="H174" t="str">
            <v>300:59007</v>
          </cell>
          <cell r="I174">
            <v>42583.399664351855</v>
          </cell>
          <cell r="J174">
            <v>0</v>
          </cell>
          <cell r="K174" t="str">
            <v>4025/4026</v>
          </cell>
          <cell r="L174" t="str">
            <v>ROCHA</v>
          </cell>
          <cell r="M174">
            <v>1.0173611117352266E-2</v>
          </cell>
          <cell r="N174">
            <v>14.650000008987263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https://search-rtdc-monitor-bjffxe2xuh6vdkpspy63sjmuny.us-east-1.es.amazonaws.com/_plugin/kibana/#/discover/Steve-Slow-Train-Analysis-(2080s-and-2083s)?_g=(refreshInterval:(display:Off,section:0,value:0),time:(from:'2016-08-01 08:19:54-0600',mode:absolute,to:'2016-08-01 10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4" t="str">
            <v>N</v>
          </cell>
          <cell r="X174">
            <v>1</v>
          </cell>
          <cell r="Y174">
            <v>9.2899999999999996E-2</v>
          </cell>
          <cell r="Z174">
            <v>5.9006999999999996</v>
          </cell>
          <cell r="AA174">
            <v>5.8077999999999994</v>
          </cell>
          <cell r="AB174" t="e">
            <v>#N/A</v>
          </cell>
          <cell r="AC174" t="e">
            <v>#N/A</v>
          </cell>
          <cell r="AD174" t="str">
            <v>0813-01</v>
          </cell>
          <cell r="AE17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5">
          <cell r="A175" t="str">
            <v>814-01</v>
          </cell>
          <cell r="B175">
            <v>4026</v>
          </cell>
          <cell r="C175" t="str">
            <v>DE.1.0.7.0</v>
          </cell>
          <cell r="D175" t="str">
            <v>300:58696</v>
          </cell>
          <cell r="E175">
            <v>42583.401145833333</v>
          </cell>
          <cell r="F175">
            <v>42583.401990740742</v>
          </cell>
          <cell r="G175">
            <v>1</v>
          </cell>
          <cell r="H175" t="str">
            <v>204:647</v>
          </cell>
          <cell r="I175">
            <v>42583.412777777776</v>
          </cell>
          <cell r="J175">
            <v>0</v>
          </cell>
          <cell r="K175" t="str">
            <v>4025/4026</v>
          </cell>
          <cell r="L175" t="str">
            <v>ROCHA</v>
          </cell>
          <cell r="M175">
            <v>1.0787037033878732E-2</v>
          </cell>
          <cell r="N175">
            <v>15.533333328785375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https://search-rtdc-monitor-bjffxe2xuh6vdkpspy63sjmuny.us-east-1.es.amazonaws.com/_plugin/kibana/#/discover/Steve-Slow-Train-Analysis-(2080s-and-2083s)?_g=(refreshInterval:(display:Off,section:0,value:0),time:(from:'2016-08-01 08:37:39-0600',mode:absolute,to:'2016-08-01 10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5" t="str">
            <v>N</v>
          </cell>
          <cell r="X175">
            <v>1</v>
          </cell>
          <cell r="Y175">
            <v>5.8696000000000002</v>
          </cell>
          <cell r="Z175">
            <v>6.4699999999999994E-2</v>
          </cell>
          <cell r="AA175">
            <v>5.8048999999999999</v>
          </cell>
          <cell r="AB175" t="e">
            <v>#N/A</v>
          </cell>
          <cell r="AC175" t="e">
            <v>#N/A</v>
          </cell>
          <cell r="AD175" t="str">
            <v>0814-01</v>
          </cell>
          <cell r="AE17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6">
          <cell r="A176" t="str">
            <v>815-01</v>
          </cell>
          <cell r="B176">
            <v>4025</v>
          </cell>
          <cell r="C176" t="str">
            <v>DE.1.0.7.0</v>
          </cell>
          <cell r="D176" t="str">
            <v>204:934</v>
          </cell>
          <cell r="E176">
            <v>42583.43</v>
          </cell>
          <cell r="F176">
            <v>42583.430694444447</v>
          </cell>
          <cell r="G176">
            <v>1</v>
          </cell>
          <cell r="H176" t="str">
            <v>300:58931</v>
          </cell>
          <cell r="I176">
            <v>42583.441724537035</v>
          </cell>
          <cell r="J176">
            <v>1</v>
          </cell>
          <cell r="K176" t="str">
            <v>4025/4026</v>
          </cell>
          <cell r="L176" t="str">
            <v>ROCHA</v>
          </cell>
          <cell r="M176">
            <v>1.1030092588043772E-2</v>
          </cell>
          <cell r="N176">
            <v>15.883333326783031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https://search-rtdc-monitor-bjffxe2xuh6vdkpspy63sjmuny.us-east-1.es.amazonaws.com/_plugin/kibana/#/discover/Steve-Slow-Train-Analysis-(2080s-and-2083s)?_g=(refreshInterval:(display:Off,section:0,value:0),time:(from:'2016-08-01 09:19:12-0600',mode:absolute,to:'2016-08-01 11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6" t="str">
            <v>N</v>
          </cell>
          <cell r="X176">
            <v>1</v>
          </cell>
          <cell r="Y176">
            <v>9.3399999999999997E-2</v>
          </cell>
          <cell r="Z176">
            <v>5.8930999999999996</v>
          </cell>
          <cell r="AA176">
            <v>5.7996999999999996</v>
          </cell>
          <cell r="AB176" t="e">
            <v>#N/A</v>
          </cell>
          <cell r="AC176" t="e">
            <v>#N/A</v>
          </cell>
          <cell r="AD176" t="str">
            <v>0815-01</v>
          </cell>
          <cell r="AE176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7">
          <cell r="A177" t="str">
            <v>816-01</v>
          </cell>
          <cell r="B177">
            <v>4026</v>
          </cell>
          <cell r="C177" t="str">
            <v>DE.1.0.7.0</v>
          </cell>
          <cell r="D177" t="str">
            <v>300:58619</v>
          </cell>
          <cell r="E177">
            <v>42583.442569444444</v>
          </cell>
          <cell r="F177">
            <v>42583.443518518521</v>
          </cell>
          <cell r="G177">
            <v>1</v>
          </cell>
          <cell r="H177" t="str">
            <v>204:636</v>
          </cell>
          <cell r="I177">
            <v>42583.454722222225</v>
          </cell>
          <cell r="J177">
            <v>0</v>
          </cell>
          <cell r="K177" t="str">
            <v>4025/4026</v>
          </cell>
          <cell r="L177" t="str">
            <v>ROCHA</v>
          </cell>
          <cell r="M177">
            <v>1.1203703703358769E-2</v>
          </cell>
          <cell r="N177">
            <v>16.133333332836628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https://search-rtdc-monitor-bjffxe2xuh6vdkpspy63sjmuny.us-east-1.es.amazonaws.com/_plugin/kibana/#/discover/Steve-Slow-Train-Analysis-(2080s-and-2083s)?_g=(refreshInterval:(display:Off,section:0,value:0),time:(from:'2016-08-01 09:37:18-0600',mode:absolute,to:'2016-08-01 11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7" t="str">
            <v>N</v>
          </cell>
          <cell r="X177">
            <v>1</v>
          </cell>
          <cell r="Y177">
            <v>5.8619000000000003</v>
          </cell>
          <cell r="Z177">
            <v>6.3600000000000004E-2</v>
          </cell>
          <cell r="AA177">
            <v>5.7983000000000002</v>
          </cell>
          <cell r="AB177" t="e">
            <v>#N/A</v>
          </cell>
          <cell r="AC177" t="e">
            <v>#N/A</v>
          </cell>
          <cell r="AD177" t="str">
            <v>0816-01</v>
          </cell>
          <cell r="AE177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78">
          <cell r="A178" t="str">
            <v>817-01</v>
          </cell>
          <cell r="B178">
            <v>4025</v>
          </cell>
          <cell r="C178" t="str">
            <v>DE.1.0.7.0</v>
          </cell>
          <cell r="D178" t="str">
            <v>204:929</v>
          </cell>
          <cell r="E178">
            <v>42583.472002314818</v>
          </cell>
          <cell r="F178">
            <v>42583.472766203704</v>
          </cell>
          <cell r="G178">
            <v>1</v>
          </cell>
          <cell r="H178" t="str">
            <v>300:58975</v>
          </cell>
          <cell r="I178">
            <v>42583.483530092592</v>
          </cell>
          <cell r="J178">
            <v>1</v>
          </cell>
          <cell r="K178" t="str">
            <v>4025/4026</v>
          </cell>
          <cell r="L178" t="str">
            <v>ROCHA</v>
          </cell>
          <cell r="M178">
            <v>1.0763888887595385E-2</v>
          </cell>
          <cell r="N178">
            <v>15.499999998137355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https://search-rtdc-monitor-bjffxe2xuh6vdkpspy63sjmuny.us-east-1.es.amazonaws.com/_plugin/kibana/#/discover/Steve-Slow-Train-Analysis-(2080s-and-2083s)?_g=(refreshInterval:(display:Off,section:0,value:0),time:(from:'2016-08-01 10:19:41-0600',mode:absolute,to:'2016-08-01 12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78" t="str">
            <v>N</v>
          </cell>
          <cell r="X178">
            <v>1</v>
          </cell>
          <cell r="Y178">
            <v>9.2899999999999996E-2</v>
          </cell>
          <cell r="Z178">
            <v>5.8975</v>
          </cell>
          <cell r="AA178">
            <v>5.8045999999999998</v>
          </cell>
          <cell r="AB178" t="e">
            <v>#N/A</v>
          </cell>
          <cell r="AC178" t="e">
            <v>#N/A</v>
          </cell>
          <cell r="AD178" t="str">
            <v>0817-01</v>
          </cell>
          <cell r="AE178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79">
          <cell r="A179" t="str">
            <v>818-01</v>
          </cell>
          <cell r="B179">
            <v>4026</v>
          </cell>
          <cell r="C179" t="str">
            <v>DE.1.0.7.0</v>
          </cell>
          <cell r="D179" t="str">
            <v>300:58660</v>
          </cell>
          <cell r="E179">
            <v>42583.487743055557</v>
          </cell>
          <cell r="F179">
            <v>42583.488530092596</v>
          </cell>
          <cell r="G179">
            <v>1</v>
          </cell>
          <cell r="H179" t="str">
            <v>204:654</v>
          </cell>
          <cell r="I179">
            <v>42583.498506944445</v>
          </cell>
          <cell r="J179">
            <v>0</v>
          </cell>
          <cell r="K179" t="str">
            <v>4025/4026</v>
          </cell>
          <cell r="L179" t="str">
            <v>ROCHA</v>
          </cell>
          <cell r="M179">
            <v>9.9768518484779634E-3</v>
          </cell>
          <cell r="N179">
            <v>14.366666661808267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https://search-rtdc-monitor-bjffxe2xuh6vdkpspy63sjmuny.us-east-1.es.amazonaws.com/_plugin/kibana/#/discover/Steve-Slow-Train-Analysis-(2080s-and-2083s)?_g=(refreshInterval:(display:Off,section:0,value:0),time:(from:'2016-08-01 10:42:21-0600',mode:absolute,to:'2016-08-01 12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79" t="str">
            <v>N</v>
          </cell>
          <cell r="X179">
            <v>1</v>
          </cell>
          <cell r="Y179">
            <v>5.8659999999999997</v>
          </cell>
          <cell r="Z179">
            <v>6.54E-2</v>
          </cell>
          <cell r="AA179">
            <v>5.8005999999999993</v>
          </cell>
          <cell r="AB179" t="e">
            <v>#N/A</v>
          </cell>
          <cell r="AC179" t="e">
            <v>#N/A</v>
          </cell>
          <cell r="AD179" t="str">
            <v>0818-01</v>
          </cell>
          <cell r="AE179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0">
          <cell r="A180" t="str">
            <v>819-01</v>
          </cell>
          <cell r="B180">
            <v>4025</v>
          </cell>
          <cell r="C180" t="str">
            <v>DE.1.0.7.0</v>
          </cell>
          <cell r="D180" t="str">
            <v>204:934</v>
          </cell>
          <cell r="E180">
            <v>42583.512662037036</v>
          </cell>
          <cell r="F180">
            <v>42583.513796296298</v>
          </cell>
          <cell r="G180">
            <v>1</v>
          </cell>
          <cell r="H180" t="str">
            <v>300:58954</v>
          </cell>
          <cell r="I180">
            <v>42583.524085648147</v>
          </cell>
          <cell r="J180">
            <v>0</v>
          </cell>
          <cell r="K180" t="str">
            <v>4025/4026</v>
          </cell>
          <cell r="L180" t="str">
            <v>ROCHA</v>
          </cell>
          <cell r="M180">
            <v>1.0289351848769002E-2</v>
          </cell>
          <cell r="N180">
            <v>14.816666662227362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https://search-rtdc-monitor-bjffxe2xuh6vdkpspy63sjmuny.us-east-1.es.amazonaws.com/_plugin/kibana/#/discover/Steve-Slow-Train-Analysis-(2080s-and-2083s)?_g=(refreshInterval:(display:Off,section:0,value:0),time:(from:'2016-08-01 11:18:14-0600',mode:absolute,to:'2016-08-01 13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0" t="str">
            <v>N</v>
          </cell>
          <cell r="X180">
            <v>1</v>
          </cell>
          <cell r="Y180">
            <v>9.3399999999999997E-2</v>
          </cell>
          <cell r="Z180">
            <v>5.8954000000000004</v>
          </cell>
          <cell r="AA180">
            <v>5.8020000000000005</v>
          </cell>
          <cell r="AB180" t="e">
            <v>#N/A</v>
          </cell>
          <cell r="AC180" t="e">
            <v>#N/A</v>
          </cell>
          <cell r="AD180" t="str">
            <v>0819-01</v>
          </cell>
          <cell r="AE180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1">
          <cell r="A181" t="str">
            <v>820-01</v>
          </cell>
          <cell r="B181">
            <v>4026</v>
          </cell>
          <cell r="C181" t="str">
            <v>DE.1.0.7.0</v>
          </cell>
          <cell r="D181" t="str">
            <v>300:58638</v>
          </cell>
          <cell r="E181">
            <v>42583.527986111112</v>
          </cell>
          <cell r="F181">
            <v>42583.528587962966</v>
          </cell>
          <cell r="G181">
            <v>0</v>
          </cell>
          <cell r="H181" t="str">
            <v>204:640</v>
          </cell>
          <cell r="I181">
            <v>42583.538287037038</v>
          </cell>
          <cell r="J181">
            <v>1</v>
          </cell>
          <cell r="K181" t="str">
            <v>4025/4026</v>
          </cell>
          <cell r="L181" t="str">
            <v>ROCHA</v>
          </cell>
          <cell r="M181">
            <v>9.6990740712499246E-3</v>
          </cell>
          <cell r="N181">
            <v>13.966666662599891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https://search-rtdc-monitor-bjffxe2xuh6vdkpspy63sjmuny.us-east-1.es.amazonaws.com/_plugin/kibana/#/discover/Steve-Slow-Train-Analysis-(2080s-and-2083s)?_g=(refreshInterval:(display:Off,section:0,value:0),time:(from:'2016-08-01 11:40:18-0600',mode:absolute,to:'2016-08-01 13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1" t="str">
            <v>N</v>
          </cell>
          <cell r="X181">
            <v>1</v>
          </cell>
          <cell r="Y181">
            <v>5.8638000000000003</v>
          </cell>
          <cell r="Z181">
            <v>6.4000000000000001E-2</v>
          </cell>
          <cell r="AA181">
            <v>5.7998000000000003</v>
          </cell>
          <cell r="AB181" t="e">
            <v>#N/A</v>
          </cell>
          <cell r="AC181" t="e">
            <v>#N/A</v>
          </cell>
          <cell r="AD181" t="str">
            <v>0820-01</v>
          </cell>
          <cell r="AE181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2">
          <cell r="A182" t="str">
            <v>821-01</v>
          </cell>
          <cell r="B182">
            <v>4025</v>
          </cell>
          <cell r="C182" t="str">
            <v>DE.1.0.7.0</v>
          </cell>
          <cell r="D182" t="str">
            <v>204:937</v>
          </cell>
          <cell r="E182">
            <v>42583.551493055558</v>
          </cell>
          <cell r="F182">
            <v>42583.553298611114</v>
          </cell>
          <cell r="G182">
            <v>2</v>
          </cell>
          <cell r="H182" t="str">
            <v>300:58920</v>
          </cell>
          <cell r="I182">
            <v>42583.567812499998</v>
          </cell>
          <cell r="J182">
            <v>0</v>
          </cell>
          <cell r="K182" t="str">
            <v>4025/4026</v>
          </cell>
          <cell r="L182" t="str">
            <v>SWANSON</v>
          </cell>
          <cell r="M182">
            <v>1.4513888883811887E-2</v>
          </cell>
          <cell r="N182">
            <v>20.899999992689118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https://search-rtdc-monitor-bjffxe2xuh6vdkpspy63sjmuny.us-east-1.es.amazonaws.com/_plugin/kibana/#/discover/Steve-Slow-Train-Analysis-(2080s-and-2083s)?_g=(refreshInterval:(display:Off,section:0,value:0),time:(from:'2016-08-01 12:14:09-0600',mode:absolute,to:'2016-08-01 14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2" t="str">
            <v>N</v>
          </cell>
          <cell r="X182">
            <v>1</v>
          </cell>
          <cell r="Y182">
            <v>9.3700000000000006E-2</v>
          </cell>
          <cell r="Z182">
            <v>5.8920000000000003</v>
          </cell>
          <cell r="AA182">
            <v>5.7983000000000002</v>
          </cell>
          <cell r="AB182" t="e">
            <v>#N/A</v>
          </cell>
          <cell r="AC182" t="e">
            <v>#N/A</v>
          </cell>
          <cell r="AD182" t="str">
            <v>0821-01</v>
          </cell>
          <cell r="AE182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3">
          <cell r="A183" t="str">
            <v>822-01</v>
          </cell>
          <cell r="B183">
            <v>4026</v>
          </cell>
          <cell r="C183" t="str">
            <v>DE.1.0.7.0</v>
          </cell>
          <cell r="D183" t="str">
            <v>300:58608</v>
          </cell>
          <cell r="E183">
            <v>42583.569328703707</v>
          </cell>
          <cell r="F183">
            <v>42583.570347222223</v>
          </cell>
          <cell r="G183">
            <v>1</v>
          </cell>
          <cell r="H183" t="str">
            <v>204:663</v>
          </cell>
          <cell r="I183">
            <v>42583.580775462964</v>
          </cell>
          <cell r="J183">
            <v>0</v>
          </cell>
          <cell r="K183" t="str">
            <v>4025/4026</v>
          </cell>
          <cell r="L183" t="str">
            <v>SWANSON</v>
          </cell>
          <cell r="M183">
            <v>1.0428240741021E-2</v>
          </cell>
          <cell r="N183">
            <v>15.01666666707024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https://search-rtdc-monitor-bjffxe2xuh6vdkpspy63sjmuny.us-east-1.es.amazonaws.com/_plugin/kibana/#/discover/Steve-Slow-Train-Analysis-(2080s-and-2083s)?_g=(refreshInterval:(display:Off,section:0,value:0),time:(from:'2016-08-01 12:39:50-0600',mode:absolute,to:'2016-08-01 14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3" t="str">
            <v>N</v>
          </cell>
          <cell r="X183">
            <v>1</v>
          </cell>
          <cell r="Y183">
            <v>5.8608000000000002</v>
          </cell>
          <cell r="Z183">
            <v>6.6299999999999998E-2</v>
          </cell>
          <cell r="AA183">
            <v>5.7945000000000002</v>
          </cell>
          <cell r="AB183" t="e">
            <v>#N/A</v>
          </cell>
          <cell r="AC183" t="e">
            <v>#N/A</v>
          </cell>
          <cell r="AD183" t="str">
            <v>0822-01</v>
          </cell>
          <cell r="AE183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4">
          <cell r="A184" t="str">
            <v>823-01</v>
          </cell>
          <cell r="B184">
            <v>4025</v>
          </cell>
          <cell r="C184" t="str">
            <v>DE.1.0.7.0</v>
          </cell>
          <cell r="D184" t="str">
            <v>204:955</v>
          </cell>
          <cell r="E184">
            <v>42583.592199074075</v>
          </cell>
          <cell r="F184">
            <v>42583.593356481484</v>
          </cell>
          <cell r="G184">
            <v>1</v>
          </cell>
          <cell r="H184" t="str">
            <v>300:58920</v>
          </cell>
          <cell r="I184">
            <v>42583.60900462963</v>
          </cell>
          <cell r="J184">
            <v>0</v>
          </cell>
          <cell r="K184" t="str">
            <v>4025/4026</v>
          </cell>
          <cell r="L184" t="str">
            <v>SWANSON</v>
          </cell>
          <cell r="M184">
            <v>1.5648148146283347E-2</v>
          </cell>
          <cell r="N184">
            <v>22.53333333064802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https://search-rtdc-monitor-bjffxe2xuh6vdkpspy63sjmuny.us-east-1.es.amazonaws.com/_plugin/kibana/#/discover/Steve-Slow-Train-Analysis-(2080s-and-2083s)?_g=(refreshInterval:(display:Off,section:0,value:0),time:(from:'2016-08-01 13:12:46-0600',mode:absolute,to:'2016-08-01 15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4" t="str">
            <v>N</v>
          </cell>
          <cell r="X184">
            <v>1</v>
          </cell>
          <cell r="Y184">
            <v>9.5500000000000002E-2</v>
          </cell>
          <cell r="Z184">
            <v>5.8920000000000003</v>
          </cell>
          <cell r="AA184">
            <v>5.7965</v>
          </cell>
          <cell r="AB184" t="e">
            <v>#N/A</v>
          </cell>
          <cell r="AC184" t="e">
            <v>#N/A</v>
          </cell>
          <cell r="AD184" t="str">
            <v>0823-01</v>
          </cell>
          <cell r="AE18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5">
          <cell r="A185" t="str">
            <v>824-01</v>
          </cell>
          <cell r="B185">
            <v>4026</v>
          </cell>
          <cell r="C185" t="str">
            <v>DE.1.0.7.0</v>
          </cell>
          <cell r="D185" t="str">
            <v>300:58602</v>
          </cell>
          <cell r="E185">
            <v>42583.612060185187</v>
          </cell>
          <cell r="F185">
            <v>42583.613009259258</v>
          </cell>
          <cell r="G185">
            <v>1</v>
          </cell>
          <cell r="H185" t="str">
            <v>204:645</v>
          </cell>
          <cell r="I185">
            <v>42583.623437499999</v>
          </cell>
          <cell r="J185">
            <v>0</v>
          </cell>
          <cell r="K185" t="str">
            <v>4025/4026</v>
          </cell>
          <cell r="L185" t="str">
            <v>SWANSON</v>
          </cell>
          <cell r="M185">
            <v>1.0428240741021E-2</v>
          </cell>
          <cell r="N185">
            <v>15.01666666707024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https://search-rtdc-monitor-bjffxe2xuh6vdkpspy63sjmuny.us-east-1.es.amazonaws.com/_plugin/kibana/#/discover/Steve-Slow-Train-Analysis-(2080s-and-2083s)?_g=(refreshInterval:(display:Off,section:0,value:0),time:(from:'2016-08-01 13:41:22-0600',mode:absolute,to:'2016-08-01 15:57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5" t="str">
            <v>N</v>
          </cell>
          <cell r="X185">
            <v>1</v>
          </cell>
          <cell r="Y185">
            <v>5.8601999999999999</v>
          </cell>
          <cell r="Z185">
            <v>6.4500000000000002E-2</v>
          </cell>
          <cell r="AA185">
            <v>5.7957000000000001</v>
          </cell>
          <cell r="AB185" t="e">
            <v>#N/A</v>
          </cell>
          <cell r="AC185" t="e">
            <v>#N/A</v>
          </cell>
          <cell r="AD185" t="str">
            <v>0824-01</v>
          </cell>
          <cell r="AE18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6">
          <cell r="A186" t="str">
            <v>825-01</v>
          </cell>
          <cell r="B186">
            <v>4025</v>
          </cell>
          <cell r="C186" t="str">
            <v>DE.1.0.7.0</v>
          </cell>
          <cell r="D186" t="str">
            <v>204:1091</v>
          </cell>
          <cell r="E186">
            <v>42583.639016203706</v>
          </cell>
          <cell r="F186">
            <v>42583.643368055556</v>
          </cell>
          <cell r="G186">
            <v>6</v>
          </cell>
          <cell r="H186" t="str">
            <v>300:58924</v>
          </cell>
          <cell r="I186">
            <v>42583.653877314813</v>
          </cell>
          <cell r="J186">
            <v>0</v>
          </cell>
          <cell r="K186" t="str">
            <v>4025/4026</v>
          </cell>
          <cell r="L186" t="str">
            <v>SWANSON</v>
          </cell>
          <cell r="M186">
            <v>1.0509259256650694E-2</v>
          </cell>
          <cell r="N186">
            <v>15.133333329576999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https://search-rtdc-monitor-bjffxe2xuh6vdkpspy63sjmuny.us-east-1.es.amazonaws.com/_plugin/kibana/#/discover/Steve-Slow-Train-Analysis-(2080s-and-2083s)?_g=(refreshInterval:(display:Off,section:0,value:0),time:(from:'2016-08-01 14:20:11-0600',mode:absolute,to:'2016-08-01 16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86" t="str">
            <v>N</v>
          </cell>
          <cell r="X186">
            <v>1</v>
          </cell>
          <cell r="Y186">
            <v>0.1091</v>
          </cell>
          <cell r="Z186">
            <v>5.8924000000000003</v>
          </cell>
          <cell r="AA186">
            <v>5.7833000000000006</v>
          </cell>
          <cell r="AB186" t="e">
            <v>#N/A</v>
          </cell>
          <cell r="AC186" t="e">
            <v>#N/A</v>
          </cell>
          <cell r="AD186" t="str">
            <v>0825-01</v>
          </cell>
          <cell r="AE186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87">
          <cell r="A187" t="str">
            <v>826-01</v>
          </cell>
          <cell r="B187">
            <v>4026</v>
          </cell>
          <cell r="C187" t="str">
            <v>DE.1.0.7.0</v>
          </cell>
          <cell r="D187" t="str">
            <v>300:58609</v>
          </cell>
          <cell r="E187">
            <v>42583.654664351852</v>
          </cell>
          <cell r="F187">
            <v>42583.656134259261</v>
          </cell>
          <cell r="G187">
            <v>2</v>
          </cell>
          <cell r="H187" t="str">
            <v>204:705</v>
          </cell>
          <cell r="I187">
            <v>42583.66609953704</v>
          </cell>
          <cell r="J187">
            <v>0</v>
          </cell>
          <cell r="K187" t="str">
            <v>4025/4026</v>
          </cell>
          <cell r="L187" t="str">
            <v>SWANSON</v>
          </cell>
          <cell r="M187">
            <v>9.9652777789742686E-3</v>
          </cell>
          <cell r="N187">
            <v>14.350000001722947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https://search-rtdc-monitor-bjffxe2xuh6vdkpspy63sjmuny.us-east-1.es.amazonaws.com/_plugin/kibana/#/discover/Steve-Slow-Train-Analysis-(2080s-and-2083s)?_g=(refreshInterval:(display:Off,section:0,value:0),time:(from:'2016-08-01 14:42:43-0600',mode:absolute,to:'2016-08-01 16:59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87" t="str">
            <v>N</v>
          </cell>
          <cell r="X187">
            <v>1</v>
          </cell>
          <cell r="Y187">
            <v>5.8609</v>
          </cell>
          <cell r="Z187">
            <v>7.0499999999999993E-2</v>
          </cell>
          <cell r="AA187">
            <v>5.7904</v>
          </cell>
          <cell r="AB187" t="e">
            <v>#N/A</v>
          </cell>
          <cell r="AC187" t="e">
            <v>#N/A</v>
          </cell>
          <cell r="AD187" t="str">
            <v>0826-01</v>
          </cell>
          <cell r="AE187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88">
          <cell r="A188" t="str">
            <v>827-01</v>
          </cell>
          <cell r="B188">
            <v>4042</v>
          </cell>
          <cell r="C188" t="str">
            <v>DE.1.0.7.0</v>
          </cell>
          <cell r="D188" t="str">
            <v>204:897</v>
          </cell>
          <cell r="E188">
            <v>42583.655729166669</v>
          </cell>
          <cell r="F188">
            <v>42583.656736111108</v>
          </cell>
          <cell r="G188">
            <v>1</v>
          </cell>
          <cell r="H188" t="str">
            <v>300:58926</v>
          </cell>
          <cell r="I188">
            <v>42583.672442129631</v>
          </cell>
          <cell r="J188">
            <v>1</v>
          </cell>
          <cell r="K188" t="str">
            <v>4041/4042</v>
          </cell>
          <cell r="L188" t="str">
            <v>COOLAHAN</v>
          </cell>
          <cell r="M188">
            <v>1.5706018522905651E-2</v>
          </cell>
          <cell r="N188">
            <v>22.616666672984138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https://search-rtdc-monitor-bjffxe2xuh6vdkpspy63sjmuny.us-east-1.es.amazonaws.com/_plugin/kibana/#/discover/Steve-Slow-Train-Analysis-(2080s-and-2083s)?_g=(refreshInterval:(display:Off,section:0,value:0),time:(from:'2016-08-01 14:44:15-0600',mode:absolute,to:'2016-08-01 17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88" t="str">
            <v>N</v>
          </cell>
          <cell r="X188">
            <v>1</v>
          </cell>
          <cell r="Y188">
            <v>8.9700000000000002E-2</v>
          </cell>
          <cell r="Z188">
            <v>5.8925999999999998</v>
          </cell>
          <cell r="AA188">
            <v>5.8029000000000002</v>
          </cell>
          <cell r="AB188" t="e">
            <v>#N/A</v>
          </cell>
          <cell r="AC188" t="e">
            <v>#N/A</v>
          </cell>
          <cell r="AD188" t="str">
            <v>0827-01</v>
          </cell>
          <cell r="AE188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89">
          <cell r="A189" t="str">
            <v>828-01</v>
          </cell>
          <cell r="B189">
            <v>4041</v>
          </cell>
          <cell r="C189" t="str">
            <v>DE.1.0.7.0</v>
          </cell>
          <cell r="D189" t="str">
            <v>300:58707</v>
          </cell>
          <cell r="E189">
            <v>42583.67391203704</v>
          </cell>
          <cell r="F189">
            <v>42583.674895833334</v>
          </cell>
          <cell r="G189">
            <v>1</v>
          </cell>
          <cell r="H189" t="str">
            <v>204:661</v>
          </cell>
          <cell r="I189">
            <v>42583.688310185185</v>
          </cell>
          <cell r="J189">
            <v>0</v>
          </cell>
          <cell r="K189" t="str">
            <v>4041/4042</v>
          </cell>
          <cell r="L189" t="str">
            <v>COOLAHAN</v>
          </cell>
          <cell r="M189">
            <v>1.3414351851679385E-2</v>
          </cell>
          <cell r="N189">
            <v>19.316666666418314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https://search-rtdc-monitor-bjffxe2xuh6vdkpspy63sjmuny.us-east-1.es.amazonaws.com/_plugin/kibana/#/discover/Steve-Slow-Train-Analysis-(2080s-and-2083s)?_g=(refreshInterval:(display:Off,section:0,value:0),time:(from:'2016-08-01 15:10:26-0600',mode:absolute,to:'2016-08-01 17:31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89" t="str">
            <v>N</v>
          </cell>
          <cell r="X189">
            <v>1</v>
          </cell>
          <cell r="Y189">
            <v>5.8707000000000003</v>
          </cell>
          <cell r="Z189">
            <v>6.6100000000000006E-2</v>
          </cell>
          <cell r="AA189">
            <v>5.8046000000000006</v>
          </cell>
          <cell r="AB189" t="e">
            <v>#N/A</v>
          </cell>
          <cell r="AC189" t="e">
            <v>#N/A</v>
          </cell>
          <cell r="AD189" t="str">
            <v>0828-01</v>
          </cell>
          <cell r="AE189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90">
          <cell r="A190" t="str">
            <v>829-01</v>
          </cell>
          <cell r="B190">
            <v>4025</v>
          </cell>
          <cell r="C190" t="str">
            <v>DE.1.0.7.0</v>
          </cell>
          <cell r="D190" t="str">
            <v>204:993</v>
          </cell>
          <cell r="E190">
            <v>42583.675578703704</v>
          </cell>
          <cell r="F190">
            <v>42583.676550925928</v>
          </cell>
          <cell r="G190">
            <v>1</v>
          </cell>
          <cell r="H190" t="str">
            <v>300:58918</v>
          </cell>
          <cell r="I190">
            <v>42583.691944444443</v>
          </cell>
          <cell r="J190">
            <v>0</v>
          </cell>
          <cell r="K190" t="str">
            <v>4025/4026</v>
          </cell>
          <cell r="L190" t="str">
            <v>SWANSON</v>
          </cell>
          <cell r="M190">
            <v>1.5393518515338656E-2</v>
          </cell>
          <cell r="N190">
            <v>22.166666662087664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https://search-rtdc-monitor-bjffxe2xuh6vdkpspy63sjmuny.us-east-1.es.amazonaws.com/_plugin/kibana/#/discover/Steve-Slow-Train-Analysis-(2080s-and-2083s)?_g=(refreshInterval:(display:Off,section:0,value:0),time:(from:'2016-08-01 15:12:50-0600',mode:absolute,to:'2016-08-01 17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0" t="str">
            <v>N</v>
          </cell>
          <cell r="X190">
            <v>1</v>
          </cell>
          <cell r="Y190">
            <v>9.9299999999999999E-2</v>
          </cell>
          <cell r="Z190">
            <v>5.8917999999999999</v>
          </cell>
          <cell r="AA190">
            <v>5.7924999999999995</v>
          </cell>
          <cell r="AB190" t="e">
            <v>#N/A</v>
          </cell>
          <cell r="AC190" t="e">
            <v>#N/A</v>
          </cell>
          <cell r="AD190" t="str">
            <v>0829-01</v>
          </cell>
          <cell r="AE190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91">
          <cell r="A191" t="str">
            <v>830-01</v>
          </cell>
          <cell r="B191">
            <v>4026</v>
          </cell>
          <cell r="C191" t="str">
            <v>DE.1.0.7.0</v>
          </cell>
          <cell r="D191" t="str">
            <v>300:58606</v>
          </cell>
          <cell r="E191">
            <v>42583.693032407406</v>
          </cell>
          <cell r="F191">
            <v>42583.694745370369</v>
          </cell>
          <cell r="G191">
            <v>2</v>
          </cell>
          <cell r="H191" t="str">
            <v>204:678</v>
          </cell>
          <cell r="I191">
            <v>42583.705879629626</v>
          </cell>
          <cell r="J191">
            <v>0</v>
          </cell>
          <cell r="K191" t="str">
            <v>4025/4026</v>
          </cell>
          <cell r="L191" t="str">
            <v>SWANSON</v>
          </cell>
          <cell r="M191">
            <v>1.113425925723277E-2</v>
          </cell>
          <cell r="N191">
            <v>16.033333330415189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https://search-rtdc-monitor-bjffxe2xuh6vdkpspy63sjmuny.us-east-1.es.amazonaws.com/_plugin/kibana/#/discover/Steve-Slow-Train-Analysis-(2080s-and-2083s)?_g=(refreshInterval:(display:Off,section:0,value:0),time:(from:'2016-08-01 15:37:58-0600',mode:absolute,to:'2016-08-01 17:56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1" t="str">
            <v>N</v>
          </cell>
          <cell r="X191">
            <v>1</v>
          </cell>
          <cell r="Y191">
            <v>5.8605999999999998</v>
          </cell>
          <cell r="Z191">
            <v>6.7799999999999999E-2</v>
          </cell>
          <cell r="AA191">
            <v>5.7927999999999997</v>
          </cell>
          <cell r="AB191" t="e">
            <v>#N/A</v>
          </cell>
          <cell r="AC191" t="e">
            <v>#N/A</v>
          </cell>
          <cell r="AD191" t="str">
            <v>0830-01</v>
          </cell>
          <cell r="AE191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92">
          <cell r="A192" t="str">
            <v>831-01</v>
          </cell>
          <cell r="B192">
            <v>4042</v>
          </cell>
          <cell r="C192" t="str">
            <v>DE.1.0.7.0</v>
          </cell>
          <cell r="D192" t="str">
            <v>204:955</v>
          </cell>
          <cell r="E192">
            <v>42583.698865740742</v>
          </cell>
          <cell r="F192">
            <v>42583.700312499997</v>
          </cell>
          <cell r="G192">
            <v>2</v>
          </cell>
          <cell r="H192" t="str">
            <v>300:58784</v>
          </cell>
          <cell r="I192">
            <v>42583.713171296295</v>
          </cell>
          <cell r="J192">
            <v>1</v>
          </cell>
          <cell r="K192" t="str">
            <v>4041/4042</v>
          </cell>
          <cell r="L192" t="str">
            <v>COOLAHAN</v>
          </cell>
          <cell r="M192">
            <v>1.2858796297223307E-2</v>
          </cell>
          <cell r="N192">
            <v>18.516666668001562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https://search-rtdc-monitor-bjffxe2xuh6vdkpspy63sjmuny.us-east-1.es.amazonaws.com/_plugin/kibana/#/discover/Steve-Slow-Train-Analysis-(2080s-and-2083s)?_g=(refreshInterval:(display:Off,section:0,value:0),time:(from:'2016-08-01 15:46:22-0600',mode:absolute,to:'2016-08-01 18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2" t="str">
            <v>N</v>
          </cell>
          <cell r="X192">
            <v>1</v>
          </cell>
          <cell r="Y192">
            <v>9.5500000000000002E-2</v>
          </cell>
          <cell r="Z192">
            <v>5.8784000000000001</v>
          </cell>
          <cell r="AA192">
            <v>5.7828999999999997</v>
          </cell>
          <cell r="AB192" t="e">
            <v>#N/A</v>
          </cell>
          <cell r="AC192" t="e">
            <v>#N/A</v>
          </cell>
          <cell r="AD192" t="str">
            <v>0831-01</v>
          </cell>
          <cell r="AE192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93">
          <cell r="A193" t="str">
            <v>832-01</v>
          </cell>
          <cell r="B193">
            <v>4041</v>
          </cell>
          <cell r="C193" t="str">
            <v>DE.1.0.7.0</v>
          </cell>
          <cell r="D193" t="str">
            <v>300:58666</v>
          </cell>
          <cell r="E193">
            <v>42583.714270833334</v>
          </cell>
          <cell r="F193">
            <v>42583.715266203704</v>
          </cell>
          <cell r="G193">
            <v>1</v>
          </cell>
          <cell r="H193" t="str">
            <v>204:710</v>
          </cell>
          <cell r="I193">
            <v>42583.726087962961</v>
          </cell>
          <cell r="J193">
            <v>0</v>
          </cell>
          <cell r="K193" t="str">
            <v>4041/4042</v>
          </cell>
          <cell r="L193" t="str">
            <v>COOLAHAN</v>
          </cell>
          <cell r="M193">
            <v>1.0821759256941732E-2</v>
          </cell>
          <cell r="N193">
            <v>15.583333329996094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https://search-rtdc-monitor-bjffxe2xuh6vdkpspy63sjmuny.us-east-1.es.amazonaws.com/_plugin/kibana/#/discover/Steve-Slow-Train-Analysis-(2080s-and-2083s)?_g=(refreshInterval:(display:Off,section:0,value:0),time:(from:'2016-08-01 16:08:33-0600',mode:absolute,to:'2016-08-01 18:25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3" t="str">
            <v>N</v>
          </cell>
          <cell r="X193">
            <v>1</v>
          </cell>
          <cell r="Y193">
            <v>5.8666</v>
          </cell>
          <cell r="Z193">
            <v>7.0999999999999994E-2</v>
          </cell>
          <cell r="AA193">
            <v>5.7956000000000003</v>
          </cell>
          <cell r="AB193" t="e">
            <v>#N/A</v>
          </cell>
          <cell r="AC193" t="e">
            <v>#N/A</v>
          </cell>
          <cell r="AD193" t="str">
            <v>0832-01</v>
          </cell>
          <cell r="AE193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94">
          <cell r="A194" t="str">
            <v>833-01</v>
          </cell>
          <cell r="B194">
            <v>4025</v>
          </cell>
          <cell r="C194" t="str">
            <v>DE.1.0.7.0</v>
          </cell>
          <cell r="D194" t="str">
            <v>204:965</v>
          </cell>
          <cell r="E194">
            <v>42583.717673611114</v>
          </cell>
          <cell r="F194">
            <v>42583.71875</v>
          </cell>
          <cell r="G194">
            <v>1</v>
          </cell>
          <cell r="H194" t="str">
            <v>300:58929</v>
          </cell>
          <cell r="I194">
            <v>42583.733344907407</v>
          </cell>
          <cell r="J194">
            <v>1</v>
          </cell>
          <cell r="K194" t="str">
            <v>4025/4026</v>
          </cell>
          <cell r="L194" t="str">
            <v>SWANSON</v>
          </cell>
          <cell r="M194">
            <v>1.4594907406717539E-2</v>
          </cell>
          <cell r="N194">
            <v>21.016666665673256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https://search-rtdc-monitor-bjffxe2xuh6vdkpspy63sjmuny.us-east-1.es.amazonaws.com/_plugin/kibana/#/discover/Steve-Slow-Train-Analysis-(2080s-and-2083s)?_g=(refreshInterval:(display:Off,section:0,value:0),time:(from:'2016-08-01 16:13:27-0600',mode:absolute,to:'2016-08-01 18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4" t="str">
            <v>N</v>
          </cell>
          <cell r="X194">
            <v>1</v>
          </cell>
          <cell r="Y194">
            <v>9.6500000000000002E-2</v>
          </cell>
          <cell r="Z194">
            <v>5.8929</v>
          </cell>
          <cell r="AA194">
            <v>5.7964000000000002</v>
          </cell>
          <cell r="AB194" t="e">
            <v>#N/A</v>
          </cell>
          <cell r="AC194" t="e">
            <v>#N/A</v>
          </cell>
          <cell r="AD194" t="str">
            <v>0833-01</v>
          </cell>
          <cell r="AE19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95">
          <cell r="A195" t="str">
            <v>834-01</v>
          </cell>
          <cell r="B195">
            <v>4026</v>
          </cell>
          <cell r="C195" t="str">
            <v>DE.1.0.7.0</v>
          </cell>
          <cell r="D195" t="str">
            <v>300:58609</v>
          </cell>
          <cell r="E195">
            <v>42583.734409722223</v>
          </cell>
          <cell r="F195">
            <v>42583.73542824074</v>
          </cell>
          <cell r="G195">
            <v>1</v>
          </cell>
          <cell r="H195" t="str">
            <v>204:689</v>
          </cell>
          <cell r="I195">
            <v>42583.74796296296</v>
          </cell>
          <cell r="J195">
            <v>0</v>
          </cell>
          <cell r="K195" t="str">
            <v>4025/4026</v>
          </cell>
          <cell r="L195" t="str">
            <v>SWANSON</v>
          </cell>
          <cell r="M195">
            <v>1.2534722220152617E-2</v>
          </cell>
          <cell r="N195">
            <v>18.049999997019768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https://search-rtdc-monitor-bjffxe2xuh6vdkpspy63sjmuny.us-east-1.es.amazonaws.com/_plugin/kibana/#/discover/Steve-Slow-Train-Analysis-(2080s-and-2083s)?_g=(refreshInterval:(display:Off,section:0,value:0),time:(from:'2016-08-01 16:37:33-0600',mode:absolute,to:'2016-08-01 18:57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5" t="str">
            <v>N</v>
          </cell>
          <cell r="X195">
            <v>1</v>
          </cell>
          <cell r="Y195">
            <v>5.8609</v>
          </cell>
          <cell r="Z195">
            <v>6.8900000000000003E-2</v>
          </cell>
          <cell r="AA195">
            <v>5.7919999999999998</v>
          </cell>
          <cell r="AB195" t="e">
            <v>#N/A</v>
          </cell>
          <cell r="AC195" t="e">
            <v>#N/A</v>
          </cell>
          <cell r="AD195" t="str">
            <v>0834-01</v>
          </cell>
          <cell r="AE19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196">
          <cell r="A196" t="str">
            <v>835-01</v>
          </cell>
          <cell r="B196">
            <v>4042</v>
          </cell>
          <cell r="C196" t="str">
            <v>DE.1.0.7.0</v>
          </cell>
          <cell r="D196" t="str">
            <v>204:990</v>
          </cell>
          <cell r="E196">
            <v>42583.739652777775</v>
          </cell>
          <cell r="F196">
            <v>42583.740983796299</v>
          </cell>
          <cell r="G196">
            <v>1</v>
          </cell>
          <cell r="H196" t="str">
            <v>300:58978</v>
          </cell>
          <cell r="I196">
            <v>42583.756157407406</v>
          </cell>
          <cell r="J196">
            <v>0</v>
          </cell>
          <cell r="K196" t="str">
            <v>4041/4042</v>
          </cell>
          <cell r="L196" t="str">
            <v>COOLAHAN</v>
          </cell>
          <cell r="M196">
            <v>1.5173611107456964E-2</v>
          </cell>
          <cell r="N196">
            <v>21.849999994738027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https://search-rtdc-monitor-bjffxe2xuh6vdkpspy63sjmuny.us-east-1.es.amazonaws.com/_plugin/kibana/#/discover/Steve-Slow-Train-Analysis-(2080s-and-2083s)?_g=(refreshInterval:(display:Off,section:0,value:0),time:(from:'2016-08-01 16:45:06-0600',mode:absolute,to:'2016-08-01 19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196" t="str">
            <v>N</v>
          </cell>
          <cell r="X196">
            <v>1</v>
          </cell>
          <cell r="Y196">
            <v>9.9000000000000005E-2</v>
          </cell>
          <cell r="Z196">
            <v>5.8978000000000002</v>
          </cell>
          <cell r="AA196">
            <v>5.7988</v>
          </cell>
          <cell r="AB196" t="e">
            <v>#N/A</v>
          </cell>
          <cell r="AC196" t="e">
            <v>#N/A</v>
          </cell>
          <cell r="AD196" t="str">
            <v>0835-01</v>
          </cell>
          <cell r="AE196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197">
          <cell r="A197" t="str">
            <v>836-01</v>
          </cell>
          <cell r="B197">
            <v>4041</v>
          </cell>
          <cell r="C197" t="str">
            <v>DE.1.0.7.0</v>
          </cell>
          <cell r="D197" t="str">
            <v>300:58655</v>
          </cell>
          <cell r="E197">
            <v>42583.757118055553</v>
          </cell>
          <cell r="F197">
            <v>42583.758020833331</v>
          </cell>
          <cell r="G197">
            <v>1</v>
          </cell>
          <cell r="H197" t="str">
            <v>204:726</v>
          </cell>
          <cell r="I197">
            <v>42583.768761574072</v>
          </cell>
          <cell r="J197">
            <v>0</v>
          </cell>
          <cell r="K197" t="str">
            <v>4041/4042</v>
          </cell>
          <cell r="L197" t="str">
            <v>COOLAHAN</v>
          </cell>
          <cell r="M197">
            <v>1.0740740741312038E-2</v>
          </cell>
          <cell r="N197">
            <v>15.466666667489335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https://search-rtdc-monitor-bjffxe2xuh6vdkpspy63sjmuny.us-east-1.es.amazonaws.com/_plugin/kibana/#/discover/Steve-Slow-Train-Analysis-(2080s-and-2083s)?_g=(refreshInterval:(display:Off,section:0,value:0),time:(from:'2016-08-01 17:10:15-0600',mode:absolute,to:'2016-08-01 19:27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197" t="str">
            <v>N</v>
          </cell>
          <cell r="X197">
            <v>1</v>
          </cell>
          <cell r="Y197">
            <v>5.8654999999999999</v>
          </cell>
          <cell r="Z197">
            <v>7.2599999999999998E-2</v>
          </cell>
          <cell r="AA197">
            <v>5.7928999999999995</v>
          </cell>
          <cell r="AB197" t="e">
            <v>#N/A</v>
          </cell>
          <cell r="AC197" t="e">
            <v>#N/A</v>
          </cell>
          <cell r="AD197" t="str">
            <v>0836-01</v>
          </cell>
          <cell r="AE197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198">
          <cell r="A198" t="str">
            <v>837-01</v>
          </cell>
          <cell r="B198">
            <v>4025</v>
          </cell>
          <cell r="C198" t="str">
            <v>DE.1.0.7.0</v>
          </cell>
          <cell r="D198" t="str">
            <v>204:976</v>
          </cell>
          <cell r="E198">
            <v>42583.757476851853</v>
          </cell>
          <cell r="F198">
            <v>42583.758784722224</v>
          </cell>
          <cell r="G198">
            <v>1</v>
          </cell>
          <cell r="H198" t="str">
            <v>300:58926</v>
          </cell>
          <cell r="I198">
            <v>42583.775405092594</v>
          </cell>
          <cell r="J198">
            <v>1</v>
          </cell>
          <cell r="K198" t="str">
            <v>4025/4026</v>
          </cell>
          <cell r="L198" t="str">
            <v>SWANSON</v>
          </cell>
          <cell r="M198">
            <v>1.6620370370219462E-2</v>
          </cell>
          <cell r="N198">
            <v>23.933333333116025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https://search-rtdc-monitor-bjffxe2xuh6vdkpspy63sjmuny.us-east-1.es.amazonaws.com/_plugin/kibana/#/discover/Steve-Slow-Train-Analysis-(2080s-and-2083s)?_g=(refreshInterval:(display:Off,section:0,value:0),time:(from:'2016-08-01 17:10:46-0600',mode:absolute,to:'2016-08-01 19:36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198" t="str">
            <v>N</v>
          </cell>
          <cell r="X198">
            <v>1</v>
          </cell>
          <cell r="Y198">
            <v>9.7600000000000006E-2</v>
          </cell>
          <cell r="Z198">
            <v>5.8925999999999998</v>
          </cell>
          <cell r="AA198">
            <v>5.7949999999999999</v>
          </cell>
          <cell r="AB198" t="e">
            <v>#N/A</v>
          </cell>
          <cell r="AC198" t="e">
            <v>#N/A</v>
          </cell>
          <cell r="AD198" t="str">
            <v>0837-01</v>
          </cell>
          <cell r="AE198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199">
          <cell r="A199" t="str">
            <v>838-01</v>
          </cell>
          <cell r="B199">
            <v>4026</v>
          </cell>
          <cell r="C199" t="str">
            <v>DE.1.0.7.0</v>
          </cell>
          <cell r="D199" t="str">
            <v>300:58611</v>
          </cell>
          <cell r="E199">
            <v>42583.776620370372</v>
          </cell>
          <cell r="F199">
            <v>42583.777858796297</v>
          </cell>
          <cell r="G199">
            <v>1</v>
          </cell>
          <cell r="H199" t="str">
            <v>204:675</v>
          </cell>
          <cell r="I199">
            <v>42583.788206018522</v>
          </cell>
          <cell r="J199">
            <v>0</v>
          </cell>
          <cell r="K199" t="str">
            <v>4025/4026</v>
          </cell>
          <cell r="L199" t="str">
            <v>SWANSON</v>
          </cell>
          <cell r="M199">
            <v>1.0347222225391306E-2</v>
          </cell>
          <cell r="N199">
            <v>14.900000004563481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https://search-rtdc-monitor-bjffxe2xuh6vdkpspy63sjmuny.us-east-1.es.amazonaws.com/_plugin/kibana/#/discover/Steve-Slow-Train-Analysis-(2080s-and-2083s)?_g=(refreshInterval:(display:Off,section:0,value:0),time:(from:'2016-08-01 17:38:20-0600',mode:absolute,to:'2016-08-01 19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199" t="str">
            <v>N</v>
          </cell>
          <cell r="X199">
            <v>1</v>
          </cell>
          <cell r="Y199">
            <v>5.8611000000000004</v>
          </cell>
          <cell r="Z199">
            <v>6.7500000000000004E-2</v>
          </cell>
          <cell r="AA199">
            <v>5.7936000000000005</v>
          </cell>
          <cell r="AB199" t="e">
            <v>#N/A</v>
          </cell>
          <cell r="AC199" t="e">
            <v>#N/A</v>
          </cell>
          <cell r="AD199" t="str">
            <v>0838-01</v>
          </cell>
          <cell r="AE199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0">
          <cell r="A200" t="str">
            <v>839-01</v>
          </cell>
          <cell r="B200">
            <v>4042</v>
          </cell>
          <cell r="C200" t="str">
            <v>DE.1.0.7.0</v>
          </cell>
          <cell r="D200" t="str">
            <v>204:1016</v>
          </cell>
          <cell r="E200">
            <v>42583.780046296299</v>
          </cell>
          <cell r="F200">
            <v>42583.78125</v>
          </cell>
          <cell r="G200">
            <v>1</v>
          </cell>
          <cell r="H200" t="str">
            <v>300:58939</v>
          </cell>
          <cell r="I200">
            <v>42583.796585648146</v>
          </cell>
          <cell r="J200">
            <v>0</v>
          </cell>
          <cell r="K200" t="str">
            <v>4041/4042</v>
          </cell>
          <cell r="L200" t="str">
            <v>COOLAHAN</v>
          </cell>
          <cell r="M200">
            <v>1.5335648145992309E-2</v>
          </cell>
          <cell r="N200">
            <v>22.083333330228925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https://search-rtdc-monitor-bjffxe2xuh6vdkpspy63sjmuny.us-east-1.es.amazonaws.com/_plugin/kibana/#/discover/Steve-Slow-Train-Analysis-(2080s-and-2083s)?_g=(refreshInterval:(display:Off,section:0,value:0),time:(from:'2016-08-01 17:43:16-0600',mode:absolute,to:'2016-08-01 20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4042%22')),sort:!(Time,asc))</v>
          </cell>
          <cell r="W200" t="str">
            <v>N</v>
          </cell>
          <cell r="X200">
            <v>1</v>
          </cell>
          <cell r="Y200">
            <v>0.1016</v>
          </cell>
          <cell r="Z200">
            <v>5.8939000000000004</v>
          </cell>
          <cell r="AA200">
            <v>5.7923</v>
          </cell>
          <cell r="AB200" t="e">
            <v>#N/A</v>
          </cell>
          <cell r="AC200" t="e">
            <v>#N/A</v>
          </cell>
          <cell r="AD200" t="str">
            <v>0839-01</v>
          </cell>
          <cell r="AE200" t="str">
            <v>aws s3 cp s3://rtdc.mdm.uploadarchive/RTDC4042/2016-08-01/ "C:\Users\stu\Documents\Analysis\2016-02-23 RTDC Observations"\RTDC4042\2016-08-01 --recursive &amp; "C:\Users\stu\Documents\GitHub\mrs-test-scripts\Headless Mode &amp; Sideloading\WalkAndUnGZ.bat" "C:\Users\stu\Documents\Analysis\2016-02-23 RTDC Observations"\RTDC4042\2016-08-01 &amp; aws s3 cp s3://rtdc.mdm.uploadarchive/RTDC4042/2016-08-02/ "C:\Users\stu\Documents\Analysis\2016-02-23 RTDC Observations"\RTDC4042\2016-08-02 --recursive &amp; "C:\Users\stu\Documents\GitHub\mrs-test-scripts\Headless Mode &amp; Sideloading\WalkAndUnGZ.bat" "C:\Users\stu\Documents\Analysis\2016-02-23 RTDC Observations"\RTDC4042\2016-08-02</v>
          </cell>
        </row>
        <row r="201">
          <cell r="A201" t="str">
            <v>840-01</v>
          </cell>
          <cell r="B201">
            <v>4026</v>
          </cell>
          <cell r="C201" t="str">
            <v>DE.1.0.7.0</v>
          </cell>
          <cell r="D201" t="str">
            <v>300:58608</v>
          </cell>
          <cell r="E201">
            <v>42583.818159722221</v>
          </cell>
          <cell r="F201">
            <v>42583.819143518522</v>
          </cell>
          <cell r="G201">
            <v>1</v>
          </cell>
          <cell r="H201" t="str">
            <v>204:663</v>
          </cell>
          <cell r="I201">
            <v>42583.830092592594</v>
          </cell>
          <cell r="J201">
            <v>0</v>
          </cell>
          <cell r="K201" t="str">
            <v>4025/4026</v>
          </cell>
          <cell r="L201" t="str">
            <v>SWANSON</v>
          </cell>
          <cell r="M201">
            <v>1.0949074072414078E-2</v>
          </cell>
          <cell r="N201">
            <v>15.766666664276272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https://search-rtdc-monitor-bjffxe2xuh6vdkpspy63sjmuny.us-east-1.es.amazonaws.com/_plugin/kibana/#/discover/Steve-Slow-Train-Analysis-(2080s-and-2083s)?_g=(refreshInterval:(display:Off,section:0,value:0),time:(from:'2016-08-01 18:38:09-0600',mode:absolute,to:'2016-08-01 20:55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1" t="str">
            <v>N</v>
          </cell>
          <cell r="X201">
            <v>1</v>
          </cell>
          <cell r="Y201">
            <v>5.8608000000000002</v>
          </cell>
          <cell r="Z201">
            <v>6.6299999999999998E-2</v>
          </cell>
          <cell r="AA201">
            <v>5.7945000000000002</v>
          </cell>
          <cell r="AB201" t="e">
            <v>#N/A</v>
          </cell>
          <cell r="AC201" t="e">
            <v>#N/A</v>
          </cell>
          <cell r="AD201" t="str">
            <v>0840-01</v>
          </cell>
          <cell r="AE201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2">
          <cell r="A202" t="str">
            <v>841-01</v>
          </cell>
          <cell r="B202">
            <v>4025</v>
          </cell>
          <cell r="C202" t="str">
            <v>DE.1.0.7.0</v>
          </cell>
          <cell r="D202" t="str">
            <v>204:969</v>
          </cell>
          <cell r="E202">
            <v>42583.802719907406</v>
          </cell>
          <cell r="F202">
            <v>42583.803576388891</v>
          </cell>
          <cell r="G202">
            <v>1</v>
          </cell>
          <cell r="H202" t="str">
            <v>300:58924</v>
          </cell>
          <cell r="I202">
            <v>42583.817025462966</v>
          </cell>
          <cell r="J202">
            <v>0</v>
          </cell>
          <cell r="K202" t="str">
            <v>4025/4026</v>
          </cell>
          <cell r="L202" t="str">
            <v>SWANSON</v>
          </cell>
          <cell r="M202">
            <v>1.3449074074742384E-2</v>
          </cell>
          <cell r="N202">
            <v>19.366666667629033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https://search-rtdc-monitor-bjffxe2xuh6vdkpspy63sjmuny.us-east-1.es.amazonaws.com/_plugin/kibana/#/discover/Steve-Slow-Train-Analysis-(2080s-and-2083s)?_g=(refreshInterval:(display:Off,section:0,value:0),time:(from:'2016-08-01 18:15:55-0600',mode:absolute,to:'2016-08-01 20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2" t="str">
            <v>N</v>
          </cell>
          <cell r="X202">
            <v>1</v>
          </cell>
          <cell r="Y202">
            <v>9.69E-2</v>
          </cell>
          <cell r="Z202">
            <v>5.8924000000000003</v>
          </cell>
          <cell r="AA202">
            <v>5.7955000000000005</v>
          </cell>
          <cell r="AB202" t="e">
            <v>#N/A</v>
          </cell>
          <cell r="AC202" t="e">
            <v>#N/A</v>
          </cell>
          <cell r="AD202" t="str">
            <v>0841-01</v>
          </cell>
          <cell r="AE202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3">
          <cell r="A203" t="str">
            <v>842-01</v>
          </cell>
          <cell r="B203">
            <v>4026</v>
          </cell>
          <cell r="C203" t="str">
            <v>DE.1.0.7.0</v>
          </cell>
          <cell r="D203" t="str">
            <v>300:58602</v>
          </cell>
          <cell r="E203">
            <v>42583.8596875</v>
          </cell>
          <cell r="F203">
            <v>42583.860578703701</v>
          </cell>
          <cell r="G203">
            <v>1</v>
          </cell>
          <cell r="H203" t="str">
            <v>204:692</v>
          </cell>
          <cell r="I203">
            <v>42583.871712962966</v>
          </cell>
          <cell r="J203">
            <v>0</v>
          </cell>
          <cell r="K203" t="str">
            <v>4025/4026</v>
          </cell>
          <cell r="L203" t="str">
            <v>SWANSON</v>
          </cell>
          <cell r="M203">
            <v>1.1134259264508728E-2</v>
          </cell>
          <cell r="N203">
            <v>16.033333340892568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https://search-rtdc-monitor-bjffxe2xuh6vdkpspy63sjmuny.us-east-1.es.amazonaws.com/_plugin/kibana/#/discover/Steve-Slow-Train-Analysis-(2080s-and-2083s)?_g=(refreshInterval:(display:Off,section:0,value:0),time:(from:'2016-08-01 19:37:57-0600',mode:absolute,to:'2016-08-01 21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3" t="str">
            <v>N</v>
          </cell>
          <cell r="X203">
            <v>1</v>
          </cell>
          <cell r="Y203">
            <v>5.8601999999999999</v>
          </cell>
          <cell r="Z203">
            <v>6.9199999999999998E-2</v>
          </cell>
          <cell r="AA203">
            <v>5.7909999999999995</v>
          </cell>
          <cell r="AB203" t="e">
            <v>#N/A</v>
          </cell>
          <cell r="AC203" t="e">
            <v>#N/A</v>
          </cell>
          <cell r="AD203" t="str">
            <v>0842-01</v>
          </cell>
          <cell r="AE203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4">
          <cell r="A204" t="str">
            <v>843-01</v>
          </cell>
          <cell r="B204">
            <v>4025</v>
          </cell>
          <cell r="C204" t="str">
            <v>DE.1.0.7.0</v>
          </cell>
          <cell r="D204" t="str">
            <v>204:965</v>
          </cell>
          <cell r="E204">
            <v>42583.843252314815</v>
          </cell>
          <cell r="F204">
            <v>42583.844293981485</v>
          </cell>
          <cell r="G204">
            <v>1</v>
          </cell>
          <cell r="H204" t="str">
            <v>300:58918</v>
          </cell>
          <cell r="I204">
            <v>42583.858796296299</v>
          </cell>
          <cell r="J204">
            <v>0</v>
          </cell>
          <cell r="K204" t="str">
            <v>4025/4026</v>
          </cell>
          <cell r="L204" t="str">
            <v>SWANSON</v>
          </cell>
          <cell r="M204">
            <v>1.4502314814308193E-2</v>
          </cell>
          <cell r="N204">
            <v>20.883333332603797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https://search-rtdc-monitor-bjffxe2xuh6vdkpspy63sjmuny.us-east-1.es.amazonaws.com/_plugin/kibana/#/discover/Steve-Slow-Train-Analysis-(2080s-and-2083s)?_g=(refreshInterval:(display:Off,section:0,value:0),time:(from:'2016-08-01 19:14:17-0600',mode:absolute,to:'2016-08-01 21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4" t="str">
            <v>N</v>
          </cell>
          <cell r="X204">
            <v>1</v>
          </cell>
          <cell r="Y204">
            <v>9.6500000000000002E-2</v>
          </cell>
          <cell r="Z204">
            <v>5.8917999999999999</v>
          </cell>
          <cell r="AA204">
            <v>5.7953000000000001</v>
          </cell>
          <cell r="AB204" t="e">
            <v>#N/A</v>
          </cell>
          <cell r="AC204" t="e">
            <v>#N/A</v>
          </cell>
          <cell r="AD204" t="str">
            <v>0843-01</v>
          </cell>
          <cell r="AE204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5">
          <cell r="A205" t="str">
            <v>844-01</v>
          </cell>
          <cell r="B205">
            <v>4026</v>
          </cell>
          <cell r="C205" t="str">
            <v>DE.1.0.7.0</v>
          </cell>
          <cell r="D205" t="str">
            <v>300:58643</v>
          </cell>
          <cell r="E205">
            <v>42583.90185185185</v>
          </cell>
          <cell r="F205">
            <v>42583.903055555558</v>
          </cell>
          <cell r="G205">
            <v>1</v>
          </cell>
          <cell r="H205" t="str">
            <v>204:692</v>
          </cell>
          <cell r="I205">
            <v>42583.914976851855</v>
          </cell>
          <cell r="J205">
            <v>0</v>
          </cell>
          <cell r="K205" t="str">
            <v>4025/4026</v>
          </cell>
          <cell r="L205" t="str">
            <v>COOLAHAN</v>
          </cell>
          <cell r="M205">
            <v>1.1921296296350192E-2</v>
          </cell>
          <cell r="N205">
            <v>17.166666666744277</v>
          </cell>
          <cell r="S205">
            <v>1</v>
          </cell>
          <cell r="T205" t="str">
            <v>Southbound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https://search-rtdc-monitor-bjffxe2xuh6vdkpspy63sjmuny.us-east-1.es.amazonaws.com/_plugin/kibana/#/discover/Steve-Slow-Train-Analysis-(2080s-and-2083s)?_g=(refreshInterval:(display:Off,section:0,value:0),time:(from:'2016-08-01 20:38:40-0600',mode:absolute,to:'2016-08-01 22:57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05" t="str">
            <v>N</v>
          </cell>
          <cell r="X205">
            <v>1</v>
          </cell>
          <cell r="Y205">
            <v>5.8643000000000001</v>
          </cell>
          <cell r="Z205">
            <v>6.9199999999999998E-2</v>
          </cell>
          <cell r="AA205">
            <v>5.7950999999999997</v>
          </cell>
          <cell r="AB205" t="e">
            <v>#N/A</v>
          </cell>
          <cell r="AC205" t="e">
            <v>#N/A</v>
          </cell>
          <cell r="AD205" t="str">
            <v>0844-01</v>
          </cell>
          <cell r="AE205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  <row r="206">
          <cell r="A206" t="str">
            <v>845-01</v>
          </cell>
          <cell r="B206">
            <v>4025</v>
          </cell>
          <cell r="C206" t="str">
            <v>DE.1.0.7.0</v>
          </cell>
          <cell r="D206" t="str">
            <v>204:969</v>
          </cell>
          <cell r="E206">
            <v>42583.885393518518</v>
          </cell>
          <cell r="F206">
            <v>42583.886805555558</v>
          </cell>
          <cell r="G206">
            <v>2</v>
          </cell>
          <cell r="H206" t="str">
            <v>300:58948</v>
          </cell>
          <cell r="I206">
            <v>42583.900972222225</v>
          </cell>
          <cell r="J206">
            <v>0</v>
          </cell>
          <cell r="K206" t="str">
            <v>4025/4026</v>
          </cell>
          <cell r="L206" t="str">
            <v>COOLAHAN</v>
          </cell>
          <cell r="M206">
            <v>1.4166666667733807E-2</v>
          </cell>
          <cell r="N206">
            <v>20.400000001536682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https://search-rtdc-monitor-bjffxe2xuh6vdkpspy63sjmuny.us-east-1.es.amazonaws.com/_plugin/kibana/#/discover/Steve-Slow-Train-Analysis-(2080s-and-2083s)?_g=(refreshInterval:(display:Off,section:0,value:0),time:(from:'2016-08-01 20:14:58-0600',mode:absolute,to:'2016-08-01 22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6" t="str">
            <v>N</v>
          </cell>
          <cell r="X206">
            <v>1</v>
          </cell>
          <cell r="Y206">
            <v>9.69E-2</v>
          </cell>
          <cell r="Z206">
            <v>5.8948</v>
          </cell>
          <cell r="AA206">
            <v>5.7979000000000003</v>
          </cell>
          <cell r="AB206" t="e">
            <v>#N/A</v>
          </cell>
          <cell r="AC206" t="e">
            <v>#N/A</v>
          </cell>
          <cell r="AD206" t="str">
            <v>0845-01</v>
          </cell>
          <cell r="AE206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7">
          <cell r="A207" t="str">
            <v>847-01</v>
          </cell>
          <cell r="B207">
            <v>4025</v>
          </cell>
          <cell r="C207" t="str">
            <v>DE.1.0.7.0</v>
          </cell>
          <cell r="D207" t="str">
            <v>204:965</v>
          </cell>
          <cell r="E207">
            <v>42583.928530092591</v>
          </cell>
          <cell r="F207">
            <v>42583.929791666669</v>
          </cell>
          <cell r="G207">
            <v>1</v>
          </cell>
          <cell r="H207" t="str">
            <v>300:58982</v>
          </cell>
          <cell r="I207">
            <v>42583.942569444444</v>
          </cell>
          <cell r="J207">
            <v>0</v>
          </cell>
          <cell r="K207" t="str">
            <v>4025/4026</v>
          </cell>
          <cell r="L207" t="str">
            <v>COOLAHAN</v>
          </cell>
          <cell r="M207">
            <v>1.2777777774317656E-2</v>
          </cell>
          <cell r="N207">
            <v>18.399999995017424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https://search-rtdc-monitor-bjffxe2xuh6vdkpspy63sjmuny.us-east-1.es.amazonaws.com/_plugin/kibana/#/discover/Steve-Slow-Train-Analysis-(2080s-and-2083s)?_g=(refreshInterval:(display:Off,section:0,value:0),time:(from:'2016-08-01 21:17:05-0600',mode:absolute,to:'2016-08-01 23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4025%22')),sort:!(Time,asc))</v>
          </cell>
          <cell r="W207" t="str">
            <v>N</v>
          </cell>
          <cell r="X207">
            <v>2</v>
          </cell>
          <cell r="Y207">
            <v>9.6500000000000002E-2</v>
          </cell>
          <cell r="Z207">
            <v>5.8982000000000001</v>
          </cell>
          <cell r="AA207">
            <v>5.8017000000000003</v>
          </cell>
          <cell r="AB207" t="e">
            <v>#N/A</v>
          </cell>
          <cell r="AC207" t="e">
            <v>#N/A</v>
          </cell>
          <cell r="AD207" t="str">
            <v>0847-01</v>
          </cell>
          <cell r="AE207" t="str">
            <v>aws s3 cp s3://rtdc.mdm.uploadarchive/RTDC4025/2016-08-01/ "C:\Users\stu\Documents\Analysis\2016-02-23 RTDC Observations"\RTDC4025\2016-08-01 --recursive &amp; "C:\Users\stu\Documents\GitHub\mrs-test-scripts\Headless Mode &amp; Sideloading\WalkAndUnGZ.bat" "C:\Users\stu\Documents\Analysis\2016-02-23 RTDC Observations"\RTDC4025\2016-08-01 &amp; aws s3 cp s3://rtdc.mdm.uploadarchive/RTDC4025/2016-08-02/ "C:\Users\stu\Documents\Analysis\2016-02-23 RTDC Observations"\RTDC4025\2016-08-02 --recursive &amp; "C:\Users\stu\Documents\GitHub\mrs-test-scripts\Headless Mode &amp; Sideloading\WalkAndUnGZ.bat" "C:\Users\stu\Documents\Analysis\2016-02-23 RTDC Observations"\RTDC4025\2016-08-02</v>
          </cell>
        </row>
        <row r="208">
          <cell r="A208" t="str">
            <v>307-01</v>
          </cell>
          <cell r="B208">
            <v>4016</v>
          </cell>
          <cell r="C208" t="str">
            <v>DE.1.0.7.0</v>
          </cell>
          <cell r="D208" t="str">
            <v>204:451</v>
          </cell>
          <cell r="E208">
            <v>42583.819988425923</v>
          </cell>
          <cell r="F208">
            <v>42583.821226851855</v>
          </cell>
          <cell r="G208">
            <v>1</v>
          </cell>
          <cell r="H208" t="str">
            <v>300:23304</v>
          </cell>
          <cell r="I208">
            <v>42583.830740740741</v>
          </cell>
          <cell r="J208">
            <v>0</v>
          </cell>
          <cell r="K208" t="str">
            <v>4015/4016</v>
          </cell>
          <cell r="L208" t="str">
            <v>DE LA ROSA</v>
          </cell>
          <cell r="M208">
            <v>9.5138888864312321E-3</v>
          </cell>
          <cell r="N208">
            <v>13.699999996460974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https://search-rtdc-monitor-bjffxe2xuh6vdkpspy63sjmuny.us-east-1.es.amazonaws.com/_plugin/kibana/#/discover/Steve-Slow-Train-Analysis-(2080s-and-2083s)?_g=(refreshInterval:(display:Off,section:0,value:0),time:(from:'2016-08-01 18:40:47-0600',mode:absolute,to:'2016-08-01 20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    </cell>
          <cell r="W208" t="str">
            <v>Y</v>
          </cell>
          <cell r="X208">
            <v>63</v>
          </cell>
          <cell r="Y208">
            <v>4.5100000000000001E-2</v>
          </cell>
          <cell r="Z208">
            <v>2.3304</v>
          </cell>
          <cell r="AA208">
            <v>2.2852999999999999</v>
          </cell>
          <cell r="AB208" t="e">
            <v>#N/A</v>
          </cell>
          <cell r="AC208" t="e">
            <v>#N/A</v>
          </cell>
          <cell r="AD208" t="str">
            <v>0307-01</v>
          </cell>
          <cell r="AE208" t="str">
            <v>aws s3 cp s3://rtdc.mdm.uploadarchive/RTDC4016/2016-08-01/ "C:\Users\stu\Documents\Analysis\2016-02-23 RTDC Observations"\RTDC4016\2016-08-01 --recursive &amp; "C:\Users\stu\Documents\GitHub\mrs-test-scripts\Headless Mode &amp; Sideloading\WalkAndUnGZ.bat" "C:\Users\stu\Documents\Analysis\2016-02-23 RTDC Observations"\RTDC4016\2016-08-01 &amp; aws s3 cp s3://rtdc.mdm.uploadarchive/RTDC4016/2016-08-02/ "C:\Users\stu\Documents\Analysis\2016-02-23 RTDC Observations"\RTDC4016\2016-08-02 --recursive &amp; "C:\Users\stu\Documents\GitHub\mrs-test-scripts\Headless Mode &amp; Sideloading\WalkAndUnGZ.bat" "C:\Users\stu\Documents\Analysis\2016-02-23 RTDC Observations"\RTDC4016\2016-08-02</v>
          </cell>
        </row>
        <row r="209">
          <cell r="A209" t="str">
            <v>308-01</v>
          </cell>
          <cell r="B209">
            <v>4028</v>
          </cell>
          <cell r="C209" t="str">
            <v>DE.1.0.7.0</v>
          </cell>
          <cell r="D209" t="str">
            <v>300:25796</v>
          </cell>
          <cell r="E209">
            <v>42583.167094907411</v>
          </cell>
          <cell r="F209">
            <v>42583.168599537035</v>
          </cell>
          <cell r="G209">
            <v>2</v>
          </cell>
          <cell r="H209" t="str">
            <v>300:25311</v>
          </cell>
          <cell r="I209">
            <v>42583.171666666669</v>
          </cell>
          <cell r="J209">
            <v>0</v>
          </cell>
          <cell r="K209" t="str">
            <v>4027/4028</v>
          </cell>
          <cell r="L209" t="str">
            <v>SPECTOR</v>
          </cell>
          <cell r="M209">
            <v>3.0671296335640363E-3</v>
          </cell>
          <cell r="N209">
            <v>4.4166666723322123</v>
          </cell>
          <cell r="S209">
            <v>0</v>
          </cell>
          <cell r="T209" t="str">
            <v>Southbound</v>
          </cell>
          <cell r="U209">
            <v>0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https://search-rtdc-monitor-bjffxe2xuh6vdkpspy63sjmuny.us-east-1.es.amazonaws.com/_plugin/kibana/#/discover/Steve-Slow-Train-Analysis-(2080s-and-2083s)?_g=(refreshInterval:(display:Off,section:0,value:0),time:(from:'2016-08-01 03:00:37-0600',mode:absolute,to:'2016-08-01 05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    </cell>
          <cell r="W209" t="str">
            <v>Y</v>
          </cell>
          <cell r="X209">
            <v>1</v>
          </cell>
          <cell r="Y209">
            <v>2.5796000000000001</v>
          </cell>
          <cell r="Z209">
            <v>2.5310999999999999</v>
          </cell>
          <cell r="AA209">
            <v>4.850000000000021E-2</v>
          </cell>
          <cell r="AB209" t="e">
            <v>#N/A</v>
          </cell>
          <cell r="AC209" t="e">
            <v>#N/A</v>
          </cell>
          <cell r="AD209" t="str">
            <v>0308-01</v>
          </cell>
          <cell r="AE209" t="str">
            <v>aws s3 cp s3://rtdc.mdm.uploadarchive/RTDC4028/2016-08-01/ "C:\Users\stu\Documents\Analysis\2016-02-23 RTDC Observations"\RTDC4028\2016-08-01 --recursive &amp; "C:\Users\stu\Documents\GitHub\mrs-test-scripts\Headless Mode &amp; Sideloading\WalkAndUnGZ.bat" "C:\Users\stu\Documents\Analysis\2016-02-23 RTDC Observations"\RTDC4028\2016-08-01 &amp; aws s3 cp s3://rtdc.mdm.uploadarchive/RTDC4028/2016-08-02/ "C:\Users\stu\Documents\Analysis\2016-02-23 RTDC Observations"\RTDC4028\2016-08-02 --recursive &amp; "C:\Users\stu\Documents\GitHub\mrs-test-scripts\Headless Mode &amp; Sideloading\WalkAndUnGZ.bat" "C:\Users\stu\Documents\Analysis\2016-02-23 RTDC Observations"\RTDC4028\2016-08-02</v>
          </cell>
        </row>
        <row r="210">
          <cell r="A210" t="str">
            <v>309-01</v>
          </cell>
          <cell r="B210">
            <v>4011</v>
          </cell>
          <cell r="C210" t="str">
            <v>DE.1.0.7.0</v>
          </cell>
          <cell r="D210" t="str">
            <v>204:506</v>
          </cell>
          <cell r="E210">
            <v>42584.029317129629</v>
          </cell>
          <cell r="F210">
            <v>42584.030300925922</v>
          </cell>
          <cell r="G210">
            <v>1</v>
          </cell>
          <cell r="H210" t="str">
            <v>300:23302</v>
          </cell>
          <cell r="I210">
            <v>42584.038310185184</v>
          </cell>
          <cell r="J210">
            <v>0</v>
          </cell>
          <cell r="K210" t="str">
            <v>4011/4012</v>
          </cell>
          <cell r="L210" t="str">
            <v>ROBINSON</v>
          </cell>
          <cell r="M210">
            <v>8.0092592615983449E-3</v>
          </cell>
          <cell r="N210">
            <v>11.533333336701617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https://search-rtdc-monitor-bjffxe2xuh6vdkpspy63sjmuny.us-east-1.es.amazonaws.com/_plugin/kibana/#/discover/Steve-Slow-Train-Analysis-(2080s-and-2083s)?_g=(refreshInterval:(display:Off,section:0,value:0),time:(from:'2016-08-01 23:42:13-0600',mode:absolute,to:'2016-08-02 01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    </cell>
          <cell r="W210" t="str">
            <v>Y</v>
          </cell>
          <cell r="X210">
            <v>1</v>
          </cell>
          <cell r="Y210">
            <v>5.0599999999999999E-2</v>
          </cell>
          <cell r="Z210">
            <v>2.3302</v>
          </cell>
          <cell r="AA210">
            <v>2.2795999999999998</v>
          </cell>
          <cell r="AB210" t="e">
            <v>#N/A</v>
          </cell>
          <cell r="AC210" t="e">
            <v>#N/A</v>
          </cell>
          <cell r="AD210" t="str">
            <v>0309-01</v>
          </cell>
          <cell r="AE210" t="str">
            <v>aws s3 cp s3://rtdc.mdm.uploadarchive/RTDC4011/2016-08-02/ "C:\Users\stu\Documents\Analysis\2016-02-23 RTDC Observations"\RTDC4011\2016-08-02 --recursive &amp; "C:\Users\stu\Documents\GitHub\mrs-test-scripts\Headless Mode &amp; Sideloading\WalkAndUnGZ.bat" "C:\Users\stu\Documents\Analysis\2016-02-23 RTDC Observations"\RTDC4011\2016-08-02 &amp; aws s3 cp s3://rtdc.mdm.uploadarchive/RTDC4011/2016-08-03/ "C:\Users\stu\Documents\Analysis\2016-02-23 RTDC Observations"\RTDC4011\2016-08-03 --recursive &amp; "C:\Users\stu\Documents\GitHub\mrs-test-scripts\Headless Mode &amp; Sideloading\WalkAndUnGZ.bat" "C:\Users\stu\Documents\Analysis\2016-02-23 RTDC Observations"\RTDC4011\2016-08-03</v>
          </cell>
        </row>
        <row r="211">
          <cell r="A211" t="str">
            <v>315-31</v>
          </cell>
          <cell r="B211">
            <v>4040</v>
          </cell>
          <cell r="C211" t="str">
            <v>DE.1.0.7.0</v>
          </cell>
          <cell r="D211" t="str">
            <v>204:462</v>
          </cell>
          <cell r="E211">
            <v>42583.090254629627</v>
          </cell>
          <cell r="F211">
            <v>42583.09107638889</v>
          </cell>
          <cell r="G211">
            <v>1</v>
          </cell>
          <cell r="H211" t="str">
            <v>300:23306</v>
          </cell>
          <cell r="I211">
            <v>42583.098715277774</v>
          </cell>
          <cell r="J211">
            <v>0</v>
          </cell>
          <cell r="K211" t="str">
            <v>4039/4040</v>
          </cell>
          <cell r="L211" t="str">
            <v>CHANDLER</v>
          </cell>
          <cell r="M211">
            <v>7.6388888846850023E-3</v>
          </cell>
          <cell r="N211">
            <v>10.999999993946403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https://search-rtdc-monitor-bjffxe2xuh6vdkpspy63sjmuny.us-east-1.es.amazonaws.com/_plugin/kibana/#/discover/Steve-Slow-Train-Analysis-(2080s-and-2083s)?_g=(refreshInterval:(display:Off,section:0,value:0),time:(from:'2016-08-01 01:09:58-0600',mode:absolute,to:'2016-08-01 03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    </cell>
          <cell r="W211" t="str">
            <v>Y</v>
          </cell>
          <cell r="X211">
            <v>6</v>
          </cell>
          <cell r="Y211">
            <v>4.6199999999999998E-2</v>
          </cell>
          <cell r="Z211">
            <v>2.3306</v>
          </cell>
          <cell r="AA211">
            <v>2.2844000000000002</v>
          </cell>
          <cell r="AB211" t="e">
            <v>#N/A</v>
          </cell>
          <cell r="AC211" t="e">
            <v>#N/A</v>
          </cell>
          <cell r="AD211" t="str">
            <v>0315-31</v>
          </cell>
          <cell r="AE211" t="str">
            <v>aws s3 cp s3://rtdc.mdm.uploadarchive/RTDC4040/2016-08-01/ "C:\Users\stu\Documents\Analysis\2016-02-23 RTDC Observations"\RTDC4040\2016-08-01 --recursive &amp; "C:\Users\stu\Documents\GitHub\mrs-test-scripts\Headless Mode &amp; Sideloading\WalkAndUnGZ.bat" "C:\Users\stu\Documents\Analysis\2016-02-23 RTDC Observations"\RTDC4040\2016-08-01 &amp; aws s3 cp s3://rtdc.mdm.uploadarchive/RTDC4040/2016-08-02/ "C:\Users\stu\Documents\Analysis\2016-02-23 RTDC Observations"\RTDC4040\2016-08-02 --recursive &amp; "C:\Users\stu\Documents\GitHub\mrs-test-scripts\Headless Mode &amp; Sideloading\WalkAndUnGZ.bat" "C:\Users\stu\Documents\Analysis\2016-02-23 RTDC Observations"\RTDC4040\2016-08-02</v>
          </cell>
        </row>
        <row r="212">
          <cell r="A212" t="str">
            <v>904-01</v>
          </cell>
          <cell r="B212">
            <v>4041</v>
          </cell>
          <cell r="C212" t="str">
            <v>DE.1.0.7.0</v>
          </cell>
          <cell r="D212" t="str">
            <v>300:26067</v>
          </cell>
          <cell r="E212">
            <v>42583.640601851854</v>
          </cell>
          <cell r="F212">
            <v>42583.641435185185</v>
          </cell>
          <cell r="G212">
            <v>1</v>
          </cell>
          <cell r="H212" t="str">
            <v>300:24965</v>
          </cell>
          <cell r="I212">
            <v>42583.643564814818</v>
          </cell>
          <cell r="J212">
            <v>0</v>
          </cell>
          <cell r="K212" t="str">
            <v>4041/4042</v>
          </cell>
          <cell r="L212" t="str">
            <v>COOLAHAN</v>
          </cell>
          <cell r="M212">
            <v>2.1296296326909214E-3</v>
          </cell>
          <cell r="N212">
            <v>3.0666666710749269</v>
          </cell>
          <cell r="S212">
            <v>0</v>
          </cell>
          <cell r="T212" t="str">
            <v>Southbound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https://search-rtdc-monitor-bjffxe2xuh6vdkpspy63sjmuny.us-east-1.es.amazonaws.com/_plugin/kibana/#/discover/Steve-Slow-Train-Analysis-(2080s-and-2083s)?_g=(refreshInterval:(display:Off,section:0,value:0),time:(from:'2016-08-01 14:22:28-0600',mode:absolute,to:'2016-08-01 16:26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12" t="str">
            <v>Y</v>
          </cell>
          <cell r="X212">
            <v>57</v>
          </cell>
          <cell r="Y212">
            <v>2.6067</v>
          </cell>
          <cell r="Z212">
            <v>2.4965000000000002</v>
          </cell>
          <cell r="AA212">
            <v>0.11019999999999985</v>
          </cell>
          <cell r="AB212" t="e">
            <v>#N/A</v>
          </cell>
          <cell r="AC212" t="e">
            <v>#N/A</v>
          </cell>
          <cell r="AD212" t="str">
            <v>0904-01</v>
          </cell>
          <cell r="AE212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213">
          <cell r="A213" t="str">
            <v>906-01</v>
          </cell>
          <cell r="B213">
            <v>4041</v>
          </cell>
          <cell r="C213" t="str">
            <v>DE.1.0.7.0</v>
          </cell>
          <cell r="D213" t="str">
            <v>300:58609</v>
          </cell>
          <cell r="E213">
            <v>42583.797754629632</v>
          </cell>
          <cell r="F213">
            <v>42583.798842592594</v>
          </cell>
          <cell r="G213">
            <v>1</v>
          </cell>
          <cell r="H213" t="str">
            <v>300:28774</v>
          </cell>
          <cell r="I213">
            <v>42583.805023148147</v>
          </cell>
          <cell r="J213">
            <v>0</v>
          </cell>
          <cell r="K213" t="str">
            <v>4041/4042</v>
          </cell>
          <cell r="L213" t="str">
            <v>COOLAHAN</v>
          </cell>
          <cell r="M213">
            <v>6.1805555524188094E-3</v>
          </cell>
          <cell r="N213">
            <v>8.8999999954830855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https://search-rtdc-monitor-bjffxe2xuh6vdkpspy63sjmuny.us-east-1.es.amazonaws.com/_plugin/kibana/#/discover/Steve-Slow-Train-Analysis-(2080s-and-2083s)?_g=(refreshInterval:(display:Off,section:0,value:0),time:(from:'2016-08-01 18:08:46-0600',mode:absolute,to:'2016-08-01 20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4041%22')),sort:!(Time,asc))</v>
          </cell>
          <cell r="W213" t="str">
            <v>Y</v>
          </cell>
          <cell r="X213">
            <v>2</v>
          </cell>
          <cell r="Y213">
            <v>5.8609</v>
          </cell>
          <cell r="Z213">
            <v>2.8774000000000002</v>
          </cell>
          <cell r="AA213">
            <v>2.9834999999999998</v>
          </cell>
          <cell r="AB213" t="e">
            <v>#N/A</v>
          </cell>
          <cell r="AC213" t="e">
            <v>#N/A</v>
          </cell>
          <cell r="AD213" t="str">
            <v>0906-01</v>
          </cell>
          <cell r="AE213" t="str">
            <v>aws s3 cp s3://rtdc.mdm.uploadarchive/RTDC4041/2016-08-01/ "C:\Users\stu\Documents\Analysis\2016-02-23 RTDC Observations"\RTDC4041\2016-08-01 --recursive &amp; "C:\Users\stu\Documents\GitHub\mrs-test-scripts\Headless Mode &amp; Sideloading\WalkAndUnGZ.bat" "C:\Users\stu\Documents\Analysis\2016-02-23 RTDC Observations"\RTDC4041\2016-08-01 &amp; aws s3 cp s3://rtdc.mdm.uploadarchive/RTDC4041/2016-08-02/ "C:\Users\stu\Documents\Analysis\2016-02-23 RTDC Observations"\RTDC4041\2016-08-02 --recursive &amp; "C:\Users\stu\Documents\GitHub\mrs-test-scripts\Headless Mode &amp; Sideloading\WalkAndUnGZ.bat" "C:\Users\stu\Documents\Analysis\2016-02-23 RTDC Observations"\RTDC4041\2016-08-02</v>
          </cell>
        </row>
        <row r="214">
          <cell r="A214" t="str">
            <v>908-01</v>
          </cell>
          <cell r="B214">
            <v>4026</v>
          </cell>
          <cell r="C214" t="str">
            <v>DE.1.0.7.0</v>
          </cell>
          <cell r="D214" t="str">
            <v>300:58660</v>
          </cell>
          <cell r="E214">
            <v>42583.943622685183</v>
          </cell>
          <cell r="F214">
            <v>42583.944918981484</v>
          </cell>
          <cell r="G214">
            <v>1</v>
          </cell>
          <cell r="H214" t="str">
            <v>300:21564</v>
          </cell>
          <cell r="I214">
            <v>42583.952592592592</v>
          </cell>
          <cell r="J214">
            <v>0</v>
          </cell>
          <cell r="K214" t="str">
            <v>4025/4026</v>
          </cell>
          <cell r="L214" t="str">
            <v>COOLAHAN</v>
          </cell>
          <cell r="M214">
            <v>7.6736111077480018E-3</v>
          </cell>
          <cell r="N214">
            <v>11.049999995157123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https://search-rtdc-monitor-bjffxe2xuh6vdkpspy63sjmuny.us-east-1.es.amazonaws.com/_plugin/kibana/#/discover/Steve-Slow-Train-Analysis-(2080s-and-2083s)?_g=(refreshInterval:(display:Off,section:0,value:0),time:(from:'2016-08-01 21:38:49-0600',mode:absolute,to:'2016-08-01 23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4026%22')),sort:!(Time,asc))</v>
          </cell>
          <cell r="W214" t="str">
            <v>Y</v>
          </cell>
          <cell r="X214">
            <v>2</v>
          </cell>
          <cell r="Y214">
            <v>5.8659999999999997</v>
          </cell>
          <cell r="Z214">
            <v>2.1564000000000001</v>
          </cell>
          <cell r="AA214">
            <v>3.7095999999999996</v>
          </cell>
          <cell r="AB214" t="e">
            <v>#N/A</v>
          </cell>
          <cell r="AC214" t="e">
            <v>#N/A</v>
          </cell>
          <cell r="AD214" t="str">
            <v>0908-01</v>
          </cell>
          <cell r="AE214" t="str">
            <v>aws s3 cp s3://rtdc.mdm.uploadarchive/RTDC4026/2016-08-01/ "C:\Users\stu\Documents\Analysis\2016-02-23 RTDC Observations"\RTDC4026\2016-08-01 --recursive &amp; "C:\Users\stu\Documents\GitHub\mrs-test-scripts\Headless Mode &amp; Sideloading\WalkAndUnGZ.bat" "C:\Users\stu\Documents\Analysis\2016-02-23 RTDC Observations"\RTDC4026\2016-08-01 &amp; aws s3 cp s3://rtdc.mdm.uploadarchive/RTDC4026/2016-08-02/ "C:\Users\stu\Documents\Analysis\2016-02-23 RTDC Observations"\RTDC4026\2016-08-02 --recursive &amp; "C:\Users\stu\Documents\GitHub\mrs-test-scripts\Headless Mode &amp; Sideloading\WalkAndUnGZ.bat" "C:\Users\stu\Documents\Analysis\2016-02-23 RTDC Observations"\RTDC4026\2016-08-02</v>
          </cell>
        </row>
      </sheetData>
      <sheetData sheetId="1" refreshError="1"/>
      <sheetData sheetId="2" refreshError="1"/>
      <sheetData sheetId="3">
        <row r="1">
          <cell r="C1" t="str">
            <v>233-31</v>
          </cell>
          <cell r="D1">
            <v>2030000</v>
          </cell>
          <cell r="E1" t="str">
            <v>KILLION</v>
          </cell>
        </row>
        <row r="2">
          <cell r="C2" t="str">
            <v>211-01</v>
          </cell>
          <cell r="D2">
            <v>1140000</v>
          </cell>
          <cell r="E2" t="str">
            <v>YOUNG</v>
          </cell>
        </row>
        <row r="3">
          <cell r="C3" t="str">
            <v>214-01</v>
          </cell>
          <cell r="D3">
            <v>1810000</v>
          </cell>
          <cell r="E3" t="str">
            <v>NEWELL</v>
          </cell>
        </row>
        <row r="4">
          <cell r="C4" t="str">
            <v>315-01</v>
          </cell>
          <cell r="D4">
            <v>2090000</v>
          </cell>
          <cell r="E4" t="str">
            <v>HAITHCOX</v>
          </cell>
        </row>
        <row r="5">
          <cell r="C5" t="str">
            <v>831-01</v>
          </cell>
          <cell r="D5">
            <v>1290000</v>
          </cell>
          <cell r="E5" t="str">
            <v>COOLAHAN</v>
          </cell>
        </row>
        <row r="6">
          <cell r="C6" t="str">
            <v>111-02</v>
          </cell>
          <cell r="D6">
            <v>2100000</v>
          </cell>
          <cell r="E6" t="str">
            <v>ISHMAEL</v>
          </cell>
        </row>
        <row r="7">
          <cell r="C7" t="str">
            <v>901-02</v>
          </cell>
          <cell r="D7">
            <v>1110000</v>
          </cell>
          <cell r="E7" t="str">
            <v>STARKS</v>
          </cell>
        </row>
        <row r="8">
          <cell r="C8" t="str">
            <v>122-02</v>
          </cell>
          <cell r="D8">
            <v>1090000</v>
          </cell>
          <cell r="E8" t="str">
            <v>SPECTOR</v>
          </cell>
        </row>
        <row r="9">
          <cell r="C9" t="str">
            <v>188-01</v>
          </cell>
          <cell r="D9">
            <v>880000</v>
          </cell>
          <cell r="E9" t="str">
            <v>STEWART</v>
          </cell>
        </row>
        <row r="10">
          <cell r="C10" t="str">
            <v>826-01</v>
          </cell>
          <cell r="D10">
            <v>2150000</v>
          </cell>
          <cell r="E10" t="str">
            <v>SWANSON</v>
          </cell>
        </row>
        <row r="11">
          <cell r="C11" t="str">
            <v>198-01</v>
          </cell>
          <cell r="D11">
            <v>1740000</v>
          </cell>
          <cell r="E11" t="str">
            <v>STORY</v>
          </cell>
        </row>
        <row r="12">
          <cell r="C12" t="str">
            <v>4057/58-01</v>
          </cell>
          <cell r="D12">
            <v>0</v>
          </cell>
          <cell r="E12" t="str">
            <v>HAUSER</v>
          </cell>
        </row>
        <row r="13">
          <cell r="C13" t="str">
            <v>301-02</v>
          </cell>
          <cell r="D13">
            <v>540000</v>
          </cell>
          <cell r="E13" t="str">
            <v>MADLOM</v>
          </cell>
        </row>
        <row r="14">
          <cell r="C14" t="str">
            <v>207-01</v>
          </cell>
          <cell r="D14">
            <v>1520000</v>
          </cell>
          <cell r="E14" t="str">
            <v>MAYBERRY</v>
          </cell>
        </row>
        <row r="15">
          <cell r="C15" t="str">
            <v>117-02</v>
          </cell>
          <cell r="D15">
            <v>1260000</v>
          </cell>
          <cell r="E15" t="str">
            <v>ACKERMAN</v>
          </cell>
        </row>
        <row r="16">
          <cell r="C16" t="str">
            <v>202-01</v>
          </cell>
          <cell r="D16">
            <v>880000</v>
          </cell>
          <cell r="E16" t="str">
            <v>STEWART</v>
          </cell>
        </row>
        <row r="17">
          <cell r="C17" t="str">
            <v>108-02</v>
          </cell>
          <cell r="D17">
            <v>1090000</v>
          </cell>
          <cell r="E17" t="str">
            <v>SPECTOR</v>
          </cell>
        </row>
        <row r="18">
          <cell r="C18" t="str">
            <v>833-01</v>
          </cell>
          <cell r="D18">
            <v>2150000</v>
          </cell>
          <cell r="E18" t="str">
            <v>SWANSON</v>
          </cell>
        </row>
        <row r="19">
          <cell r="C19" t="str">
            <v>106-02</v>
          </cell>
          <cell r="D19">
            <v>1990000</v>
          </cell>
          <cell r="E19" t="str">
            <v>DAVIS</v>
          </cell>
        </row>
        <row r="20">
          <cell r="C20" t="str">
            <v>215-01</v>
          </cell>
          <cell r="D20">
            <v>1780000</v>
          </cell>
          <cell r="E20" t="str">
            <v>DE LA ROSA</v>
          </cell>
        </row>
        <row r="21">
          <cell r="C21" t="str">
            <v>240-01</v>
          </cell>
          <cell r="D21">
            <v>1810000</v>
          </cell>
          <cell r="E21" t="str">
            <v>NEWELL</v>
          </cell>
        </row>
        <row r="22">
          <cell r="C22" t="str">
            <v>212-01</v>
          </cell>
          <cell r="D22">
            <v>1140000</v>
          </cell>
          <cell r="E22" t="str">
            <v>YOUNG</v>
          </cell>
        </row>
        <row r="23">
          <cell r="C23" t="str">
            <v>233-01</v>
          </cell>
          <cell r="D23">
            <v>1800000</v>
          </cell>
          <cell r="E23" t="str">
            <v>CHANDLER</v>
          </cell>
        </row>
        <row r="24">
          <cell r="C24" t="str">
            <v>838-01</v>
          </cell>
          <cell r="D24">
            <v>2150000</v>
          </cell>
          <cell r="E24" t="str">
            <v>SWANSON</v>
          </cell>
        </row>
        <row r="25">
          <cell r="C25" t="str">
            <v>231-01</v>
          </cell>
          <cell r="D25">
            <v>1810000</v>
          </cell>
          <cell r="E25" t="str">
            <v>NEWELL</v>
          </cell>
        </row>
        <row r="26">
          <cell r="C26" t="str">
            <v>844-01</v>
          </cell>
          <cell r="D26">
            <v>1290000</v>
          </cell>
          <cell r="E26" t="str">
            <v>COOLAHAN</v>
          </cell>
        </row>
        <row r="27">
          <cell r="C27" t="str">
            <v>845-01</v>
          </cell>
          <cell r="D27">
            <v>1290000</v>
          </cell>
          <cell r="E27" t="str">
            <v>COOLAHAN</v>
          </cell>
        </row>
        <row r="28">
          <cell r="C28" t="str">
            <v>236-01</v>
          </cell>
          <cell r="D28">
            <v>2090000</v>
          </cell>
          <cell r="E28" t="str">
            <v>HAITHCOX</v>
          </cell>
        </row>
        <row r="29">
          <cell r="C29" t="str">
            <v>307-01</v>
          </cell>
          <cell r="D29">
            <v>1780000</v>
          </cell>
          <cell r="E29" t="str">
            <v>DE LA ROSA</v>
          </cell>
        </row>
        <row r="30">
          <cell r="C30" t="str">
            <v>102-02</v>
          </cell>
          <cell r="D30">
            <v>1360000</v>
          </cell>
          <cell r="E30" t="str">
            <v>SANTIZO</v>
          </cell>
        </row>
        <row r="31">
          <cell r="C31" t="str">
            <v>206-01</v>
          </cell>
          <cell r="D31">
            <v>2110000</v>
          </cell>
          <cell r="E31" t="str">
            <v>OUN</v>
          </cell>
        </row>
        <row r="32">
          <cell r="C32" t="str">
            <v>127-02</v>
          </cell>
          <cell r="D32">
            <v>1360000</v>
          </cell>
          <cell r="E32" t="str">
            <v>SANTIZO</v>
          </cell>
        </row>
        <row r="33">
          <cell r="C33" t="str">
            <v>204-01</v>
          </cell>
          <cell r="D33">
            <v>2030000</v>
          </cell>
          <cell r="E33" t="str">
            <v>KILLION</v>
          </cell>
        </row>
        <row r="34">
          <cell r="C34" t="str">
            <v>222-31</v>
          </cell>
          <cell r="D34">
            <v>1180000</v>
          </cell>
          <cell r="E34" t="str">
            <v>LEVERE</v>
          </cell>
        </row>
        <row r="35">
          <cell r="C35" t="str">
            <v>196-01</v>
          </cell>
          <cell r="D35">
            <v>1140000</v>
          </cell>
          <cell r="E35" t="str">
            <v>YOUNG</v>
          </cell>
        </row>
        <row r="36">
          <cell r="C36" t="str">
            <v>227-31</v>
          </cell>
          <cell r="D36">
            <v>1800000</v>
          </cell>
          <cell r="E36" t="str">
            <v>CHANDLER</v>
          </cell>
        </row>
        <row r="37">
          <cell r="C37" t="str">
            <v>829-01</v>
          </cell>
          <cell r="D37">
            <v>2150000</v>
          </cell>
          <cell r="E37" t="str">
            <v>SWANSON</v>
          </cell>
        </row>
        <row r="38">
          <cell r="C38" t="str">
            <v>1830-31</v>
          </cell>
          <cell r="D38">
            <v>1780000</v>
          </cell>
          <cell r="E38" t="str">
            <v>DE LA ROSA</v>
          </cell>
        </row>
        <row r="39">
          <cell r="C39" t="str">
            <v>829-01</v>
          </cell>
          <cell r="D39">
            <v>2150000</v>
          </cell>
          <cell r="E39" t="str">
            <v>SWANSON</v>
          </cell>
        </row>
        <row r="40">
          <cell r="C40" t="str">
            <v>236-31</v>
          </cell>
          <cell r="D40">
            <v>1800000</v>
          </cell>
          <cell r="E40" t="str">
            <v>CHANDLER</v>
          </cell>
        </row>
        <row r="41">
          <cell r="C41" t="str">
            <v>824-01</v>
          </cell>
          <cell r="D41">
            <v>2150000</v>
          </cell>
          <cell r="E41" t="str">
            <v>SWANSON</v>
          </cell>
        </row>
        <row r="42">
          <cell r="C42" t="str">
            <v>309-31</v>
          </cell>
          <cell r="D42">
            <v>1180000</v>
          </cell>
          <cell r="E42" t="str">
            <v>LEVERE</v>
          </cell>
        </row>
        <row r="43">
          <cell r="C43" t="str">
            <v>801-01</v>
          </cell>
          <cell r="D43">
            <v>1360000</v>
          </cell>
          <cell r="E43" t="str">
            <v>SANTIZO</v>
          </cell>
        </row>
        <row r="44">
          <cell r="C44" t="str">
            <v>106-01</v>
          </cell>
          <cell r="D44">
            <v>1990000</v>
          </cell>
          <cell r="E44" t="str">
            <v>DAVIS</v>
          </cell>
        </row>
        <row r="45">
          <cell r="C45" t="str">
            <v>115-01</v>
          </cell>
          <cell r="D45">
            <v>1310000</v>
          </cell>
          <cell r="E45" t="str">
            <v>MALAVE</v>
          </cell>
        </row>
        <row r="46">
          <cell r="C46" t="str">
            <v>1829-31</v>
          </cell>
          <cell r="D46">
            <v>1780000</v>
          </cell>
          <cell r="E46" t="str">
            <v>DE LA ROSA</v>
          </cell>
        </row>
        <row r="47">
          <cell r="C47" t="str">
            <v>102-01</v>
          </cell>
          <cell r="D47">
            <v>1480000</v>
          </cell>
          <cell r="E47" t="str">
            <v>STURGEON</v>
          </cell>
        </row>
        <row r="48">
          <cell r="C48" t="str">
            <v>224-31</v>
          </cell>
          <cell r="D48">
            <v>2000000</v>
          </cell>
          <cell r="E48" t="str">
            <v>STAMBAUGH</v>
          </cell>
        </row>
        <row r="49">
          <cell r="C49" t="str">
            <v>243-31</v>
          </cell>
          <cell r="D49">
            <v>1800000</v>
          </cell>
          <cell r="E49" t="str">
            <v>CHANDLER</v>
          </cell>
        </row>
        <row r="50">
          <cell r="C50" t="str">
            <v>1832-31</v>
          </cell>
          <cell r="D50">
            <v>1780000</v>
          </cell>
          <cell r="E50" t="str">
            <v>DE LA ROSA</v>
          </cell>
        </row>
        <row r="51">
          <cell r="C51" t="str">
            <v>178-01</v>
          </cell>
          <cell r="D51">
            <v>2110000</v>
          </cell>
          <cell r="E51" t="str">
            <v>OUN</v>
          </cell>
        </row>
        <row r="52">
          <cell r="C52" t="str">
            <v>239-31</v>
          </cell>
          <cell r="D52">
            <v>2000000</v>
          </cell>
          <cell r="E52" t="str">
            <v>STAMBAUGH</v>
          </cell>
        </row>
        <row r="53">
          <cell r="C53" t="str">
            <v>158-01</v>
          </cell>
          <cell r="D53">
            <v>1310000</v>
          </cell>
          <cell r="E53" t="str">
            <v>MALAVE</v>
          </cell>
        </row>
        <row r="54">
          <cell r="C54" t="str">
            <v>238-31</v>
          </cell>
          <cell r="D54">
            <v>1180000</v>
          </cell>
          <cell r="E54" t="str">
            <v>LEVERE</v>
          </cell>
        </row>
        <row r="55">
          <cell r="C55" t="str">
            <v>101-01</v>
          </cell>
          <cell r="D55">
            <v>1480000</v>
          </cell>
          <cell r="E55" t="str">
            <v>STURGEON</v>
          </cell>
        </row>
        <row r="56">
          <cell r="C56" t="str">
            <v>311-31</v>
          </cell>
          <cell r="D56">
            <v>2000000</v>
          </cell>
          <cell r="E56" t="str">
            <v>STAMBAUGH</v>
          </cell>
        </row>
        <row r="57">
          <cell r="C57" t="str">
            <v>240-31</v>
          </cell>
          <cell r="D57">
            <v>2000000</v>
          </cell>
          <cell r="E57" t="str">
            <v>STAMBAUGH</v>
          </cell>
        </row>
        <row r="58">
          <cell r="C58" t="str">
            <v>800-01</v>
          </cell>
          <cell r="D58">
            <v>1360000</v>
          </cell>
          <cell r="E58" t="str">
            <v>SANTIZO</v>
          </cell>
        </row>
        <row r="59">
          <cell r="C59" t="str">
            <v>241-31</v>
          </cell>
          <cell r="D59">
            <v>2030000</v>
          </cell>
          <cell r="E59" t="str">
            <v>KILLION</v>
          </cell>
        </row>
        <row r="60">
          <cell r="C60" t="str">
            <v>137-01</v>
          </cell>
          <cell r="D60">
            <v>1830000</v>
          </cell>
          <cell r="E60" t="str">
            <v>YORK</v>
          </cell>
        </row>
        <row r="61">
          <cell r="C61" t="str">
            <v>1828-31</v>
          </cell>
          <cell r="D61">
            <v>1780000</v>
          </cell>
          <cell r="E61" t="str">
            <v>DE LA ROSA</v>
          </cell>
        </row>
        <row r="62">
          <cell r="C62" t="str">
            <v>132-01</v>
          </cell>
          <cell r="D62">
            <v>1260000</v>
          </cell>
          <cell r="E62" t="str">
            <v>ACKERMAN</v>
          </cell>
        </row>
        <row r="63">
          <cell r="C63" t="str">
            <v>1827-31</v>
          </cell>
          <cell r="D63">
            <v>1780000</v>
          </cell>
          <cell r="E63" t="str">
            <v>DE LA ROSA</v>
          </cell>
        </row>
        <row r="64">
          <cell r="C64" t="str">
            <v>138-01</v>
          </cell>
          <cell r="D64">
            <v>1830000</v>
          </cell>
          <cell r="E64" t="str">
            <v>YORK</v>
          </cell>
        </row>
        <row r="65">
          <cell r="C65" t="str">
            <v>191-01</v>
          </cell>
          <cell r="D65">
            <v>2110000</v>
          </cell>
          <cell r="E65" t="str">
            <v>OUN</v>
          </cell>
        </row>
        <row r="66">
          <cell r="C66" t="str">
            <v>140-01</v>
          </cell>
          <cell r="D66">
            <v>1110000</v>
          </cell>
          <cell r="E66" t="str">
            <v>STARKS</v>
          </cell>
        </row>
        <row r="67">
          <cell r="C67" t="str">
            <v>171-01</v>
          </cell>
          <cell r="D67">
            <v>1780000</v>
          </cell>
          <cell r="E67" t="str">
            <v>DE LA ROSA</v>
          </cell>
        </row>
        <row r="68">
          <cell r="C68" t="str">
            <v>147-01</v>
          </cell>
          <cell r="D68">
            <v>1990000</v>
          </cell>
          <cell r="E68" t="str">
            <v>DAVIS</v>
          </cell>
        </row>
        <row r="69">
          <cell r="C69" t="str">
            <v>164-01</v>
          </cell>
          <cell r="D69">
            <v>2110000</v>
          </cell>
          <cell r="E69" t="str">
            <v>OUN</v>
          </cell>
        </row>
        <row r="70">
          <cell r="C70" t="str">
            <v>814-01</v>
          </cell>
          <cell r="D70">
            <v>900000</v>
          </cell>
          <cell r="E70" t="str">
            <v>ROCHA</v>
          </cell>
        </row>
        <row r="71">
          <cell r="C71" t="str">
            <v>165-01</v>
          </cell>
          <cell r="D71">
            <v>1520000</v>
          </cell>
          <cell r="E71" t="str">
            <v>MAYBERRY</v>
          </cell>
        </row>
        <row r="72">
          <cell r="C72" t="str">
            <v>153-01</v>
          </cell>
          <cell r="D72">
            <v>1110000</v>
          </cell>
          <cell r="E72" t="str">
            <v>STARKS</v>
          </cell>
        </row>
        <row r="73">
          <cell r="C73" t="str">
            <v>112-01</v>
          </cell>
          <cell r="D73">
            <v>1110000</v>
          </cell>
          <cell r="E73" t="str">
            <v>STARKS</v>
          </cell>
        </row>
        <row r="74">
          <cell r="C74" t="str">
            <v>148-01</v>
          </cell>
          <cell r="D74">
            <v>1990000</v>
          </cell>
          <cell r="E74" t="str">
            <v>DAVIS</v>
          </cell>
        </row>
        <row r="75">
          <cell r="C75" t="str">
            <v>113-01</v>
          </cell>
          <cell r="D75">
            <v>2100000</v>
          </cell>
          <cell r="E75" t="str">
            <v>ISHMAEL</v>
          </cell>
        </row>
        <row r="76">
          <cell r="C76" t="str">
            <v>154-01</v>
          </cell>
          <cell r="D76">
            <v>1110000</v>
          </cell>
          <cell r="E76" t="str">
            <v>STARKS</v>
          </cell>
        </row>
        <row r="77">
          <cell r="C77" t="str">
            <v>104-01</v>
          </cell>
          <cell r="D77">
            <v>1260000</v>
          </cell>
          <cell r="E77" t="str">
            <v>ACKERMAN</v>
          </cell>
        </row>
        <row r="78">
          <cell r="C78" t="str">
            <v>817-01</v>
          </cell>
          <cell r="D78">
            <v>900000</v>
          </cell>
          <cell r="E78" t="str">
            <v>ROCHA</v>
          </cell>
        </row>
        <row r="79">
          <cell r="C79" t="str">
            <v>228-31</v>
          </cell>
          <cell r="D79">
            <v>1800000</v>
          </cell>
          <cell r="E79" t="str">
            <v>CHANDLER</v>
          </cell>
        </row>
        <row r="80">
          <cell r="C80" t="str">
            <v>181-01</v>
          </cell>
          <cell r="D80">
            <v>1140000</v>
          </cell>
          <cell r="E80" t="str">
            <v>YOUNG</v>
          </cell>
        </row>
        <row r="81">
          <cell r="C81" t="str">
            <v>229-31</v>
          </cell>
          <cell r="D81">
            <v>1180000</v>
          </cell>
          <cell r="E81" t="str">
            <v>LEVERE</v>
          </cell>
        </row>
        <row r="82">
          <cell r="C82" t="str">
            <v>185-01</v>
          </cell>
          <cell r="D82">
            <v>1780000</v>
          </cell>
          <cell r="E82" t="str">
            <v>DE LA ROSA</v>
          </cell>
        </row>
        <row r="83">
          <cell r="C83" t="str">
            <v>184-01</v>
          </cell>
          <cell r="D83">
            <v>1740000</v>
          </cell>
          <cell r="E83" t="str">
            <v>STORY</v>
          </cell>
        </row>
        <row r="84">
          <cell r="C84" t="str">
            <v>827-01</v>
          </cell>
          <cell r="D84">
            <v>1290000</v>
          </cell>
          <cell r="E84" t="str">
            <v>COOLAHAN</v>
          </cell>
        </row>
        <row r="85">
          <cell r="C85" t="str">
            <v>821-01</v>
          </cell>
          <cell r="D85">
            <v>2150000</v>
          </cell>
          <cell r="E85" t="str">
            <v>SWANSON</v>
          </cell>
        </row>
        <row r="86">
          <cell r="C86" t="str">
            <v>199-01</v>
          </cell>
          <cell r="D86">
            <v>1780000</v>
          </cell>
          <cell r="E86" t="str">
            <v>DE LA ROSA</v>
          </cell>
        </row>
        <row r="87">
          <cell r="C87" t="str">
            <v>156-01</v>
          </cell>
          <cell r="D87">
            <v>1360000</v>
          </cell>
          <cell r="E87" t="str">
            <v>SANTIZO</v>
          </cell>
        </row>
        <row r="88">
          <cell r="C88" t="str">
            <v>803-01</v>
          </cell>
          <cell r="D88">
            <v>900000</v>
          </cell>
          <cell r="E88" t="str">
            <v>ROCHA</v>
          </cell>
        </row>
        <row r="89">
          <cell r="C89" t="str">
            <v>152-01</v>
          </cell>
          <cell r="D89">
            <v>1830000</v>
          </cell>
          <cell r="E89" t="str">
            <v>YORK</v>
          </cell>
        </row>
        <row r="90">
          <cell r="C90" t="str">
            <v>120-01</v>
          </cell>
          <cell r="D90">
            <v>1990000</v>
          </cell>
          <cell r="E90" t="str">
            <v>DAVIS</v>
          </cell>
        </row>
        <row r="91">
          <cell r="C91" t="str">
            <v>802-01</v>
          </cell>
          <cell r="D91">
            <v>1360000</v>
          </cell>
          <cell r="E91" t="str">
            <v>SANTIZO</v>
          </cell>
        </row>
        <row r="92">
          <cell r="C92" t="str">
            <v>125-01</v>
          </cell>
          <cell r="D92">
            <v>1240000</v>
          </cell>
          <cell r="E92" t="str">
            <v>GRASTON</v>
          </cell>
        </row>
        <row r="93">
          <cell r="C93" t="str">
            <v>151-01</v>
          </cell>
          <cell r="D93">
            <v>1830000</v>
          </cell>
          <cell r="E93" t="str">
            <v>YORK</v>
          </cell>
        </row>
        <row r="94">
          <cell r="C94" t="str">
            <v>127-01</v>
          </cell>
          <cell r="D94">
            <v>2100000</v>
          </cell>
          <cell r="E94" t="str">
            <v>ISHMAEL</v>
          </cell>
        </row>
        <row r="95">
          <cell r="C95" t="str">
            <v>142-01</v>
          </cell>
          <cell r="D95">
            <v>2100000</v>
          </cell>
          <cell r="E95" t="str">
            <v>ISHMAEL</v>
          </cell>
        </row>
        <row r="96">
          <cell r="C96" t="str">
            <v>122-01</v>
          </cell>
          <cell r="D96">
            <v>1090000</v>
          </cell>
          <cell r="E96" t="str">
            <v>SPECTOR</v>
          </cell>
        </row>
        <row r="97">
          <cell r="C97" t="str">
            <v>143-01</v>
          </cell>
          <cell r="D97">
            <v>1310000</v>
          </cell>
          <cell r="E97" t="str">
            <v>MALAVE</v>
          </cell>
        </row>
        <row r="98">
          <cell r="C98" t="str">
            <v>807-01</v>
          </cell>
          <cell r="D98">
            <v>900000</v>
          </cell>
          <cell r="E98" t="str">
            <v>ROCHA</v>
          </cell>
        </row>
        <row r="99">
          <cell r="C99" t="str">
            <v>141-01</v>
          </cell>
          <cell r="D99">
            <v>2100000</v>
          </cell>
          <cell r="E99" t="str">
            <v>ISHMAEL</v>
          </cell>
        </row>
        <row r="100">
          <cell r="C100" t="str">
            <v>809-01</v>
          </cell>
          <cell r="D100">
            <v>1360000</v>
          </cell>
          <cell r="E100" t="str">
            <v>SANTIZO</v>
          </cell>
        </row>
        <row r="101">
          <cell r="C101" t="str">
            <v>812-01</v>
          </cell>
          <cell r="D101">
            <v>900000</v>
          </cell>
          <cell r="E101" t="str">
            <v>ROCHA</v>
          </cell>
        </row>
        <row r="102">
          <cell r="C102" t="str">
            <v>808-01</v>
          </cell>
          <cell r="D102">
            <v>900000</v>
          </cell>
          <cell r="E102" t="str">
            <v>ROCHA</v>
          </cell>
        </row>
        <row r="103">
          <cell r="C103" t="str">
            <v>139-01</v>
          </cell>
          <cell r="D103">
            <v>1110000</v>
          </cell>
          <cell r="E103" t="str">
            <v>STARKS</v>
          </cell>
        </row>
        <row r="104">
          <cell r="C104" t="str">
            <v>128-01</v>
          </cell>
          <cell r="D104">
            <v>2100000</v>
          </cell>
          <cell r="E104" t="str">
            <v>ISHMAEL</v>
          </cell>
        </row>
        <row r="105">
          <cell r="C105" t="str">
            <v>124-01</v>
          </cell>
          <cell r="D105">
            <v>1830000</v>
          </cell>
          <cell r="E105" t="str">
            <v>YORK</v>
          </cell>
        </row>
        <row r="106">
          <cell r="C106" t="str">
            <v>167-01</v>
          </cell>
          <cell r="D106">
            <v>1140000</v>
          </cell>
          <cell r="E106" t="str">
            <v>YOUNG</v>
          </cell>
        </row>
        <row r="107">
          <cell r="C107" t="str">
            <v>118-02</v>
          </cell>
          <cell r="D107">
            <v>1260000</v>
          </cell>
          <cell r="E107" t="str">
            <v>ACKERMAN</v>
          </cell>
        </row>
        <row r="108">
          <cell r="C108" t="str">
            <v>169-01</v>
          </cell>
          <cell r="D108">
            <v>1740000</v>
          </cell>
          <cell r="E108" t="str">
            <v>STORY</v>
          </cell>
        </row>
        <row r="109">
          <cell r="C109" t="str">
            <v>123-02</v>
          </cell>
          <cell r="D109">
            <v>1750000</v>
          </cell>
          <cell r="E109" t="str">
            <v>REBOLETTI</v>
          </cell>
        </row>
        <row r="110">
          <cell r="C110" t="str">
            <v>820-01</v>
          </cell>
          <cell r="D110">
            <v>900000</v>
          </cell>
          <cell r="E110" t="str">
            <v>ROCHA</v>
          </cell>
        </row>
        <row r="111">
          <cell r="C111" t="str">
            <v>803-02</v>
          </cell>
          <cell r="D111">
            <v>1300000</v>
          </cell>
          <cell r="E111" t="str">
            <v>LEVIN</v>
          </cell>
        </row>
        <row r="112">
          <cell r="C112" t="str">
            <v>177-01</v>
          </cell>
          <cell r="D112">
            <v>2110000</v>
          </cell>
          <cell r="E112" t="str">
            <v>OUN</v>
          </cell>
        </row>
        <row r="113">
          <cell r="C113" t="str">
            <v>802-02</v>
          </cell>
          <cell r="D113">
            <v>1110000</v>
          </cell>
          <cell r="E113" t="str">
            <v>STARKS</v>
          </cell>
        </row>
        <row r="114">
          <cell r="C114" t="str">
            <v>189-01</v>
          </cell>
          <cell r="D114">
            <v>2030000</v>
          </cell>
          <cell r="E114" t="str">
            <v>KILLION</v>
          </cell>
        </row>
        <row r="115">
          <cell r="C115" t="str">
            <v>104-02</v>
          </cell>
          <cell r="D115">
            <v>1260000</v>
          </cell>
          <cell r="E115" t="str">
            <v>ACKERMAN</v>
          </cell>
        </row>
        <row r="116">
          <cell r="C116" t="str">
            <v>825-01</v>
          </cell>
          <cell r="D116">
            <v>2150000</v>
          </cell>
          <cell r="E116" t="str">
            <v>SWANSON</v>
          </cell>
        </row>
        <row r="117">
          <cell r="C117" t="str">
            <v>805-02</v>
          </cell>
          <cell r="D117">
            <v>1110000</v>
          </cell>
          <cell r="E117" t="str">
            <v>STARKS</v>
          </cell>
        </row>
        <row r="118">
          <cell r="C118" t="str">
            <v>825-01</v>
          </cell>
          <cell r="D118">
            <v>2150000</v>
          </cell>
          <cell r="E118" t="str">
            <v>SWANSON</v>
          </cell>
        </row>
        <row r="119">
          <cell r="C119" t="str">
            <v>121-02</v>
          </cell>
          <cell r="D119">
            <v>1090000</v>
          </cell>
          <cell r="E119" t="str">
            <v>SPECTOR</v>
          </cell>
        </row>
        <row r="120">
          <cell r="C120" t="str">
            <v>825-01</v>
          </cell>
          <cell r="D120">
            <v>2150000</v>
          </cell>
          <cell r="E120" t="str">
            <v>SWANSON</v>
          </cell>
        </row>
        <row r="121">
          <cell r="C121" t="str">
            <v>119-02</v>
          </cell>
          <cell r="D121">
            <v>1990000</v>
          </cell>
          <cell r="E121" t="str">
            <v>DAVIS</v>
          </cell>
        </row>
        <row r="122">
          <cell r="C122" t="str">
            <v>194-01</v>
          </cell>
          <cell r="D122">
            <v>1520000</v>
          </cell>
          <cell r="E122" t="str">
            <v>MAYBERRY</v>
          </cell>
        </row>
        <row r="123">
          <cell r="C123" t="str">
            <v>103-02</v>
          </cell>
          <cell r="D123">
            <v>1260000</v>
          </cell>
          <cell r="E123" t="str">
            <v>ACKERMAN</v>
          </cell>
        </row>
        <row r="124">
          <cell r="C124" t="str">
            <v>201-01</v>
          </cell>
          <cell r="D124">
            <v>880000</v>
          </cell>
          <cell r="E124" t="str">
            <v>STEWART</v>
          </cell>
        </row>
        <row r="125">
          <cell r="C125" t="str">
            <v>309-01</v>
          </cell>
          <cell r="D125">
            <v>2140000</v>
          </cell>
          <cell r="E125" t="str">
            <v>ROBINSON</v>
          </cell>
        </row>
        <row r="126">
          <cell r="C126" t="str">
            <v>828-01</v>
          </cell>
          <cell r="D126">
            <v>1290000</v>
          </cell>
          <cell r="E126" t="str">
            <v>COOLAHAN</v>
          </cell>
        </row>
        <row r="127">
          <cell r="C127" t="str">
            <v>228-01</v>
          </cell>
          <cell r="D127">
            <v>2090000</v>
          </cell>
          <cell r="E127" t="str">
            <v>HAITHCOX</v>
          </cell>
        </row>
        <row r="128">
          <cell r="C128" t="str">
            <v>203-01</v>
          </cell>
          <cell r="D128">
            <v>2030000</v>
          </cell>
          <cell r="E128" t="str">
            <v>KILLION</v>
          </cell>
        </row>
        <row r="129">
          <cell r="C129" t="str">
            <v>842-01</v>
          </cell>
          <cell r="D129">
            <v>2150000</v>
          </cell>
          <cell r="E129" t="str">
            <v>SWANSON</v>
          </cell>
        </row>
        <row r="130">
          <cell r="C130" t="str">
            <v>209-01</v>
          </cell>
          <cell r="D130">
            <v>2140000</v>
          </cell>
          <cell r="E130" t="str">
            <v>ROBINSON</v>
          </cell>
        </row>
        <row r="131">
          <cell r="C131" t="str">
            <v>224-01</v>
          </cell>
          <cell r="D131">
            <v>1810000</v>
          </cell>
          <cell r="E131" t="str">
            <v>NEWELL</v>
          </cell>
        </row>
        <row r="132">
          <cell r="C132" t="str">
            <v>213-01</v>
          </cell>
          <cell r="D132">
            <v>1810000</v>
          </cell>
          <cell r="E132" t="str">
            <v>NEWELL</v>
          </cell>
        </row>
        <row r="133">
          <cell r="C133" t="str">
            <v>222-01</v>
          </cell>
          <cell r="D133">
            <v>2140000</v>
          </cell>
          <cell r="E133" t="str">
            <v>ROBINSON</v>
          </cell>
        </row>
        <row r="134">
          <cell r="C134" t="str">
            <v>217-01</v>
          </cell>
          <cell r="D134">
            <v>1800000</v>
          </cell>
          <cell r="E134" t="str">
            <v>CHANDLER</v>
          </cell>
        </row>
        <row r="135">
          <cell r="C135" t="str">
            <v>221-01</v>
          </cell>
          <cell r="D135">
            <v>2140000</v>
          </cell>
          <cell r="E135" t="str">
            <v>ROBINSON</v>
          </cell>
        </row>
        <row r="136">
          <cell r="C136" t="str">
            <v>210-01</v>
          </cell>
          <cell r="D136">
            <v>2140000</v>
          </cell>
          <cell r="E136" t="str">
            <v>ROBINSON</v>
          </cell>
        </row>
        <row r="137">
          <cell r="C137" t="str">
            <v>216-01</v>
          </cell>
          <cell r="D137">
            <v>1780000</v>
          </cell>
          <cell r="E137" t="str">
            <v>DE LA ROSA</v>
          </cell>
        </row>
        <row r="138">
          <cell r="C138" t="str">
            <v>837-01</v>
          </cell>
          <cell r="D138">
            <v>2150000</v>
          </cell>
          <cell r="E138" t="str">
            <v>SWANSON</v>
          </cell>
        </row>
        <row r="139">
          <cell r="C139" t="str">
            <v>219-01</v>
          </cell>
          <cell r="D139">
            <v>2090000</v>
          </cell>
          <cell r="E139" t="str">
            <v>HAITHCOX</v>
          </cell>
        </row>
        <row r="140">
          <cell r="C140" t="str">
            <v>217-01</v>
          </cell>
          <cell r="D140">
            <v>1800000</v>
          </cell>
          <cell r="E140" t="str">
            <v>CHANDLER</v>
          </cell>
        </row>
        <row r="141">
          <cell r="C141" t="str">
            <v>835-01</v>
          </cell>
          <cell r="D141">
            <v>1290000</v>
          </cell>
          <cell r="E141" t="str">
            <v>COOLAHAN</v>
          </cell>
        </row>
        <row r="142">
          <cell r="C142" t="str">
            <v>906-01</v>
          </cell>
          <cell r="D142">
            <v>1290000</v>
          </cell>
          <cell r="E142" t="str">
            <v>COOLAHAN</v>
          </cell>
        </row>
        <row r="143">
          <cell r="C143" t="str">
            <v>200-01</v>
          </cell>
          <cell r="D143">
            <v>1780000</v>
          </cell>
          <cell r="E143" t="str">
            <v>DE LA ROSA</v>
          </cell>
        </row>
        <row r="144">
          <cell r="C144" t="str">
            <v>229-01</v>
          </cell>
          <cell r="D144">
            <v>2140000</v>
          </cell>
          <cell r="E144" t="str">
            <v>ROBINSON</v>
          </cell>
        </row>
        <row r="145">
          <cell r="C145" t="str">
            <v>190-01</v>
          </cell>
          <cell r="D145">
            <v>2030000</v>
          </cell>
          <cell r="E145" t="str">
            <v>KILLION</v>
          </cell>
        </row>
        <row r="146">
          <cell r="C146" t="str">
            <v>232-01</v>
          </cell>
          <cell r="D146">
            <v>1810000</v>
          </cell>
          <cell r="E146" t="str">
            <v>NEWELL</v>
          </cell>
        </row>
        <row r="147">
          <cell r="C147" t="str">
            <v>904-01</v>
          </cell>
          <cell r="D147">
            <v>1290000</v>
          </cell>
          <cell r="E147" t="str">
            <v>COOLAHAN</v>
          </cell>
        </row>
        <row r="148">
          <cell r="C148" t="str">
            <v>908-01</v>
          </cell>
          <cell r="D148">
            <v>1290000</v>
          </cell>
          <cell r="E148" t="str">
            <v>COOLAHAN</v>
          </cell>
        </row>
        <row r="149">
          <cell r="C149" t="str">
            <v>187-01</v>
          </cell>
          <cell r="D149">
            <v>880000</v>
          </cell>
          <cell r="E149" t="str">
            <v>STEWART</v>
          </cell>
        </row>
        <row r="150">
          <cell r="C150" t="str">
            <v>239-01</v>
          </cell>
          <cell r="D150">
            <v>1810000</v>
          </cell>
          <cell r="E150" t="str">
            <v>NEWELL</v>
          </cell>
        </row>
        <row r="151">
          <cell r="C151" t="str">
            <v>822-01</v>
          </cell>
          <cell r="D151">
            <v>2150000</v>
          </cell>
          <cell r="E151" t="str">
            <v>SWANSON</v>
          </cell>
        </row>
        <row r="152">
          <cell r="C152" t="str">
            <v>244-01</v>
          </cell>
          <cell r="D152">
            <v>2090000</v>
          </cell>
          <cell r="E152" t="str">
            <v>HAITHCOX</v>
          </cell>
        </row>
        <row r="153">
          <cell r="C153" t="str">
            <v>168-01</v>
          </cell>
          <cell r="D153">
            <v>1140000</v>
          </cell>
          <cell r="E153" t="str">
            <v>YOUNG</v>
          </cell>
        </row>
        <row r="154">
          <cell r="C154" t="str">
            <v>101-02</v>
          </cell>
          <cell r="D154">
            <v>1360000</v>
          </cell>
          <cell r="E154" t="str">
            <v>SANTIZO</v>
          </cell>
        </row>
        <row r="155">
          <cell r="C155" t="str">
            <v>225-31</v>
          </cell>
          <cell r="D155">
            <v>2030000</v>
          </cell>
          <cell r="E155" t="str">
            <v>KILLION</v>
          </cell>
        </row>
        <row r="156">
          <cell r="C156" t="str">
            <v>306-02</v>
          </cell>
          <cell r="D156">
            <v>1990000</v>
          </cell>
          <cell r="E156" t="str">
            <v>DAVIS</v>
          </cell>
        </row>
        <row r="157">
          <cell r="C157" t="str">
            <v>223-31</v>
          </cell>
          <cell r="D157">
            <v>2000000</v>
          </cell>
          <cell r="E157" t="str">
            <v>STAMBAUGH</v>
          </cell>
        </row>
        <row r="158">
          <cell r="C158" t="str">
            <v>105-02</v>
          </cell>
          <cell r="D158">
            <v>1990000</v>
          </cell>
          <cell r="E158" t="str">
            <v>DAVIS</v>
          </cell>
        </row>
        <row r="159">
          <cell r="C159" t="str">
            <v>160-01</v>
          </cell>
          <cell r="D159">
            <v>880000</v>
          </cell>
          <cell r="E159" t="str">
            <v>STEWART</v>
          </cell>
        </row>
        <row r="160">
          <cell r="C160" t="str">
            <v>109-02</v>
          </cell>
          <cell r="D160">
            <v>1750000</v>
          </cell>
          <cell r="E160" t="str">
            <v>REBOLETTI</v>
          </cell>
        </row>
        <row r="161">
          <cell r="C161" t="str">
            <v>157-01</v>
          </cell>
          <cell r="D161">
            <v>1310000</v>
          </cell>
          <cell r="E161" t="str">
            <v>MALAVE</v>
          </cell>
        </row>
        <row r="162">
          <cell r="C162" t="str">
            <v>800-02</v>
          </cell>
          <cell r="D162">
            <v>1110000</v>
          </cell>
          <cell r="E162" t="str">
            <v>STARKS</v>
          </cell>
        </row>
        <row r="163">
          <cell r="C163" t="str">
            <v>813-01</v>
          </cell>
          <cell r="D163">
            <v>900000</v>
          </cell>
          <cell r="E163" t="str">
            <v>ROCHA</v>
          </cell>
        </row>
        <row r="164">
          <cell r="C164" t="str">
            <v>801-02</v>
          </cell>
          <cell r="D164">
            <v>1110000</v>
          </cell>
          <cell r="E164" t="str">
            <v>STARKS</v>
          </cell>
        </row>
        <row r="165">
          <cell r="C165" t="str">
            <v>811-01</v>
          </cell>
          <cell r="D165">
            <v>900000</v>
          </cell>
          <cell r="E165" t="str">
            <v>ROCHA</v>
          </cell>
        </row>
        <row r="166">
          <cell r="C166" t="str">
            <v>803-02</v>
          </cell>
          <cell r="D166">
            <v>1300000</v>
          </cell>
          <cell r="E166" t="str">
            <v>LEVIN</v>
          </cell>
        </row>
        <row r="167">
          <cell r="C167" t="str">
            <v>137-01</v>
          </cell>
          <cell r="D167">
            <v>1830000</v>
          </cell>
          <cell r="E167" t="str">
            <v>YORK</v>
          </cell>
        </row>
        <row r="168">
          <cell r="C168" t="str">
            <v>803-02</v>
          </cell>
          <cell r="D168">
            <v>1300000</v>
          </cell>
          <cell r="E168" t="str">
            <v>LEVIN</v>
          </cell>
        </row>
        <row r="169">
          <cell r="C169" t="str">
            <v>133-01</v>
          </cell>
          <cell r="D169">
            <v>1990000</v>
          </cell>
          <cell r="E169" t="str">
            <v>DAVIS</v>
          </cell>
        </row>
        <row r="170">
          <cell r="C170" t="str">
            <v>125-02</v>
          </cell>
          <cell r="D170">
            <v>2100000</v>
          </cell>
          <cell r="E170" t="str">
            <v>ISHMAEL</v>
          </cell>
        </row>
        <row r="171">
          <cell r="C171" t="str">
            <v>126-01</v>
          </cell>
          <cell r="D171">
            <v>1240000</v>
          </cell>
          <cell r="E171" t="str">
            <v>GRASTON</v>
          </cell>
        </row>
        <row r="172">
          <cell r="C172" t="str">
            <v>804-02</v>
          </cell>
          <cell r="D172">
            <v>1300000</v>
          </cell>
          <cell r="E172" t="str">
            <v>LEVIN</v>
          </cell>
        </row>
        <row r="173">
          <cell r="C173" t="str">
            <v>119-01</v>
          </cell>
          <cell r="D173">
            <v>1990000</v>
          </cell>
          <cell r="E173" t="str">
            <v>DAVIS</v>
          </cell>
        </row>
        <row r="174">
          <cell r="C174" t="str">
            <v>129-02</v>
          </cell>
          <cell r="D174">
            <v>900000</v>
          </cell>
          <cell r="E174" t="str">
            <v>ROCHA</v>
          </cell>
        </row>
        <row r="175">
          <cell r="C175" t="str">
            <v>115-01</v>
          </cell>
          <cell r="D175">
            <v>1310000</v>
          </cell>
          <cell r="E175" t="str">
            <v>MALAVE</v>
          </cell>
        </row>
        <row r="176">
          <cell r="C176" t="str">
            <v>103-01</v>
          </cell>
          <cell r="D176">
            <v>1260000</v>
          </cell>
          <cell r="E176" t="str">
            <v>ACKERMAN</v>
          </cell>
        </row>
        <row r="177">
          <cell r="C177" t="str">
            <v>110-01</v>
          </cell>
          <cell r="D177">
            <v>1830000</v>
          </cell>
          <cell r="E177" t="str">
            <v>YORK</v>
          </cell>
        </row>
        <row r="178">
          <cell r="C178" t="str">
            <v>105-01</v>
          </cell>
          <cell r="D178">
            <v>1990000</v>
          </cell>
          <cell r="E178" t="str">
            <v>DAVIS</v>
          </cell>
        </row>
        <row r="179">
          <cell r="C179" t="str">
            <v>111-01</v>
          </cell>
          <cell r="D179">
            <v>1110000</v>
          </cell>
          <cell r="E179" t="str">
            <v>STARKS</v>
          </cell>
        </row>
        <row r="180">
          <cell r="C180" t="str">
            <v>108-01</v>
          </cell>
          <cell r="D180">
            <v>1090000</v>
          </cell>
          <cell r="E180" t="str">
            <v>SPECTOR</v>
          </cell>
        </row>
        <row r="181">
          <cell r="C181" t="str">
            <v>109-01</v>
          </cell>
          <cell r="D181">
            <v>1830000</v>
          </cell>
          <cell r="E181" t="str">
            <v>YORK</v>
          </cell>
        </row>
        <row r="182">
          <cell r="C182" t="str">
            <v>117-01</v>
          </cell>
          <cell r="D182">
            <v>1260000</v>
          </cell>
          <cell r="E182" t="str">
            <v>ACKERMAN</v>
          </cell>
        </row>
        <row r="183">
          <cell r="C183" t="str">
            <v>232-31</v>
          </cell>
          <cell r="D183">
            <v>2000000</v>
          </cell>
          <cell r="E183" t="str">
            <v>STAMBAUGH</v>
          </cell>
        </row>
        <row r="184">
          <cell r="C184" t="str">
            <v>802-01</v>
          </cell>
          <cell r="D184">
            <v>1360000</v>
          </cell>
          <cell r="E184" t="str">
            <v>SANTIZO</v>
          </cell>
        </row>
        <row r="185">
          <cell r="C185" t="str">
            <v>1831-31</v>
          </cell>
          <cell r="D185">
            <v>1780000</v>
          </cell>
          <cell r="E185" t="str">
            <v>DE LA ROSA</v>
          </cell>
        </row>
        <row r="186">
          <cell r="C186" t="str">
            <v>121-01</v>
          </cell>
          <cell r="D186">
            <v>1090000</v>
          </cell>
          <cell r="E186" t="str">
            <v>SPECTOR</v>
          </cell>
        </row>
        <row r="187">
          <cell r="C187" t="str">
            <v>226-31</v>
          </cell>
          <cell r="D187">
            <v>2030000</v>
          </cell>
          <cell r="E187" t="str">
            <v>KILLION</v>
          </cell>
        </row>
        <row r="188">
          <cell r="C188" t="str">
            <v>805-01</v>
          </cell>
          <cell r="D188">
            <v>1360000</v>
          </cell>
          <cell r="E188" t="str">
            <v>SANTIZO</v>
          </cell>
        </row>
        <row r="189">
          <cell r="C189" t="str">
            <v>129-01</v>
          </cell>
          <cell r="D189">
            <v>1310000</v>
          </cell>
          <cell r="E189" t="str">
            <v>MALAVE</v>
          </cell>
        </row>
        <row r="190">
          <cell r="C190" t="str">
            <v>145-01</v>
          </cell>
          <cell r="D190">
            <v>1260000</v>
          </cell>
          <cell r="E190" t="str">
            <v>ACKERMAN</v>
          </cell>
        </row>
        <row r="191">
          <cell r="C191" t="str">
            <v>114-01</v>
          </cell>
          <cell r="D191">
            <v>2100000</v>
          </cell>
          <cell r="E191" t="str">
            <v>ISHMAEL</v>
          </cell>
        </row>
        <row r="192">
          <cell r="C192" t="str">
            <v>149-01</v>
          </cell>
          <cell r="D192">
            <v>1090000</v>
          </cell>
          <cell r="E192" t="str">
            <v>SPECTOR</v>
          </cell>
        </row>
        <row r="193">
          <cell r="C193" t="str">
            <v>107-01</v>
          </cell>
          <cell r="D193">
            <v>1090000</v>
          </cell>
          <cell r="E193" t="str">
            <v>SPECTOR</v>
          </cell>
        </row>
        <row r="194">
          <cell r="C194" t="str">
            <v>173-01</v>
          </cell>
          <cell r="D194">
            <v>880000</v>
          </cell>
          <cell r="E194" t="str">
            <v>STEWART</v>
          </cell>
        </row>
        <row r="195">
          <cell r="C195" t="str">
            <v>308-01</v>
          </cell>
          <cell r="D195">
            <v>1090000</v>
          </cell>
          <cell r="E195" t="str">
            <v>SPECTOR</v>
          </cell>
        </row>
        <row r="196">
          <cell r="C196" t="str">
            <v>175-01</v>
          </cell>
          <cell r="D196">
            <v>2030000</v>
          </cell>
          <cell r="E196" t="str">
            <v>KILLION</v>
          </cell>
        </row>
        <row r="197">
          <cell r="C197" t="str">
            <v>234-31</v>
          </cell>
          <cell r="D197">
            <v>2030000</v>
          </cell>
          <cell r="E197" t="str">
            <v>KILLION</v>
          </cell>
        </row>
        <row r="198">
          <cell r="C198" t="str">
            <v>170-01</v>
          </cell>
          <cell r="D198">
            <v>1740000</v>
          </cell>
          <cell r="E198" t="str">
            <v>STORY</v>
          </cell>
        </row>
        <row r="199">
          <cell r="C199" t="str">
            <v>114-02</v>
          </cell>
          <cell r="D199">
            <v>1360000</v>
          </cell>
          <cell r="E199" t="str">
            <v>SANTIZO</v>
          </cell>
        </row>
        <row r="200">
          <cell r="C200" t="str">
            <v>176-01</v>
          </cell>
          <cell r="D200">
            <v>2030000</v>
          </cell>
          <cell r="E200" t="str">
            <v>KILLION</v>
          </cell>
        </row>
        <row r="201">
          <cell r="C201" t="str">
            <v>110-02</v>
          </cell>
          <cell r="D201">
            <v>1750000</v>
          </cell>
          <cell r="E201" t="str">
            <v>REBOLETTI</v>
          </cell>
        </row>
        <row r="202">
          <cell r="C202" t="str">
            <v>825-01</v>
          </cell>
          <cell r="D202">
            <v>2150000</v>
          </cell>
          <cell r="E202" t="str">
            <v>SWANSON</v>
          </cell>
        </row>
        <row r="203">
          <cell r="C203" t="str">
            <v>113-02</v>
          </cell>
          <cell r="D203">
            <v>1360000</v>
          </cell>
          <cell r="E203" t="str">
            <v>SANTIZO</v>
          </cell>
        </row>
        <row r="204">
          <cell r="C204" t="str">
            <v>806-01</v>
          </cell>
          <cell r="D204">
            <v>1360000</v>
          </cell>
          <cell r="E204" t="str">
            <v>SANTIZO</v>
          </cell>
        </row>
        <row r="205">
          <cell r="C205" t="str">
            <v>107-02</v>
          </cell>
          <cell r="D205">
            <v>1090000</v>
          </cell>
          <cell r="E205" t="str">
            <v>SPECTOR</v>
          </cell>
        </row>
        <row r="206">
          <cell r="C206" t="str">
            <v>127-01</v>
          </cell>
          <cell r="D206">
            <v>2100000</v>
          </cell>
          <cell r="E206" t="str">
            <v>ISHMAEL</v>
          </cell>
        </row>
        <row r="207">
          <cell r="C207" t="str">
            <v>901-02</v>
          </cell>
          <cell r="D207">
            <v>1110000</v>
          </cell>
          <cell r="E207" t="str">
            <v>STARKS</v>
          </cell>
        </row>
        <row r="208">
          <cell r="C208" t="str">
            <v>129-01</v>
          </cell>
          <cell r="D208">
            <v>1310000</v>
          </cell>
          <cell r="E208" t="str">
            <v>MALAVE</v>
          </cell>
        </row>
        <row r="209">
          <cell r="C209" t="str">
            <v>901-02</v>
          </cell>
          <cell r="D209">
            <v>1110000</v>
          </cell>
          <cell r="E209" t="str">
            <v>STARKS</v>
          </cell>
        </row>
        <row r="210">
          <cell r="C210" t="str">
            <v>808-01</v>
          </cell>
          <cell r="D210">
            <v>900000</v>
          </cell>
          <cell r="E210" t="str">
            <v>ROCHA</v>
          </cell>
        </row>
        <row r="211">
          <cell r="C211" t="str">
            <v>242-01</v>
          </cell>
          <cell r="D211">
            <v>1800000</v>
          </cell>
          <cell r="E211" t="str">
            <v>CHANDLER</v>
          </cell>
        </row>
        <row r="212">
          <cell r="C212" t="str">
            <v>133-01</v>
          </cell>
          <cell r="D212">
            <v>1990000</v>
          </cell>
          <cell r="E212" t="str">
            <v>DAVIS</v>
          </cell>
        </row>
        <row r="213">
          <cell r="C213" t="str">
            <v>241-01</v>
          </cell>
          <cell r="D213">
            <v>1800000</v>
          </cell>
          <cell r="E213" t="str">
            <v>CHANDLER</v>
          </cell>
        </row>
        <row r="214">
          <cell r="C214" t="str">
            <v>144-01</v>
          </cell>
          <cell r="D214">
            <v>1310000</v>
          </cell>
          <cell r="E214" t="str">
            <v>MALAVE</v>
          </cell>
        </row>
        <row r="215">
          <cell r="C215" t="str">
            <v>239-01</v>
          </cell>
          <cell r="D215">
            <v>1810000</v>
          </cell>
          <cell r="E215" t="str">
            <v>NEWELL</v>
          </cell>
        </row>
        <row r="216">
          <cell r="C216" t="str">
            <v>150-01</v>
          </cell>
          <cell r="D216">
            <v>1090000</v>
          </cell>
          <cell r="E216" t="str">
            <v>SPECTOR</v>
          </cell>
        </row>
        <row r="217">
          <cell r="C217" t="str">
            <v>237-01</v>
          </cell>
          <cell r="D217">
            <v>2140000</v>
          </cell>
          <cell r="E217" t="str">
            <v>ROBINSON</v>
          </cell>
        </row>
        <row r="218">
          <cell r="C218" t="str">
            <v>162-01</v>
          </cell>
          <cell r="D218">
            <v>1240000</v>
          </cell>
          <cell r="E218" t="str">
            <v>GRASTON</v>
          </cell>
        </row>
        <row r="219">
          <cell r="C219" t="str">
            <v>235-01</v>
          </cell>
          <cell r="D219">
            <v>2090000</v>
          </cell>
          <cell r="E219" t="str">
            <v>HAITHCOX</v>
          </cell>
        </row>
        <row r="220">
          <cell r="C220" t="str">
            <v>166-01</v>
          </cell>
          <cell r="D220">
            <v>1520000</v>
          </cell>
          <cell r="E220" t="str">
            <v>MAYBERRY</v>
          </cell>
        </row>
        <row r="221">
          <cell r="C221" t="str">
            <v>235-01</v>
          </cell>
          <cell r="D221">
            <v>2090000</v>
          </cell>
          <cell r="E221" t="str">
            <v>HAITHCOX</v>
          </cell>
        </row>
        <row r="222">
          <cell r="C222" t="str">
            <v>820-01</v>
          </cell>
          <cell r="D222">
            <v>900000</v>
          </cell>
          <cell r="E222" t="str">
            <v>ROCHA</v>
          </cell>
        </row>
        <row r="223">
          <cell r="C223" t="str">
            <v>225-01</v>
          </cell>
          <cell r="D223">
            <v>1800000</v>
          </cell>
          <cell r="E223" t="str">
            <v>CHANDLER</v>
          </cell>
        </row>
        <row r="224">
          <cell r="C224" t="str">
            <v>183-01</v>
          </cell>
          <cell r="D224">
            <v>1740000</v>
          </cell>
          <cell r="E224" t="str">
            <v>STORY</v>
          </cell>
        </row>
        <row r="225">
          <cell r="C225" t="str">
            <v>220-01</v>
          </cell>
          <cell r="D225">
            <v>2090000</v>
          </cell>
          <cell r="E225" t="str">
            <v>HAITHCOX</v>
          </cell>
        </row>
        <row r="226">
          <cell r="C226" t="str">
            <v>180-01</v>
          </cell>
          <cell r="D226">
            <v>1520000</v>
          </cell>
          <cell r="E226" t="str">
            <v>MAYBERRY</v>
          </cell>
        </row>
        <row r="227">
          <cell r="C227" t="str">
            <v>834-01</v>
          </cell>
          <cell r="D227">
            <v>2150000</v>
          </cell>
          <cell r="E227" t="str">
            <v>SWANSON</v>
          </cell>
        </row>
        <row r="228">
          <cell r="C228" t="str">
            <v>193-01</v>
          </cell>
          <cell r="D228">
            <v>1520000</v>
          </cell>
          <cell r="E228" t="str">
            <v>MAYBERRY</v>
          </cell>
        </row>
        <row r="229">
          <cell r="C229" t="str">
            <v>832-01</v>
          </cell>
          <cell r="D229">
            <v>1290000</v>
          </cell>
          <cell r="E229" t="str">
            <v>COOLAHAN</v>
          </cell>
        </row>
        <row r="230">
          <cell r="C230" t="str">
            <v>195-01</v>
          </cell>
          <cell r="D230">
            <v>1140000</v>
          </cell>
          <cell r="E230" t="str">
            <v>YOUNG</v>
          </cell>
        </row>
        <row r="231">
          <cell r="C231" t="str">
            <v>207-01</v>
          </cell>
          <cell r="D231">
            <v>1520000</v>
          </cell>
          <cell r="E231" t="str">
            <v>MAYBERRY</v>
          </cell>
        </row>
        <row r="232">
          <cell r="C232" t="str">
            <v>242-31</v>
          </cell>
          <cell r="D232">
            <v>2030000</v>
          </cell>
          <cell r="E232" t="str">
            <v>KILLION</v>
          </cell>
        </row>
        <row r="233">
          <cell r="C233" t="str">
            <v>197-01</v>
          </cell>
          <cell r="D233">
            <v>1740000</v>
          </cell>
          <cell r="E233" t="str">
            <v>STORY</v>
          </cell>
        </row>
        <row r="234">
          <cell r="C234" t="str">
            <v>244-31</v>
          </cell>
          <cell r="D234">
            <v>1800000</v>
          </cell>
          <cell r="E234" t="str">
            <v>CHANDLER</v>
          </cell>
        </row>
        <row r="235">
          <cell r="C235" t="str">
            <v>904-01</v>
          </cell>
          <cell r="D235">
            <v>1290000</v>
          </cell>
          <cell r="E235" t="str">
            <v>COOLAHAN</v>
          </cell>
        </row>
        <row r="236">
          <cell r="C236" t="str">
            <v>315-31</v>
          </cell>
          <cell r="D236">
            <v>1800000</v>
          </cell>
          <cell r="E236" t="str">
            <v>CHANDLER</v>
          </cell>
        </row>
        <row r="237">
          <cell r="C237" t="str">
            <v>825-01</v>
          </cell>
          <cell r="D237">
            <v>2150000</v>
          </cell>
          <cell r="E237" t="str">
            <v>SWANSON</v>
          </cell>
        </row>
        <row r="238">
          <cell r="C238" t="str">
            <v>220-31</v>
          </cell>
          <cell r="D238">
            <v>1800000</v>
          </cell>
          <cell r="E238" t="str">
            <v>CHANDLER</v>
          </cell>
        </row>
        <row r="239">
          <cell r="C239" t="str">
            <v>186-01</v>
          </cell>
          <cell r="D239">
            <v>1780000</v>
          </cell>
          <cell r="E239" t="str">
            <v>DE LA ROSA</v>
          </cell>
        </row>
        <row r="240">
          <cell r="C240" t="str">
            <v>230-31</v>
          </cell>
          <cell r="D240">
            <v>1180000</v>
          </cell>
          <cell r="E240" t="str">
            <v>LEVERE</v>
          </cell>
        </row>
        <row r="241">
          <cell r="C241" t="str">
            <v>824-01</v>
          </cell>
          <cell r="D241">
            <v>2150000</v>
          </cell>
          <cell r="E241" t="str">
            <v>SWANSON</v>
          </cell>
        </row>
        <row r="242">
          <cell r="C242" t="str">
            <v>1902-31</v>
          </cell>
          <cell r="D242">
            <v>1780000</v>
          </cell>
          <cell r="E242" t="str">
            <v>DE LA ROSA</v>
          </cell>
        </row>
        <row r="243">
          <cell r="C243" t="str">
            <v>182-01</v>
          </cell>
          <cell r="D243">
            <v>1140000</v>
          </cell>
          <cell r="E243" t="str">
            <v>YOUNG</v>
          </cell>
        </row>
        <row r="244">
          <cell r="C244" t="str">
            <v>313-31</v>
          </cell>
          <cell r="D244">
            <v>2030000</v>
          </cell>
          <cell r="E244" t="str">
            <v>KILLION</v>
          </cell>
        </row>
        <row r="245">
          <cell r="C245" t="str">
            <v>823-01</v>
          </cell>
          <cell r="D245">
            <v>2150000</v>
          </cell>
          <cell r="E245" t="str">
            <v>SWANSON</v>
          </cell>
        </row>
        <row r="246">
          <cell r="C246" t="str">
            <v>192-01</v>
          </cell>
          <cell r="D246">
            <v>2110000</v>
          </cell>
          <cell r="E246" t="str">
            <v>OUN</v>
          </cell>
        </row>
        <row r="247">
          <cell r="C247" t="str">
            <v>179-01</v>
          </cell>
          <cell r="D247">
            <v>1520000</v>
          </cell>
          <cell r="E247" t="str">
            <v>MAYBERRY</v>
          </cell>
        </row>
        <row r="248">
          <cell r="C248" t="str">
            <v>828-01</v>
          </cell>
          <cell r="D248">
            <v>1290000</v>
          </cell>
          <cell r="E248" t="str">
            <v>COOLAHAN</v>
          </cell>
        </row>
        <row r="249">
          <cell r="C249" t="str">
            <v>172-01</v>
          </cell>
          <cell r="D249">
            <v>1780000</v>
          </cell>
          <cell r="E249" t="str">
            <v>DE LA ROSA</v>
          </cell>
        </row>
        <row r="250">
          <cell r="C250" t="str">
            <v>830-01</v>
          </cell>
          <cell r="D250">
            <v>2150000</v>
          </cell>
          <cell r="E250" t="str">
            <v>SWANSON</v>
          </cell>
        </row>
        <row r="251">
          <cell r="C251" t="str">
            <v>155-01</v>
          </cell>
          <cell r="D251">
            <v>1360000</v>
          </cell>
          <cell r="E251" t="str">
            <v>SANTIZO</v>
          </cell>
        </row>
        <row r="252">
          <cell r="C252" t="str">
            <v>205-01</v>
          </cell>
          <cell r="D252">
            <v>2110000</v>
          </cell>
          <cell r="E252" t="str">
            <v>OUN</v>
          </cell>
        </row>
        <row r="253">
          <cell r="C253" t="str">
            <v>146-01</v>
          </cell>
          <cell r="D253">
            <v>1260000</v>
          </cell>
          <cell r="E253" t="str">
            <v>ACKERMAN</v>
          </cell>
        </row>
        <row r="254">
          <cell r="C254" t="str">
            <v>208-01</v>
          </cell>
          <cell r="D254">
            <v>1520000</v>
          </cell>
          <cell r="E254" t="str">
            <v>MAYBERRY</v>
          </cell>
        </row>
        <row r="255">
          <cell r="C255" t="str">
            <v>136-01</v>
          </cell>
          <cell r="D255">
            <v>1090000</v>
          </cell>
          <cell r="E255" t="str">
            <v>SPECTOR</v>
          </cell>
        </row>
        <row r="256">
          <cell r="C256" t="str">
            <v>836-01</v>
          </cell>
          <cell r="D256">
            <v>1290000</v>
          </cell>
          <cell r="E256" t="str">
            <v>COOLAHAN</v>
          </cell>
        </row>
        <row r="257">
          <cell r="C257" t="str">
            <v>134-01</v>
          </cell>
          <cell r="D257">
            <v>1990000</v>
          </cell>
          <cell r="E257" t="str">
            <v>DAVIS</v>
          </cell>
        </row>
        <row r="258">
          <cell r="C258" t="str">
            <v>839-01</v>
          </cell>
          <cell r="D258">
            <v>1290000</v>
          </cell>
          <cell r="E258" t="str">
            <v>COOLAHAN</v>
          </cell>
        </row>
        <row r="259">
          <cell r="C259" t="str">
            <v>130-01</v>
          </cell>
          <cell r="D259">
            <v>1310000</v>
          </cell>
          <cell r="E259" t="str">
            <v>MALAVE</v>
          </cell>
        </row>
        <row r="260">
          <cell r="C260" t="str">
            <v>303-01</v>
          </cell>
          <cell r="D260">
            <v>1520000</v>
          </cell>
          <cell r="E260" t="str">
            <v>MAYBERRY</v>
          </cell>
        </row>
        <row r="261">
          <cell r="C261" t="str">
            <v>810-01</v>
          </cell>
          <cell r="D261">
            <v>1360000</v>
          </cell>
          <cell r="E261" t="str">
            <v>SANTIZO</v>
          </cell>
        </row>
        <row r="262">
          <cell r="C262" t="str">
            <v>218-01</v>
          </cell>
          <cell r="D262">
            <v>1800000</v>
          </cell>
          <cell r="E262" t="str">
            <v>CHANDLER</v>
          </cell>
        </row>
        <row r="263">
          <cell r="C263" t="str">
            <v>135-01</v>
          </cell>
          <cell r="D263">
            <v>1090000</v>
          </cell>
          <cell r="E263" t="str">
            <v>SPECTOR</v>
          </cell>
        </row>
        <row r="264">
          <cell r="C264" t="str">
            <v>841-01</v>
          </cell>
          <cell r="D264">
            <v>2150000</v>
          </cell>
          <cell r="E264" t="str">
            <v>SWANSON</v>
          </cell>
        </row>
        <row r="265">
          <cell r="C265" t="str">
            <v>804-01</v>
          </cell>
          <cell r="D265">
            <v>900000</v>
          </cell>
          <cell r="E265" t="str">
            <v>ROCHA</v>
          </cell>
        </row>
        <row r="266">
          <cell r="C266" t="str">
            <v>223-01</v>
          </cell>
          <cell r="D266">
            <v>1810000</v>
          </cell>
          <cell r="E266" t="str">
            <v>NEWELL</v>
          </cell>
        </row>
        <row r="267">
          <cell r="C267" t="str">
            <v>118-01</v>
          </cell>
          <cell r="D267">
            <v>1260000</v>
          </cell>
          <cell r="E267" t="str">
            <v>ACKERMAN</v>
          </cell>
        </row>
        <row r="268">
          <cell r="C268" t="str">
            <v>840-01</v>
          </cell>
          <cell r="D268">
            <v>2150000</v>
          </cell>
          <cell r="E268" t="str">
            <v>SWANSON</v>
          </cell>
        </row>
        <row r="269">
          <cell r="C269" t="str">
            <v>123-01</v>
          </cell>
          <cell r="D269">
            <v>1830000</v>
          </cell>
          <cell r="E269" t="str">
            <v>YORK</v>
          </cell>
        </row>
        <row r="270">
          <cell r="C270" t="str">
            <v>222-01</v>
          </cell>
          <cell r="D270">
            <v>2140000</v>
          </cell>
          <cell r="E270" t="str">
            <v>ROBINSON</v>
          </cell>
        </row>
        <row r="271">
          <cell r="C271" t="str">
            <v>116-01</v>
          </cell>
          <cell r="D271">
            <v>1310000</v>
          </cell>
          <cell r="E271" t="str">
            <v>MALAVE</v>
          </cell>
        </row>
        <row r="272">
          <cell r="C272" t="str">
            <v>843-01</v>
          </cell>
          <cell r="D272">
            <v>2150000</v>
          </cell>
          <cell r="E272" t="str">
            <v>SWANSON</v>
          </cell>
        </row>
        <row r="273">
          <cell r="C273" t="str">
            <v>174-01</v>
          </cell>
          <cell r="D273">
            <v>880000</v>
          </cell>
          <cell r="E273" t="str">
            <v>STEWART</v>
          </cell>
        </row>
        <row r="274">
          <cell r="C274" t="str">
            <v>227-01</v>
          </cell>
          <cell r="D274">
            <v>2090000</v>
          </cell>
          <cell r="E274" t="str">
            <v>HAITHCOX</v>
          </cell>
        </row>
        <row r="275">
          <cell r="C275" t="str">
            <v>819-01</v>
          </cell>
          <cell r="D275">
            <v>900000</v>
          </cell>
          <cell r="E275" t="str">
            <v>ROCHA</v>
          </cell>
        </row>
        <row r="276">
          <cell r="C276" t="str">
            <v>226-01</v>
          </cell>
          <cell r="D276">
            <v>1800000</v>
          </cell>
          <cell r="E276" t="str">
            <v>CHANDLER</v>
          </cell>
        </row>
        <row r="277">
          <cell r="C277" t="str">
            <v>818-01</v>
          </cell>
          <cell r="D277">
            <v>900000</v>
          </cell>
          <cell r="E277" t="str">
            <v>ROCHA</v>
          </cell>
        </row>
        <row r="278">
          <cell r="C278" t="str">
            <v>230-01</v>
          </cell>
          <cell r="D278">
            <v>2140000</v>
          </cell>
          <cell r="E278" t="str">
            <v>ROBINSON</v>
          </cell>
        </row>
        <row r="279">
          <cell r="C279" t="str">
            <v>163-01</v>
          </cell>
          <cell r="D279">
            <v>2110000</v>
          </cell>
          <cell r="E279" t="str">
            <v>OUN</v>
          </cell>
        </row>
        <row r="280">
          <cell r="C280" t="str">
            <v>847-01</v>
          </cell>
          <cell r="D280">
            <v>1290000</v>
          </cell>
          <cell r="E280" t="str">
            <v>COOLAHAN</v>
          </cell>
        </row>
        <row r="281">
          <cell r="C281" t="str">
            <v>161-01</v>
          </cell>
          <cell r="D281">
            <v>1240000</v>
          </cell>
          <cell r="E281" t="str">
            <v>GRASTON</v>
          </cell>
        </row>
        <row r="282">
          <cell r="C282" t="str">
            <v>233-01</v>
          </cell>
          <cell r="D282">
            <v>1800000</v>
          </cell>
          <cell r="E282" t="str">
            <v>CHANDLER</v>
          </cell>
        </row>
        <row r="283">
          <cell r="C283" t="str">
            <v>159-01</v>
          </cell>
          <cell r="D283">
            <v>880000</v>
          </cell>
          <cell r="E283" t="str">
            <v>STEWART</v>
          </cell>
        </row>
        <row r="284">
          <cell r="C284" t="str">
            <v>237-01</v>
          </cell>
          <cell r="D284">
            <v>2140000</v>
          </cell>
          <cell r="E284" t="str">
            <v>ROBINSON</v>
          </cell>
        </row>
        <row r="285">
          <cell r="C285" t="str">
            <v>816-01</v>
          </cell>
          <cell r="D285">
            <v>900000</v>
          </cell>
          <cell r="E285" t="str">
            <v>ROCHA</v>
          </cell>
        </row>
        <row r="286">
          <cell r="C286" t="str">
            <v>234-01</v>
          </cell>
          <cell r="D286">
            <v>1800000</v>
          </cell>
          <cell r="E286" t="str">
            <v>CHANDLER</v>
          </cell>
        </row>
        <row r="287">
          <cell r="C287" t="str">
            <v>815-01</v>
          </cell>
          <cell r="D287">
            <v>900000</v>
          </cell>
          <cell r="E287" t="str">
            <v>ROCHA</v>
          </cell>
        </row>
        <row r="288">
          <cell r="C288" t="str">
            <v>238-01</v>
          </cell>
          <cell r="D288">
            <v>2140000</v>
          </cell>
          <cell r="E288" t="str">
            <v>ROBINSON</v>
          </cell>
        </row>
        <row r="289">
          <cell r="C289" t="str">
            <v>131-01</v>
          </cell>
          <cell r="D289">
            <v>1260000</v>
          </cell>
          <cell r="E289" t="str">
            <v>ACKERMAN</v>
          </cell>
        </row>
        <row r="290">
          <cell r="C290" t="str">
            <v>243-01</v>
          </cell>
          <cell r="D290">
            <v>2090000</v>
          </cell>
          <cell r="E290" t="str">
            <v>HAITHCOX</v>
          </cell>
        </row>
        <row r="291">
          <cell r="C291" t="str">
            <v>129-01</v>
          </cell>
          <cell r="D291">
            <v>1310000</v>
          </cell>
          <cell r="E291" t="str">
            <v>MALAVE</v>
          </cell>
        </row>
        <row r="292">
          <cell r="C292" t="str">
            <v>313-01</v>
          </cell>
          <cell r="D292">
            <v>1800000</v>
          </cell>
          <cell r="E292" t="str">
            <v>CHANDLER</v>
          </cell>
        </row>
        <row r="293">
          <cell r="C293" t="str">
            <v>237-31</v>
          </cell>
          <cell r="D293">
            <v>1180000</v>
          </cell>
          <cell r="E293" t="str">
            <v>LEVERE</v>
          </cell>
        </row>
        <row r="294">
          <cell r="C294" t="str">
            <v>115-02</v>
          </cell>
          <cell r="D294">
            <v>900000</v>
          </cell>
          <cell r="E294" t="str">
            <v>ROCHA</v>
          </cell>
        </row>
        <row r="295">
          <cell r="C295" t="str">
            <v>235-31</v>
          </cell>
          <cell r="D295">
            <v>1800000</v>
          </cell>
          <cell r="E295" t="str">
            <v>CHANDLER</v>
          </cell>
        </row>
        <row r="296">
          <cell r="C296" t="str">
            <v>112-02</v>
          </cell>
          <cell r="D296">
            <v>2100000</v>
          </cell>
          <cell r="E296" t="str">
            <v>ISHMAEL</v>
          </cell>
        </row>
        <row r="297">
          <cell r="C297" t="str">
            <v>1833-31</v>
          </cell>
          <cell r="D297">
            <v>1780000</v>
          </cell>
          <cell r="E297" t="str">
            <v>DE LA ROSA</v>
          </cell>
        </row>
        <row r="298">
          <cell r="C298" t="str">
            <v>120-02</v>
          </cell>
          <cell r="D298">
            <v>1990000</v>
          </cell>
          <cell r="E298" t="str">
            <v>DAVIS</v>
          </cell>
        </row>
        <row r="299">
          <cell r="C299" t="str">
            <v>231-31</v>
          </cell>
          <cell r="D299">
            <v>2000000</v>
          </cell>
          <cell r="E299" t="str">
            <v>STAMBAUGH</v>
          </cell>
        </row>
        <row r="300">
          <cell r="C300" t="str">
            <v>116-02</v>
          </cell>
          <cell r="D300">
            <v>900000</v>
          </cell>
          <cell r="E300" t="str">
            <v>ROCHA</v>
          </cell>
        </row>
        <row r="301">
          <cell r="C301" t="str">
            <v>107-02</v>
          </cell>
          <cell r="D301">
            <v>1090000</v>
          </cell>
          <cell r="E301" t="str">
            <v>SPECTOR</v>
          </cell>
        </row>
        <row r="303">
          <cell r="C303" t="str">
            <v>1904-30</v>
          </cell>
          <cell r="D303">
            <v>2000000</v>
          </cell>
          <cell r="E303" t="str">
            <v>STAMBAUGH</v>
          </cell>
        </row>
        <row r="304">
          <cell r="C304" t="str">
            <v>306-30</v>
          </cell>
          <cell r="D304">
            <v>1260000</v>
          </cell>
          <cell r="E304" t="str">
            <v>ACKERMAN</v>
          </cell>
        </row>
        <row r="305">
          <cell r="C305" t="str">
            <v>2004-30</v>
          </cell>
          <cell r="D305">
            <v>2000000</v>
          </cell>
          <cell r="E305" t="str">
            <v>STAMBAUGH</v>
          </cell>
        </row>
        <row r="306">
          <cell r="C306" t="str">
            <v>1866-30</v>
          </cell>
          <cell r="D306">
            <v>1780000</v>
          </cell>
          <cell r="E306" t="str">
            <v>DE LA ROSA</v>
          </cell>
        </row>
        <row r="308">
          <cell r="C308" t="str">
            <v>238-26</v>
          </cell>
          <cell r="D308">
            <v>1180000</v>
          </cell>
          <cell r="E308" t="str">
            <v>LEVERE</v>
          </cell>
        </row>
        <row r="309">
          <cell r="C309" t="str">
            <v>302-28</v>
          </cell>
          <cell r="D309">
            <v>2010000</v>
          </cell>
          <cell r="E309" t="str">
            <v>MAELZER</v>
          </cell>
        </row>
        <row r="310">
          <cell r="C310" t="str">
            <v>908-26</v>
          </cell>
          <cell r="D310">
            <v>1480000</v>
          </cell>
          <cell r="E310" t="str">
            <v>STURGEON</v>
          </cell>
        </row>
        <row r="311">
          <cell r="C311" t="str">
            <v>101-28</v>
          </cell>
          <cell r="D311">
            <v>2010000</v>
          </cell>
          <cell r="E311" t="str">
            <v>MAELZER</v>
          </cell>
        </row>
        <row r="312">
          <cell r="C312" t="str">
            <v>230-26</v>
          </cell>
          <cell r="D312">
            <v>1180000</v>
          </cell>
          <cell r="E312" t="str">
            <v>LEVERE</v>
          </cell>
        </row>
        <row r="313">
          <cell r="C313" t="str">
            <v>102-28</v>
          </cell>
          <cell r="D313">
            <v>2010000</v>
          </cell>
          <cell r="E313" t="str">
            <v>MAELZER</v>
          </cell>
        </row>
        <row r="314">
          <cell r="C314" t="str">
            <v>844-26</v>
          </cell>
          <cell r="D314">
            <v>1480000</v>
          </cell>
          <cell r="E314" t="str">
            <v>STURGEON</v>
          </cell>
        </row>
        <row r="315">
          <cell r="C315" t="str">
            <v>802-28</v>
          </cell>
          <cell r="D315">
            <v>1830000</v>
          </cell>
          <cell r="E315" t="str">
            <v>YORK</v>
          </cell>
        </row>
        <row r="316">
          <cell r="C316" t="str">
            <v>307-26</v>
          </cell>
          <cell r="D316">
            <v>950000</v>
          </cell>
          <cell r="E316" t="str">
            <v>WEBSTER</v>
          </cell>
        </row>
        <row r="317">
          <cell r="C317" t="str">
            <v>806-28</v>
          </cell>
          <cell r="D317">
            <v>1830000</v>
          </cell>
          <cell r="E317" t="str">
            <v>YORK</v>
          </cell>
        </row>
        <row r="318">
          <cell r="C318" t="str">
            <v>156-27</v>
          </cell>
          <cell r="D318">
            <v>1110000</v>
          </cell>
          <cell r="E318" t="str">
            <v>STARKS</v>
          </cell>
        </row>
        <row r="320">
          <cell r="C320" t="str">
            <v>807-26</v>
          </cell>
          <cell r="D320">
            <v>1300000</v>
          </cell>
          <cell r="E320" t="str">
            <v>LEVIN</v>
          </cell>
        </row>
        <row r="321">
          <cell r="C321" t="str">
            <v>302-27</v>
          </cell>
          <cell r="D321">
            <v>2010000</v>
          </cell>
          <cell r="E321" t="str">
            <v>MAELZER</v>
          </cell>
        </row>
        <row r="322">
          <cell r="C322" t="str">
            <v>124-26</v>
          </cell>
          <cell r="D322">
            <v>1750000</v>
          </cell>
          <cell r="E322" t="str">
            <v>REBOLETTI</v>
          </cell>
        </row>
        <row r="323">
          <cell r="C323" t="str">
            <v>238-26</v>
          </cell>
          <cell r="D323">
            <v>1180000</v>
          </cell>
          <cell r="E323" t="str">
            <v>LEVERE</v>
          </cell>
        </row>
        <row r="324">
          <cell r="C324" t="str">
            <v>126-26</v>
          </cell>
          <cell r="D324">
            <v>1100000</v>
          </cell>
          <cell r="E324" t="str">
            <v>GEBRETEKLE</v>
          </cell>
        </row>
        <row r="325">
          <cell r="C325" t="str">
            <v>908-26</v>
          </cell>
          <cell r="D325">
            <v>1480000</v>
          </cell>
          <cell r="E325" t="str">
            <v>STURGEON</v>
          </cell>
        </row>
        <row r="326">
          <cell r="C326" t="str">
            <v>137-26</v>
          </cell>
          <cell r="D326">
            <v>1750000</v>
          </cell>
          <cell r="E326" t="str">
            <v>REBOLETTI</v>
          </cell>
        </row>
        <row r="327">
          <cell r="C327" t="str">
            <v>230-26</v>
          </cell>
          <cell r="D327">
            <v>1180000</v>
          </cell>
          <cell r="E327" t="str">
            <v>LEVERE</v>
          </cell>
        </row>
        <row r="328">
          <cell r="C328" t="str">
            <v>132-26</v>
          </cell>
          <cell r="D328">
            <v>1260000</v>
          </cell>
          <cell r="E328" t="str">
            <v>ACKERMAN</v>
          </cell>
        </row>
        <row r="329">
          <cell r="C329" t="str">
            <v>844-26</v>
          </cell>
          <cell r="D329">
            <v>1480000</v>
          </cell>
          <cell r="E329" t="str">
            <v>STURGEON</v>
          </cell>
        </row>
        <row r="330">
          <cell r="C330" t="str">
            <v>132-26</v>
          </cell>
          <cell r="D330">
            <v>1260000</v>
          </cell>
          <cell r="E330" t="str">
            <v>ACKERMAN</v>
          </cell>
        </row>
        <row r="331">
          <cell r="C331" t="str">
            <v>307-26</v>
          </cell>
          <cell r="D331">
            <v>950000</v>
          </cell>
          <cell r="E331" t="str">
            <v>WEBSTER</v>
          </cell>
        </row>
        <row r="332">
          <cell r="C332" t="str">
            <v>134-26</v>
          </cell>
          <cell r="D332">
            <v>1990000</v>
          </cell>
          <cell r="E332" t="str">
            <v>DAVIS</v>
          </cell>
        </row>
        <row r="333">
          <cell r="C333" t="str">
            <v>840-26</v>
          </cell>
          <cell r="D333">
            <v>1770000</v>
          </cell>
          <cell r="E333" t="str">
            <v>BRUDER</v>
          </cell>
        </row>
        <row r="334">
          <cell r="C334" t="str">
            <v>141-26</v>
          </cell>
          <cell r="D334">
            <v>1540000</v>
          </cell>
          <cell r="E334" t="str">
            <v>HELVIE</v>
          </cell>
        </row>
        <row r="335">
          <cell r="C335" t="str">
            <v>217-26</v>
          </cell>
          <cell r="D335">
            <v>1780000</v>
          </cell>
          <cell r="E335" t="str">
            <v>DE LA ROSA</v>
          </cell>
        </row>
        <row r="336">
          <cell r="C336" t="str">
            <v>813-26</v>
          </cell>
          <cell r="D336">
            <v>1300000</v>
          </cell>
          <cell r="E336" t="str">
            <v>LEVIN</v>
          </cell>
        </row>
        <row r="337">
          <cell r="C337" t="str">
            <v>835-26</v>
          </cell>
          <cell r="D337">
            <v>1480000</v>
          </cell>
          <cell r="E337" t="str">
            <v>STURGEON</v>
          </cell>
        </row>
        <row r="338">
          <cell r="C338" t="str">
            <v>814-26</v>
          </cell>
          <cell r="D338">
            <v>1300000</v>
          </cell>
          <cell r="E338" t="str">
            <v>LEVIN</v>
          </cell>
        </row>
        <row r="339">
          <cell r="C339" t="str">
            <v>833-26</v>
          </cell>
          <cell r="D339">
            <v>1770000</v>
          </cell>
          <cell r="E339" t="str">
            <v>BRUDER</v>
          </cell>
        </row>
        <row r="340">
          <cell r="C340" t="str">
            <v>149-26</v>
          </cell>
          <cell r="D340">
            <v>1090000</v>
          </cell>
          <cell r="E340" t="str">
            <v>SPECTOR</v>
          </cell>
        </row>
        <row r="341">
          <cell r="C341" t="str">
            <v>207-26</v>
          </cell>
          <cell r="D341">
            <v>940000</v>
          </cell>
          <cell r="E341" t="str">
            <v>BONDS</v>
          </cell>
        </row>
        <row r="342">
          <cell r="C342" t="str">
            <v>151-26</v>
          </cell>
          <cell r="D342">
            <v>1750000</v>
          </cell>
          <cell r="E342" t="str">
            <v>REBOLETTI</v>
          </cell>
        </row>
        <row r="343">
          <cell r="C343" t="str">
            <v>831-26</v>
          </cell>
          <cell r="D343">
            <v>1480000</v>
          </cell>
          <cell r="E343" t="str">
            <v>STURGEON</v>
          </cell>
        </row>
        <row r="344">
          <cell r="C344" t="str">
            <v>815-26</v>
          </cell>
          <cell r="D344">
            <v>1300000</v>
          </cell>
          <cell r="E344" t="str">
            <v>LEVIN</v>
          </cell>
        </row>
        <row r="345">
          <cell r="C345" t="str">
            <v>198-26</v>
          </cell>
          <cell r="D345">
            <v>1520000</v>
          </cell>
          <cell r="E345" t="str">
            <v>MAYBERRY</v>
          </cell>
        </row>
        <row r="346">
          <cell r="C346" t="str">
            <v>152-26</v>
          </cell>
          <cell r="D346">
            <v>1750000</v>
          </cell>
          <cell r="E346" t="str">
            <v>REBOLETTI</v>
          </cell>
        </row>
        <row r="347">
          <cell r="C347" t="str">
            <v>203-26</v>
          </cell>
          <cell r="D347">
            <v>880000</v>
          </cell>
          <cell r="E347" t="str">
            <v>STEWART</v>
          </cell>
        </row>
        <row r="348">
          <cell r="C348" t="str">
            <v>159-26</v>
          </cell>
          <cell r="D348">
            <v>1280000</v>
          </cell>
          <cell r="E348" t="str">
            <v>BARTLETT</v>
          </cell>
        </row>
        <row r="349">
          <cell r="C349" t="str">
            <v>199-26</v>
          </cell>
          <cell r="D349">
            <v>950000</v>
          </cell>
          <cell r="E349" t="str">
            <v>WEBSTER</v>
          </cell>
        </row>
        <row r="350">
          <cell r="C350" t="str">
            <v>158-26</v>
          </cell>
          <cell r="D350">
            <v>1240000</v>
          </cell>
          <cell r="E350" t="str">
            <v>GRASTON</v>
          </cell>
        </row>
        <row r="351">
          <cell r="C351" t="str">
            <v>197-26</v>
          </cell>
          <cell r="D351">
            <v>1520000</v>
          </cell>
          <cell r="E351" t="str">
            <v>MAYBERRY</v>
          </cell>
        </row>
        <row r="352">
          <cell r="C352" t="str">
            <v>171-26</v>
          </cell>
          <cell r="D352">
            <v>950000</v>
          </cell>
          <cell r="E352" t="str">
            <v>WEBSTER</v>
          </cell>
        </row>
        <row r="353">
          <cell r="C353" t="str">
            <v>827-26</v>
          </cell>
          <cell r="D353">
            <v>1480000</v>
          </cell>
          <cell r="E353" t="str">
            <v>STURGEON</v>
          </cell>
        </row>
        <row r="354">
          <cell r="C354" t="str">
            <v>173-26</v>
          </cell>
          <cell r="D354">
            <v>1280000</v>
          </cell>
          <cell r="E354" t="str">
            <v>BARTLETT</v>
          </cell>
        </row>
        <row r="355">
          <cell r="C355" t="str">
            <v>195-26</v>
          </cell>
          <cell r="D355">
            <v>1140000</v>
          </cell>
          <cell r="E355" t="str">
            <v>YOUNG</v>
          </cell>
        </row>
        <row r="356">
          <cell r="C356" t="str">
            <v>821-26</v>
          </cell>
          <cell r="D356">
            <v>1770000</v>
          </cell>
          <cell r="E356" t="str">
            <v>BRUDER</v>
          </cell>
        </row>
        <row r="357">
          <cell r="C357" t="str">
            <v>179-26</v>
          </cell>
          <cell r="D357">
            <v>940000</v>
          </cell>
          <cell r="E357" t="str">
            <v>BONDS</v>
          </cell>
        </row>
        <row r="358">
          <cell r="C358" t="str">
            <v>822-26</v>
          </cell>
          <cell r="D358">
            <v>1770000</v>
          </cell>
          <cell r="E358" t="str">
            <v>BRUDER</v>
          </cell>
        </row>
        <row r="359">
          <cell r="C359" t="str">
            <v>177-26</v>
          </cell>
          <cell r="D359">
            <v>1120000</v>
          </cell>
          <cell r="E359" t="str">
            <v>LOCKLEAR</v>
          </cell>
        </row>
        <row r="360">
          <cell r="C360" t="str">
            <v>181-26</v>
          </cell>
          <cell r="D360">
            <v>1140000</v>
          </cell>
          <cell r="E360" t="str">
            <v>YOUNG</v>
          </cell>
        </row>
        <row r="361">
          <cell r="C361" t="str">
            <v>175-26</v>
          </cell>
          <cell r="D361">
            <v>880000</v>
          </cell>
          <cell r="E361" t="str">
            <v>STEWART</v>
          </cell>
        </row>
        <row r="362">
          <cell r="C362" t="str">
            <v>176-26</v>
          </cell>
          <cell r="D362">
            <v>880000</v>
          </cell>
          <cell r="E362" t="str">
            <v>STEWART</v>
          </cell>
        </row>
        <row r="363">
          <cell r="C363" t="str">
            <v>170-26</v>
          </cell>
          <cell r="D363">
            <v>1520000</v>
          </cell>
          <cell r="E363" t="str">
            <v>MAYBERRY</v>
          </cell>
        </row>
        <row r="364">
          <cell r="C364" t="str">
            <v>183-26</v>
          </cell>
          <cell r="D364">
            <v>1520000</v>
          </cell>
          <cell r="E364" t="str">
            <v>MAYBERRY</v>
          </cell>
        </row>
        <row r="365">
          <cell r="C365" t="str">
            <v>819-26</v>
          </cell>
          <cell r="D365">
            <v>1300000</v>
          </cell>
          <cell r="E365" t="str">
            <v>LEVIN</v>
          </cell>
        </row>
        <row r="366">
          <cell r="C366" t="str">
            <v>178-26</v>
          </cell>
          <cell r="D366">
            <v>1120000</v>
          </cell>
          <cell r="E366" t="str">
            <v>LOCKLEAR</v>
          </cell>
        </row>
        <row r="367">
          <cell r="C367" t="str">
            <v>162-26</v>
          </cell>
          <cell r="D367">
            <v>880000</v>
          </cell>
          <cell r="E367" t="str">
            <v>STEWART</v>
          </cell>
        </row>
        <row r="368">
          <cell r="C368" t="str">
            <v>180-26</v>
          </cell>
          <cell r="D368">
            <v>940000</v>
          </cell>
          <cell r="E368" t="str">
            <v>BONDS</v>
          </cell>
        </row>
        <row r="369">
          <cell r="C369" t="str">
            <v>163-26</v>
          </cell>
          <cell r="D369">
            <v>1120000</v>
          </cell>
          <cell r="E369" t="str">
            <v>LOCKLEAR</v>
          </cell>
        </row>
        <row r="370">
          <cell r="C370" t="str">
            <v>187-26</v>
          </cell>
          <cell r="D370">
            <v>1280000</v>
          </cell>
          <cell r="E370" t="str">
            <v>BARTLETT</v>
          </cell>
        </row>
        <row r="371">
          <cell r="C371" t="str">
            <v>157-26</v>
          </cell>
          <cell r="D371">
            <v>1240000</v>
          </cell>
          <cell r="E371" t="str">
            <v>GRASTON</v>
          </cell>
        </row>
        <row r="372">
          <cell r="C372" t="str">
            <v>188-26</v>
          </cell>
          <cell r="D372">
            <v>1280000</v>
          </cell>
          <cell r="E372" t="str">
            <v>BARTLETT</v>
          </cell>
        </row>
        <row r="373">
          <cell r="C373" t="str">
            <v>816-26</v>
          </cell>
          <cell r="D373">
            <v>1300000</v>
          </cell>
          <cell r="E373" t="str">
            <v>LEVIN</v>
          </cell>
        </row>
        <row r="374">
          <cell r="C374" t="str">
            <v>830-26</v>
          </cell>
          <cell r="D374">
            <v>1770000</v>
          </cell>
          <cell r="E374" t="str">
            <v>BRUDER</v>
          </cell>
        </row>
        <row r="375">
          <cell r="C375" t="str">
            <v>144-26</v>
          </cell>
          <cell r="D375">
            <v>1240000</v>
          </cell>
          <cell r="E375" t="str">
            <v>GRASTON</v>
          </cell>
        </row>
        <row r="376">
          <cell r="C376" t="str">
            <v>209-26</v>
          </cell>
          <cell r="D376">
            <v>1180000</v>
          </cell>
          <cell r="E376" t="str">
            <v>LEVERE</v>
          </cell>
        </row>
        <row r="377">
          <cell r="C377" t="str">
            <v>140-26</v>
          </cell>
          <cell r="D377">
            <v>1100000</v>
          </cell>
          <cell r="E377" t="str">
            <v>GEBRETEKLE</v>
          </cell>
        </row>
        <row r="378">
          <cell r="C378" t="str">
            <v>906-26</v>
          </cell>
          <cell r="D378">
            <v>1480000</v>
          </cell>
          <cell r="E378" t="str">
            <v>STURGEON</v>
          </cell>
        </row>
        <row r="379">
          <cell r="C379" t="str">
            <v>134-26</v>
          </cell>
          <cell r="D379">
            <v>1990000</v>
          </cell>
          <cell r="E379" t="str">
            <v>DAVIS</v>
          </cell>
        </row>
        <row r="380">
          <cell r="C380" t="str">
            <v>843-26</v>
          </cell>
          <cell r="D380">
            <v>1770000</v>
          </cell>
          <cell r="E380" t="str">
            <v>BRUDER</v>
          </cell>
        </row>
        <row r="381">
          <cell r="C381" t="str">
            <v>812-26</v>
          </cell>
          <cell r="D381">
            <v>1300000</v>
          </cell>
          <cell r="E381" t="str">
            <v>LEVIN</v>
          </cell>
        </row>
        <row r="382">
          <cell r="C382" t="str">
            <v>842-26</v>
          </cell>
          <cell r="D382">
            <v>1770000</v>
          </cell>
          <cell r="E382" t="str">
            <v>BRUDER</v>
          </cell>
        </row>
        <row r="383">
          <cell r="C383" t="str">
            <v>809-26</v>
          </cell>
          <cell r="D383">
            <v>1110000</v>
          </cell>
          <cell r="E383" t="str">
            <v>STARKS</v>
          </cell>
        </row>
        <row r="384">
          <cell r="C384" t="str">
            <v>845-26</v>
          </cell>
          <cell r="D384">
            <v>1480000</v>
          </cell>
          <cell r="E384" t="str">
            <v>STURGEON</v>
          </cell>
        </row>
        <row r="385">
          <cell r="C385" t="str">
            <v>133-26</v>
          </cell>
          <cell r="D385">
            <v>1990000</v>
          </cell>
          <cell r="E385" t="str">
            <v>DAVIS</v>
          </cell>
        </row>
        <row r="386">
          <cell r="C386" t="str">
            <v>241-26</v>
          </cell>
          <cell r="D386">
            <v>1230000</v>
          </cell>
          <cell r="E386" t="str">
            <v>YANAI</v>
          </cell>
        </row>
        <row r="387">
          <cell r="C387" t="str">
            <v>804-26</v>
          </cell>
          <cell r="D387">
            <v>1300000</v>
          </cell>
          <cell r="E387" t="str">
            <v>LEVIN</v>
          </cell>
        </row>
        <row r="388">
          <cell r="C388" t="str">
            <v>315-26</v>
          </cell>
          <cell r="D388">
            <v>1800000</v>
          </cell>
          <cell r="E388" t="str">
            <v>CHANDLER</v>
          </cell>
        </row>
        <row r="389">
          <cell r="C389" t="str">
            <v>108-26</v>
          </cell>
          <cell r="D389">
            <v>1090000</v>
          </cell>
          <cell r="E389" t="str">
            <v>SPECTOR</v>
          </cell>
        </row>
        <row r="390">
          <cell r="C390" t="str">
            <v>102-27</v>
          </cell>
          <cell r="D390">
            <v>2010000</v>
          </cell>
          <cell r="E390" t="str">
            <v>MAELZER</v>
          </cell>
        </row>
        <row r="391">
          <cell r="C391" t="str">
            <v>237-25</v>
          </cell>
          <cell r="D391">
            <v>1180000</v>
          </cell>
          <cell r="E391" t="str">
            <v>LEVERE</v>
          </cell>
        </row>
        <row r="392">
          <cell r="C392" t="str">
            <v>804-27</v>
          </cell>
          <cell r="D392">
            <v>1100000</v>
          </cell>
          <cell r="E392" t="str">
            <v>GEBRETEKLE</v>
          </cell>
        </row>
        <row r="393">
          <cell r="C393" t="str">
            <v>234-25</v>
          </cell>
          <cell r="D393">
            <v>1800000</v>
          </cell>
          <cell r="E393" t="str">
            <v>CHANDLER</v>
          </cell>
        </row>
        <row r="394">
          <cell r="C394" t="str">
            <v>119-27</v>
          </cell>
          <cell r="D394">
            <v>1360000</v>
          </cell>
          <cell r="E394" t="str">
            <v>SANTIZO</v>
          </cell>
        </row>
        <row r="395">
          <cell r="C395" t="str">
            <v>234-25</v>
          </cell>
          <cell r="D395">
            <v>1800000</v>
          </cell>
          <cell r="E395" t="str">
            <v>CHANDLER</v>
          </cell>
        </row>
        <row r="396">
          <cell r="C396" t="str">
            <v>807-27</v>
          </cell>
          <cell r="D396">
            <v>1100000</v>
          </cell>
          <cell r="E396" t="str">
            <v>GEBRETEKLE</v>
          </cell>
        </row>
        <row r="397">
          <cell r="C397" t="str">
            <v>230-25</v>
          </cell>
          <cell r="D397">
            <v>1180000</v>
          </cell>
          <cell r="E397" t="str">
            <v>LEVERE</v>
          </cell>
        </row>
        <row r="398">
          <cell r="C398" t="str">
            <v>129-27</v>
          </cell>
          <cell r="D398">
            <v>1190000</v>
          </cell>
          <cell r="E398" t="str">
            <v>BRANNON</v>
          </cell>
        </row>
        <row r="399">
          <cell r="C399" t="str">
            <v>864-25</v>
          </cell>
          <cell r="D399">
            <v>1290000</v>
          </cell>
          <cell r="E399" t="str">
            <v>COOLAHAN</v>
          </cell>
        </row>
        <row r="400">
          <cell r="C400" t="str">
            <v>119-27</v>
          </cell>
          <cell r="D400">
            <v>1360000</v>
          </cell>
          <cell r="E400" t="str">
            <v>SANTIZO</v>
          </cell>
        </row>
        <row r="401">
          <cell r="C401" t="str">
            <v>224-25</v>
          </cell>
          <cell r="D401">
            <v>1810000</v>
          </cell>
          <cell r="E401" t="str">
            <v>NEWELL</v>
          </cell>
        </row>
        <row r="402">
          <cell r="C402" t="str">
            <v>126-27</v>
          </cell>
          <cell r="D402">
            <v>900000</v>
          </cell>
          <cell r="E402" t="str">
            <v>ROCHA</v>
          </cell>
        </row>
        <row r="403">
          <cell r="C403" t="str">
            <v>160-26</v>
          </cell>
          <cell r="D403">
            <v>1280000</v>
          </cell>
          <cell r="E403" t="str">
            <v>BARTLETT</v>
          </cell>
        </row>
        <row r="405">
          <cell r="C405" t="str">
            <v>111-25</v>
          </cell>
          <cell r="D405">
            <v>1110000</v>
          </cell>
          <cell r="E405" t="str">
            <v>STARKS</v>
          </cell>
        </row>
        <row r="406">
          <cell r="C406" t="str">
            <v>241-25</v>
          </cell>
          <cell r="D406">
            <v>1800000</v>
          </cell>
          <cell r="E406" t="str">
            <v>CHANDLER</v>
          </cell>
        </row>
        <row r="407">
          <cell r="C407" t="str">
            <v>102-25</v>
          </cell>
          <cell r="D407">
            <v>1480000</v>
          </cell>
          <cell r="E407" t="str">
            <v>STURGEON</v>
          </cell>
        </row>
        <row r="408">
          <cell r="C408" t="str">
            <v>243-25</v>
          </cell>
          <cell r="D408">
            <v>1230000</v>
          </cell>
          <cell r="E408" t="str">
            <v>YANAI</v>
          </cell>
        </row>
        <row r="409">
          <cell r="C409" t="str">
            <v>105-25</v>
          </cell>
          <cell r="D409">
            <v>1190000</v>
          </cell>
          <cell r="E409" t="str">
            <v>BRANNON</v>
          </cell>
        </row>
        <row r="410">
          <cell r="C410" t="str">
            <v>242-25</v>
          </cell>
          <cell r="D410">
            <v>1800000</v>
          </cell>
          <cell r="E410" t="str">
            <v>CHANDLER</v>
          </cell>
        </row>
        <row r="411">
          <cell r="C411" t="str">
            <v>101-25</v>
          </cell>
          <cell r="D411">
            <v>1480000</v>
          </cell>
          <cell r="E411" t="str">
            <v>STURGEON</v>
          </cell>
        </row>
        <row r="412">
          <cell r="C412" t="str">
            <v>105-26</v>
          </cell>
          <cell r="D412">
            <v>1990000</v>
          </cell>
          <cell r="E412" t="str">
            <v>DAVIS</v>
          </cell>
        </row>
        <row r="413">
          <cell r="C413" t="str">
            <v>244-24</v>
          </cell>
          <cell r="D413">
            <v>1800000</v>
          </cell>
          <cell r="E413" t="str">
            <v>CHANDLER</v>
          </cell>
        </row>
        <row r="414">
          <cell r="C414" t="str">
            <v>107-26</v>
          </cell>
          <cell r="D414">
            <v>1090000</v>
          </cell>
          <cell r="E414" t="str">
            <v>SPECTOR</v>
          </cell>
        </row>
        <row r="415">
          <cell r="C415" t="str">
            <v>243-24</v>
          </cell>
          <cell r="D415">
            <v>1800000</v>
          </cell>
          <cell r="E415" t="str">
            <v>CHANDLER</v>
          </cell>
        </row>
        <row r="416">
          <cell r="C416" t="str">
            <v>106-26</v>
          </cell>
          <cell r="D416">
            <v>1990000</v>
          </cell>
          <cell r="E416" t="str">
            <v>DAVIS</v>
          </cell>
        </row>
        <row r="417">
          <cell r="C417" t="str">
            <v>1828-24</v>
          </cell>
          <cell r="D417">
            <v>1750000</v>
          </cell>
          <cell r="E417" t="str">
            <v>REBOLETTI</v>
          </cell>
        </row>
        <row r="418">
          <cell r="C418" t="str">
            <v>113-26</v>
          </cell>
          <cell r="D418">
            <v>1540000</v>
          </cell>
          <cell r="E418" t="str">
            <v>HELVIE</v>
          </cell>
        </row>
        <row r="419">
          <cell r="C419" t="str">
            <v>224-24</v>
          </cell>
          <cell r="D419">
            <v>1290000</v>
          </cell>
          <cell r="E419" t="str">
            <v>COOLAHAN</v>
          </cell>
        </row>
        <row r="420">
          <cell r="C420" t="str">
            <v>125-26</v>
          </cell>
          <cell r="D420">
            <v>1100000</v>
          </cell>
          <cell r="E420" t="str">
            <v>GEBRETEKLE</v>
          </cell>
        </row>
        <row r="421">
          <cell r="C421" t="str">
            <v>143-25</v>
          </cell>
          <cell r="D421">
            <v>1240000</v>
          </cell>
          <cell r="E421" t="str">
            <v>GRASTON</v>
          </cell>
        </row>
        <row r="422">
          <cell r="C422" t="str">
            <v>127-26</v>
          </cell>
          <cell r="D422">
            <v>1540000</v>
          </cell>
          <cell r="E422" t="str">
            <v>HELVIE</v>
          </cell>
        </row>
        <row r="423">
          <cell r="C423" t="str">
            <v>176-25</v>
          </cell>
          <cell r="D423">
            <v>880000</v>
          </cell>
          <cell r="E423" t="str">
            <v>STEWART</v>
          </cell>
        </row>
      </sheetData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  <sheetName val="Redmine List Values"/>
    </sheetNames>
    <sheetDataSet>
      <sheetData sheetId="0">
        <row r="13">
          <cell r="A13" t="str">
            <v>101-01</v>
          </cell>
          <cell r="B13">
            <v>4042</v>
          </cell>
          <cell r="C13" t="str">
            <v>DE.1.0.7.0</v>
          </cell>
          <cell r="D13" t="str">
            <v>204:752</v>
          </cell>
          <cell r="E13">
            <v>42614.130555555559</v>
          </cell>
          <cell r="F13">
            <v>42614.135659722226</v>
          </cell>
          <cell r="G13">
            <v>1</v>
          </cell>
          <cell r="H13" t="str">
            <v>204:233341</v>
          </cell>
          <cell r="I13">
            <v>42614.160902777781</v>
          </cell>
          <cell r="J13">
            <v>0</v>
          </cell>
          <cell r="K13" t="str">
            <v>4041/4042</v>
          </cell>
          <cell r="L13" t="str">
            <v>MAELZER</v>
          </cell>
          <cell r="M13">
            <v>2.5243055555620231E-2</v>
          </cell>
          <cell r="N13">
            <v>36.350000000093132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https://search-rtdc-monitor-bjffxe2xuh6vdkpspy63sjmuny.us-east-1.es.amazonaws.com/_plugin/kibana/#/discover/Steve-Slow-Train-Analysis-(2080s-and-2083s)?_g=(refreshInterval:(display:Off,section:0,value:0),time:(from:'2016-09-01 02:08:00-0600',mode:absolute,to:'2016-09-01 04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3" t="str">
            <v>N</v>
          </cell>
          <cell r="X13" t="e">
            <v>#VALUE!</v>
          </cell>
          <cell r="Y13">
            <v>7.5200000000000003E-2</v>
          </cell>
          <cell r="Z13">
            <v>23.334099999999999</v>
          </cell>
          <cell r="AA13">
            <v>23.258900000000001</v>
          </cell>
          <cell r="AB13" t="e">
            <v>#N/A</v>
          </cell>
          <cell r="AC13" t="e">
            <v>#N/A</v>
          </cell>
          <cell r="AD13" t="str">
            <v>0101-01</v>
          </cell>
          <cell r="AE13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14">
          <cell r="A14" t="str">
            <v>102-01</v>
          </cell>
          <cell r="B14">
            <v>4043</v>
          </cell>
          <cell r="C14" t="str">
            <v>DE.1.0.7.0</v>
          </cell>
          <cell r="D14" t="str">
            <v>204:232675</v>
          </cell>
          <cell r="E14">
            <v>42614.166412037041</v>
          </cell>
          <cell r="F14">
            <v>42614.174525462964</v>
          </cell>
          <cell r="G14">
            <v>1</v>
          </cell>
          <cell r="H14" t="str">
            <v>204:169</v>
          </cell>
          <cell r="I14">
            <v>42614.201458333337</v>
          </cell>
          <cell r="J14">
            <v>0</v>
          </cell>
          <cell r="K14" t="str">
            <v>4043/4044</v>
          </cell>
          <cell r="L14" t="str">
            <v>MAELZER</v>
          </cell>
          <cell r="M14">
            <v>2.6932870372547768E-2</v>
          </cell>
          <cell r="N14">
            <v>38.783333336468786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https://search-rtdc-monitor-bjffxe2xuh6vdkpspy63sjmuny.us-east-1.es.amazonaws.com/_plugin/kibana/#/discover/Steve-Slow-Train-Analysis-(2080s-and-2083s)?_g=(refreshInterval:(display:Off,section:0,value:0),time:(from:'2016-09-01 02:59:38-0600',mode:absolute,to:'2016-09-01 05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4" t="str">
            <v>N</v>
          </cell>
          <cell r="X14">
            <v>1</v>
          </cell>
          <cell r="Y14">
            <v>23.267499999999998</v>
          </cell>
          <cell r="Z14">
            <v>1.6899999999999998E-2</v>
          </cell>
          <cell r="AA14">
            <v>23.250599999999999</v>
          </cell>
          <cell r="AB14" t="e">
            <v>#N/A</v>
          </cell>
          <cell r="AC14" t="e">
            <v>#N/A</v>
          </cell>
          <cell r="AD14" t="str">
            <v>0102-01</v>
          </cell>
          <cell r="AE14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15">
          <cell r="A15" t="str">
            <v>103-01</v>
          </cell>
          <cell r="B15">
            <v>4020</v>
          </cell>
          <cell r="C15" t="str">
            <v>DE.1.0.7.0</v>
          </cell>
          <cell r="D15" t="str">
            <v>204:721</v>
          </cell>
          <cell r="E15">
            <v>42614.154444444444</v>
          </cell>
          <cell r="F15">
            <v>42614.156446759262</v>
          </cell>
          <cell r="G15">
            <v>1</v>
          </cell>
          <cell r="H15" t="str">
            <v>204:233319</v>
          </cell>
          <cell r="I15">
            <v>42614.181712962964</v>
          </cell>
          <cell r="J15">
            <v>0</v>
          </cell>
          <cell r="K15" t="str">
            <v>4019/4020</v>
          </cell>
          <cell r="L15" t="str">
            <v>SPECTOR</v>
          </cell>
          <cell r="M15">
            <v>2.5266203701903578E-2</v>
          </cell>
          <cell r="N15">
            <v>36.383333330741152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https://search-rtdc-monitor-bjffxe2xuh6vdkpspy63sjmuny.us-east-1.es.amazonaws.com/_plugin/kibana/#/discover/Steve-Slow-Train-Analysis-(2080s-and-2083s)?_g=(refreshInterval:(display:Off,section:0,value:0),time:(from:'2016-09-01 02:42:24-0600',mode:absolute,to:'2016-09-01 05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5" t="str">
            <v>N</v>
          </cell>
          <cell r="X15">
            <v>1</v>
          </cell>
          <cell r="Y15">
            <v>7.2099999999999997E-2</v>
          </cell>
          <cell r="Z15">
            <v>23.331900000000001</v>
          </cell>
          <cell r="AA15">
            <v>23.259800000000002</v>
          </cell>
          <cell r="AB15" t="e">
            <v>#N/A</v>
          </cell>
          <cell r="AC15" t="e">
            <v>#N/A</v>
          </cell>
          <cell r="AD15" t="str">
            <v>0103-01</v>
          </cell>
          <cell r="AE15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16">
          <cell r="A16" t="str">
            <v>104-01</v>
          </cell>
          <cell r="C16" t="str">
            <v>DE.1.0.7.0</v>
          </cell>
          <cell r="D16" t="str">
            <v>204:721</v>
          </cell>
          <cell r="E16">
            <v>42614.154444444444</v>
          </cell>
          <cell r="G16">
            <v>1</v>
          </cell>
          <cell r="H16" t="str">
            <v>204:233319</v>
          </cell>
          <cell r="J16">
            <v>0</v>
          </cell>
          <cell r="K16" t="str">
            <v>-1/</v>
          </cell>
          <cell r="L16" t="e">
            <v>#N/A</v>
          </cell>
          <cell r="M16">
            <v>0</v>
          </cell>
          <cell r="P16">
            <v>1</v>
          </cell>
          <cell r="R16" t="str">
            <v>Did not initialize</v>
          </cell>
          <cell r="S16">
            <v>0</v>
          </cell>
          <cell r="T16" t="str">
            <v>Southbound</v>
          </cell>
          <cell r="U16">
            <v>0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https://search-rtdc-monitor-bjffxe2xuh6vdkpspy63sjmuny.us-east-1.es.amazonaws.com/_plugin/kibana/#/discover/Steve-Slow-Train-Analysis-(2080s-and-2083s)?_g=(refreshInterval:(display:Off,section:0,value:0),time:(from:'2016-09-01 02:42:24-0600',mode:absolute,to:'1900-01-00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    </cell>
          <cell r="W16" t="str">
            <v>N</v>
          </cell>
          <cell r="X16">
            <v>1</v>
          </cell>
          <cell r="Y16">
            <v>7.2099999999999997E-2</v>
          </cell>
          <cell r="Z16">
            <v>23.331900000000001</v>
          </cell>
          <cell r="AA16">
            <v>23.259800000000002</v>
          </cell>
          <cell r="AB16" t="e">
            <v>#N/A</v>
          </cell>
          <cell r="AC16" t="e">
            <v>#N/A</v>
          </cell>
          <cell r="AD16" t="str">
            <v>0104-01</v>
          </cell>
          <cell r="AE16" t="str">
    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    </cell>
        </row>
        <row r="17">
          <cell r="A17" t="str">
            <v>105-01</v>
          </cell>
          <cell r="B17">
            <v>4018</v>
          </cell>
          <cell r="C17" t="str">
            <v>DE.1.0.7.0</v>
          </cell>
          <cell r="D17" t="str">
            <v>204:775</v>
          </cell>
          <cell r="E17">
            <v>42614.175393518519</v>
          </cell>
          <cell r="F17">
            <v>42614.17732638889</v>
          </cell>
          <cell r="G17">
            <v>1</v>
          </cell>
          <cell r="H17" t="str">
            <v>204:233280</v>
          </cell>
          <cell r="I17">
            <v>42614.203275462962</v>
          </cell>
          <cell r="J17">
            <v>0</v>
          </cell>
          <cell r="K17" t="str">
            <v>4017/4018</v>
          </cell>
          <cell r="L17" t="str">
            <v>MALAVE</v>
          </cell>
          <cell r="M17">
            <v>2.5949074071832001E-2</v>
          </cell>
          <cell r="N17">
            <v>37.366666663438082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https://search-rtdc-monitor-bjffxe2xuh6vdkpspy63sjmuny.us-east-1.es.amazonaws.com/_plugin/kibana/#/discover/Steve-Slow-Train-Analysis-(2080s-and-2083s)?_g=(refreshInterval:(display:Off,section:0,value:0),time:(from:'2016-09-01 03:12:34-0600',mode:absolute,to:'2016-09-01 05:52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7" t="str">
            <v>N</v>
          </cell>
          <cell r="X17">
            <v>1</v>
          </cell>
          <cell r="Y17">
            <v>7.7499999999999999E-2</v>
          </cell>
          <cell r="Z17">
            <v>23.327999999999999</v>
          </cell>
          <cell r="AA17">
            <v>23.250499999999999</v>
          </cell>
          <cell r="AB17" t="e">
            <v>#N/A</v>
          </cell>
          <cell r="AC17" t="e">
            <v>#N/A</v>
          </cell>
          <cell r="AD17" t="str">
            <v>0105-01</v>
          </cell>
          <cell r="AE17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18">
          <cell r="A18" t="str">
            <v>106-01</v>
          </cell>
          <cell r="B18">
            <v>4012</v>
          </cell>
          <cell r="C18" t="str">
            <v>DE.1.0.7.0</v>
          </cell>
          <cell r="D18" t="str">
            <v>204:232639</v>
          </cell>
          <cell r="E18">
            <v>42614.211550925924</v>
          </cell>
          <cell r="F18">
            <v>42614.216215277775</v>
          </cell>
          <cell r="G18">
            <v>1</v>
          </cell>
          <cell r="H18" t="str">
            <v>204:169</v>
          </cell>
          <cell r="I18">
            <v>42614.243703703702</v>
          </cell>
          <cell r="J18">
            <v>0</v>
          </cell>
          <cell r="K18" t="str">
            <v>4011/4012</v>
          </cell>
          <cell r="L18" t="str">
            <v>MALAVE</v>
          </cell>
          <cell r="M18">
            <v>2.7488425927003846E-2</v>
          </cell>
          <cell r="N18">
            <v>39.583333334885538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https://search-rtdc-monitor-bjffxe2xuh6vdkpspy63sjmuny.us-east-1.es.amazonaws.com/_plugin/kibana/#/discover/Steve-Slow-Train-Analysis-(2080s-and-2083s)?_g=(refreshInterval:(display:Off,section:0,value:0),time:(from:'2016-09-01 04:04:38-0600',mode:absolute,to:'2016-09-01 06:50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8" t="str">
            <v>N</v>
          </cell>
          <cell r="X18">
            <v>1</v>
          </cell>
          <cell r="Y18">
            <v>23.2639</v>
          </cell>
          <cell r="Z18">
            <v>1.6899999999999998E-2</v>
          </cell>
          <cell r="AA18">
            <v>23.247</v>
          </cell>
          <cell r="AB18" t="e">
            <v>#N/A</v>
          </cell>
          <cell r="AC18" t="e">
            <v>#N/A</v>
          </cell>
          <cell r="AD18" t="str">
            <v>0106-01</v>
          </cell>
          <cell r="AE18" t="str">
    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    </cell>
        </row>
        <row r="19">
          <cell r="A19" t="str">
            <v>107-01</v>
          </cell>
          <cell r="B19">
            <v>4038</v>
          </cell>
          <cell r="C19" t="str">
            <v>DE.1.0.7.0</v>
          </cell>
          <cell r="D19" t="str">
            <v>204:420</v>
          </cell>
          <cell r="E19">
            <v>42614.182592592595</v>
          </cell>
          <cell r="F19">
            <v>42614.187650462962</v>
          </cell>
          <cell r="G19">
            <v>6</v>
          </cell>
          <cell r="H19" t="str">
            <v>204:233317</v>
          </cell>
          <cell r="I19">
            <v>42614.215011574073</v>
          </cell>
          <cell r="J19">
            <v>0</v>
          </cell>
          <cell r="K19" t="str">
            <v>4037/4038</v>
          </cell>
          <cell r="L19" t="str">
            <v>STRICKLAND</v>
          </cell>
          <cell r="M19">
            <v>2.73611111115315E-2</v>
          </cell>
          <cell r="N19">
            <v>39.40000000060536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https://search-rtdc-monitor-bjffxe2xuh6vdkpspy63sjmuny.us-east-1.es.amazonaws.com/_plugin/kibana/#/discover/Steve-Slow-Train-Analysis-(2080s-and-2083s)?_g=(refreshInterval:(display:Off,section:0,value:0),time:(from:'2016-09-01 03:22:56-0600',mode:absolute,to:'2016-09-01 06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9" t="str">
            <v>N</v>
          </cell>
          <cell r="X19">
            <v>1</v>
          </cell>
          <cell r="Y19">
            <v>4.2000000000000003E-2</v>
          </cell>
          <cell r="Z19">
            <v>23.331700000000001</v>
          </cell>
          <cell r="AA19">
            <v>23.2897</v>
          </cell>
          <cell r="AB19" t="e">
            <v>#N/A</v>
          </cell>
          <cell r="AC19" t="e">
            <v>#N/A</v>
          </cell>
          <cell r="AD19" t="str">
            <v>0107-01</v>
          </cell>
          <cell r="AE19" t="str">
    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    </cell>
        </row>
        <row r="20">
          <cell r="A20" t="str">
            <v>108-01</v>
          </cell>
          <cell r="B20">
            <v>4037</v>
          </cell>
          <cell r="C20" t="str">
            <v>DE.1.0.7.0</v>
          </cell>
          <cell r="D20" t="str">
            <v>204:232979</v>
          </cell>
          <cell r="E20">
            <v>42614.224131944444</v>
          </cell>
          <cell r="F20">
            <v>42614.2265625</v>
          </cell>
          <cell r="G20">
            <v>1</v>
          </cell>
          <cell r="H20" t="str">
            <v>204:138</v>
          </cell>
          <cell r="I20">
            <v>42614.254849537036</v>
          </cell>
          <cell r="J20">
            <v>0</v>
          </cell>
          <cell r="K20" t="str">
            <v>4037/4038</v>
          </cell>
          <cell r="L20" t="str">
            <v>STRICKLAND</v>
          </cell>
          <cell r="M20">
            <v>2.8287037035624962E-2</v>
          </cell>
          <cell r="N20">
            <v>40.733333331299946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https://search-rtdc-monitor-bjffxe2xuh6vdkpspy63sjmuny.us-east-1.es.amazonaws.com/_plugin/kibana/#/discover/Steve-Slow-Train-Analysis-(2080s-and-2083s)?_g=(refreshInterval:(display:Off,section:0,value:0),time:(from:'2016-09-01 04:22:45-0600',mode:absolute,to:'2016-09-01 07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20" t="str">
            <v>N</v>
          </cell>
          <cell r="X20">
            <v>1</v>
          </cell>
          <cell r="Y20">
            <v>23.297899999999998</v>
          </cell>
          <cell r="Z20">
            <v>1.38E-2</v>
          </cell>
          <cell r="AA20">
            <v>23.284099999999999</v>
          </cell>
          <cell r="AB20" t="e">
            <v>#N/A</v>
          </cell>
          <cell r="AC20" t="e">
            <v>#N/A</v>
          </cell>
          <cell r="AD20" t="str">
            <v>0108-01</v>
          </cell>
          <cell r="AE20" t="str">
    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    </cell>
        </row>
        <row r="21">
          <cell r="A21" t="str">
            <v>109-01</v>
          </cell>
          <cell r="B21">
            <v>4007</v>
          </cell>
          <cell r="C21" t="str">
            <v>DE.1.0.7.0</v>
          </cell>
          <cell r="D21" t="str">
            <v>204:466</v>
          </cell>
          <cell r="E21">
            <v>42614.19635416667</v>
          </cell>
          <cell r="F21">
            <v>42614.198263888888</v>
          </cell>
          <cell r="G21">
            <v>1</v>
          </cell>
          <cell r="H21" t="str">
            <v>204:233274</v>
          </cell>
          <cell r="I21">
            <v>42614.222743055558</v>
          </cell>
          <cell r="J21">
            <v>0</v>
          </cell>
          <cell r="K21" t="str">
            <v>4007/4008</v>
          </cell>
          <cell r="L21" t="str">
            <v>ARVIDSON</v>
          </cell>
          <cell r="M21">
            <v>2.4479166670062114E-2</v>
          </cell>
          <cell r="N21">
            <v>35.250000004889444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https://search-rtdc-monitor-bjffxe2xuh6vdkpspy63sjmuny.us-east-1.es.amazonaws.com/_plugin/kibana/#/discover/Steve-Slow-Train-Analysis-(2080s-and-2083s)?_g=(refreshInterval:(display:Off,section:0,value:0),time:(from:'2016-09-01 03:42:45-0600',mode:absolute,to:'2016-09-01 06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1" t="str">
            <v>N</v>
          </cell>
          <cell r="X21">
            <v>1</v>
          </cell>
          <cell r="Y21">
            <v>4.6600000000000003E-2</v>
          </cell>
          <cell r="Z21">
            <v>23.327400000000001</v>
          </cell>
          <cell r="AA21">
            <v>23.280799999999999</v>
          </cell>
          <cell r="AB21" t="e">
            <v>#N/A</v>
          </cell>
          <cell r="AC21" t="e">
            <v>#N/A</v>
          </cell>
          <cell r="AD21" t="str">
            <v>0109-01</v>
          </cell>
          <cell r="AE21" t="str">
    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    </cell>
        </row>
        <row r="22">
          <cell r="A22" t="str">
            <v>110-01</v>
          </cell>
          <cell r="B22">
            <v>4008</v>
          </cell>
          <cell r="C22" t="str">
            <v>DE.1.0.7.0</v>
          </cell>
          <cell r="D22" t="str">
            <v>204:232961</v>
          </cell>
          <cell r="E22">
            <v>42614.235324074078</v>
          </cell>
          <cell r="F22">
            <v>42614.23704861111</v>
          </cell>
          <cell r="G22">
            <v>1</v>
          </cell>
          <cell r="H22" t="str">
            <v>204:158</v>
          </cell>
          <cell r="I22">
            <v>42614.263703703706</v>
          </cell>
          <cell r="J22">
            <v>0</v>
          </cell>
          <cell r="K22" t="str">
            <v>4007/4008</v>
          </cell>
          <cell r="L22" t="str">
            <v>ARVIDSON</v>
          </cell>
          <cell r="M22">
            <v>2.6655092595319729E-2</v>
          </cell>
          <cell r="N22">
            <v>38.38333333726041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https://search-rtdc-monitor-bjffxe2xuh6vdkpspy63sjmuny.us-east-1.es.amazonaws.com/_plugin/kibana/#/discover/Steve-Slow-Train-Analysis-(2080s-and-2083s)?_g=(refreshInterval:(display:Off,section:0,value:0),time:(from:'2016-09-01 04:38:52-0600',mode:absolute,to:'2016-09-01 07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22" t="str">
            <v>N</v>
          </cell>
          <cell r="X22">
            <v>1</v>
          </cell>
          <cell r="Y22">
            <v>23.296099999999999</v>
          </cell>
          <cell r="Z22">
            <v>1.5800000000000002E-2</v>
          </cell>
          <cell r="AA22">
            <v>23.2803</v>
          </cell>
          <cell r="AB22" t="e">
            <v>#N/A</v>
          </cell>
          <cell r="AC22" t="e">
            <v>#N/A</v>
          </cell>
          <cell r="AD22" t="str">
            <v>0110-01</v>
          </cell>
          <cell r="AE22" t="str">
    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    </cell>
        </row>
        <row r="23">
          <cell r="A23" t="str">
            <v>111-01</v>
          </cell>
          <cell r="B23">
            <v>4042</v>
          </cell>
          <cell r="C23" t="str">
            <v>DE.1.0.7.0</v>
          </cell>
          <cell r="D23" t="str">
            <v>204:794</v>
          </cell>
          <cell r="E23">
            <v>42614.208090277774</v>
          </cell>
          <cell r="F23">
            <v>42614.209247685183</v>
          </cell>
          <cell r="G23">
            <v>1</v>
          </cell>
          <cell r="H23" t="str">
            <v>204:233300</v>
          </cell>
          <cell r="I23">
            <v>42614.234386574077</v>
          </cell>
          <cell r="J23">
            <v>0</v>
          </cell>
          <cell r="K23" t="str">
            <v>4041/4042</v>
          </cell>
          <cell r="L23" t="str">
            <v>STARKS</v>
          </cell>
          <cell r="M23">
            <v>2.513888889370719E-2</v>
          </cell>
          <cell r="N23">
            <v>36.200000006938353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https://search-rtdc-monitor-bjffxe2xuh6vdkpspy63sjmuny.us-east-1.es.amazonaws.com/_plugin/kibana/#/discover/Steve-Slow-Train-Analysis-(2080s-and-2083s)?_g=(refreshInterval:(display:Off,section:0,value:0),time:(from:'2016-09-01 03:59:39-0600',mode:absolute,to:'2016-09-01 06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23" t="str">
            <v>N</v>
          </cell>
          <cell r="X23">
            <v>1</v>
          </cell>
          <cell r="Y23">
            <v>7.9399999999999998E-2</v>
          </cell>
          <cell r="Z23">
            <v>23.33</v>
          </cell>
          <cell r="AA23">
            <v>23.250599999999999</v>
          </cell>
          <cell r="AB23" t="e">
            <v>#N/A</v>
          </cell>
          <cell r="AC23" t="e">
            <v>#N/A</v>
          </cell>
          <cell r="AD23" t="str">
            <v>0111-01</v>
          </cell>
          <cell r="AE23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24">
          <cell r="A24" t="str">
            <v>112-01</v>
          </cell>
          <cell r="B24">
            <v>4041</v>
          </cell>
          <cell r="C24" t="str">
            <v>DE.1.0.7.0</v>
          </cell>
          <cell r="D24" t="str">
            <v>204:232977</v>
          </cell>
          <cell r="E24">
            <v>42614.244976851849</v>
          </cell>
          <cell r="F24">
            <v>42614.247407407405</v>
          </cell>
          <cell r="G24">
            <v>1</v>
          </cell>
          <cell r="H24" t="str">
            <v>204:152</v>
          </cell>
          <cell r="I24">
            <v>42614.275324074071</v>
          </cell>
          <cell r="J24">
            <v>0</v>
          </cell>
          <cell r="K24" t="str">
            <v>4041/4042</v>
          </cell>
          <cell r="L24" t="str">
            <v>STARKS</v>
          </cell>
          <cell r="M24">
            <v>2.7916666665987577E-2</v>
          </cell>
          <cell r="N24">
            <v>40.199999999022111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https://search-rtdc-monitor-bjffxe2xuh6vdkpspy63sjmuny.us-east-1.es.amazonaws.com/_plugin/kibana/#/discover/Steve-Slow-Train-Analysis-(2080s-and-2083s)?_g=(refreshInterval:(display:Off,section:0,value:0),time:(from:'2016-09-01 04:52:46-0600',mode:absolute,to:'2016-09-01 07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24" t="str">
            <v>N</v>
          </cell>
          <cell r="X24">
            <v>1</v>
          </cell>
          <cell r="Y24">
            <v>23.297699999999999</v>
          </cell>
          <cell r="Z24">
            <v>1.52E-2</v>
          </cell>
          <cell r="AA24">
            <v>23.282499999999999</v>
          </cell>
          <cell r="AB24" t="e">
            <v>#N/A</v>
          </cell>
          <cell r="AC24" t="e">
            <v>#N/A</v>
          </cell>
          <cell r="AD24" t="str">
            <v>0112-01</v>
          </cell>
          <cell r="AE24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25">
          <cell r="A25" t="str">
            <v>113-01</v>
          </cell>
          <cell r="B25">
            <v>4044</v>
          </cell>
          <cell r="C25" t="str">
            <v>DE.1.0.7.0</v>
          </cell>
          <cell r="D25" t="str">
            <v>204:473</v>
          </cell>
          <cell r="E25">
            <v>42614.213784722226</v>
          </cell>
          <cell r="F25">
            <v>42614.219004629631</v>
          </cell>
          <cell r="G25">
            <v>1</v>
          </cell>
          <cell r="H25" t="str">
            <v>204:233328</v>
          </cell>
          <cell r="I25">
            <v>42614.24417824074</v>
          </cell>
          <cell r="J25">
            <v>0</v>
          </cell>
          <cell r="K25" t="str">
            <v>4043/4044</v>
          </cell>
          <cell r="L25" t="str">
            <v>MAELZER</v>
          </cell>
          <cell r="M25">
            <v>2.5173611109494232E-2</v>
          </cell>
          <cell r="N25">
            <v>36.249999997671694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https://search-rtdc-monitor-bjffxe2xuh6vdkpspy63sjmuny.us-east-1.es.amazonaws.com/_plugin/kibana/#/discover/Steve-Slow-Train-Analysis-(2080s-and-2083s)?_g=(refreshInterval:(display:Off,section:0,value:0),time:(from:'2016-09-01 04:07:51-0600',mode:absolute,to:'2016-09-01 06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25" t="str">
            <v>N</v>
          </cell>
          <cell r="X25">
            <v>1</v>
          </cell>
          <cell r="Y25">
            <v>4.7300000000000002E-2</v>
          </cell>
          <cell r="Z25">
            <v>23.332799999999999</v>
          </cell>
          <cell r="AA25">
            <v>23.285499999999999</v>
          </cell>
          <cell r="AB25" t="e">
            <v>#N/A</v>
          </cell>
          <cell r="AC25" t="e">
            <v>#N/A</v>
          </cell>
          <cell r="AD25" t="str">
            <v>0113-01</v>
          </cell>
          <cell r="AE25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26">
          <cell r="A26" t="str">
            <v>114-01</v>
          </cell>
          <cell r="B26">
            <v>4043</v>
          </cell>
          <cell r="C26" t="str">
            <v>DE.1.0.7.0</v>
          </cell>
          <cell r="D26" t="str">
            <v>204:233001</v>
          </cell>
          <cell r="E26">
            <v>42614.2503125</v>
          </cell>
          <cell r="F26">
            <v>42614.2578587963</v>
          </cell>
          <cell r="G26">
            <v>1</v>
          </cell>
          <cell r="H26" t="str">
            <v>204:143</v>
          </cell>
          <cell r="I26">
            <v>42614.284930555557</v>
          </cell>
          <cell r="J26">
            <v>0</v>
          </cell>
          <cell r="K26" t="str">
            <v>4043/4044</v>
          </cell>
          <cell r="L26" t="str">
            <v>MAELZER</v>
          </cell>
          <cell r="M26">
            <v>2.7071759257523809E-2</v>
          </cell>
          <cell r="N26">
            <v>38.983333330834284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https://search-rtdc-monitor-bjffxe2xuh6vdkpspy63sjmuny.us-east-1.es.amazonaws.com/_plugin/kibana/#/discover/Steve-Slow-Train-Analysis-(2080s-and-2083s)?_g=(refreshInterval:(display:Off,section:0,value:0),time:(from:'2016-09-01 05:00:27-0600',mode:absolute,to:'2016-09-01 07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26" t="str">
            <v>N</v>
          </cell>
          <cell r="X26">
            <v>1</v>
          </cell>
          <cell r="Y26">
            <v>23.3001</v>
          </cell>
          <cell r="Z26">
            <v>1.43E-2</v>
          </cell>
          <cell r="AA26">
            <v>23.285800000000002</v>
          </cell>
          <cell r="AB26" t="e">
            <v>#N/A</v>
          </cell>
          <cell r="AC26" t="e">
            <v>#N/A</v>
          </cell>
          <cell r="AD26" t="str">
            <v>0114-01</v>
          </cell>
          <cell r="AE26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27">
          <cell r="A27" t="str">
            <v>115-01</v>
          </cell>
          <cell r="B27">
            <v>4020</v>
          </cell>
          <cell r="C27" t="str">
            <v>DE.1.0.7.0</v>
          </cell>
          <cell r="D27" t="str">
            <v>204:774</v>
          </cell>
          <cell r="E27">
            <v>42614.22515046296</v>
          </cell>
          <cell r="F27">
            <v>42614.229363425926</v>
          </cell>
          <cell r="G27">
            <v>5</v>
          </cell>
          <cell r="H27" t="str">
            <v>204:233289</v>
          </cell>
          <cell r="I27">
            <v>42614.256504629629</v>
          </cell>
          <cell r="J27">
            <v>0</v>
          </cell>
          <cell r="K27" t="str">
            <v>4019/4020</v>
          </cell>
          <cell r="L27" t="str">
            <v>SMITH</v>
          </cell>
          <cell r="M27">
            <v>2.7141203703649808E-2</v>
          </cell>
          <cell r="N27">
            <v>39.083333333255723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https://search-rtdc-monitor-bjffxe2xuh6vdkpspy63sjmuny.us-east-1.es.amazonaws.com/_plugin/kibana/#/discover/Steve-Slow-Train-Analysis-(2080s-and-2083s)?_g=(refreshInterval:(display:Off,section:0,value:0),time:(from:'2016-09-01 04:24:13-0600',mode:absolute,to:'2016-09-01 07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7" t="str">
            <v>N</v>
          </cell>
          <cell r="X27">
            <v>1</v>
          </cell>
          <cell r="Y27">
            <v>7.7399999999999997E-2</v>
          </cell>
          <cell r="Z27">
            <v>23.328900000000001</v>
          </cell>
          <cell r="AA27">
            <v>23.2515</v>
          </cell>
          <cell r="AB27" t="e">
            <v>#N/A</v>
          </cell>
          <cell r="AC27" t="e">
            <v>#N/A</v>
          </cell>
          <cell r="AD27" t="str">
            <v>0115-01</v>
          </cell>
          <cell r="AE27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28">
          <cell r="A28" t="str">
            <v>116-01</v>
          </cell>
          <cell r="B28">
            <v>4019</v>
          </cell>
          <cell r="C28" t="str">
            <v>DE.1.0.7.0</v>
          </cell>
          <cell r="D28" t="str">
            <v>204:232983</v>
          </cell>
          <cell r="E28">
            <v>42614.264050925929</v>
          </cell>
          <cell r="F28">
            <v>42614.268240740741</v>
          </cell>
          <cell r="G28">
            <v>2</v>
          </cell>
          <cell r="H28" t="str">
            <v>204:152</v>
          </cell>
          <cell r="I28">
            <v>42614.296701388892</v>
          </cell>
          <cell r="J28">
            <v>0</v>
          </cell>
          <cell r="K28" t="str">
            <v>4019/4020</v>
          </cell>
          <cell r="L28" t="str">
            <v>SMITH</v>
          </cell>
          <cell r="M28">
            <v>2.846064815093996E-2</v>
          </cell>
          <cell r="N28">
            <v>40.983333337353542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https://search-rtdc-monitor-bjffxe2xuh6vdkpspy63sjmuny.us-east-1.es.amazonaws.com/_plugin/kibana/#/discover/Steve-Slow-Train-Analysis-(2080s-and-2083s)?_g=(refreshInterval:(display:Off,section:0,value:0),time:(from:'2016-09-01 05:20:14-0600',mode:absolute,to:'2016-09-01 08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28" t="str">
            <v>N</v>
          </cell>
          <cell r="X28">
            <v>1</v>
          </cell>
          <cell r="Y28">
            <v>23.298300000000001</v>
          </cell>
          <cell r="Z28">
            <v>1.52E-2</v>
          </cell>
          <cell r="AA28">
            <v>23.283100000000001</v>
          </cell>
          <cell r="AB28" t="e">
            <v>#N/A</v>
          </cell>
          <cell r="AC28" t="e">
            <v>#N/A</v>
          </cell>
          <cell r="AD28" t="str">
            <v>0116-01</v>
          </cell>
          <cell r="AE28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29">
          <cell r="A29" t="str">
            <v>117-01</v>
          </cell>
          <cell r="B29">
            <v>4031</v>
          </cell>
          <cell r="C29" t="str">
            <v>DE.1.0.7.0</v>
          </cell>
          <cell r="D29" t="str">
            <v>204:447</v>
          </cell>
          <cell r="E29">
            <v>42614.231261574074</v>
          </cell>
          <cell r="F29">
            <v>42614.239768518521</v>
          </cell>
          <cell r="G29">
            <v>1</v>
          </cell>
          <cell r="H29" t="str">
            <v>204:233324</v>
          </cell>
          <cell r="I29">
            <v>42614.26494212963</v>
          </cell>
          <cell r="J29">
            <v>0</v>
          </cell>
          <cell r="K29" t="str">
            <v>4031/4032</v>
          </cell>
          <cell r="L29" t="str">
            <v>SPECTOR</v>
          </cell>
          <cell r="M29">
            <v>2.5173611109494232E-2</v>
          </cell>
          <cell r="N29">
            <v>36.249999997671694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https://search-rtdc-monitor-bjffxe2xuh6vdkpspy63sjmuny.us-east-1.es.amazonaws.com/_plugin/kibana/#/discover/Steve-Slow-Train-Analysis-(2080s-and-2083s)?_g=(refreshInterval:(display:Off,section:0,value:0),time:(from:'2016-09-01 04:33:01-0600',mode:absolute,to:'2016-09-01 07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9" t="str">
            <v>N</v>
          </cell>
          <cell r="X29">
            <v>1</v>
          </cell>
          <cell r="Y29">
            <v>4.4699999999999997E-2</v>
          </cell>
          <cell r="Z29">
            <v>23.3324</v>
          </cell>
          <cell r="AA29">
            <v>23.287700000000001</v>
          </cell>
          <cell r="AB29" t="e">
            <v>#N/A</v>
          </cell>
          <cell r="AC29" t="e">
            <v>#N/A</v>
          </cell>
          <cell r="AD29" t="str">
            <v>0117-01</v>
          </cell>
          <cell r="AE29" t="str">
    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    </cell>
        </row>
        <row r="30">
          <cell r="A30" t="str">
            <v>118-01</v>
          </cell>
          <cell r="B30">
            <v>4032</v>
          </cell>
          <cell r="C30" t="str">
            <v>DE.1.0.7.0</v>
          </cell>
          <cell r="D30" t="str">
            <v>204:233005</v>
          </cell>
          <cell r="E30">
            <v>42614.27815972222</v>
          </cell>
          <cell r="F30">
            <v>42614.281145833331</v>
          </cell>
          <cell r="G30">
            <v>2</v>
          </cell>
          <cell r="H30" t="str">
            <v>204:130</v>
          </cell>
          <cell r="I30">
            <v>42614.306909722225</v>
          </cell>
          <cell r="J30">
            <v>0</v>
          </cell>
          <cell r="K30" t="str">
            <v>4031/4032</v>
          </cell>
          <cell r="L30" t="str">
            <v>SPECTOR</v>
          </cell>
          <cell r="M30">
            <v>2.5763888894289266E-2</v>
          </cell>
          <cell r="N30">
            <v>37.100000007776543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https://search-rtdc-monitor-bjffxe2xuh6vdkpspy63sjmuny.us-east-1.es.amazonaws.com/_plugin/kibana/#/discover/Steve-Slow-Train-Analysis-(2080s-and-2083s)?_g=(refreshInterval:(display:Off,section:0,value:0),time:(from:'2016-09-01 05:40:33-0600',mode:absolute,to:'2016-09-01 08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30" t="str">
            <v>N</v>
          </cell>
          <cell r="X30">
            <v>1</v>
          </cell>
          <cell r="Y30">
            <v>23.3005</v>
          </cell>
          <cell r="Z30">
            <v>1.2999999999999999E-2</v>
          </cell>
          <cell r="AA30">
            <v>23.287499999999998</v>
          </cell>
          <cell r="AB30" t="e">
            <v>#N/A</v>
          </cell>
          <cell r="AC30" t="e">
            <v>#N/A</v>
          </cell>
          <cell r="AD30" t="str">
            <v>0118-01</v>
          </cell>
          <cell r="AE30" t="str">
    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    </cell>
        </row>
        <row r="31">
          <cell r="A31" t="str">
            <v>119-01</v>
          </cell>
          <cell r="B31">
            <v>4018</v>
          </cell>
          <cell r="C31" t="str">
            <v>DE.1.0.7.0</v>
          </cell>
          <cell r="D31" t="str">
            <v>204:765</v>
          </cell>
          <cell r="E31">
            <v>42614.247337962966</v>
          </cell>
          <cell r="F31">
            <v>42614.250462962962</v>
          </cell>
          <cell r="G31">
            <v>1</v>
          </cell>
          <cell r="H31" t="str">
            <v>204:233310</v>
          </cell>
          <cell r="I31">
            <v>42614.277361111112</v>
          </cell>
          <cell r="J31">
            <v>0</v>
          </cell>
          <cell r="K31" t="str">
            <v>4017/4018</v>
          </cell>
          <cell r="L31" t="str">
            <v>MALAVE</v>
          </cell>
          <cell r="M31">
            <v>2.6898148149484769E-2</v>
          </cell>
          <cell r="N31">
            <v>38.733333335258067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https://search-rtdc-monitor-bjffxe2xuh6vdkpspy63sjmuny.us-east-1.es.amazonaws.com/_plugin/kibana/#/discover/Steve-Slow-Train-Analysis-(2080s-and-2083s)?_g=(refreshInterval:(display:Off,section:0,value:0),time:(from:'2016-09-01 04:56:10-0600',mode:absolute,to:'2016-09-01 07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31" t="str">
            <v>N</v>
          </cell>
          <cell r="X31">
            <v>1</v>
          </cell>
          <cell r="Y31">
            <v>7.6499999999999999E-2</v>
          </cell>
          <cell r="Z31">
            <v>23.331</v>
          </cell>
          <cell r="AA31">
            <v>23.2545</v>
          </cell>
          <cell r="AB31" t="e">
            <v>#N/A</v>
          </cell>
          <cell r="AC31" t="e">
            <v>#N/A</v>
          </cell>
          <cell r="AD31" t="str">
            <v>0119-01</v>
          </cell>
          <cell r="AE31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32">
          <cell r="A32" t="str">
            <v>120-01</v>
          </cell>
          <cell r="B32">
            <v>4017</v>
          </cell>
          <cell r="C32" t="str">
            <v>DE.1.0.7.0</v>
          </cell>
          <cell r="D32" t="str">
            <v>204:232983</v>
          </cell>
          <cell r="E32">
            <v>42614.286793981482</v>
          </cell>
          <cell r="F32">
            <v>42614.289178240739</v>
          </cell>
          <cell r="G32">
            <v>1</v>
          </cell>
          <cell r="H32" t="str">
            <v>204:152</v>
          </cell>
          <cell r="I32">
            <v>42614.316840277781</v>
          </cell>
          <cell r="J32">
            <v>0</v>
          </cell>
          <cell r="K32" t="str">
            <v>4017/4018</v>
          </cell>
          <cell r="L32" t="str">
            <v>MALAVE</v>
          </cell>
          <cell r="M32">
            <v>2.7662037042318843E-2</v>
          </cell>
          <cell r="N32">
            <v>39.833333340939134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https://search-rtdc-monitor-bjffxe2xuh6vdkpspy63sjmuny.us-east-1.es.amazonaws.com/_plugin/kibana/#/discover/Steve-Slow-Train-Analysis-(2080s-and-2083s)?_g=(refreshInterval:(display:Off,section:0,value:0),time:(from:'2016-09-01 05:52:59-0600',mode:absolute,to:'2016-09-01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32" t="str">
            <v>N</v>
          </cell>
          <cell r="X32">
            <v>1</v>
          </cell>
          <cell r="Y32">
            <v>23.298300000000001</v>
          </cell>
          <cell r="Z32">
            <v>1.52E-2</v>
          </cell>
          <cell r="AA32">
            <v>23.283100000000001</v>
          </cell>
          <cell r="AB32">
            <v>21848</v>
          </cell>
          <cell r="AC32" t="str">
            <v>PERMANENT SPEED RESTRICTION</v>
          </cell>
          <cell r="AD32" t="str">
            <v>0120-01</v>
          </cell>
          <cell r="AE32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33">
          <cell r="A33" t="str">
            <v>121-01</v>
          </cell>
          <cell r="B33">
            <v>4038</v>
          </cell>
          <cell r="C33" t="str">
            <v>DE.1.0.7.0</v>
          </cell>
          <cell r="D33" t="str">
            <v>204:467</v>
          </cell>
          <cell r="E33">
            <v>42614.256377314814</v>
          </cell>
          <cell r="F33">
            <v>42614.26085648148</v>
          </cell>
          <cell r="G33">
            <v>1</v>
          </cell>
          <cell r="H33" t="str">
            <v>204:233322</v>
          </cell>
          <cell r="I33">
            <v>42614.287569444445</v>
          </cell>
          <cell r="J33">
            <v>0</v>
          </cell>
          <cell r="K33" t="str">
            <v>4037/4038</v>
          </cell>
          <cell r="L33" t="str">
            <v>STRICKLAND</v>
          </cell>
          <cell r="M33">
            <v>2.6712962964666076E-2</v>
          </cell>
          <cell r="N33">
            <v>38.466666669119149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https://search-rtdc-monitor-bjffxe2xuh6vdkpspy63sjmuny.us-east-1.es.amazonaws.com/_plugin/kibana/#/discover/Steve-Slow-Train-Analysis-(2080s-and-2083s)?_g=(refreshInterval:(display:Off,section:0,value:0),time:(from:'2016-09-01 05:09:11-0600',mode:absolute,to:'2016-09-01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33" t="str">
            <v>N</v>
          </cell>
          <cell r="X33">
            <v>1</v>
          </cell>
          <cell r="Y33">
            <v>4.6699999999999998E-2</v>
          </cell>
          <cell r="Z33">
            <v>23.3322</v>
          </cell>
          <cell r="AA33">
            <v>23.285499999999999</v>
          </cell>
          <cell r="AB33">
            <v>63069</v>
          </cell>
          <cell r="AC33" t="str">
            <v>GRADE CROSSING</v>
          </cell>
          <cell r="AD33" t="str">
            <v>0121-01</v>
          </cell>
          <cell r="AE33" t="str">
    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    </cell>
        </row>
        <row r="34">
          <cell r="A34" t="str">
            <v>122-01</v>
          </cell>
          <cell r="B34">
            <v>4037</v>
          </cell>
          <cell r="C34" t="str">
            <v>DE.1.0.7.0</v>
          </cell>
          <cell r="D34" t="str">
            <v>204:232975</v>
          </cell>
          <cell r="E34">
            <v>42614.294918981483</v>
          </cell>
          <cell r="F34">
            <v>42614.299571759257</v>
          </cell>
          <cell r="G34">
            <v>1</v>
          </cell>
          <cell r="H34" t="str">
            <v>204:221</v>
          </cell>
          <cell r="I34">
            <v>42614.327974537038</v>
          </cell>
          <cell r="J34">
            <v>0</v>
          </cell>
          <cell r="K34" t="str">
            <v>4037/4038</v>
          </cell>
          <cell r="L34" t="str">
            <v>STRICKLAND</v>
          </cell>
          <cell r="M34">
            <v>2.8402777781593613E-2</v>
          </cell>
          <cell r="N34">
            <v>40.900000005494803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https://search-rtdc-monitor-bjffxe2xuh6vdkpspy63sjmuny.us-east-1.es.amazonaws.com/_plugin/kibana/#/discover/Steve-Slow-Train-Analysis-(2080s-and-2083s)?_g=(refreshInterval:(display:Off,section:0,value:0),time:(from:'2016-09-01 06:04:41-0600',mode:absolute,to:'2016-09-01 08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34" t="str">
            <v>N</v>
          </cell>
          <cell r="X34">
            <v>1</v>
          </cell>
          <cell r="Y34">
            <v>23.297499999999999</v>
          </cell>
          <cell r="Z34">
            <v>2.2100000000000002E-2</v>
          </cell>
          <cell r="AA34">
            <v>23.275400000000001</v>
          </cell>
          <cell r="AB34" t="e">
            <v>#N/A</v>
          </cell>
          <cell r="AC34" t="e">
            <v>#N/A</v>
          </cell>
          <cell r="AD34" t="str">
            <v>0122-01</v>
          </cell>
          <cell r="AE34" t="str">
    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    </cell>
        </row>
        <row r="35">
          <cell r="A35" t="str">
            <v>123-01</v>
          </cell>
          <cell r="B35">
            <v>4007</v>
          </cell>
          <cell r="C35" t="str">
            <v>DE.1.0.7.0</v>
          </cell>
          <cell r="D35" t="str">
            <v>204:462</v>
          </cell>
          <cell r="E35">
            <v>42614.268495370372</v>
          </cell>
          <cell r="F35">
            <v>42614.271099537036</v>
          </cell>
          <cell r="G35">
            <v>1</v>
          </cell>
          <cell r="H35" t="str">
            <v>204:233410</v>
          </cell>
          <cell r="I35">
            <v>42614.296979166669</v>
          </cell>
          <cell r="J35">
            <v>0</v>
          </cell>
          <cell r="K35" t="str">
            <v>4007/4008</v>
          </cell>
          <cell r="L35" t="str">
            <v>ARVIDSON</v>
          </cell>
          <cell r="M35">
            <v>2.587962963298196E-2</v>
          </cell>
          <cell r="N35">
            <v>37.266666671494022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https://search-rtdc-monitor-bjffxe2xuh6vdkpspy63sjmuny.us-east-1.es.amazonaws.com/_plugin/kibana/#/discover/Steve-Slow-Train-Analysis-(2080s-and-2083s)?_g=(refreshInterval:(display:Off,section:0,value:0),time:(from:'2016-09-01 05:26:38-0600',mode:absolute,to:'2016-09-01 08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35" t="str">
            <v>N</v>
          </cell>
          <cell r="X35">
            <v>1</v>
          </cell>
          <cell r="Y35">
            <v>4.6199999999999998E-2</v>
          </cell>
          <cell r="Z35">
            <v>23.341000000000001</v>
          </cell>
          <cell r="AA35">
            <v>23.294800000000002</v>
          </cell>
          <cell r="AB35" t="e">
            <v>#N/A</v>
          </cell>
          <cell r="AC35" t="e">
            <v>#N/A</v>
          </cell>
          <cell r="AD35" t="str">
            <v>0123-01</v>
          </cell>
          <cell r="AE35" t="str">
    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    </cell>
        </row>
        <row r="36">
          <cell r="A36" t="str">
            <v>124-01</v>
          </cell>
          <cell r="B36">
            <v>4008</v>
          </cell>
          <cell r="C36" t="str">
            <v>DE.1.0.7.0</v>
          </cell>
          <cell r="D36" t="str">
            <v>204:233034</v>
          </cell>
          <cell r="E36">
            <v>42614.308287037034</v>
          </cell>
          <cell r="F36">
            <v>42614.310243055559</v>
          </cell>
          <cell r="G36">
            <v>1</v>
          </cell>
          <cell r="H36" t="str">
            <v>204:145</v>
          </cell>
          <cell r="I36">
            <v>42614.337939814817</v>
          </cell>
          <cell r="J36">
            <v>0</v>
          </cell>
          <cell r="K36" t="str">
            <v>4007/4008</v>
          </cell>
          <cell r="L36" t="str">
            <v>ARVIDSON</v>
          </cell>
          <cell r="M36">
            <v>2.7696759258105885E-2</v>
          </cell>
          <cell r="N36">
            <v>39.883333331672475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https://search-rtdc-monitor-bjffxe2xuh6vdkpspy63sjmuny.us-east-1.es.amazonaws.com/_plugin/kibana/#/discover/Steve-Slow-Train-Analysis-(2080s-and-2083s)?_g=(refreshInterval:(display:Off,section:0,value:0),time:(from:'2016-09-01 06:23:56-0600',mode:absolute,to:'2016-09-01 09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36" t="str">
            <v>N</v>
          </cell>
          <cell r="X36">
            <v>1</v>
          </cell>
          <cell r="Y36">
            <v>23.3034</v>
          </cell>
          <cell r="Z36">
            <v>1.4500000000000001E-2</v>
          </cell>
          <cell r="AA36">
            <v>23.288899999999998</v>
          </cell>
          <cell r="AB36">
            <v>15167</v>
          </cell>
          <cell r="AC36" t="str">
            <v>PERMANENT SPEED RESTRICTION</v>
          </cell>
          <cell r="AD36" t="str">
            <v>0124-01</v>
          </cell>
          <cell r="AE36" t="str">
    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    </cell>
        </row>
        <row r="37">
          <cell r="A37" t="str">
            <v>125-01</v>
          </cell>
          <cell r="B37">
            <v>4042</v>
          </cell>
          <cell r="C37" t="str">
            <v>DE.1.0.7.0</v>
          </cell>
          <cell r="D37" t="str">
            <v>204:460</v>
          </cell>
          <cell r="E37">
            <v>42614.277407407404</v>
          </cell>
          <cell r="F37">
            <v>42614.2815625</v>
          </cell>
          <cell r="G37">
            <v>1</v>
          </cell>
          <cell r="H37" t="str">
            <v>204:233297</v>
          </cell>
          <cell r="I37">
            <v>42614.306909722225</v>
          </cell>
          <cell r="J37">
            <v>0</v>
          </cell>
          <cell r="K37" t="str">
            <v>4041/4042</v>
          </cell>
          <cell r="L37" t="str">
            <v>STARKS</v>
          </cell>
          <cell r="M37">
            <v>2.5347222224809229E-2</v>
          </cell>
          <cell r="N37">
            <v>36.50000000372529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https://search-rtdc-monitor-bjffxe2xuh6vdkpspy63sjmuny.us-east-1.es.amazonaws.com/_plugin/kibana/#/discover/Steve-Slow-Train-Analysis-(2080s-and-2083s)?_g=(refreshInterval:(display:Off,section:0,value:0),time:(from:'2016-09-01 05:39:28-0600',mode:absolute,to:'2016-09-01 08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37" t="str">
            <v>N</v>
          </cell>
          <cell r="X37">
            <v>1</v>
          </cell>
          <cell r="Y37">
            <v>4.5999999999999999E-2</v>
          </cell>
          <cell r="Z37">
            <v>23.329699999999999</v>
          </cell>
          <cell r="AA37">
            <v>23.2837</v>
          </cell>
          <cell r="AB37" t="e">
            <v>#N/A</v>
          </cell>
          <cell r="AC37" t="e">
            <v>#N/A</v>
          </cell>
          <cell r="AD37" t="str">
            <v>0125-01</v>
          </cell>
          <cell r="AE37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38">
          <cell r="A38" t="str">
            <v>126-01</v>
          </cell>
          <cell r="B38">
            <v>4041</v>
          </cell>
          <cell r="C38" t="str">
            <v>DE.1.0.7.0</v>
          </cell>
          <cell r="D38" t="str">
            <v>204:232984</v>
          </cell>
          <cell r="E38">
            <v>42614.317847222221</v>
          </cell>
          <cell r="F38">
            <v>42614.320960648147</v>
          </cell>
          <cell r="G38">
            <v>1</v>
          </cell>
          <cell r="H38" t="str">
            <v>204:247</v>
          </cell>
          <cell r="I38">
            <v>42614.346701388888</v>
          </cell>
          <cell r="J38">
            <v>0</v>
          </cell>
          <cell r="K38" t="str">
            <v>4041/4042</v>
          </cell>
          <cell r="L38" t="str">
            <v>STARKS</v>
          </cell>
          <cell r="M38">
            <v>2.5740740740729962E-2</v>
          </cell>
          <cell r="N38">
            <v>37.066666666651145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https://search-rtdc-monitor-bjffxe2xuh6vdkpspy63sjmuny.us-east-1.es.amazonaws.com/_plugin/kibana/#/discover/Steve-Slow-Train-Analysis-(2080s-and-2083s)?_g=(refreshInterval:(display:Off,section:0,value:0),time:(from:'2016-09-01 06:37:42-0600',mode:absolute,to:'2016-09-01 09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38" t="str">
            <v>N</v>
          </cell>
          <cell r="X38">
            <v>1</v>
          </cell>
          <cell r="Y38">
            <v>23.298400000000001</v>
          </cell>
          <cell r="Z38">
            <v>2.47E-2</v>
          </cell>
          <cell r="AA38">
            <v>23.273700000000002</v>
          </cell>
          <cell r="AB38" t="e">
            <v>#N/A</v>
          </cell>
          <cell r="AC38" t="e">
            <v>#N/A</v>
          </cell>
          <cell r="AD38" t="str">
            <v>0126-01</v>
          </cell>
          <cell r="AE38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39">
          <cell r="A39" t="str">
            <v>127-01</v>
          </cell>
          <cell r="B39">
            <v>4044</v>
          </cell>
          <cell r="C39" t="str">
            <v>DE.1.0.7.0</v>
          </cell>
          <cell r="D39" t="str">
            <v>204:451</v>
          </cell>
          <cell r="E39">
            <v>42614.288136574076</v>
          </cell>
          <cell r="F39">
            <v>42614.291967592595</v>
          </cell>
          <cell r="G39">
            <v>1</v>
          </cell>
          <cell r="H39" t="str">
            <v>204:233315</v>
          </cell>
          <cell r="I39">
            <v>42614.317372685182</v>
          </cell>
          <cell r="J39">
            <v>0</v>
          </cell>
          <cell r="K39" t="str">
            <v>4043/4044</v>
          </cell>
          <cell r="L39" t="str">
            <v>MAELZER</v>
          </cell>
          <cell r="M39">
            <v>2.5405092586879618E-2</v>
          </cell>
          <cell r="N39">
            <v>36.583333325106651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https://search-rtdc-monitor-bjffxe2xuh6vdkpspy63sjmuny.us-east-1.es.amazonaws.com/_plugin/kibana/#/discover/Steve-Slow-Train-Analysis-(2080s-and-2083s)?_g=(refreshInterval:(display:Off,section:0,value:0),time:(from:'2016-09-01 05:54:55-0600',mode:absolute,to:'2016-09-01 08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39" t="str">
            <v>N</v>
          </cell>
          <cell r="X39">
            <v>1</v>
          </cell>
          <cell r="Y39">
            <v>4.5100000000000001E-2</v>
          </cell>
          <cell r="Z39">
            <v>23.331499999999998</v>
          </cell>
          <cell r="AA39">
            <v>23.286399999999997</v>
          </cell>
          <cell r="AB39" t="e">
            <v>#N/A</v>
          </cell>
          <cell r="AC39" t="e">
            <v>#N/A</v>
          </cell>
          <cell r="AD39" t="str">
            <v>0127-01</v>
          </cell>
          <cell r="AE39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40">
          <cell r="A40" t="str">
            <v>128-01</v>
          </cell>
          <cell r="B40">
            <v>4043</v>
          </cell>
          <cell r="C40" t="str">
            <v>DE.1.0.7.0</v>
          </cell>
          <cell r="D40" t="str">
            <v>204:232994</v>
          </cell>
          <cell r="E40">
            <v>42614.323321759257</v>
          </cell>
          <cell r="F40">
            <v>42614.330810185187</v>
          </cell>
          <cell r="G40">
            <v>1</v>
          </cell>
          <cell r="H40" t="str">
            <v>204:150</v>
          </cell>
          <cell r="I40">
            <v>42614.357951388891</v>
          </cell>
          <cell r="J40">
            <v>0</v>
          </cell>
          <cell r="K40" t="str">
            <v>4043/4044</v>
          </cell>
          <cell r="L40" t="str">
            <v>MAELZER</v>
          </cell>
          <cell r="M40">
            <v>2.7141203703649808E-2</v>
          </cell>
          <cell r="N40">
            <v>39.083333333255723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https://search-rtdc-monitor-bjffxe2xuh6vdkpspy63sjmuny.us-east-1.es.amazonaws.com/_plugin/kibana/#/discover/Steve-Slow-Train-Analysis-(2080s-and-2083s)?_g=(refreshInterval:(display:Off,section:0,value:0),time:(from:'2016-09-01 06:45:35-0600',mode:absolute,to:'2016-09-01 09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40" t="str">
            <v>N</v>
          </cell>
          <cell r="X40">
            <v>1</v>
          </cell>
          <cell r="Y40">
            <v>23.299399999999999</v>
          </cell>
          <cell r="Z40">
            <v>1.4999999999999999E-2</v>
          </cell>
          <cell r="AA40">
            <v>23.284399999999998</v>
          </cell>
          <cell r="AB40" t="e">
            <v>#N/A</v>
          </cell>
          <cell r="AC40" t="e">
            <v>#N/A</v>
          </cell>
          <cell r="AD40" t="str">
            <v>0128-01</v>
          </cell>
          <cell r="AE40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41">
          <cell r="A41" t="str">
            <v>129-01</v>
          </cell>
          <cell r="B41">
            <v>4020</v>
          </cell>
          <cell r="C41" t="str">
            <v>DE.1.0.7.0</v>
          </cell>
          <cell r="D41" t="str">
            <v>204:446</v>
          </cell>
          <cell r="E41">
            <v>42614.299224537041</v>
          </cell>
          <cell r="F41">
            <v>42614.302615740744</v>
          </cell>
          <cell r="G41">
            <v>1</v>
          </cell>
          <cell r="H41" t="str">
            <v>204:233349</v>
          </cell>
          <cell r="I41">
            <v>42614.327488425923</v>
          </cell>
          <cell r="J41">
            <v>0</v>
          </cell>
          <cell r="K41" t="str">
            <v>4019/4020</v>
          </cell>
          <cell r="L41" t="str">
            <v>SMITH</v>
          </cell>
          <cell r="M41">
            <v>2.4872685178706888E-2</v>
          </cell>
          <cell r="N41">
            <v>35.816666657337919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https://search-rtdc-monitor-bjffxe2xuh6vdkpspy63sjmuny.us-east-1.es.amazonaws.com/_plugin/kibana/#/discover/Steve-Slow-Train-Analysis-(2080s-and-2083s)?_g=(refreshInterval:(display:Off,section:0,value:0),time:(from:'2016-09-01 06:10:53-0600',mode:absolute,to:'2016-09-01 08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41" t="str">
            <v>N</v>
          </cell>
          <cell r="X41">
            <v>1</v>
          </cell>
          <cell r="Y41">
            <v>4.4600000000000001E-2</v>
          </cell>
          <cell r="Z41">
            <v>23.334900000000001</v>
          </cell>
          <cell r="AA41">
            <v>23.290300000000002</v>
          </cell>
          <cell r="AB41" t="e">
            <v>#N/A</v>
          </cell>
          <cell r="AC41" t="e">
            <v>#N/A</v>
          </cell>
          <cell r="AD41" t="str">
            <v>0129-01</v>
          </cell>
          <cell r="AE41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42">
          <cell r="A42" t="str">
            <v>130-01</v>
          </cell>
          <cell r="B42">
            <v>4019</v>
          </cell>
          <cell r="C42" t="str">
            <v>DE.1.0.7.0</v>
          </cell>
          <cell r="D42" t="str">
            <v>204:233036</v>
          </cell>
          <cell r="E42">
            <v>42614.328645833331</v>
          </cell>
          <cell r="F42">
            <v>42614.341192129628</v>
          </cell>
          <cell r="G42">
            <v>1</v>
          </cell>
          <cell r="H42" t="str">
            <v>204:154</v>
          </cell>
          <cell r="I42">
            <v>42614.368680555555</v>
          </cell>
          <cell r="J42">
            <v>0</v>
          </cell>
          <cell r="K42" t="str">
            <v>4019/4020</v>
          </cell>
          <cell r="L42" t="str">
            <v>SMITH</v>
          </cell>
          <cell r="M42">
            <v>2.7488425927003846E-2</v>
          </cell>
          <cell r="N42">
            <v>39.583333334885538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42" t="str">
            <v>N</v>
          </cell>
          <cell r="X42">
            <v>1</v>
          </cell>
          <cell r="Y42">
            <v>23.303599999999999</v>
          </cell>
          <cell r="Z42">
            <v>1.54E-2</v>
          </cell>
          <cell r="AA42">
            <v>23.2882</v>
          </cell>
          <cell r="AB42" t="e">
            <v>#N/A</v>
          </cell>
          <cell r="AC42" t="e">
            <v>#N/A</v>
          </cell>
          <cell r="AD42" t="str">
            <v>0130-01</v>
          </cell>
          <cell r="AE42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43">
          <cell r="A43" t="str">
            <v>131-01</v>
          </cell>
          <cell r="C43" t="str">
            <v>DE.1.0.7.0</v>
          </cell>
          <cell r="D43" t="str">
            <v>204:233036</v>
          </cell>
          <cell r="E43">
            <v>42614.328645833331</v>
          </cell>
          <cell r="G43">
            <v>1</v>
          </cell>
          <cell r="H43" t="str">
            <v>204:154</v>
          </cell>
          <cell r="J43">
            <v>0</v>
          </cell>
          <cell r="K43" t="str">
            <v>-1/</v>
          </cell>
          <cell r="L43" t="e">
            <v>#N/A</v>
          </cell>
          <cell r="M43">
            <v>0</v>
          </cell>
          <cell r="P43">
            <v>1</v>
          </cell>
          <cell r="R43" t="str">
            <v>Did not initialize</v>
          </cell>
          <cell r="S43">
            <v>0</v>
          </cell>
          <cell r="T43" t="str">
            <v>NorthBound</v>
          </cell>
          <cell r="U43">
            <v>0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https://search-rtdc-monitor-bjffxe2xuh6vdkpspy63sjmuny.us-east-1.es.amazonaws.com/_plugin/kibana/#/discover/Steve-Slow-Train-Analysis-(2080s-and-2083s)?_g=(refreshInterval:(display:Off,section:0,value:0),time:(from:'2016-09-01 06:53:15-0600',mode:absolute,to:'1900-01-00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    </cell>
          <cell r="W43" t="str">
            <v>N</v>
          </cell>
          <cell r="X43">
            <v>1</v>
          </cell>
          <cell r="Y43">
            <v>23.303599999999999</v>
          </cell>
          <cell r="Z43">
            <v>1.54E-2</v>
          </cell>
          <cell r="AA43">
            <v>23.2882</v>
          </cell>
          <cell r="AB43" t="e">
            <v>#N/A</v>
          </cell>
          <cell r="AC43" t="e">
            <v>#N/A</v>
          </cell>
          <cell r="AD43" t="str">
            <v>0131-01</v>
          </cell>
          <cell r="AE43" t="str">
    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    </cell>
        </row>
        <row r="44">
          <cell r="A44" t="str">
            <v>132-01</v>
          </cell>
          <cell r="B44">
            <v>4032</v>
          </cell>
          <cell r="C44" t="str">
            <v>DE.1.0.7.0</v>
          </cell>
          <cell r="D44" t="str">
            <v>204:233008</v>
          </cell>
          <cell r="E44">
            <v>42614.344953703701</v>
          </cell>
          <cell r="F44">
            <v>42614.3515625</v>
          </cell>
          <cell r="G44">
            <v>1</v>
          </cell>
          <cell r="H44" t="str">
            <v>204:158</v>
          </cell>
          <cell r="I44">
            <v>42614.379745370374</v>
          </cell>
          <cell r="J44">
            <v>0</v>
          </cell>
          <cell r="K44" t="str">
            <v>4031/4032</v>
          </cell>
          <cell r="L44" t="str">
            <v>SPECTOR</v>
          </cell>
          <cell r="M44">
            <v>2.8182870373711921E-2</v>
          </cell>
          <cell r="N44">
            <v>40.583333338145167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https://search-rtdc-monitor-bjffxe2xuh6vdkpspy63sjmuny.us-east-1.es.amazonaws.com/_plugin/kibana/#/discover/Steve-Slow-Train-Analysis-(2080s-and-2083s)?_g=(refreshInterval:(display:Off,section:0,value:0),time:(from:'2016-09-01 07:16:44-0600',mode:absolute,to:'2016-09-01 10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44" t="str">
            <v>N</v>
          </cell>
          <cell r="X44">
            <v>1</v>
          </cell>
          <cell r="Y44">
            <v>23.300799999999999</v>
          </cell>
          <cell r="Z44">
            <v>1.5800000000000002E-2</v>
          </cell>
          <cell r="AA44">
            <v>23.285</v>
          </cell>
          <cell r="AB44" t="e">
            <v>#N/A</v>
          </cell>
          <cell r="AC44" t="e">
            <v>#N/A</v>
          </cell>
          <cell r="AD44" t="str">
            <v>0132-01</v>
          </cell>
          <cell r="AE44" t="str">
    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    </cell>
        </row>
        <row r="45">
          <cell r="A45" t="str">
            <v>133-01</v>
          </cell>
          <cell r="B45">
            <v>4018</v>
          </cell>
          <cell r="C45" t="str">
            <v>DE.1.0.7.0</v>
          </cell>
          <cell r="D45" t="str">
            <v>204:460</v>
          </cell>
          <cell r="E45">
            <v>42614.321620370371</v>
          </cell>
          <cell r="F45">
            <v>42614.323182870372</v>
          </cell>
          <cell r="G45">
            <v>1</v>
          </cell>
          <cell r="H45" t="str">
            <v>204:233286</v>
          </cell>
          <cell r="I45">
            <v>42614.348923611113</v>
          </cell>
          <cell r="J45">
            <v>0</v>
          </cell>
          <cell r="K45" t="str">
            <v>4017/4018</v>
          </cell>
          <cell r="L45" t="str">
            <v>MALAVE</v>
          </cell>
          <cell r="M45">
            <v>2.5740740740729962E-2</v>
          </cell>
          <cell r="N45">
            <v>37.066666666651145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https://search-rtdc-monitor-bjffxe2xuh6vdkpspy63sjmuny.us-east-1.es.amazonaws.com/_plugin/kibana/#/discover/Steve-Slow-Train-Analysis-(2080s-and-2083s)?_g=(refreshInterval:(display:Off,section:0,value:0),time:(from:'2016-09-01 06:43:08-0600',mode:absolute,to:'2016-09-01 09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45" t="str">
            <v>N</v>
          </cell>
          <cell r="X45">
            <v>1</v>
          </cell>
          <cell r="Y45">
            <v>4.5999999999999999E-2</v>
          </cell>
          <cell r="Z45">
            <v>23.328600000000002</v>
          </cell>
          <cell r="AA45">
            <v>23.282600000000002</v>
          </cell>
          <cell r="AB45" t="e">
            <v>#N/A</v>
          </cell>
          <cell r="AC45" t="e">
            <v>#N/A</v>
          </cell>
          <cell r="AD45" t="str">
            <v>0133-01</v>
          </cell>
          <cell r="AE45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46">
          <cell r="A46" t="str">
            <v>134-01</v>
          </cell>
          <cell r="B46">
            <v>4017</v>
          </cell>
          <cell r="C46" t="str">
            <v>DE.1.0.7.0</v>
          </cell>
          <cell r="D46" t="str">
            <v>204:232967</v>
          </cell>
          <cell r="E46">
            <v>42614.360474537039</v>
          </cell>
          <cell r="F46">
            <v>42614.362037037034</v>
          </cell>
          <cell r="G46">
            <v>2</v>
          </cell>
          <cell r="H46" t="str">
            <v>204:156</v>
          </cell>
          <cell r="I46">
            <v>42614.389386574076</v>
          </cell>
          <cell r="J46">
            <v>0</v>
          </cell>
          <cell r="K46" t="str">
            <v>4017/4018</v>
          </cell>
          <cell r="L46" t="str">
            <v>MALAVE</v>
          </cell>
          <cell r="M46">
            <v>2.7349537042027805E-2</v>
          </cell>
          <cell r="N46">
            <v>39.383333340520039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https://search-rtdc-monitor-bjffxe2xuh6vdkpspy63sjmuny.us-east-1.es.amazonaws.com/_plugin/kibana/#/discover/Steve-Slow-Train-Analysis-(2080s-and-2083s)?_g=(refreshInterval:(display:Off,section:0,value:0),time:(from:'2016-09-01 07:39:05-0600',mode:absolute,to:'2016-09-01 10:20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46" t="str">
            <v>N</v>
          </cell>
          <cell r="X46">
            <v>1</v>
          </cell>
          <cell r="Y46">
            <v>23.296700000000001</v>
          </cell>
          <cell r="Z46">
            <v>1.5599999999999999E-2</v>
          </cell>
          <cell r="AA46">
            <v>23.281100000000002</v>
          </cell>
          <cell r="AB46" t="e">
            <v>#N/A</v>
          </cell>
          <cell r="AC46" t="e">
            <v>#N/A</v>
          </cell>
          <cell r="AD46" t="str">
            <v>0134-01</v>
          </cell>
          <cell r="AE46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47">
          <cell r="A47" t="str">
            <v>135-01</v>
          </cell>
          <cell r="B47">
            <v>4038</v>
          </cell>
          <cell r="C47" t="str">
            <v>DE.1.0.7.0</v>
          </cell>
          <cell r="D47" t="str">
            <v>204:533</v>
          </cell>
          <cell r="E47">
            <v>42614.330266203702</v>
          </cell>
          <cell r="F47">
            <v>42614.333449074074</v>
          </cell>
          <cell r="G47">
            <v>1</v>
          </cell>
          <cell r="H47" t="str">
            <v>204:233289</v>
          </cell>
          <cell r="I47">
            <v>42614.360949074071</v>
          </cell>
          <cell r="J47">
            <v>0</v>
          </cell>
          <cell r="K47" t="str">
            <v>4037/4038</v>
          </cell>
          <cell r="L47" t="str">
            <v>STRICKLAND</v>
          </cell>
          <cell r="M47">
            <v>2.749999999650754E-2</v>
          </cell>
          <cell r="N47">
            <v>39.599999994970858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https://search-rtdc-monitor-bjffxe2xuh6vdkpspy63sjmuny.us-east-1.es.amazonaws.com/_plugin/kibana/#/discover/Steve-Slow-Train-Analysis-(2080s-and-2083s)?_g=(refreshInterval:(display:Off,section:0,value:0),time:(from:'2016-09-01 06:55:35-0600',mode:absolute,to:'2016-09-01 09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47" t="str">
            <v>N</v>
          </cell>
          <cell r="X47">
            <v>1</v>
          </cell>
          <cell r="Y47">
            <v>5.33E-2</v>
          </cell>
          <cell r="Z47">
            <v>23.328900000000001</v>
          </cell>
          <cell r="AA47">
            <v>23.275600000000001</v>
          </cell>
          <cell r="AB47">
            <v>27333</v>
          </cell>
          <cell r="AC47" t="str">
            <v>PERMANENT SPEED RESTRICTION</v>
          </cell>
          <cell r="AD47" t="str">
            <v>0135-01</v>
          </cell>
          <cell r="AE47" t="str">
    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    </cell>
        </row>
        <row r="48">
          <cell r="A48" t="str">
            <v>136-01</v>
          </cell>
          <cell r="B48">
            <v>4037</v>
          </cell>
          <cell r="C48" t="str">
            <v>DE.1.0.7.0</v>
          </cell>
          <cell r="D48" t="str">
            <v>204:232977</v>
          </cell>
          <cell r="E48">
            <v>42614.368333333332</v>
          </cell>
          <cell r="F48">
            <v>42614.372465277775</v>
          </cell>
          <cell r="G48">
            <v>1</v>
          </cell>
          <cell r="H48" t="str">
            <v>204:165</v>
          </cell>
          <cell r="I48">
            <v>42614.400879629633</v>
          </cell>
          <cell r="J48">
            <v>0</v>
          </cell>
          <cell r="K48" t="str">
            <v>4037/4038</v>
          </cell>
          <cell r="L48" t="str">
            <v>STRICKLAND</v>
          </cell>
          <cell r="M48">
            <v>2.8414351858373266E-2</v>
          </cell>
          <cell r="N48">
            <v>40.916666676057503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https://search-rtdc-monitor-bjffxe2xuh6vdkpspy63sjmuny.us-east-1.es.amazonaws.com/_plugin/kibana/#/discover/Steve-Slow-Train-Analysis-(2080s-and-2083s)?_g=(refreshInterval:(display:Off,section:0,value:0),time:(from:'2016-09-01 07:50:24-0600',mode:absolute,to:'2016-09-01 10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48" t="str">
            <v>N</v>
          </cell>
          <cell r="X48">
            <v>1</v>
          </cell>
          <cell r="Y48">
            <v>23.297699999999999</v>
          </cell>
          <cell r="Z48">
            <v>1.6500000000000001E-2</v>
          </cell>
          <cell r="AA48">
            <v>23.281199999999998</v>
          </cell>
          <cell r="AB48">
            <v>78469</v>
          </cell>
          <cell r="AC48" t="str">
            <v>GRADE CROSSING</v>
          </cell>
          <cell r="AD48" t="str">
            <v>0136-01</v>
          </cell>
          <cell r="AE48" t="str">
    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    </cell>
        </row>
        <row r="49">
          <cell r="A49" t="str">
            <v>137-01</v>
          </cell>
          <cell r="B49">
            <v>4007</v>
          </cell>
          <cell r="C49" t="str">
            <v>DE.1.0.7.0</v>
          </cell>
          <cell r="D49" t="str">
            <v>204:437</v>
          </cell>
          <cell r="E49">
            <v>42614.34165509259</v>
          </cell>
          <cell r="F49">
            <v>42614.344317129631</v>
          </cell>
          <cell r="G49">
            <v>1</v>
          </cell>
          <cell r="H49" t="str">
            <v>204:233245</v>
          </cell>
          <cell r="I49">
            <v>42614.369513888887</v>
          </cell>
          <cell r="J49">
            <v>0</v>
          </cell>
          <cell r="K49" t="str">
            <v>4007/4008</v>
          </cell>
          <cell r="L49" t="str">
            <v>ARVIDSON</v>
          </cell>
          <cell r="M49">
            <v>2.5196759255777579E-2</v>
          </cell>
          <cell r="N49">
            <v>36.283333328319713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https://search-rtdc-monitor-bjffxe2xuh6vdkpspy63sjmuny.us-east-1.es.amazonaws.com/_plugin/kibana/#/discover/Steve-Slow-Train-Analysis-(2080s-and-2083s)?_g=(refreshInterval:(display:Off,section:0,value:0),time:(from:'2016-09-01 07:11:59-0600',mode:absolute,to:'2016-09-01 09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49" t="str">
            <v>N</v>
          </cell>
          <cell r="X49">
            <v>1</v>
          </cell>
          <cell r="Y49">
            <v>4.3700000000000003E-2</v>
          </cell>
          <cell r="Z49">
            <v>23.3245</v>
          </cell>
          <cell r="AA49">
            <v>23.280799999999999</v>
          </cell>
          <cell r="AB49" t="e">
            <v>#N/A</v>
          </cell>
          <cell r="AC49" t="e">
            <v>#N/A</v>
          </cell>
          <cell r="AD49" t="str">
            <v>0137-01</v>
          </cell>
          <cell r="AE49" t="str">
    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    </cell>
        </row>
        <row r="50">
          <cell r="A50" t="str">
            <v>138-01</v>
          </cell>
          <cell r="B50">
            <v>4008</v>
          </cell>
          <cell r="C50" t="str">
            <v>DE.1.0.7.0</v>
          </cell>
          <cell r="D50" t="str">
            <v>204:232944</v>
          </cell>
          <cell r="E50">
            <v>42614.380173611113</v>
          </cell>
          <cell r="F50">
            <v>42614.382835648146</v>
          </cell>
          <cell r="G50">
            <v>3</v>
          </cell>
          <cell r="H50" t="str">
            <v>204:160</v>
          </cell>
          <cell r="I50">
            <v>42614.411249999997</v>
          </cell>
          <cell r="J50">
            <v>0</v>
          </cell>
          <cell r="K50" t="str">
            <v>4007/4008</v>
          </cell>
          <cell r="L50" t="str">
            <v>ARVIDSON</v>
          </cell>
          <cell r="M50">
            <v>2.8414351851097308E-2</v>
          </cell>
          <cell r="N50">
            <v>40.916666665580124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https://search-rtdc-monitor-bjffxe2xuh6vdkpspy63sjmuny.us-east-1.es.amazonaws.com/_plugin/kibana/#/discover/Steve-Slow-Train-Analysis-(2080s-and-2083s)?_g=(refreshInterval:(display:Off,section:0,value:0),time:(from:'2016-09-01 08:07:27-0600',mode:absolute,to:'2016-09-01 10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50" t="str">
            <v>N</v>
          </cell>
          <cell r="X50">
            <v>1</v>
          </cell>
          <cell r="Y50">
            <v>23.2944</v>
          </cell>
          <cell r="Z50">
            <v>1.6E-2</v>
          </cell>
          <cell r="AA50">
            <v>23.278400000000001</v>
          </cell>
          <cell r="AB50">
            <v>27350</v>
          </cell>
          <cell r="AC50" t="str">
            <v>GRADE CROSSING</v>
          </cell>
          <cell r="AD50" t="str">
            <v>0138-01</v>
          </cell>
          <cell r="AE50" t="str">
    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    </cell>
        </row>
        <row r="51">
          <cell r="A51" t="str">
            <v>139-01</v>
          </cell>
          <cell r="B51">
            <v>4042</v>
          </cell>
          <cell r="C51" t="str">
            <v>DE.1.0.7.0</v>
          </cell>
          <cell r="D51" t="str">
            <v>204:546</v>
          </cell>
          <cell r="E51">
            <v>42614.351701388892</v>
          </cell>
          <cell r="F51">
            <v>42614.354583333334</v>
          </cell>
          <cell r="G51">
            <v>1</v>
          </cell>
          <cell r="H51" t="str">
            <v>204:233280</v>
          </cell>
          <cell r="I51">
            <v>42614.379687499997</v>
          </cell>
          <cell r="J51">
            <v>0</v>
          </cell>
          <cell r="K51" t="str">
            <v>4041/4042</v>
          </cell>
          <cell r="L51" t="str">
            <v>STARKS</v>
          </cell>
          <cell r="M51">
            <v>2.5104166663368233E-2</v>
          </cell>
          <cell r="N51">
            <v>36.149999995250255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https://search-rtdc-monitor-bjffxe2xuh6vdkpspy63sjmuny.us-east-1.es.amazonaws.com/_plugin/kibana/#/discover/Steve-Slow-Train-Analysis-(2080s-and-2083s)?_g=(refreshInterval:(display:Off,section:0,value:0),time:(from:'2016-09-01 07:26:27-0600',mode:absolute,to:'2016-09-01 10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51" t="str">
            <v>N</v>
          </cell>
          <cell r="X51">
            <v>1</v>
          </cell>
          <cell r="Y51">
            <v>5.4600000000000003E-2</v>
          </cell>
          <cell r="Z51">
            <v>23.327999999999999</v>
          </cell>
          <cell r="AA51">
            <v>23.273399999999999</v>
          </cell>
          <cell r="AB51" t="e">
            <v>#N/A</v>
          </cell>
          <cell r="AC51" t="e">
            <v>#N/A</v>
          </cell>
          <cell r="AD51" t="str">
            <v>0139-01</v>
          </cell>
          <cell r="AE51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52">
          <cell r="A52" t="str">
            <v>140-01</v>
          </cell>
          <cell r="B52">
            <v>4041</v>
          </cell>
          <cell r="C52" t="str">
            <v>DE.1.0.7.0</v>
          </cell>
          <cell r="D52" t="str">
            <v>204:232972</v>
          </cell>
          <cell r="E52">
            <v>42614.388854166667</v>
          </cell>
          <cell r="F52">
            <v>42614.39334490741</v>
          </cell>
          <cell r="G52">
            <v>1</v>
          </cell>
          <cell r="H52" t="str">
            <v>204:138</v>
          </cell>
          <cell r="I52">
            <v>42614.420057870368</v>
          </cell>
          <cell r="J52">
            <v>0</v>
          </cell>
          <cell r="K52" t="str">
            <v>4041/4042</v>
          </cell>
          <cell r="L52" t="str">
            <v>STARKS</v>
          </cell>
          <cell r="M52">
            <v>2.6712962957390118E-2</v>
          </cell>
          <cell r="N52">
            <v>38.46666665864177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https://search-rtdc-monitor-bjffxe2xuh6vdkpspy63sjmuny.us-east-1.es.amazonaws.com/_plugin/kibana/#/discover/Steve-Slow-Train-Analysis-(2080s-and-2083s)?_g=(refreshInterval:(display:Off,section:0,value:0),time:(from:'2016-09-01 08:19:57-0600',mode:absolute,to:'2016-09-01 11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52" t="str">
            <v>N</v>
          </cell>
          <cell r="X52">
            <v>1</v>
          </cell>
          <cell r="Y52">
            <v>23.2972</v>
          </cell>
          <cell r="Z52">
            <v>1.38E-2</v>
          </cell>
          <cell r="AA52">
            <v>23.2834</v>
          </cell>
          <cell r="AB52" t="e">
            <v>#N/A</v>
          </cell>
          <cell r="AC52" t="e">
            <v>#N/A</v>
          </cell>
          <cell r="AD52" t="str">
            <v>0140-01</v>
          </cell>
          <cell r="AE52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53">
          <cell r="A53" t="str">
            <v>141-01</v>
          </cell>
          <cell r="B53">
            <v>4044</v>
          </cell>
          <cell r="C53" t="str">
            <v>DE.1.0.7.0</v>
          </cell>
          <cell r="D53" t="str">
            <v>204:447</v>
          </cell>
          <cell r="E53">
            <v>42614.359780092593</v>
          </cell>
          <cell r="F53">
            <v>42614.364849537036</v>
          </cell>
          <cell r="G53">
            <v>1</v>
          </cell>
          <cell r="H53" t="str">
            <v>204:233303</v>
          </cell>
          <cell r="I53">
            <v>42614.390034722222</v>
          </cell>
          <cell r="J53">
            <v>0</v>
          </cell>
          <cell r="K53" t="str">
            <v>4043/4044</v>
          </cell>
          <cell r="L53" t="str">
            <v>MAELZER</v>
          </cell>
          <cell r="M53">
            <v>2.5185185186273884E-2</v>
          </cell>
          <cell r="N53">
            <v>36.266666668234393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https://search-rtdc-monitor-bjffxe2xuh6vdkpspy63sjmuny.us-east-1.es.amazonaws.com/_plugin/kibana/#/discover/Steve-Slow-Train-Analysis-(2080s-and-2083s)?_g=(refreshInterval:(display:Off,section:0,value:0),time:(from:'2016-09-01 07:38:05-0600',mode:absolute,to:'2016-09-01 10:21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53" t="str">
            <v>N</v>
          </cell>
          <cell r="X53">
            <v>1</v>
          </cell>
          <cell r="Y53">
            <v>4.4699999999999997E-2</v>
          </cell>
          <cell r="Z53">
            <v>23.330300000000001</v>
          </cell>
          <cell r="AA53">
            <v>23.285600000000002</v>
          </cell>
          <cell r="AB53" t="e">
            <v>#N/A</v>
          </cell>
          <cell r="AC53" t="e">
            <v>#N/A</v>
          </cell>
          <cell r="AD53" t="str">
            <v>0141-01</v>
          </cell>
          <cell r="AE53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54">
          <cell r="A54" t="str">
            <v>142-01</v>
          </cell>
          <cell r="B54">
            <v>4043</v>
          </cell>
          <cell r="C54" t="str">
            <v>DE.1.0.7.0</v>
          </cell>
          <cell r="D54" t="str">
            <v>204:232990</v>
          </cell>
          <cell r="E54">
            <v>42614.395173611112</v>
          </cell>
          <cell r="F54">
            <v>42614.403749999998</v>
          </cell>
          <cell r="G54">
            <v>1</v>
          </cell>
          <cell r="H54" t="str">
            <v>204:160</v>
          </cell>
          <cell r="I54">
            <v>42614.430925925924</v>
          </cell>
          <cell r="J54">
            <v>0</v>
          </cell>
          <cell r="K54" t="str">
            <v>4043/4044</v>
          </cell>
          <cell r="L54" t="str">
            <v>MAELZER</v>
          </cell>
          <cell r="M54">
            <v>2.7175925926712807E-2</v>
          </cell>
          <cell r="N54">
            <v>39.133333334466442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https://search-rtdc-monitor-bjffxe2xuh6vdkpspy63sjmuny.us-east-1.es.amazonaws.com/_plugin/kibana/#/discover/Steve-Slow-Train-Analysis-(2080s-and-2083s)?_g=(refreshInterval:(display:Off,section:0,value:0),time:(from:'2016-09-01 08:29:03-0600',mode:absolute,to:'2016-09-01 11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54" t="str">
            <v>N</v>
          </cell>
          <cell r="X54">
            <v>1</v>
          </cell>
          <cell r="Y54">
            <v>23.298999999999999</v>
          </cell>
          <cell r="Z54">
            <v>1.6E-2</v>
          </cell>
          <cell r="AA54">
            <v>23.283000000000001</v>
          </cell>
          <cell r="AB54" t="e">
            <v>#N/A</v>
          </cell>
          <cell r="AC54" t="e">
            <v>#N/A</v>
          </cell>
          <cell r="AD54" t="str">
            <v>0142-01</v>
          </cell>
          <cell r="AE54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55">
          <cell r="A55" t="str">
            <v>143-01</v>
          </cell>
          <cell r="B55">
            <v>4020</v>
          </cell>
          <cell r="C55" t="str">
            <v>DE.1.0.7.0</v>
          </cell>
          <cell r="D55" t="str">
            <v>204:449</v>
          </cell>
          <cell r="E55">
            <v>42614.371030092596</v>
          </cell>
          <cell r="F55">
            <v>42614.375173611108</v>
          </cell>
          <cell r="G55">
            <v>5</v>
          </cell>
          <cell r="H55" t="str">
            <v>204:233302</v>
          </cell>
          <cell r="I55">
            <v>42614.400868055556</v>
          </cell>
          <cell r="J55">
            <v>0</v>
          </cell>
          <cell r="K55" t="str">
            <v>4019/4020</v>
          </cell>
          <cell r="L55" t="str">
            <v>SMITH</v>
          </cell>
          <cell r="M55">
            <v>2.5694444448163267E-2</v>
          </cell>
          <cell r="N55">
            <v>37.000000005355105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https://search-rtdc-monitor-bjffxe2xuh6vdkpspy63sjmuny.us-east-1.es.amazonaws.com/_plugin/kibana/#/discover/Steve-Slow-Train-Analysis-(2080s-and-2083s)?_g=(refreshInterval:(display:Off,section:0,value:0),time:(from:'2016-09-01 07:54:17-0600',mode:absolute,to:'2016-09-01 10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55" t="str">
            <v>N</v>
          </cell>
          <cell r="X55">
            <v>1</v>
          </cell>
          <cell r="Y55">
            <v>4.4900000000000002E-2</v>
          </cell>
          <cell r="Z55">
            <v>23.330200000000001</v>
          </cell>
          <cell r="AA55">
            <v>23.285300000000003</v>
          </cell>
          <cell r="AB55" t="e">
            <v>#N/A</v>
          </cell>
          <cell r="AC55" t="e">
            <v>#N/A</v>
          </cell>
          <cell r="AD55" t="str">
            <v>0143-01</v>
          </cell>
          <cell r="AE55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56">
          <cell r="A56" t="str">
            <v>144-01</v>
          </cell>
          <cell r="B56">
            <v>4019</v>
          </cell>
          <cell r="C56" t="str">
            <v>DE.1.0.7.0</v>
          </cell>
          <cell r="D56" t="str">
            <v>204:232991</v>
          </cell>
          <cell r="E56">
            <v>42614.408449074072</v>
          </cell>
          <cell r="F56">
            <v>42614.414050925923</v>
          </cell>
          <cell r="G56">
            <v>2</v>
          </cell>
          <cell r="H56" t="str">
            <v>204:138</v>
          </cell>
          <cell r="I56">
            <v>42614.442499999997</v>
          </cell>
          <cell r="J56">
            <v>0</v>
          </cell>
          <cell r="K56" t="str">
            <v>4019/4020</v>
          </cell>
          <cell r="L56" t="str">
            <v>SMITH</v>
          </cell>
          <cell r="M56">
            <v>2.8449074074160308E-2</v>
          </cell>
          <cell r="N56">
            <v>40.966666666790843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https://search-rtdc-monitor-bjffxe2xuh6vdkpspy63sjmuny.us-east-1.es.amazonaws.com/_plugin/kibana/#/discover/Steve-Slow-Train-Analysis-(2080s-and-2083s)?_g=(refreshInterval:(display:Off,section:0,value:0),time:(from:'2016-09-01 08:48:10-0600',mode:absolute,to:'2016-09-01 11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56" t="str">
            <v>N</v>
          </cell>
          <cell r="X56">
            <v>1</v>
          </cell>
          <cell r="Y56">
            <v>23.299099999999999</v>
          </cell>
          <cell r="Z56">
            <v>1.38E-2</v>
          </cell>
          <cell r="AA56">
            <v>23.285299999999999</v>
          </cell>
          <cell r="AB56" t="e">
            <v>#N/A</v>
          </cell>
          <cell r="AC56" t="e">
            <v>#N/A</v>
          </cell>
          <cell r="AD56" t="str">
            <v>0144-01</v>
          </cell>
          <cell r="AE56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57">
          <cell r="A57" t="str">
            <v>145-01</v>
          </cell>
          <cell r="B57">
            <v>4031</v>
          </cell>
          <cell r="C57" t="str">
            <v>DE.1.0.7.0</v>
          </cell>
          <cell r="D57" t="str">
            <v>204:451</v>
          </cell>
          <cell r="E57">
            <v>42614.384131944447</v>
          </cell>
          <cell r="F57">
            <v>42614.386608796296</v>
          </cell>
          <cell r="G57">
            <v>1</v>
          </cell>
          <cell r="H57" t="str">
            <v>204:233303</v>
          </cell>
          <cell r="I57">
            <v>42614.41138888889</v>
          </cell>
          <cell r="J57">
            <v>0</v>
          </cell>
          <cell r="K57" t="str">
            <v>4031/4032</v>
          </cell>
          <cell r="L57" t="str">
            <v>SPECTOR</v>
          </cell>
          <cell r="M57">
            <v>2.4780092593573499E-2</v>
          </cell>
          <cell r="N57">
            <v>35.683333334745839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https://search-rtdc-monitor-bjffxe2xuh6vdkpspy63sjmuny.us-east-1.es.amazonaws.com/_plugin/kibana/#/discover/Steve-Slow-Train-Analysis-(2080s-and-2083s)?_g=(refreshInterval:(display:Off,section:0,value:0),time:(from:'2016-09-01 08:13:09-0600',mode:absolute,to:'2016-09-01 10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57" t="str">
            <v>N</v>
          </cell>
          <cell r="X57">
            <v>1</v>
          </cell>
          <cell r="Y57">
            <v>4.5100000000000001E-2</v>
          </cell>
          <cell r="Z57">
            <v>23.330300000000001</v>
          </cell>
          <cell r="AA57">
            <v>23.2852</v>
          </cell>
          <cell r="AB57" t="e">
            <v>#N/A</v>
          </cell>
          <cell r="AC57" t="e">
            <v>#N/A</v>
          </cell>
          <cell r="AD57" t="str">
            <v>0145-01</v>
          </cell>
          <cell r="AE57" t="str">
    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    </cell>
        </row>
        <row r="58">
          <cell r="A58" t="str">
            <v>146-01</v>
          </cell>
          <cell r="B58">
            <v>4032</v>
          </cell>
          <cell r="C58" t="str">
            <v>DE.1.0.7.0</v>
          </cell>
          <cell r="D58" t="str">
            <v>204:233007</v>
          </cell>
          <cell r="E58">
            <v>42614.419224537036</v>
          </cell>
          <cell r="F58">
            <v>42614.42459490741</v>
          </cell>
          <cell r="G58">
            <v>6</v>
          </cell>
          <cell r="H58" t="str">
            <v>204:172</v>
          </cell>
          <cell r="I58">
            <v>42614.451909722222</v>
          </cell>
          <cell r="J58">
            <v>0</v>
          </cell>
          <cell r="K58" t="str">
            <v>4031/4032</v>
          </cell>
          <cell r="L58" t="str">
            <v>SPECTOR</v>
          </cell>
          <cell r="M58">
            <v>2.7314814811688848E-2</v>
          </cell>
          <cell r="N58">
            <v>39.333333328831941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https://search-rtdc-monitor-bjffxe2xuh6vdkpspy63sjmuny.us-east-1.es.amazonaws.com/_plugin/kibana/#/discover/Steve-Slow-Train-Analysis-(2080s-and-2083s)?_g=(refreshInterval:(display:Off,section:0,value:0),time:(from:'2016-09-01 09:03:41-0600',mode:absolute,to:'2016-09-01 11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58" t="str">
            <v>N</v>
          </cell>
          <cell r="X58">
            <v>1</v>
          </cell>
          <cell r="Y58">
            <v>23.300699999999999</v>
          </cell>
          <cell r="Z58">
            <v>1.72E-2</v>
          </cell>
          <cell r="AA58">
            <v>23.2835</v>
          </cell>
          <cell r="AB58" t="e">
            <v>#N/A</v>
          </cell>
          <cell r="AC58" t="e">
            <v>#N/A</v>
          </cell>
          <cell r="AD58" t="str">
            <v>0146-01</v>
          </cell>
          <cell r="AE58" t="str">
    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    </cell>
        </row>
        <row r="59">
          <cell r="A59" t="str">
            <v>147-01</v>
          </cell>
          <cell r="B59">
            <v>4018</v>
          </cell>
          <cell r="C59" t="str">
            <v>DE.1.0.7.0</v>
          </cell>
          <cell r="D59" t="str">
            <v>204:460</v>
          </cell>
          <cell r="E59">
            <v>42614.39403935185</v>
          </cell>
          <cell r="F59">
            <v>42614.396145833336</v>
          </cell>
          <cell r="G59">
            <v>1</v>
          </cell>
          <cell r="H59" t="str">
            <v>204:233312</v>
          </cell>
          <cell r="I59">
            <v>42614.422210648147</v>
          </cell>
          <cell r="J59">
            <v>0</v>
          </cell>
          <cell r="K59" t="str">
            <v>4017/4018</v>
          </cell>
          <cell r="L59" t="str">
            <v>MALAVE</v>
          </cell>
          <cell r="M59">
            <v>2.6064814810524695E-2</v>
          </cell>
          <cell r="N59">
            <v>37.53333332715556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https://search-rtdc-monitor-bjffxe2xuh6vdkpspy63sjmuny.us-east-1.es.amazonaws.com/_plugin/kibana/#/discover/Steve-Slow-Train-Analysis-(2080s-and-2083s)?_g=(refreshInterval:(display:Off,section:0,value:0),time:(from:'2016-09-01 08:27:25-0600',mode:absolute,to:'2016-09-01 11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59" t="str">
            <v>N</v>
          </cell>
          <cell r="X59">
            <v>1</v>
          </cell>
          <cell r="Y59">
            <v>4.5999999999999999E-2</v>
          </cell>
          <cell r="Z59">
            <v>23.331199999999999</v>
          </cell>
          <cell r="AA59">
            <v>23.2852</v>
          </cell>
          <cell r="AB59" t="e">
            <v>#N/A</v>
          </cell>
          <cell r="AC59" t="e">
            <v>#N/A</v>
          </cell>
          <cell r="AD59" t="str">
            <v>0147-01</v>
          </cell>
          <cell r="AE59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60">
          <cell r="A60" t="str">
            <v>148-01</v>
          </cell>
          <cell r="B60">
            <v>4017</v>
          </cell>
          <cell r="C60" t="str">
            <v>DE.1.0.7.0</v>
          </cell>
          <cell r="D60" t="str">
            <v>204:232977</v>
          </cell>
          <cell r="E60">
            <v>42614.433148148149</v>
          </cell>
          <cell r="F60">
            <v>42614.435034722221</v>
          </cell>
          <cell r="G60">
            <v>2</v>
          </cell>
          <cell r="H60" t="str">
            <v>204:147</v>
          </cell>
          <cell r="I60">
            <v>42614.463449074072</v>
          </cell>
          <cell r="J60">
            <v>0</v>
          </cell>
          <cell r="K60" t="str">
            <v>4017/4018</v>
          </cell>
          <cell r="L60" t="str">
            <v>MALAVE</v>
          </cell>
          <cell r="M60">
            <v>2.8414351851097308E-2</v>
          </cell>
          <cell r="N60">
            <v>40.916666665580124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https://search-rtdc-monitor-bjffxe2xuh6vdkpspy63sjmuny.us-east-1.es.amazonaws.com/_plugin/kibana/#/discover/Steve-Slow-Train-Analysis-(2080s-and-2083s)?_g=(refreshInterval:(display:Off,section:0,value:0),time:(from:'2016-09-01 09:23:44-0600',mode:absolute,to:'2016-09-01 12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60" t="str">
            <v>N</v>
          </cell>
          <cell r="X60">
            <v>1</v>
          </cell>
          <cell r="Y60">
            <v>23.297699999999999</v>
          </cell>
          <cell r="Z60">
            <v>1.47E-2</v>
          </cell>
          <cell r="AA60">
            <v>23.282999999999998</v>
          </cell>
          <cell r="AB60">
            <v>33257</v>
          </cell>
          <cell r="AC60" t="str">
            <v>GRADE CROSSING</v>
          </cell>
          <cell r="AD60" t="str">
            <v>0148-01</v>
          </cell>
          <cell r="AE60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61">
          <cell r="A61" t="str">
            <v>149-01</v>
          </cell>
          <cell r="B61">
            <v>4038</v>
          </cell>
          <cell r="C61" t="str">
            <v>DE.1.0.7.0</v>
          </cell>
          <cell r="D61" t="str">
            <v>204:426</v>
          </cell>
          <cell r="E61">
            <v>42614.403611111113</v>
          </cell>
          <cell r="F61">
            <v>42614.4065162037</v>
          </cell>
          <cell r="G61">
            <v>1</v>
          </cell>
          <cell r="H61" t="str">
            <v>204:233307</v>
          </cell>
          <cell r="I61">
            <v>42614.432685185187</v>
          </cell>
          <cell r="J61">
            <v>0</v>
          </cell>
          <cell r="K61" t="str">
            <v>4037/4038</v>
          </cell>
          <cell r="L61" t="str">
            <v>STRICKLAND</v>
          </cell>
          <cell r="M61">
            <v>2.6168981486989651E-2</v>
          </cell>
          <cell r="N61">
            <v>37.683333341265097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https://search-rtdc-monitor-bjffxe2xuh6vdkpspy63sjmuny.us-east-1.es.amazonaws.com/_plugin/kibana/#/discover/Steve-Slow-Train-Analysis-(2080s-and-2083s)?_g=(refreshInterval:(display:Off,section:0,value:0),time:(from:'2016-09-01 08:41:12-0600',mode:absolute,to:'2016-09-01 11:23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61" t="str">
            <v>N</v>
          </cell>
          <cell r="X61">
            <v>1</v>
          </cell>
          <cell r="Y61">
            <v>4.2599999999999999E-2</v>
          </cell>
          <cell r="Z61">
            <v>23.3307</v>
          </cell>
          <cell r="AA61">
            <v>23.2881</v>
          </cell>
          <cell r="AB61" t="e">
            <v>#N/A</v>
          </cell>
          <cell r="AC61" t="e">
            <v>#N/A</v>
          </cell>
          <cell r="AD61" t="str">
            <v>0149-01</v>
          </cell>
          <cell r="AE61" t="str">
    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    </cell>
        </row>
        <row r="62">
          <cell r="A62" t="str">
            <v>150-01</v>
          </cell>
          <cell r="B62">
            <v>4037</v>
          </cell>
          <cell r="C62" t="str">
            <v>DE.1.0.7.0</v>
          </cell>
          <cell r="D62" t="str">
            <v>204:232971</v>
          </cell>
          <cell r="E62">
            <v>42614.439328703702</v>
          </cell>
          <cell r="F62">
            <v>42614.445381944446</v>
          </cell>
          <cell r="G62">
            <v>2</v>
          </cell>
          <cell r="H62" t="str">
            <v>204:203</v>
          </cell>
          <cell r="I62">
            <v>42614.473275462966</v>
          </cell>
          <cell r="J62">
            <v>0</v>
          </cell>
          <cell r="K62" t="str">
            <v>4037/4038</v>
          </cell>
          <cell r="L62" t="str">
            <v>STRICKLAND</v>
          </cell>
          <cell r="M62">
            <v>2.789351851970423E-2</v>
          </cell>
          <cell r="N62">
            <v>40.166666668374091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https://search-rtdc-monitor-bjffxe2xuh6vdkpspy63sjmuny.us-east-1.es.amazonaws.com/_plugin/kibana/#/discover/Steve-Slow-Train-Analysis-(2080s-and-2083s)?_g=(refreshInterval:(display:Off,section:0,value:0),time:(from:'2016-09-01 09:32:38-0600',mode:absolute,to:'2016-09-01 12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62" t="str">
            <v>N</v>
          </cell>
          <cell r="X62">
            <v>1</v>
          </cell>
          <cell r="Y62">
            <v>23.2971</v>
          </cell>
          <cell r="Z62">
            <v>2.0299999999999999E-2</v>
          </cell>
          <cell r="AA62">
            <v>23.276800000000001</v>
          </cell>
          <cell r="AB62" t="e">
            <v>#N/A</v>
          </cell>
          <cell r="AC62" t="e">
            <v>#N/A</v>
          </cell>
          <cell r="AD62" t="str">
            <v>0150-01</v>
          </cell>
          <cell r="AE62" t="str">
    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    </cell>
        </row>
        <row r="63">
          <cell r="A63" t="str">
            <v>151-01</v>
          </cell>
          <cell r="B63">
            <v>4007</v>
          </cell>
          <cell r="C63" t="str">
            <v>DE.1.0.7.0</v>
          </cell>
          <cell r="D63" t="str">
            <v>204:442</v>
          </cell>
          <cell r="E63">
            <v>42614.415381944447</v>
          </cell>
          <cell r="F63">
            <v>42614.417569444442</v>
          </cell>
          <cell r="G63">
            <v>1</v>
          </cell>
          <cell r="H63" t="str">
            <v>204:233302</v>
          </cell>
          <cell r="I63">
            <v>42614.444201388891</v>
          </cell>
          <cell r="J63">
            <v>0</v>
          </cell>
          <cell r="K63" t="str">
            <v>4007/4008</v>
          </cell>
          <cell r="L63" t="str">
            <v>ARVIDSON</v>
          </cell>
          <cell r="M63">
            <v>2.6631944449036382E-2</v>
          </cell>
          <cell r="N63">
            <v>38.35000000661239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https://search-rtdc-monitor-bjffxe2xuh6vdkpspy63sjmuny.us-east-1.es.amazonaws.com/_plugin/kibana/#/discover/Steve-Slow-Train-Analysis-(2080s-and-2083s)?_g=(refreshInterval:(display:Off,section:0,value:0),time:(from:'2016-09-01 08:58:09-0600',mode:absolute,to:'2016-09-01 11:39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63" t="str">
            <v>N</v>
          </cell>
          <cell r="X63">
            <v>1</v>
          </cell>
          <cell r="Y63">
            <v>4.4200000000000003E-2</v>
          </cell>
          <cell r="Z63">
            <v>23.330200000000001</v>
          </cell>
          <cell r="AA63">
            <v>23.286000000000001</v>
          </cell>
          <cell r="AB63" t="e">
            <v>#N/A</v>
          </cell>
          <cell r="AC63" t="e">
            <v>#N/A</v>
          </cell>
          <cell r="AD63" t="str">
            <v>0151-01</v>
          </cell>
          <cell r="AE63" t="str">
    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    </cell>
        </row>
        <row r="64">
          <cell r="A64" t="str">
            <v>152-01</v>
          </cell>
          <cell r="B64">
            <v>4008</v>
          </cell>
          <cell r="C64" t="str">
            <v>DE.1.0.7.0</v>
          </cell>
          <cell r="D64" t="str">
            <v>204:233008</v>
          </cell>
          <cell r="E64">
            <v>42614.453055555554</v>
          </cell>
          <cell r="F64">
            <v>42614.45579861111</v>
          </cell>
          <cell r="G64">
            <v>1</v>
          </cell>
          <cell r="H64" t="str">
            <v>204:145</v>
          </cell>
          <cell r="I64">
            <v>42614.483124999999</v>
          </cell>
          <cell r="J64">
            <v>0</v>
          </cell>
          <cell r="K64" t="str">
            <v>4007/4008</v>
          </cell>
          <cell r="L64" t="str">
            <v>ARVIDSON</v>
          </cell>
          <cell r="M64">
            <v>2.73263888884685E-2</v>
          </cell>
          <cell r="N64">
            <v>39.34999999939464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https://search-rtdc-monitor-bjffxe2xuh6vdkpspy63sjmuny.us-east-1.es.amazonaws.com/_plugin/kibana/#/discover/Steve-Slow-Train-Analysis-(2080s-and-2083s)?_g=(refreshInterval:(display:Off,section:0,value:0),time:(from:'2016-09-01 09:52:24-0600',mode:absolute,to:'2016-09-01 12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64" t="str">
            <v>N</v>
          </cell>
          <cell r="X64">
            <v>1</v>
          </cell>
          <cell r="Y64">
            <v>23.300799999999999</v>
          </cell>
          <cell r="Z64">
            <v>1.4500000000000001E-2</v>
          </cell>
          <cell r="AA64">
            <v>23.286299999999997</v>
          </cell>
          <cell r="AB64" t="e">
            <v>#N/A</v>
          </cell>
          <cell r="AC64" t="e">
            <v>#N/A</v>
          </cell>
          <cell r="AD64" t="str">
            <v>0152-01</v>
          </cell>
          <cell r="AE64" t="str">
    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    </cell>
        </row>
        <row r="65">
          <cell r="A65" t="str">
            <v>153-01</v>
          </cell>
          <cell r="B65">
            <v>4042</v>
          </cell>
          <cell r="C65" t="str">
            <v>DE.1.0.7.0</v>
          </cell>
          <cell r="D65" t="str">
            <v>204:451</v>
          </cell>
          <cell r="E65">
            <v>42614.422881944447</v>
          </cell>
          <cell r="F65">
            <v>42614.427256944444</v>
          </cell>
          <cell r="G65">
            <v>1</v>
          </cell>
          <cell r="H65" t="str">
            <v>204:233303</v>
          </cell>
          <cell r="I65">
            <v>42614.452685185184</v>
          </cell>
          <cell r="J65">
            <v>0</v>
          </cell>
          <cell r="K65" t="str">
            <v>4041/4042</v>
          </cell>
          <cell r="L65" t="str">
            <v>STARKS</v>
          </cell>
          <cell r="M65">
            <v>2.5428240740438923E-2</v>
          </cell>
          <cell r="N65">
            <v>36.616666666232049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https://search-rtdc-monitor-bjffxe2xuh6vdkpspy63sjmuny.us-east-1.es.amazonaws.com/_plugin/kibana/#/discover/Steve-Slow-Train-Analysis-(2080s-and-2083s)?_g=(refreshInterval:(display:Off,section:0,value:0),time:(from:'2016-09-01 09:08:57-0600',mode:absolute,to:'2016-09-01 11:51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65" t="str">
            <v>N</v>
          </cell>
          <cell r="X65">
            <v>1</v>
          </cell>
          <cell r="Y65">
            <v>4.5100000000000001E-2</v>
          </cell>
          <cell r="Z65">
            <v>23.330300000000001</v>
          </cell>
          <cell r="AA65">
            <v>23.2852</v>
          </cell>
          <cell r="AB65" t="e">
            <v>#N/A</v>
          </cell>
          <cell r="AC65" t="e">
            <v>#N/A</v>
          </cell>
          <cell r="AD65" t="str">
            <v>0153-01</v>
          </cell>
          <cell r="AE65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66">
          <cell r="A66" t="str">
            <v>154-01</v>
          </cell>
          <cell r="B66">
            <v>4041</v>
          </cell>
          <cell r="C66" t="str">
            <v>DE.1.0.7.0</v>
          </cell>
          <cell r="D66" t="str">
            <v>204:232971</v>
          </cell>
          <cell r="E66">
            <v>42614.463078703702</v>
          </cell>
          <cell r="F66">
            <v>42614.466249999998</v>
          </cell>
          <cell r="G66">
            <v>1</v>
          </cell>
          <cell r="H66" t="str">
            <v>204:156</v>
          </cell>
          <cell r="I66">
            <v>42614.493506944447</v>
          </cell>
          <cell r="J66">
            <v>0</v>
          </cell>
          <cell r="K66" t="str">
            <v>4041/4042</v>
          </cell>
          <cell r="L66" t="str">
            <v>STARKS</v>
          </cell>
          <cell r="M66">
            <v>2.7256944449618459E-2</v>
          </cell>
          <cell r="N66">
            <v>39.250000007450581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https://search-rtdc-monitor-bjffxe2xuh6vdkpspy63sjmuny.us-east-1.es.amazonaws.com/_plugin/kibana/#/discover/Steve-Slow-Train-Analysis-(2080s-and-2083s)?_g=(refreshInterval:(display:Off,section:0,value:0),time:(from:'2016-09-01 10:06:50-0600',mode:absolute,to:'2016-09-01 12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66" t="str">
            <v>N</v>
          </cell>
          <cell r="X66">
            <v>1</v>
          </cell>
          <cell r="Y66">
            <v>23.2971</v>
          </cell>
          <cell r="Z66">
            <v>1.5599999999999999E-2</v>
          </cell>
          <cell r="AA66">
            <v>23.281500000000001</v>
          </cell>
          <cell r="AB66" t="e">
            <v>#N/A</v>
          </cell>
          <cell r="AC66" t="e">
            <v>#N/A</v>
          </cell>
          <cell r="AD66" t="str">
            <v>0154-01</v>
          </cell>
          <cell r="AE66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67">
          <cell r="A67" t="str">
            <v>155-01</v>
          </cell>
          <cell r="B67">
            <v>4044</v>
          </cell>
          <cell r="C67" t="str">
            <v>DE.1.0.7.0</v>
          </cell>
          <cell r="D67" t="str">
            <v>204:467</v>
          </cell>
          <cell r="E67">
            <v>42614.43408564815</v>
          </cell>
          <cell r="F67">
            <v>42614.438125000001</v>
          </cell>
          <cell r="G67">
            <v>1</v>
          </cell>
          <cell r="H67" t="str">
            <v>204:233295</v>
          </cell>
          <cell r="I67">
            <v>42614.462835648148</v>
          </cell>
          <cell r="J67">
            <v>0</v>
          </cell>
          <cell r="K67" t="str">
            <v>4043/4044</v>
          </cell>
          <cell r="L67" t="str">
            <v>YORK</v>
          </cell>
          <cell r="M67">
            <v>2.47106481474475E-2</v>
          </cell>
          <cell r="N67">
            <v>35.583333332324401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https://search-rtdc-monitor-bjffxe2xuh6vdkpspy63sjmuny.us-east-1.es.amazonaws.com/_plugin/kibana/#/discover/Steve-Slow-Train-Analysis-(2080s-and-2083s)?_g=(refreshInterval:(display:Off,section:0,value:0),time:(from:'2016-09-01 09:25:05-0600',mode:absolute,to:'2016-09-01 12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67" t="str">
            <v>N</v>
          </cell>
          <cell r="X67">
            <v>1</v>
          </cell>
          <cell r="Y67">
            <v>4.6699999999999998E-2</v>
          </cell>
          <cell r="Z67">
            <v>23.329499999999999</v>
          </cell>
          <cell r="AA67">
            <v>23.282799999999998</v>
          </cell>
          <cell r="AB67" t="e">
            <v>#N/A</v>
          </cell>
          <cell r="AC67" t="e">
            <v>#N/A</v>
          </cell>
          <cell r="AD67" t="str">
            <v>0155-01</v>
          </cell>
          <cell r="AE67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68">
          <cell r="A68" t="str">
            <v>156-01</v>
          </cell>
          <cell r="B68">
            <v>4043</v>
          </cell>
          <cell r="C68" t="str">
            <v>DE.1.0.7.0</v>
          </cell>
          <cell r="D68" t="str">
            <v>204:232981</v>
          </cell>
          <cell r="E68">
            <v>42614.464131944442</v>
          </cell>
          <cell r="F68">
            <v>42614.476782407408</v>
          </cell>
          <cell r="G68">
            <v>0</v>
          </cell>
          <cell r="H68" t="str">
            <v>204:147</v>
          </cell>
          <cell r="I68">
            <v>42614.502384259256</v>
          </cell>
          <cell r="J68">
            <v>0</v>
          </cell>
          <cell r="K68" t="str">
            <v>4043/4044</v>
          </cell>
          <cell r="L68" t="str">
            <v>YORK</v>
          </cell>
          <cell r="M68">
            <v>2.5601851848477963E-2</v>
          </cell>
          <cell r="N68">
            <v>36.866666661808267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https://search-rtdc-monitor-bjffxe2xuh6vdkpspy63sjmuny.us-east-1.es.amazonaws.com/_plugin/kibana/#/discover/Steve-Slow-Train-Analysis-(2080s-and-2083s)?_g=(refreshInterval:(display:Off,section:0,value:0),time:(from:'2016-09-01 10:08:21-0600',mode:absolute,to:'2016-09-01 13:03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68" t="str">
            <v>N</v>
          </cell>
          <cell r="X68">
            <v>1</v>
          </cell>
          <cell r="Y68">
            <v>23.298100000000002</v>
          </cell>
          <cell r="Z68">
            <v>1.47E-2</v>
          </cell>
          <cell r="AA68">
            <v>23.2834</v>
          </cell>
          <cell r="AB68" t="e">
            <v>#N/A</v>
          </cell>
          <cell r="AC68" t="e">
            <v>#N/A</v>
          </cell>
          <cell r="AD68" t="str">
            <v>0156-01</v>
          </cell>
          <cell r="AE68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69">
          <cell r="A69" t="str">
            <v>157-01</v>
          </cell>
          <cell r="B69">
            <v>4020</v>
          </cell>
          <cell r="C69" t="str">
            <v>DE.1.0.7.0</v>
          </cell>
          <cell r="D69" t="str">
            <v>204:455</v>
          </cell>
          <cell r="E69">
            <v>42614.443993055553</v>
          </cell>
          <cell r="F69">
            <v>42614.448449074072</v>
          </cell>
          <cell r="G69">
            <v>1</v>
          </cell>
          <cell r="H69" t="str">
            <v>204:233289</v>
          </cell>
          <cell r="I69">
            <v>42614.47315972222</v>
          </cell>
          <cell r="J69">
            <v>0</v>
          </cell>
          <cell r="K69" t="str">
            <v>4019/4020</v>
          </cell>
          <cell r="L69" t="str">
            <v>SMITH</v>
          </cell>
          <cell r="M69">
            <v>2.47106481474475E-2</v>
          </cell>
          <cell r="N69">
            <v>35.583333332324401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https://search-rtdc-monitor-bjffxe2xuh6vdkpspy63sjmuny.us-east-1.es.amazonaws.com/_plugin/kibana/#/discover/Steve-Slow-Train-Analysis-(2080s-and-2083s)?_g=(refreshInterval:(display:Off,section:0,value:0),time:(from:'2016-09-01 09:39:21-0600',mode:absolute,to:'2016-09-01 12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69" t="str">
            <v>N</v>
          </cell>
          <cell r="X69">
            <v>1</v>
          </cell>
          <cell r="Y69">
            <v>4.5499999999999999E-2</v>
          </cell>
          <cell r="Z69">
            <v>23.328900000000001</v>
          </cell>
          <cell r="AA69">
            <v>23.2834</v>
          </cell>
          <cell r="AB69" t="e">
            <v>#N/A</v>
          </cell>
          <cell r="AC69" t="e">
            <v>#N/A</v>
          </cell>
          <cell r="AD69" t="str">
            <v>0157-01</v>
          </cell>
          <cell r="AE69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70">
          <cell r="A70" t="str">
            <v>158-01</v>
          </cell>
          <cell r="B70">
            <v>4019</v>
          </cell>
          <cell r="C70" t="str">
            <v>DE.1.0.7.0</v>
          </cell>
          <cell r="D70" t="str">
            <v>204:232980</v>
          </cell>
          <cell r="E70">
            <v>42614.481805555559</v>
          </cell>
          <cell r="F70">
            <v>42614.486956018518</v>
          </cell>
          <cell r="G70">
            <v>1</v>
          </cell>
          <cell r="H70" t="str">
            <v>204:147</v>
          </cell>
          <cell r="I70">
            <v>42614.512800925928</v>
          </cell>
          <cell r="J70">
            <v>0</v>
          </cell>
          <cell r="K70" t="str">
            <v>4019/4020</v>
          </cell>
          <cell r="L70" t="str">
            <v>SMITH</v>
          </cell>
          <cell r="M70">
            <v>2.584490740991896E-2</v>
          </cell>
          <cell r="N70">
            <v>37.216666670283303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https://search-rtdc-monitor-bjffxe2xuh6vdkpspy63sjmuny.us-east-1.es.amazonaws.com/_plugin/kibana/#/discover/Steve-Slow-Train-Analysis-(2080s-and-2083s)?_g=(refreshInterval:(display:Off,section:0,value:0),time:(from:'2016-09-01 10:33:48-0600',mode:absolute,to:'2016-09-01 13:18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70" t="str">
            <v>N</v>
          </cell>
          <cell r="X70">
            <v>1</v>
          </cell>
          <cell r="Y70">
            <v>23.297999999999998</v>
          </cell>
          <cell r="Z70">
            <v>1.47E-2</v>
          </cell>
          <cell r="AA70">
            <v>23.283299999999997</v>
          </cell>
          <cell r="AB70" t="e">
            <v>#N/A</v>
          </cell>
          <cell r="AC70" t="e">
            <v>#N/A</v>
          </cell>
          <cell r="AD70" t="str">
            <v>0158-01</v>
          </cell>
          <cell r="AE70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71">
          <cell r="A71" t="str">
            <v>159-01</v>
          </cell>
          <cell r="B71">
            <v>4031</v>
          </cell>
          <cell r="C71" t="str">
            <v>DE.1.0.7.0</v>
          </cell>
          <cell r="D71" t="str">
            <v>204:482</v>
          </cell>
          <cell r="E71">
            <v>42614.455081018517</v>
          </cell>
          <cell r="F71">
            <v>42614.458634259259</v>
          </cell>
          <cell r="G71">
            <v>1</v>
          </cell>
          <cell r="H71" t="str">
            <v>204:233306</v>
          </cell>
          <cell r="I71">
            <v>42614.4846412037</v>
          </cell>
          <cell r="J71">
            <v>0</v>
          </cell>
          <cell r="K71" t="str">
            <v>4031/4032</v>
          </cell>
          <cell r="L71" t="str">
            <v>ROBINSON</v>
          </cell>
          <cell r="M71">
            <v>2.6006944441178348E-2</v>
          </cell>
          <cell r="N71">
            <v>37.449999995296821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https://search-rtdc-monitor-bjffxe2xuh6vdkpspy63sjmuny.us-east-1.es.amazonaws.com/_plugin/kibana/#/discover/Steve-Slow-Train-Analysis-(2080s-and-2083s)?_g=(refreshInterval:(display:Off,section:0,value:0),time:(from:'2016-09-01 09:55:19-0600',mode:absolute,to:'2016-09-01 12:37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71" t="str">
            <v>N</v>
          </cell>
          <cell r="X71">
            <v>1</v>
          </cell>
          <cell r="Y71">
            <v>4.82E-2</v>
          </cell>
          <cell r="Z71">
            <v>23.3306</v>
          </cell>
          <cell r="AA71">
            <v>23.282399999999999</v>
          </cell>
          <cell r="AB71" t="e">
            <v>#N/A</v>
          </cell>
          <cell r="AC71" t="e">
            <v>#N/A</v>
          </cell>
          <cell r="AD71" t="str">
            <v>0159-01</v>
          </cell>
          <cell r="AE71" t="str">
    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    </cell>
        </row>
        <row r="72">
          <cell r="A72" t="str">
            <v>160-01</v>
          </cell>
          <cell r="B72">
            <v>4032</v>
          </cell>
          <cell r="C72" t="str">
            <v>DE.1.0.7.0</v>
          </cell>
          <cell r="D72" t="str">
            <v>204:232989</v>
          </cell>
          <cell r="E72">
            <v>42614.490428240744</v>
          </cell>
          <cell r="F72">
            <v>42614.497650462959</v>
          </cell>
          <cell r="G72">
            <v>2</v>
          </cell>
          <cell r="H72" t="str">
            <v>204:156</v>
          </cell>
          <cell r="I72">
            <v>42614.525266203702</v>
          </cell>
          <cell r="J72">
            <v>0</v>
          </cell>
          <cell r="K72" t="str">
            <v>4031/4032</v>
          </cell>
          <cell r="L72" t="str">
            <v>ROBINSON</v>
          </cell>
          <cell r="M72">
            <v>2.7615740742476191E-2</v>
          </cell>
          <cell r="N72">
            <v>39.766666669165716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https://search-rtdc-monitor-bjffxe2xuh6vdkpspy63sjmuny.us-east-1.es.amazonaws.com/_plugin/kibana/#/discover/Steve-Slow-Train-Analysis-(2080s-and-2083s)?_g=(refreshInterval:(display:Off,section:0,value:0),time:(from:'2016-09-01 10:46:13-0600',mode:absolute,to:'2016-09-01 13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72" t="str">
            <v>N</v>
          </cell>
          <cell r="X72">
            <v>1</v>
          </cell>
          <cell r="Y72">
            <v>23.2989</v>
          </cell>
          <cell r="Z72">
            <v>1.5599999999999999E-2</v>
          </cell>
          <cell r="AA72">
            <v>23.283300000000001</v>
          </cell>
          <cell r="AB72" t="e">
            <v>#N/A</v>
          </cell>
          <cell r="AC72" t="e">
            <v>#N/A</v>
          </cell>
          <cell r="AD72" t="str">
            <v>0160-01</v>
          </cell>
          <cell r="AE72" t="str">
    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    </cell>
        </row>
        <row r="73">
          <cell r="A73" t="str">
            <v>161-01</v>
          </cell>
          <cell r="B73">
            <v>4018</v>
          </cell>
          <cell r="C73" t="str">
            <v>DE.1.0.7.0</v>
          </cell>
          <cell r="D73" t="str">
            <v>204:475</v>
          </cell>
          <cell r="E73">
            <v>42614.465439814812</v>
          </cell>
          <cell r="F73">
            <v>42614.468935185185</v>
          </cell>
          <cell r="G73">
            <v>1</v>
          </cell>
          <cell r="H73" t="str">
            <v>204:233337</v>
          </cell>
          <cell r="I73">
            <v>42614.494687500002</v>
          </cell>
          <cell r="J73">
            <v>0</v>
          </cell>
          <cell r="K73" t="str">
            <v>4017/4018</v>
          </cell>
          <cell r="L73" t="str">
            <v>SHOOK</v>
          </cell>
          <cell r="M73">
            <v>2.5752314817509614E-2</v>
          </cell>
          <cell r="N73">
            <v>37.083333337213844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https://search-rtdc-monitor-bjffxe2xuh6vdkpspy63sjmuny.us-east-1.es.amazonaws.com/_plugin/kibana/#/discover/Steve-Slow-Train-Analysis-(2080s-and-2083s)?_g=(refreshInterval:(display:Off,section:0,value:0),time:(from:'2016-09-01 10:10:14-0600',mode:absolute,to:'2016-09-01 12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73" t="str">
            <v>N</v>
          </cell>
          <cell r="X73">
            <v>1</v>
          </cell>
          <cell r="Y73">
            <v>4.7500000000000001E-2</v>
          </cell>
          <cell r="Z73">
            <v>23.3337</v>
          </cell>
          <cell r="AA73">
            <v>23.286200000000001</v>
          </cell>
          <cell r="AB73" t="e">
            <v>#N/A</v>
          </cell>
          <cell r="AC73" t="e">
            <v>#N/A</v>
          </cell>
          <cell r="AD73" t="str">
            <v>0161-01</v>
          </cell>
          <cell r="AE73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74">
          <cell r="A74" t="str">
            <v>162-01</v>
          </cell>
          <cell r="B74">
            <v>4017</v>
          </cell>
          <cell r="C74" t="str">
            <v>DE.1.0.7.0</v>
          </cell>
          <cell r="D74" t="str">
            <v>204:233044</v>
          </cell>
          <cell r="E74">
            <v>42614.501435185186</v>
          </cell>
          <cell r="F74">
            <v>42614.5078125</v>
          </cell>
          <cell r="G74">
            <v>1</v>
          </cell>
          <cell r="H74" t="str">
            <v>204:139</v>
          </cell>
          <cell r="I74">
            <v>42614.53533564815</v>
          </cell>
          <cell r="J74">
            <v>0</v>
          </cell>
          <cell r="K74" t="str">
            <v>4017/4018</v>
          </cell>
          <cell r="L74" t="str">
            <v>SHOOK</v>
          </cell>
          <cell r="M74">
            <v>2.7523148150066845E-2</v>
          </cell>
          <cell r="N74">
            <v>39.633333336096257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https://search-rtdc-monitor-bjffxe2xuh6vdkpspy63sjmuny.us-east-1.es.amazonaws.com/_plugin/kibana/#/discover/Steve-Slow-Train-Analysis-(2080s-and-2083s)?_g=(refreshInterval:(display:Off,section:0,value:0),time:(from:'2016-09-01 11:02:04-0600',mode:absolute,to:'2016-09-01 13:50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74" t="str">
            <v>N</v>
          </cell>
          <cell r="X74">
            <v>1</v>
          </cell>
          <cell r="Y74">
            <v>23.304400000000001</v>
          </cell>
          <cell r="Z74">
            <v>1.3899999999999999E-2</v>
          </cell>
          <cell r="AA74">
            <v>23.290500000000002</v>
          </cell>
          <cell r="AB74" t="e">
            <v>#N/A</v>
          </cell>
          <cell r="AC74" t="e">
            <v>#N/A</v>
          </cell>
          <cell r="AD74" t="str">
            <v>0162-01</v>
          </cell>
          <cell r="AE74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75">
          <cell r="A75" t="str">
            <v>163-01</v>
          </cell>
          <cell r="B75">
            <v>4038</v>
          </cell>
          <cell r="C75" t="str">
            <v>DE.1.0.7.0</v>
          </cell>
          <cell r="D75" t="str">
            <v>204:529</v>
          </cell>
          <cell r="E75">
            <v>42614.475798611114</v>
          </cell>
          <cell r="F75">
            <v>42614.479456018518</v>
          </cell>
          <cell r="G75">
            <v>2</v>
          </cell>
          <cell r="H75" t="str">
            <v>204:233317</v>
          </cell>
          <cell r="I75">
            <v>42614.505289351851</v>
          </cell>
          <cell r="J75">
            <v>0</v>
          </cell>
          <cell r="K75" t="str">
            <v>4037/4038</v>
          </cell>
          <cell r="L75" t="str">
            <v>MOSES</v>
          </cell>
          <cell r="M75">
            <v>2.5833333333139308E-2</v>
          </cell>
          <cell r="N75">
            <v>37.199999999720603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https://search-rtdc-monitor-bjffxe2xuh6vdkpspy63sjmuny.us-east-1.es.amazonaws.com/_plugin/kibana/#/discover/Steve-Slow-Train-Analysis-(2080s-and-2083s)?_g=(refreshInterval:(display:Off,section:0,value:0),time:(from:'2016-09-01 10:25:09-0600',mode:absolute,to:'2016-09-01 13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75" t="str">
            <v>N</v>
          </cell>
          <cell r="X75">
            <v>1</v>
          </cell>
          <cell r="Y75">
            <v>5.2900000000000003E-2</v>
          </cell>
          <cell r="Z75">
            <v>23.331700000000001</v>
          </cell>
          <cell r="AA75">
            <v>23.2788</v>
          </cell>
          <cell r="AB75" t="e">
            <v>#N/A</v>
          </cell>
          <cell r="AC75" t="e">
            <v>#N/A</v>
          </cell>
          <cell r="AD75" t="str">
            <v>0163-01</v>
          </cell>
          <cell r="AE75" t="str">
    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    </cell>
        </row>
        <row r="76">
          <cell r="A76" t="str">
            <v>164-01</v>
          </cell>
          <cell r="B76">
            <v>4037</v>
          </cell>
          <cell r="C76" t="str">
            <v>DE.1.0.7.0</v>
          </cell>
          <cell r="D76" t="str">
            <v>204:233008</v>
          </cell>
          <cell r="E76">
            <v>42614.515543981484</v>
          </cell>
          <cell r="F76">
            <v>42614.518425925926</v>
          </cell>
          <cell r="G76">
            <v>1</v>
          </cell>
          <cell r="H76" t="str">
            <v>204:149</v>
          </cell>
          <cell r="I76">
            <v>42614.546030092592</v>
          </cell>
          <cell r="J76">
            <v>0</v>
          </cell>
          <cell r="K76" t="str">
            <v>4037/4038</v>
          </cell>
          <cell r="L76" t="str">
            <v>MOSES</v>
          </cell>
          <cell r="M76">
            <v>2.7604166665696539E-2</v>
          </cell>
          <cell r="N76">
            <v>39.749999998603016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https://search-rtdc-monitor-bjffxe2xuh6vdkpspy63sjmuny.us-east-1.es.amazonaws.com/_plugin/kibana/#/discover/Steve-Slow-Train-Analysis-(2080s-and-2083s)?_g=(refreshInterval:(display:Off,section:0,value:0),time:(from:'2016-09-01 11:22:23-0600',mode:absolute,to:'2016-09-01 14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76" t="str">
            <v>N</v>
          </cell>
          <cell r="X76">
            <v>1</v>
          </cell>
          <cell r="Y76">
            <v>23.300799999999999</v>
          </cell>
          <cell r="Z76">
            <v>1.49E-2</v>
          </cell>
          <cell r="AA76">
            <v>23.285899999999998</v>
          </cell>
          <cell r="AB76" t="e">
            <v>#N/A</v>
          </cell>
          <cell r="AC76" t="e">
            <v>#N/A</v>
          </cell>
          <cell r="AD76" t="str">
            <v>0164-01</v>
          </cell>
          <cell r="AE76" t="str">
    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    </cell>
        </row>
        <row r="77">
          <cell r="A77" t="str">
            <v>165-01</v>
          </cell>
          <cell r="B77">
            <v>4007</v>
          </cell>
          <cell r="C77" t="str">
            <v>DE.1.0.7.0</v>
          </cell>
          <cell r="D77" t="str">
            <v>204:488</v>
          </cell>
          <cell r="E77">
            <v>42614.485555555555</v>
          </cell>
          <cell r="F77">
            <v>42614.489733796298</v>
          </cell>
          <cell r="G77">
            <v>1</v>
          </cell>
          <cell r="H77" t="str">
            <v>204:233303</v>
          </cell>
          <cell r="I77">
            <v>42614.514317129629</v>
          </cell>
          <cell r="J77">
            <v>0</v>
          </cell>
          <cell r="K77" t="str">
            <v>4007/4008</v>
          </cell>
          <cell r="L77" t="str">
            <v>BROWN</v>
          </cell>
          <cell r="M77">
            <v>2.4583333331975155E-2</v>
          </cell>
          <cell r="N77">
            <v>35.399999998044223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https://search-rtdc-monitor-bjffxe2xuh6vdkpspy63sjmuny.us-east-1.es.amazonaws.com/_plugin/kibana/#/discover/Steve-Slow-Train-Analysis-(2080s-and-2083s)?_g=(refreshInterval:(display:Off,section:0,value:0),time:(from:'2016-09-01 10:39:12-0600',mode:absolute,to:'2016-09-01 13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77" t="str">
            <v>N</v>
          </cell>
          <cell r="X77">
            <v>1</v>
          </cell>
          <cell r="Y77">
            <v>4.8800000000000003E-2</v>
          </cell>
          <cell r="Z77">
            <v>23.330300000000001</v>
          </cell>
          <cell r="AA77">
            <v>23.281500000000001</v>
          </cell>
          <cell r="AB77" t="e">
            <v>#N/A</v>
          </cell>
          <cell r="AC77" t="e">
            <v>#N/A</v>
          </cell>
          <cell r="AD77" t="str">
            <v>0165-01</v>
          </cell>
          <cell r="AE77" t="str">
    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    </cell>
        </row>
        <row r="78">
          <cell r="A78" t="str">
            <v>166-01</v>
          </cell>
          <cell r="B78">
            <v>4008</v>
          </cell>
          <cell r="C78" t="str">
            <v>DE.1.0.7.0</v>
          </cell>
          <cell r="D78" t="str">
            <v>204:232998</v>
          </cell>
          <cell r="E78">
            <v>42614.515787037039</v>
          </cell>
          <cell r="F78">
            <v>42614.528668981482</v>
          </cell>
          <cell r="G78">
            <v>1</v>
          </cell>
          <cell r="H78" t="str">
            <v>204:141</v>
          </cell>
          <cell r="I78">
            <v>42614.556400462963</v>
          </cell>
          <cell r="J78">
            <v>0</v>
          </cell>
          <cell r="K78" t="str">
            <v>4007/4008</v>
          </cell>
          <cell r="L78" t="str">
            <v>BROWN</v>
          </cell>
          <cell r="M78">
            <v>2.7731481481168885E-2</v>
          </cell>
          <cell r="N78">
            <v>39.933333332883194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https://search-rtdc-monitor-bjffxe2xuh6vdkpspy63sjmuny.us-east-1.es.amazonaws.com/_plugin/kibana/#/discover/Steve-Slow-Train-Analysis-(2080s-and-2083s)?_g=(refreshInterval:(display:Off,section:0,value:0),time:(from:'2016-09-01 11:22:44-0600',mode:absolute,to:'2016-09-01 14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78" t="str">
            <v>N</v>
          </cell>
          <cell r="X78">
            <v>1</v>
          </cell>
          <cell r="Y78">
            <v>23.299800000000001</v>
          </cell>
          <cell r="Z78">
            <v>1.41E-2</v>
          </cell>
          <cell r="AA78">
            <v>23.285700000000002</v>
          </cell>
          <cell r="AB78">
            <v>21848</v>
          </cell>
          <cell r="AC78" t="str">
            <v>PERMANENT SPEED RESTRICTION</v>
          </cell>
          <cell r="AD78" t="str">
            <v>0166-01</v>
          </cell>
          <cell r="AE78" t="str">
    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    </cell>
        </row>
        <row r="79">
          <cell r="A79" t="str">
            <v>167-01</v>
          </cell>
          <cell r="B79">
            <v>4042</v>
          </cell>
          <cell r="C79" t="str">
            <v>DE.1.0.7.0</v>
          </cell>
          <cell r="D79" t="str">
            <v>204:462</v>
          </cell>
          <cell r="E79">
            <v>42614.49658564815</v>
          </cell>
          <cell r="F79">
            <v>42614.500185185185</v>
          </cell>
          <cell r="G79">
            <v>1</v>
          </cell>
          <cell r="H79" t="str">
            <v>204:233336</v>
          </cell>
          <cell r="I79">
            <v>42614.52721064815</v>
          </cell>
          <cell r="J79">
            <v>0</v>
          </cell>
          <cell r="K79" t="str">
            <v>4041/4042</v>
          </cell>
          <cell r="L79" t="str">
            <v>YOUNG</v>
          </cell>
          <cell r="M79">
            <v>2.7025462964957114E-2</v>
          </cell>
          <cell r="N79">
            <v>38.916666669538245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https://search-rtdc-monitor-bjffxe2xuh6vdkpspy63sjmuny.us-east-1.es.amazonaws.com/_plugin/kibana/#/discover/Steve-Slow-Train-Analysis-(2080s-and-2083s)?_g=(refreshInterval:(display:Off,section:0,value:0),time:(from:'2016-09-01 10:55:05-0600',mode:absolute,to:'2016-09-01 13:39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79" t="str">
            <v>N</v>
          </cell>
          <cell r="X79">
            <v>1</v>
          </cell>
          <cell r="Y79">
            <v>4.6199999999999998E-2</v>
          </cell>
          <cell r="Z79">
            <v>23.333600000000001</v>
          </cell>
          <cell r="AA79">
            <v>23.287400000000002</v>
          </cell>
          <cell r="AB79" t="e">
            <v>#N/A</v>
          </cell>
          <cell r="AC79" t="e">
            <v>#N/A</v>
          </cell>
          <cell r="AD79" t="str">
            <v>0167-01</v>
          </cell>
          <cell r="AE79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80">
          <cell r="A80" t="str">
            <v>168-01</v>
          </cell>
          <cell r="B80">
            <v>4041</v>
          </cell>
          <cell r="C80" t="str">
            <v>DE.1.0.7.0</v>
          </cell>
          <cell r="D80" t="str">
            <v>204:233013</v>
          </cell>
          <cell r="E80">
            <v>42614.529513888891</v>
          </cell>
          <cell r="F80">
            <v>42614.539143518516</v>
          </cell>
          <cell r="G80">
            <v>1</v>
          </cell>
          <cell r="H80" t="str">
            <v>204:152</v>
          </cell>
          <cell r="I80">
            <v>42614.568379629629</v>
          </cell>
          <cell r="J80">
            <v>0</v>
          </cell>
          <cell r="K80" t="str">
            <v>4041/4042</v>
          </cell>
          <cell r="L80" t="str">
            <v>YOUNG</v>
          </cell>
          <cell r="M80">
            <v>2.923611111327773E-2</v>
          </cell>
          <cell r="N80">
            <v>42.100000003119931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https://search-rtdc-monitor-bjffxe2xuh6vdkpspy63sjmuny.us-east-1.es.amazonaws.com/_plugin/kibana/#/discover/Steve-Slow-Train-Analysis-(2080s-and-2083s)?_g=(refreshInterval:(display:Off,section:0,value:0),time:(from:'2016-09-01 11:42:30-0600',mode:absolute,to:'2016-09-01 14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80" t="str">
            <v>N</v>
          </cell>
          <cell r="X80">
            <v>1</v>
          </cell>
          <cell r="Y80">
            <v>23.301300000000001</v>
          </cell>
          <cell r="Z80">
            <v>1.52E-2</v>
          </cell>
          <cell r="AA80">
            <v>23.286100000000001</v>
          </cell>
          <cell r="AB80" t="e">
            <v>#N/A</v>
          </cell>
          <cell r="AC80" t="e">
            <v>#N/A</v>
          </cell>
          <cell r="AD80" t="str">
            <v>0168-01</v>
          </cell>
          <cell r="AE80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81">
          <cell r="A81" t="str">
            <v>169-01</v>
          </cell>
          <cell r="B81">
            <v>4044</v>
          </cell>
          <cell r="C81" t="str">
            <v>DE.1.0.7.0</v>
          </cell>
          <cell r="D81" t="str">
            <v>204:466</v>
          </cell>
          <cell r="E81">
            <v>42614.505254629628</v>
          </cell>
          <cell r="F81">
            <v>42614.511006944442</v>
          </cell>
          <cell r="G81">
            <v>1</v>
          </cell>
          <cell r="H81" t="str">
            <v>204:233288</v>
          </cell>
          <cell r="I81">
            <v>42614.536539351851</v>
          </cell>
          <cell r="J81">
            <v>0</v>
          </cell>
          <cell r="K81" t="str">
            <v>4043/4044</v>
          </cell>
          <cell r="L81" t="str">
            <v>ISHMAEL</v>
          </cell>
          <cell r="M81">
            <v>2.5532407409627922E-2</v>
          </cell>
          <cell r="N81">
            <v>36.766666669864208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https://search-rtdc-monitor-bjffxe2xuh6vdkpspy63sjmuny.us-east-1.es.amazonaws.com/_plugin/kibana/#/discover/Steve-Slow-Train-Analysis-(2080s-and-2083s)?_g=(refreshInterval:(display:Off,section:0,value:0),time:(from:'2016-09-01 11:07:34-0600',mode:absolute,to:'2016-09-01 13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81" t="str">
            <v>N</v>
          </cell>
          <cell r="X81">
            <v>1</v>
          </cell>
          <cell r="Y81">
            <v>4.6600000000000003E-2</v>
          </cell>
          <cell r="Z81">
            <v>23.328800000000001</v>
          </cell>
          <cell r="AA81">
            <v>23.2822</v>
          </cell>
          <cell r="AB81" t="e">
            <v>#N/A</v>
          </cell>
          <cell r="AC81" t="e">
            <v>#N/A</v>
          </cell>
          <cell r="AD81" t="str">
            <v>0169-01</v>
          </cell>
          <cell r="AE81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82">
          <cell r="A82" t="str">
            <v>170-01</v>
          </cell>
          <cell r="B82">
            <v>4043</v>
          </cell>
          <cell r="C82" t="str">
            <v>DE.1.0.7.0</v>
          </cell>
          <cell r="D82" t="str">
            <v>204:232980</v>
          </cell>
          <cell r="E82">
            <v>42614.542800925927</v>
          </cell>
          <cell r="F82">
            <v>42614.549479166664</v>
          </cell>
          <cell r="G82">
            <v>1</v>
          </cell>
          <cell r="H82" t="str">
            <v>204:161</v>
          </cell>
          <cell r="I82">
            <v>42614.578206018516</v>
          </cell>
          <cell r="J82">
            <v>0</v>
          </cell>
          <cell r="K82" t="str">
            <v>4043/4044</v>
          </cell>
          <cell r="L82" t="str">
            <v>ISHMAEL</v>
          </cell>
          <cell r="M82">
            <v>2.8726851851388346E-2</v>
          </cell>
          <cell r="N82">
            <v>41.366666665999219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https://search-rtdc-monitor-bjffxe2xuh6vdkpspy63sjmuny.us-east-1.es.amazonaws.com/_plugin/kibana/#/discover/Steve-Slow-Train-Analysis-(2080s-and-2083s)?_g=(refreshInterval:(display:Off,section:0,value:0),time:(from:'2016-09-01 12:01:38-0600',mode:absolute,to:'2016-09-01 14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82" t="str">
            <v>N</v>
          </cell>
          <cell r="X82">
            <v>1</v>
          </cell>
          <cell r="Y82">
            <v>23.297999999999998</v>
          </cell>
          <cell r="Z82">
            <v>1.61E-2</v>
          </cell>
          <cell r="AA82">
            <v>23.281899999999997</v>
          </cell>
          <cell r="AB82" t="e">
            <v>#N/A</v>
          </cell>
          <cell r="AC82" t="e">
            <v>#N/A</v>
          </cell>
          <cell r="AD82" t="str">
            <v>0170-01</v>
          </cell>
          <cell r="AE82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83">
          <cell r="A83" t="str">
            <v>171-01</v>
          </cell>
          <cell r="B83">
            <v>4020</v>
          </cell>
          <cell r="C83" t="str">
            <v>DE.1.0.7.0</v>
          </cell>
          <cell r="D83" t="str">
            <v>204:466</v>
          </cell>
          <cell r="E83">
            <v>42614.516168981485</v>
          </cell>
          <cell r="F83">
            <v>42614.521238425928</v>
          </cell>
          <cell r="G83">
            <v>1</v>
          </cell>
          <cell r="H83" t="str">
            <v>204:233295</v>
          </cell>
          <cell r="I83">
            <v>42614.546249999999</v>
          </cell>
          <cell r="J83">
            <v>0</v>
          </cell>
          <cell r="K83" t="str">
            <v>4019/4020</v>
          </cell>
          <cell r="L83" t="str">
            <v>SUR</v>
          </cell>
          <cell r="M83">
            <v>2.5011574070958886E-2</v>
          </cell>
          <cell r="N83">
            <v>36.016666662180796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https://search-rtdc-monitor-bjffxe2xuh6vdkpspy63sjmuny.us-east-1.es.amazonaws.com/_plugin/kibana/#/discover/Steve-Slow-Train-Analysis-(2080s-and-2083s)?_g=(refreshInterval:(display:Off,section:0,value:0),time:(from:'2016-09-01 11:23:17-0600',mode:absolute,to:'2016-09-01 14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83" t="str">
            <v>N</v>
          </cell>
          <cell r="X83">
            <v>1</v>
          </cell>
          <cell r="Y83">
            <v>4.6600000000000003E-2</v>
          </cell>
          <cell r="Z83">
            <v>23.329499999999999</v>
          </cell>
          <cell r="AA83">
            <v>23.282899999999998</v>
          </cell>
          <cell r="AB83" t="e">
            <v>#N/A</v>
          </cell>
          <cell r="AC83" t="e">
            <v>#N/A</v>
          </cell>
          <cell r="AD83" t="str">
            <v>0171-01</v>
          </cell>
          <cell r="AE83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84">
          <cell r="A84" t="str">
            <v>172-01</v>
          </cell>
          <cell r="B84">
            <v>4019</v>
          </cell>
          <cell r="C84" t="str">
            <v>DE.1.0.7.0</v>
          </cell>
          <cell r="D84" t="str">
            <v>204:232985</v>
          </cell>
          <cell r="E84">
            <v>42614.551574074074</v>
          </cell>
          <cell r="F84">
            <v>42614.560046296298</v>
          </cell>
          <cell r="G84">
            <v>6</v>
          </cell>
          <cell r="H84" t="str">
            <v>204:216</v>
          </cell>
          <cell r="I84">
            <v>42614.587025462963</v>
          </cell>
          <cell r="J84">
            <v>0</v>
          </cell>
          <cell r="K84" t="str">
            <v>4019/4020</v>
          </cell>
          <cell r="L84" t="str">
            <v>SUR</v>
          </cell>
          <cell r="M84">
            <v>2.6979166665114462E-2</v>
          </cell>
          <cell r="N84">
            <v>38.849999997764826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https://search-rtdc-monitor-bjffxe2xuh6vdkpspy63sjmuny.us-east-1.es.amazonaws.com/_plugin/kibana/#/discover/Steve-Slow-Train-Analysis-(2080s-and-2083s)?_g=(refreshInterval:(display:Off,section:0,value:0),time:(from:'2016-09-01 12:14:16-0600',mode:absolute,to:'2016-09-01 15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84" t="str">
            <v>N</v>
          </cell>
          <cell r="X84">
            <v>1</v>
          </cell>
          <cell r="Y84">
            <v>23.298500000000001</v>
          </cell>
          <cell r="Z84">
            <v>2.1600000000000001E-2</v>
          </cell>
          <cell r="AA84">
            <v>23.276900000000001</v>
          </cell>
          <cell r="AB84">
            <v>42961</v>
          </cell>
          <cell r="AC84" t="str">
            <v>GRADE CROSSING</v>
          </cell>
          <cell r="AD84" t="str">
            <v>0172-01</v>
          </cell>
          <cell r="AE84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85">
          <cell r="A85" t="str">
            <v>173-01</v>
          </cell>
          <cell r="B85">
            <v>4031</v>
          </cell>
          <cell r="C85" t="str">
            <v>DE.1.0.7.0</v>
          </cell>
          <cell r="D85" t="str">
            <v>204:469</v>
          </cell>
          <cell r="E85">
            <v>42614.527002314811</v>
          </cell>
          <cell r="F85">
            <v>42614.531527777777</v>
          </cell>
          <cell r="G85">
            <v>1</v>
          </cell>
          <cell r="H85" t="str">
            <v>204:233322</v>
          </cell>
          <cell r="I85">
            <v>42614.55914351852</v>
          </cell>
          <cell r="J85">
            <v>0</v>
          </cell>
          <cell r="K85" t="str">
            <v>4031/4032</v>
          </cell>
          <cell r="L85" t="str">
            <v>ROBINSON</v>
          </cell>
          <cell r="M85">
            <v>2.7615740742476191E-2</v>
          </cell>
          <cell r="N85">
            <v>39.766666669165716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https://search-rtdc-monitor-bjffxe2xuh6vdkpspy63sjmuny.us-east-1.es.amazonaws.com/_plugin/kibana/#/discover/Steve-Slow-Train-Analysis-(2080s-and-2083s)?_g=(refreshInterval:(display:Off,section:0,value:0),time:(from:'2016-09-01 11:38:53-0600',mode:absolute,to:'2016-09-01 14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85" t="str">
            <v>N</v>
          </cell>
          <cell r="X85">
            <v>1</v>
          </cell>
          <cell r="Y85">
            <v>4.6899999999999997E-2</v>
          </cell>
          <cell r="Z85">
            <v>23.3322</v>
          </cell>
          <cell r="AA85">
            <v>23.285299999999999</v>
          </cell>
          <cell r="AB85" t="e">
            <v>#N/A</v>
          </cell>
          <cell r="AC85" t="e">
            <v>#N/A</v>
          </cell>
          <cell r="AD85" t="str">
            <v>0173-01</v>
          </cell>
          <cell r="AE85" t="str">
    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    </cell>
        </row>
        <row r="86">
          <cell r="A86" t="str">
            <v>174-01</v>
          </cell>
          <cell r="B86">
            <v>4032</v>
          </cell>
          <cell r="C86" t="str">
            <v>DE.1.0.7.0</v>
          </cell>
          <cell r="D86" t="str">
            <v>204:232975</v>
          </cell>
          <cell r="E86">
            <v>42614.567777777775</v>
          </cell>
          <cell r="F86">
            <v>42614.570462962962</v>
          </cell>
          <cell r="G86">
            <v>1</v>
          </cell>
          <cell r="H86" t="str">
            <v>204:163</v>
          </cell>
          <cell r="I86">
            <v>42614.596770833334</v>
          </cell>
          <cell r="J86">
            <v>0</v>
          </cell>
          <cell r="K86" t="str">
            <v>4031/4032</v>
          </cell>
          <cell r="L86" t="str">
            <v>BONDS</v>
          </cell>
          <cell r="M86">
            <v>2.6307870371965691E-2</v>
          </cell>
          <cell r="N86">
            <v>37.883333335630596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https://search-rtdc-monitor-bjffxe2xuh6vdkpspy63sjmuny.us-east-1.es.amazonaws.com/_plugin/kibana/#/discover/Steve-Slow-Train-Analysis-(2080s-and-2083s)?_g=(refreshInterval:(display:Off,section:0,value:0),time:(from:'2016-09-01 12:37:36-0600',mode:absolute,to:'2016-09-01 15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86" t="str">
            <v>N</v>
          </cell>
          <cell r="X86">
            <v>1</v>
          </cell>
          <cell r="Y86">
            <v>23.297499999999999</v>
          </cell>
          <cell r="Z86">
            <v>1.6299999999999999E-2</v>
          </cell>
          <cell r="AA86">
            <v>23.281199999999998</v>
          </cell>
          <cell r="AB86" t="e">
            <v>#N/A</v>
          </cell>
          <cell r="AC86" t="e">
            <v>#N/A</v>
          </cell>
          <cell r="AD86" t="str">
            <v>0174-01</v>
          </cell>
          <cell r="AE86" t="str">
    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    </cell>
        </row>
        <row r="87">
          <cell r="A87" t="str">
            <v>175-01</v>
          </cell>
          <cell r="B87">
            <v>4018</v>
          </cell>
          <cell r="C87" t="str">
            <v>DE.1.0.7.0</v>
          </cell>
          <cell r="D87" t="str">
            <v>204:462</v>
          </cell>
          <cell r="E87">
            <v>42614.538090277776</v>
          </cell>
          <cell r="F87">
            <v>42614.541828703703</v>
          </cell>
          <cell r="G87">
            <v>1</v>
          </cell>
          <cell r="H87" t="str">
            <v>204:233314</v>
          </cell>
          <cell r="I87">
            <v>42614.567361111112</v>
          </cell>
          <cell r="J87">
            <v>0</v>
          </cell>
          <cell r="K87" t="str">
            <v>4017/4018</v>
          </cell>
          <cell r="L87" t="str">
            <v>SHOOK</v>
          </cell>
          <cell r="M87">
            <v>2.5532407409627922E-2</v>
          </cell>
          <cell r="N87">
            <v>36.766666669864208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https://search-rtdc-monitor-bjffxe2xuh6vdkpspy63sjmuny.us-east-1.es.amazonaws.com/_plugin/kibana/#/discover/Steve-Slow-Train-Analysis-(2080s-and-2083s)?_g=(refreshInterval:(display:Off,section:0,value:0),time:(from:'2016-09-01 11:54:51-0600',mode:absolute,to:'2016-09-01 14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87" t="str">
            <v>N</v>
          </cell>
          <cell r="X87">
            <v>1</v>
          </cell>
          <cell r="Y87">
            <v>4.6199999999999998E-2</v>
          </cell>
          <cell r="Z87">
            <v>23.331399999999999</v>
          </cell>
          <cell r="AA87">
            <v>23.2852</v>
          </cell>
          <cell r="AB87" t="e">
            <v>#N/A</v>
          </cell>
          <cell r="AC87" t="e">
            <v>#N/A</v>
          </cell>
          <cell r="AD87" t="str">
            <v>0175-01</v>
          </cell>
          <cell r="AE87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88">
          <cell r="A88" t="str">
            <v>176-01</v>
          </cell>
          <cell r="B88">
            <v>4017</v>
          </cell>
          <cell r="C88" t="str">
            <v>DE.1.0.7.0</v>
          </cell>
          <cell r="D88" t="str">
            <v>204:233030</v>
          </cell>
          <cell r="E88">
            <v>42614.575856481482</v>
          </cell>
          <cell r="F88">
            <v>42614.580729166664</v>
          </cell>
          <cell r="G88">
            <v>1</v>
          </cell>
          <cell r="H88" t="str">
            <v>204:154</v>
          </cell>
          <cell r="I88">
            <v>42614.608796296299</v>
          </cell>
          <cell r="J88">
            <v>0</v>
          </cell>
          <cell r="K88" t="str">
            <v>4017/4018</v>
          </cell>
          <cell r="L88" t="str">
            <v>SHOOK</v>
          </cell>
          <cell r="M88">
            <v>2.8067129635019228E-2</v>
          </cell>
          <cell r="N88">
            <v>40.416666674427688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https://search-rtdc-monitor-bjffxe2xuh6vdkpspy63sjmuny.us-east-1.es.amazonaws.com/_plugin/kibana/#/discover/Steve-Slow-Train-Analysis-(2080s-and-2083s)?_g=(refreshInterval:(display:Off,section:0,value:0),time:(from:'2016-09-01 12:49:14-0600',mode:absolute,to:'2016-09-01 15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88" t="str">
            <v>N</v>
          </cell>
          <cell r="X88">
            <v>1</v>
          </cell>
          <cell r="Y88">
            <v>23.303000000000001</v>
          </cell>
          <cell r="Z88">
            <v>1.54E-2</v>
          </cell>
          <cell r="AA88">
            <v>23.287600000000001</v>
          </cell>
          <cell r="AB88">
            <v>63309</v>
          </cell>
          <cell r="AC88" t="str">
            <v>GRADE CROSSING</v>
          </cell>
          <cell r="AD88" t="str">
            <v>0176-01</v>
          </cell>
          <cell r="AE88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89">
          <cell r="A89" t="str">
            <v>177-01</v>
          </cell>
          <cell r="B89">
            <v>4038</v>
          </cell>
          <cell r="C89" t="str">
            <v>DE.1.0.7.0</v>
          </cell>
          <cell r="D89" t="str">
            <v>204:438</v>
          </cell>
          <cell r="E89">
            <v>42614.549837962964</v>
          </cell>
          <cell r="F89">
            <v>42614.552372685182</v>
          </cell>
          <cell r="G89">
            <v>1</v>
          </cell>
          <cell r="H89" t="str">
            <v>204:233303</v>
          </cell>
          <cell r="I89">
            <v>42614.578136574077</v>
          </cell>
          <cell r="J89">
            <v>0</v>
          </cell>
          <cell r="K89" t="str">
            <v>4037/4038</v>
          </cell>
          <cell r="L89" t="str">
            <v>MOSES</v>
          </cell>
          <cell r="M89">
            <v>2.5763888894289266E-2</v>
          </cell>
          <cell r="N89">
            <v>37.100000007776543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https://search-rtdc-monitor-bjffxe2xuh6vdkpspy63sjmuny.us-east-1.es.amazonaws.com/_plugin/kibana/#/discover/Steve-Slow-Train-Analysis-(2080s-and-2083s)?_g=(refreshInterval:(display:Off,section:0,value:0),time:(from:'2016-09-01 12:11:46-0600',mode:absolute,to:'2016-09-01 14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89" t="str">
            <v>N</v>
          </cell>
          <cell r="X89">
            <v>1</v>
          </cell>
          <cell r="Y89">
            <v>4.3799999999999999E-2</v>
          </cell>
          <cell r="Z89">
            <v>23.330300000000001</v>
          </cell>
          <cell r="AA89">
            <v>23.2865</v>
          </cell>
          <cell r="AB89" t="e">
            <v>#N/A</v>
          </cell>
          <cell r="AC89" t="e">
            <v>#N/A</v>
          </cell>
          <cell r="AD89" t="str">
            <v>0177-01</v>
          </cell>
          <cell r="AE89" t="str">
    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    </cell>
        </row>
        <row r="90">
          <cell r="A90" t="str">
            <v>178-01</v>
          </cell>
          <cell r="B90">
            <v>4037</v>
          </cell>
          <cell r="C90" t="str">
            <v>DE.1.0.7.0</v>
          </cell>
          <cell r="D90" t="str">
            <v>204:232998</v>
          </cell>
          <cell r="E90">
            <v>42614.587962962964</v>
          </cell>
          <cell r="F90">
            <v>42614.591157407405</v>
          </cell>
          <cell r="G90">
            <v>1</v>
          </cell>
          <cell r="H90" t="str">
            <v>204:129</v>
          </cell>
          <cell r="I90">
            <v>42614.619583333333</v>
          </cell>
          <cell r="J90">
            <v>0</v>
          </cell>
          <cell r="K90" t="str">
            <v>4037/4038</v>
          </cell>
          <cell r="L90" t="str">
            <v>MOSES</v>
          </cell>
          <cell r="M90">
            <v>2.842592592787696E-2</v>
          </cell>
          <cell r="N90">
            <v>40.933333336142823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https://search-rtdc-monitor-bjffxe2xuh6vdkpspy63sjmuny.us-east-1.es.amazonaws.com/_plugin/kibana/#/discover/Steve-Slow-Train-Analysis-(2080s-and-2083s)?_g=(refreshInterval:(display:Off,section:0,value:0),time:(from:'2016-09-01 13:06:40-0600',mode:absolute,to:'2016-09-01 15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90" t="str">
            <v>N</v>
          </cell>
          <cell r="X90">
            <v>1</v>
          </cell>
          <cell r="Y90">
            <v>23.299800000000001</v>
          </cell>
          <cell r="Z90">
            <v>1.29E-2</v>
          </cell>
          <cell r="AA90">
            <v>23.286900000000003</v>
          </cell>
          <cell r="AB90" t="e">
            <v>#N/A</v>
          </cell>
          <cell r="AC90" t="e">
            <v>#N/A</v>
          </cell>
          <cell r="AD90" t="str">
            <v>0178-01</v>
          </cell>
          <cell r="AE90" t="str">
    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    </cell>
        </row>
        <row r="91">
          <cell r="A91" t="str">
            <v>179-01</v>
          </cell>
          <cell r="B91">
            <v>4007</v>
          </cell>
          <cell r="C91" t="str">
            <v>DE.1.0.7.0</v>
          </cell>
          <cell r="D91" t="str">
            <v>204:446</v>
          </cell>
          <cell r="E91">
            <v>42614.557638888888</v>
          </cell>
          <cell r="F91">
            <v>42614.562708333331</v>
          </cell>
          <cell r="G91">
            <v>1</v>
          </cell>
          <cell r="H91" t="str">
            <v>204:233336</v>
          </cell>
          <cell r="I91">
            <v>42614.587604166663</v>
          </cell>
          <cell r="J91">
            <v>0</v>
          </cell>
          <cell r="K91" t="str">
            <v>4007/4008</v>
          </cell>
          <cell r="L91" t="str">
            <v>BROWN</v>
          </cell>
          <cell r="M91">
            <v>2.4895833332266193E-2</v>
          </cell>
          <cell r="N91">
            <v>35.849999998463318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https://search-rtdc-monitor-bjffxe2xuh6vdkpspy63sjmuny.us-east-1.es.amazonaws.com/_plugin/kibana/#/discover/Steve-Slow-Train-Analysis-(2080s-and-2083s)?_g=(refreshInterval:(display:Off,section:0,value:0),time:(from:'2016-09-01 12:23:00-0600',mode:absolute,to:'2016-09-01 15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91" t="str">
            <v>N</v>
          </cell>
          <cell r="X91">
            <v>1</v>
          </cell>
          <cell r="Y91">
            <v>4.4600000000000001E-2</v>
          </cell>
          <cell r="Z91">
            <v>23.333600000000001</v>
          </cell>
          <cell r="AA91">
            <v>23.289000000000001</v>
          </cell>
          <cell r="AB91" t="e">
            <v>#N/A</v>
          </cell>
          <cell r="AC91" t="e">
            <v>#N/A</v>
          </cell>
          <cell r="AD91" t="str">
            <v>0179-01</v>
          </cell>
          <cell r="AE91" t="str">
    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    </cell>
        </row>
        <row r="92">
          <cell r="A92" t="str">
            <v>180-01</v>
          </cell>
          <cell r="B92">
            <v>4008</v>
          </cell>
          <cell r="C92" t="str">
            <v>DE.1.0.7.0</v>
          </cell>
          <cell r="D92" t="str">
            <v>204:233008</v>
          </cell>
          <cell r="E92">
            <v>42614.589201388888</v>
          </cell>
          <cell r="F92">
            <v>42614.601539351854</v>
          </cell>
          <cell r="G92">
            <v>1</v>
          </cell>
          <cell r="H92" t="str">
            <v>204:160</v>
          </cell>
          <cell r="I92">
            <v>42614.628379629627</v>
          </cell>
          <cell r="J92">
            <v>0</v>
          </cell>
          <cell r="K92" t="str">
            <v>4007/4008</v>
          </cell>
          <cell r="L92" t="str">
            <v>BROWN</v>
          </cell>
          <cell r="M92">
            <v>2.6840277772862464E-2</v>
          </cell>
          <cell r="N92">
            <v>38.649999992921948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https://search-rtdc-monitor-bjffxe2xuh6vdkpspy63sjmuny.us-east-1.es.amazonaws.com/_plugin/kibana/#/discover/Steve-Slow-Train-Analysis-(2080s-and-2083s)?_g=(refreshInterval:(display:Off,section:0,value:0),time:(from:'2016-09-01 13:08:27-0600',mode:absolute,to:'2016-09-01 16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92" t="str">
            <v>N</v>
          </cell>
          <cell r="X92">
            <v>1</v>
          </cell>
          <cell r="Y92">
            <v>23.300799999999999</v>
          </cell>
          <cell r="Z92">
            <v>1.6E-2</v>
          </cell>
          <cell r="AA92">
            <v>23.284800000000001</v>
          </cell>
          <cell r="AB92" t="e">
            <v>#N/A</v>
          </cell>
          <cell r="AC92" t="e">
            <v>#N/A</v>
          </cell>
          <cell r="AD92" t="str">
            <v>0180-01</v>
          </cell>
          <cell r="AE92" t="str">
    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    </cell>
        </row>
        <row r="93">
          <cell r="A93" t="str">
            <v>181-01</v>
          </cell>
          <cell r="B93">
            <v>4042</v>
          </cell>
          <cell r="C93" t="str">
            <v>DE.1.0.7.0</v>
          </cell>
          <cell r="D93" t="str">
            <v>204:455</v>
          </cell>
          <cell r="E93">
            <v>42614.570081018515</v>
          </cell>
          <cell r="F93">
            <v>42614.573182870372</v>
          </cell>
          <cell r="G93">
            <v>1</v>
          </cell>
          <cell r="H93" t="str">
            <v>204:233347</v>
          </cell>
          <cell r="I93">
            <v>42614.599687499998</v>
          </cell>
          <cell r="J93">
            <v>0</v>
          </cell>
          <cell r="K93" t="str">
            <v>4041/4042</v>
          </cell>
          <cell r="L93" t="str">
            <v>YOUNG</v>
          </cell>
          <cell r="M93">
            <v>2.6504629626288079E-2</v>
          </cell>
          <cell r="N93">
            <v>38.166666661854833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https://search-rtdc-monitor-bjffxe2xuh6vdkpspy63sjmuny.us-east-1.es.amazonaws.com/_plugin/kibana/#/discover/Steve-Slow-Train-Analysis-(2080s-and-2083s)?_g=(refreshInterval:(display:Off,section:0,value:0),time:(from:'2016-09-01 12:40:55-0600',mode:absolute,to:'2016-09-01 15:23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93" t="str">
            <v>N</v>
          </cell>
          <cell r="X93">
            <v>1</v>
          </cell>
          <cell r="Y93">
            <v>4.5499999999999999E-2</v>
          </cell>
          <cell r="Z93">
            <v>23.334700000000002</v>
          </cell>
          <cell r="AA93">
            <v>23.289200000000001</v>
          </cell>
          <cell r="AB93" t="e">
            <v>#N/A</v>
          </cell>
          <cell r="AC93" t="e">
            <v>#N/A</v>
          </cell>
          <cell r="AD93" t="str">
            <v>0181-01</v>
          </cell>
          <cell r="AE93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94">
          <cell r="A94" t="str">
            <v>182-01</v>
          </cell>
          <cell r="B94">
            <v>4041</v>
          </cell>
          <cell r="C94" t="str">
            <v>DE.1.0.7.0</v>
          </cell>
          <cell r="D94" t="str">
            <v>204:233003</v>
          </cell>
          <cell r="E94">
            <v>42614.605798611112</v>
          </cell>
          <cell r="F94">
            <v>42614.61210648148</v>
          </cell>
          <cell r="G94">
            <v>1</v>
          </cell>
          <cell r="H94" t="str">
            <v>204:163</v>
          </cell>
          <cell r="I94">
            <v>42614.642199074071</v>
          </cell>
          <cell r="J94">
            <v>0</v>
          </cell>
          <cell r="K94" t="str">
            <v>4041/4042</v>
          </cell>
          <cell r="L94" t="str">
            <v>YOUNG</v>
          </cell>
          <cell r="M94">
            <v>3.0092592591245193E-2</v>
          </cell>
          <cell r="N94">
            <v>43.333333331393078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https://search-rtdc-monitor-bjffxe2xuh6vdkpspy63sjmuny.us-east-1.es.amazonaws.com/_plugin/kibana/#/discover/Steve-Slow-Train-Analysis-(2080s-and-2083s)?_g=(refreshInterval:(display:Off,section:0,value:0),time:(from:'2016-09-01 13:32:21-0600',mode:absolute,to:'2016-09-01 16:24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94" t="str">
            <v>N</v>
          </cell>
          <cell r="X94">
            <v>1</v>
          </cell>
          <cell r="Y94">
            <v>23.3003</v>
          </cell>
          <cell r="Z94">
            <v>1.6299999999999999E-2</v>
          </cell>
          <cell r="AA94">
            <v>23.283999999999999</v>
          </cell>
          <cell r="AB94" t="e">
            <v>#N/A</v>
          </cell>
          <cell r="AC94" t="e">
            <v>#N/A</v>
          </cell>
          <cell r="AD94" t="str">
            <v>0182-01</v>
          </cell>
          <cell r="AE94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95">
          <cell r="A95" t="str">
            <v>183-01</v>
          </cell>
          <cell r="B95">
            <v>4044</v>
          </cell>
          <cell r="C95" t="str">
            <v>DE.1.0.7.0</v>
          </cell>
          <cell r="D95" t="str">
            <v>204:458</v>
          </cell>
          <cell r="E95">
            <v>42614.579502314817</v>
          </cell>
          <cell r="F95">
            <v>42614.583784722221</v>
          </cell>
          <cell r="G95">
            <v>1</v>
          </cell>
          <cell r="H95" t="str">
            <v>204:233317</v>
          </cell>
          <cell r="I95">
            <v>42614.609652777777</v>
          </cell>
          <cell r="J95">
            <v>0</v>
          </cell>
          <cell r="K95" t="str">
            <v>4043/4044</v>
          </cell>
          <cell r="L95" t="str">
            <v>ISHMAEL</v>
          </cell>
          <cell r="M95">
            <v>2.5868055556202307E-2</v>
          </cell>
          <cell r="N95">
            <v>37.250000000931323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https://search-rtdc-monitor-bjffxe2xuh6vdkpspy63sjmuny.us-east-1.es.amazonaws.com/_plugin/kibana/#/discover/Steve-Slow-Train-Analysis-(2080s-and-2083s)?_g=(refreshInterval:(display:Off,section:0,value:0),time:(from:'2016-09-01 12:54:29-0600',mode:absolute,to:'2016-09-01 15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95" t="str">
            <v>N</v>
          </cell>
          <cell r="X95">
            <v>1</v>
          </cell>
          <cell r="Y95">
            <v>4.58E-2</v>
          </cell>
          <cell r="Z95">
            <v>23.331700000000001</v>
          </cell>
          <cell r="AA95">
            <v>23.285900000000002</v>
          </cell>
          <cell r="AB95" t="e">
            <v>#N/A</v>
          </cell>
          <cell r="AC95" t="e">
            <v>#N/A</v>
          </cell>
          <cell r="AD95" t="str">
            <v>0183-01</v>
          </cell>
          <cell r="AE95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96">
          <cell r="A96" t="str">
            <v>184-01</v>
          </cell>
          <cell r="B96">
            <v>4043</v>
          </cell>
          <cell r="C96" t="str">
            <v>DE.1.0.7.0</v>
          </cell>
          <cell r="D96" t="str">
            <v>204:232998</v>
          </cell>
          <cell r="E96">
            <v>42614.615636574075</v>
          </cell>
          <cell r="F96">
            <v>42614.622523148151</v>
          </cell>
          <cell r="G96">
            <v>1</v>
          </cell>
          <cell r="H96" t="str">
            <v>204:150</v>
          </cell>
          <cell r="I96">
            <v>42614.649421296293</v>
          </cell>
          <cell r="J96">
            <v>0</v>
          </cell>
          <cell r="K96" t="str">
            <v>4043/4044</v>
          </cell>
          <cell r="L96" t="str">
            <v>ISHMAEL</v>
          </cell>
          <cell r="M96">
            <v>2.6898148142208811E-2</v>
          </cell>
          <cell r="N96">
            <v>38.733333324780688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https://search-rtdc-monitor-bjffxe2xuh6vdkpspy63sjmuny.us-east-1.es.amazonaws.com/_plugin/kibana/#/discover/Steve-Slow-Train-Analysis-(2080s-and-2083s)?_g=(refreshInterval:(display:Off,section:0,value:0),time:(from:'2016-09-01 13:46:31-0600',mode:absolute,to:'2016-09-01 16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96" t="str">
            <v>N</v>
          </cell>
          <cell r="X96">
            <v>1</v>
          </cell>
          <cell r="Y96">
            <v>23.299800000000001</v>
          </cell>
          <cell r="Z96">
            <v>1.4999999999999999E-2</v>
          </cell>
          <cell r="AA96">
            <v>23.284800000000001</v>
          </cell>
          <cell r="AB96" t="e">
            <v>#N/A</v>
          </cell>
          <cell r="AC96" t="e">
            <v>#N/A</v>
          </cell>
          <cell r="AD96" t="str">
            <v>0184-01</v>
          </cell>
          <cell r="AE96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97">
          <cell r="A97" t="str">
            <v>185-01</v>
          </cell>
          <cell r="B97">
            <v>4020</v>
          </cell>
          <cell r="C97" t="str">
            <v>DE.1.0.7.0</v>
          </cell>
          <cell r="D97" t="str">
            <v>204:526</v>
          </cell>
          <cell r="E97">
            <v>42614.592118055552</v>
          </cell>
          <cell r="F97">
            <v>42614.594027777777</v>
          </cell>
          <cell r="G97">
            <v>1</v>
          </cell>
          <cell r="H97" t="str">
            <v>204:233291</v>
          </cell>
          <cell r="I97">
            <v>42614.618622685186</v>
          </cell>
          <cell r="J97">
            <v>0</v>
          </cell>
          <cell r="K97" t="str">
            <v>4019/4020</v>
          </cell>
          <cell r="L97" t="str">
            <v>SUR</v>
          </cell>
          <cell r="M97">
            <v>2.4594907408754807E-2</v>
          </cell>
          <cell r="N97">
            <v>35.416666668606922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https://search-rtdc-monitor-bjffxe2xuh6vdkpspy63sjmuny.us-east-1.es.amazonaws.com/_plugin/kibana/#/discover/Steve-Slow-Train-Analysis-(2080s-and-2083s)?_g=(refreshInterval:(display:Off,section:0,value:0),time:(from:'2016-09-01 13:12:39-0600',mode:absolute,to:'2016-09-01 15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97" t="str">
            <v>N</v>
          </cell>
          <cell r="X97">
            <v>1</v>
          </cell>
          <cell r="Y97">
            <v>5.2600000000000001E-2</v>
          </cell>
          <cell r="Z97">
            <v>23.3291</v>
          </cell>
          <cell r="AA97">
            <v>23.276499999999999</v>
          </cell>
          <cell r="AB97">
            <v>42779</v>
          </cell>
          <cell r="AC97" t="str">
            <v>GRADE CROSSING</v>
          </cell>
          <cell r="AD97" t="str">
            <v>0185-01</v>
          </cell>
          <cell r="AE97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98">
          <cell r="A98" t="str">
            <v>186-01</v>
          </cell>
          <cell r="B98">
            <v>4019</v>
          </cell>
          <cell r="C98" t="str">
            <v>DE.1.0.7.0</v>
          </cell>
          <cell r="D98" t="str">
            <v>204:232967</v>
          </cell>
          <cell r="E98">
            <v>42614.623043981483</v>
          </cell>
          <cell r="F98">
            <v>42614.633032407408</v>
          </cell>
          <cell r="G98">
            <v>1</v>
          </cell>
          <cell r="H98" t="str">
            <v>204:134</v>
          </cell>
          <cell r="I98">
            <v>42614.659189814818</v>
          </cell>
          <cell r="J98">
            <v>0</v>
          </cell>
          <cell r="K98" t="str">
            <v>4019/4020</v>
          </cell>
          <cell r="L98" t="str">
            <v>SUR</v>
          </cell>
          <cell r="M98">
            <v>2.6157407410209998E-2</v>
          </cell>
          <cell r="N98">
            <v>37.666666670702398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https://search-rtdc-monitor-bjffxe2xuh6vdkpspy63sjmuny.us-east-1.es.amazonaws.com/_plugin/kibana/#/discover/Steve-Slow-Train-Analysis-(2080s-and-2083s)?_g=(refreshInterval:(display:Off,section:0,value:0),time:(from:'2016-09-01 13:57:11-0600',mode:absolute,to:'2016-09-01 16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98" t="str">
            <v>N</v>
          </cell>
          <cell r="X98">
            <v>1</v>
          </cell>
          <cell r="Y98">
            <v>23.296700000000001</v>
          </cell>
          <cell r="Z98">
            <v>1.34E-2</v>
          </cell>
          <cell r="AA98">
            <v>23.283300000000001</v>
          </cell>
          <cell r="AB98" t="e">
            <v>#N/A</v>
          </cell>
          <cell r="AC98" t="e">
            <v>#N/A</v>
          </cell>
          <cell r="AD98" t="str">
            <v>0186-01</v>
          </cell>
          <cell r="AE98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99">
          <cell r="A99" t="str">
            <v>187-01</v>
          </cell>
          <cell r="B99">
            <v>4031</v>
          </cell>
          <cell r="C99" t="str">
            <v>DE.1.0.7.0</v>
          </cell>
          <cell r="D99" t="str">
            <v>204:471</v>
          </cell>
          <cell r="E99">
            <v>42614.599409722221</v>
          </cell>
          <cell r="F99">
            <v>42614.604537037034</v>
          </cell>
          <cell r="G99">
            <v>1</v>
          </cell>
          <cell r="H99" t="str">
            <v>204:233329</v>
          </cell>
          <cell r="I99">
            <v>42614.630277777775</v>
          </cell>
          <cell r="J99">
            <v>0</v>
          </cell>
          <cell r="K99" t="str">
            <v>4031/4032</v>
          </cell>
          <cell r="L99" t="str">
            <v>BONDS</v>
          </cell>
          <cell r="M99">
            <v>2.5740740740729962E-2</v>
          </cell>
          <cell r="N99">
            <v>37.066666666651145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https://search-rtdc-monitor-bjffxe2xuh6vdkpspy63sjmuny.us-east-1.es.amazonaws.com/_plugin/kibana/#/discover/Steve-Slow-Train-Analysis-(2080s-and-2083s)?_g=(refreshInterval:(display:Off,section:0,value:0),time:(from:'2016-09-01 13:23:09-0600',mode:absolute,to:'2016-09-01 16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99" t="str">
            <v>N</v>
          </cell>
          <cell r="X99">
            <v>1</v>
          </cell>
          <cell r="Y99">
            <v>4.7100000000000003E-2</v>
          </cell>
          <cell r="Z99">
            <v>23.332899999999999</v>
          </cell>
          <cell r="AA99">
            <v>23.285799999999998</v>
          </cell>
          <cell r="AB99" t="e">
            <v>#N/A</v>
          </cell>
          <cell r="AC99" t="e">
            <v>#N/A</v>
          </cell>
          <cell r="AD99" t="str">
            <v>0187-01</v>
          </cell>
          <cell r="AE99" t="str">
    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    </cell>
        </row>
        <row r="100">
          <cell r="A100" t="str">
            <v>188-01</v>
          </cell>
          <cell r="B100">
            <v>4032</v>
          </cell>
          <cell r="C100" t="str">
            <v>DE.1.0.7.0</v>
          </cell>
          <cell r="D100" t="str">
            <v>204:233004</v>
          </cell>
          <cell r="E100">
            <v>42614.638182870367</v>
          </cell>
          <cell r="F100">
            <v>42614.643217592595</v>
          </cell>
          <cell r="G100">
            <v>1</v>
          </cell>
          <cell r="H100" t="str">
            <v>204:152</v>
          </cell>
          <cell r="I100">
            <v>42614.685925925929</v>
          </cell>
          <cell r="J100">
            <v>0</v>
          </cell>
          <cell r="K100" t="str">
            <v>4031/4032</v>
          </cell>
          <cell r="L100" t="str">
            <v>BONDS</v>
          </cell>
          <cell r="M100">
            <v>4.2708333334303461E-2</v>
          </cell>
          <cell r="N100">
            <v>61.500000001396984</v>
          </cell>
          <cell r="R100" t="str">
            <v>Delayed by Form C's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https://search-rtdc-monitor-bjffxe2xuh6vdkpspy63sjmuny.us-east-1.es.amazonaws.com/_plugin/kibana/#/discover/Steve-Slow-Train-Analysis-(2080s-and-2083s)?_g=(refreshInterval:(display:Off,section:0,value:0),time:(from:'2016-09-01 14:18:59-0600',mode:absolute,to:'2016-09-01 17:27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00" t="str">
            <v>N</v>
          </cell>
          <cell r="X100">
            <v>1</v>
          </cell>
          <cell r="Y100">
            <v>23.3004</v>
          </cell>
          <cell r="Z100">
            <v>1.52E-2</v>
          </cell>
          <cell r="AA100">
            <v>23.2852</v>
          </cell>
          <cell r="AB100" t="e">
            <v>#N/A</v>
          </cell>
          <cell r="AC100" t="e">
            <v>#N/A</v>
          </cell>
          <cell r="AD100" t="str">
            <v>0188-01</v>
          </cell>
          <cell r="AE100" t="str">
    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    </cell>
        </row>
        <row r="101">
          <cell r="A101" t="str">
            <v>189-01</v>
          </cell>
          <cell r="B101">
            <v>4018</v>
          </cell>
          <cell r="C101" t="str">
            <v>DE.1.0.7.0</v>
          </cell>
          <cell r="D101" t="str">
            <v>204:409</v>
          </cell>
          <cell r="E101">
            <v>42614.609837962962</v>
          </cell>
          <cell r="F101">
            <v>42614.614756944444</v>
          </cell>
          <cell r="G101">
            <v>1</v>
          </cell>
          <cell r="H101" t="str">
            <v>204:233341</v>
          </cell>
          <cell r="I101">
            <v>42614.640405092592</v>
          </cell>
          <cell r="J101">
            <v>0</v>
          </cell>
          <cell r="K101" t="str">
            <v>4017/4018</v>
          </cell>
          <cell r="L101" t="str">
            <v>SHOOK</v>
          </cell>
          <cell r="M101">
            <v>2.5648148148320615E-2</v>
          </cell>
          <cell r="N101">
            <v>36.933333333581686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https://search-rtdc-monitor-bjffxe2xuh6vdkpspy63sjmuny.us-east-1.es.amazonaws.com/_plugin/kibana/#/discover/Steve-Slow-Train-Analysis-(2080s-and-2083s)?_g=(refreshInterval:(display:Off,section:0,value:0),time:(from:'2016-09-01 13:38:10-0600',mode:absolute,to:'2016-09-01 16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01" t="str">
            <v>N</v>
          </cell>
          <cell r="X101">
            <v>1</v>
          </cell>
          <cell r="Y101">
            <v>4.0899999999999999E-2</v>
          </cell>
          <cell r="Z101">
            <v>23.334099999999999</v>
          </cell>
          <cell r="AA101">
            <v>23.293199999999999</v>
          </cell>
          <cell r="AB101" t="e">
            <v>#N/A</v>
          </cell>
          <cell r="AC101" t="e">
            <v>#N/A</v>
          </cell>
          <cell r="AD101" t="str">
            <v>0189-01</v>
          </cell>
          <cell r="AE101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102">
          <cell r="A102" t="str">
            <v>190-01</v>
          </cell>
          <cell r="B102">
            <v>4017</v>
          </cell>
          <cell r="C102" t="str">
            <v>DE.1.0.7.0</v>
          </cell>
          <cell r="D102" t="str">
            <v>204:233021</v>
          </cell>
          <cell r="E102">
            <v>42614.648009259261</v>
          </cell>
          <cell r="F102">
            <v>42614.653634259259</v>
          </cell>
          <cell r="G102">
            <v>2</v>
          </cell>
          <cell r="H102" t="str">
            <v>204:145</v>
          </cell>
          <cell r="I102">
            <v>42614.70685185185</v>
          </cell>
          <cell r="J102">
            <v>0</v>
          </cell>
          <cell r="K102" t="str">
            <v>4017/4018</v>
          </cell>
          <cell r="L102" t="str">
            <v>SHOOK</v>
          </cell>
          <cell r="M102">
            <v>5.3217592590954155E-2</v>
          </cell>
          <cell r="N102">
            <v>76.633333330973983</v>
          </cell>
          <cell r="R102" t="str">
            <v>Delayed by Form C's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https://search-rtdc-monitor-bjffxe2xuh6vdkpspy63sjmuny.us-east-1.es.amazonaws.com/_plugin/kibana/#/discover/Steve-Slow-Train-Analysis-(2080s-and-2083s)?_g=(refreshInterval:(display:Off,section:0,value:0),time:(from:'2016-09-01 14:33:08-0600',mode:absolute,to:'2016-09-01 17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02" t="str">
            <v>N</v>
          </cell>
          <cell r="X102">
            <v>1</v>
          </cell>
          <cell r="Y102">
            <v>23.302099999999999</v>
          </cell>
          <cell r="Z102">
            <v>1.4500000000000001E-2</v>
          </cell>
          <cell r="AA102">
            <v>23.287599999999998</v>
          </cell>
          <cell r="AB102" t="e">
            <v>#N/A</v>
          </cell>
          <cell r="AC102" t="e">
            <v>#N/A</v>
          </cell>
          <cell r="AD102" t="str">
            <v>0190-01</v>
          </cell>
          <cell r="AE102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103">
          <cell r="A103" t="str">
            <v>191-01</v>
          </cell>
          <cell r="B103">
            <v>4038</v>
          </cell>
          <cell r="C103" t="str">
            <v>DE.1.0.7.0</v>
          </cell>
          <cell r="D103" t="str">
            <v>204:426</v>
          </cell>
          <cell r="E103">
            <v>42614.623773148145</v>
          </cell>
          <cell r="F103">
            <v>42614.625289351854</v>
          </cell>
          <cell r="G103">
            <v>1</v>
          </cell>
          <cell r="H103" t="str">
            <v>204:233331</v>
          </cell>
          <cell r="I103">
            <v>42614.650856481479</v>
          </cell>
          <cell r="J103">
            <v>0</v>
          </cell>
          <cell r="K103" t="str">
            <v>4037/4038</v>
          </cell>
          <cell r="L103" t="str">
            <v>MOSES</v>
          </cell>
          <cell r="M103">
            <v>2.5567129625414964E-2</v>
          </cell>
          <cell r="N103">
            <v>36.816666660597548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https://search-rtdc-monitor-bjffxe2xuh6vdkpspy63sjmuny.us-east-1.es.amazonaws.com/_plugin/kibana/#/discover/Steve-Slow-Train-Analysis-(2080s-and-2083s)?_g=(refreshInterval:(display:Off,section:0,value:0),time:(from:'2016-09-01 13:58:14-0600',mode:absolute,to:'2016-09-01 16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03" t="str">
            <v>N</v>
          </cell>
          <cell r="X103">
            <v>1</v>
          </cell>
          <cell r="Y103">
            <v>4.2599999999999999E-2</v>
          </cell>
          <cell r="Z103">
            <v>23.333100000000002</v>
          </cell>
          <cell r="AA103">
            <v>23.290500000000002</v>
          </cell>
          <cell r="AB103" t="e">
            <v>#N/A</v>
          </cell>
          <cell r="AC103" t="e">
            <v>#N/A</v>
          </cell>
          <cell r="AD103" t="str">
            <v>0191-01</v>
          </cell>
          <cell r="AE103" t="str">
    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    </cell>
        </row>
        <row r="104">
          <cell r="A104" t="str">
            <v>192-01</v>
          </cell>
          <cell r="B104">
            <v>4037</v>
          </cell>
          <cell r="C104" t="str">
            <v>DE.1.0.7.0</v>
          </cell>
          <cell r="D104" t="str">
            <v>204:233028</v>
          </cell>
          <cell r="E104">
            <v>42614.659826388888</v>
          </cell>
          <cell r="F104">
            <v>42614.664212962962</v>
          </cell>
          <cell r="G104">
            <v>1</v>
          </cell>
          <cell r="H104" t="str">
            <v>204:181</v>
          </cell>
          <cell r="I104">
            <v>42614.723900462966</v>
          </cell>
          <cell r="J104">
            <v>0</v>
          </cell>
          <cell r="K104" t="str">
            <v>4037/4038</v>
          </cell>
          <cell r="L104" t="str">
            <v>MOSES</v>
          </cell>
          <cell r="M104">
            <v>5.9687500004656613E-2</v>
          </cell>
          <cell r="N104">
            <v>85.950000006705523</v>
          </cell>
          <cell r="R104" t="str">
            <v>Delayed by Form C's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https://search-rtdc-monitor-bjffxe2xuh6vdkpspy63sjmuny.us-east-1.es.amazonaws.com/_plugin/kibana/#/discover/Steve-Slow-Train-Analysis-(2080s-and-2083s)?_g=(refreshInterval:(display:Off,section:0,value:0),time:(from:'2016-09-01 14:50:09-0600',mode:absolute,to:'2016-09-01 18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04" t="str">
            <v>N</v>
          </cell>
          <cell r="X104">
            <v>1</v>
          </cell>
          <cell r="Y104">
            <v>23.302800000000001</v>
          </cell>
          <cell r="Z104">
            <v>1.8100000000000002E-2</v>
          </cell>
          <cell r="AA104">
            <v>23.284700000000001</v>
          </cell>
          <cell r="AB104" t="e">
            <v>#N/A</v>
          </cell>
          <cell r="AC104" t="e">
            <v>#N/A</v>
          </cell>
          <cell r="AD104" t="str">
            <v>0192-01</v>
          </cell>
          <cell r="AE104" t="str">
    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    </cell>
        </row>
        <row r="105">
          <cell r="A105" t="str">
            <v>193-01</v>
          </cell>
          <cell r="B105">
            <v>4007</v>
          </cell>
          <cell r="C105" t="str">
            <v>DE.1.0.7.0</v>
          </cell>
          <cell r="D105" t="str">
            <v>204:453</v>
          </cell>
          <cell r="E105">
            <v>42614.630266203705</v>
          </cell>
          <cell r="F105">
            <v>42614.635601851849</v>
          </cell>
          <cell r="G105">
            <v>2</v>
          </cell>
          <cell r="H105" t="str">
            <v>204:233337</v>
          </cell>
          <cell r="I105">
            <v>42614.660069444442</v>
          </cell>
          <cell r="J105">
            <v>0</v>
          </cell>
          <cell r="K105" t="str">
            <v>4007/4008</v>
          </cell>
          <cell r="L105" t="str">
            <v>BROWN</v>
          </cell>
          <cell r="M105">
            <v>2.4467592593282461E-2</v>
          </cell>
          <cell r="N105">
            <v>35.233333334326744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https://search-rtdc-monitor-bjffxe2xuh6vdkpspy63sjmuny.us-east-1.es.amazonaws.com/_plugin/kibana/#/discover/Steve-Slow-Train-Analysis-(2080s-and-2083s)?_g=(refreshInterval:(display:Off,section:0,value:0),time:(from:'2016-09-01 14:07:35-0600',mode:absolute,to:'2016-09-01 16:50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05" t="str">
            <v>N</v>
          </cell>
          <cell r="X105">
            <v>1</v>
          </cell>
          <cell r="Y105">
            <v>4.53E-2</v>
          </cell>
          <cell r="Z105">
            <v>23.3337</v>
          </cell>
          <cell r="AA105">
            <v>23.288399999999999</v>
          </cell>
          <cell r="AB105" t="e">
            <v>#N/A</v>
          </cell>
          <cell r="AC105" t="e">
            <v>#N/A</v>
          </cell>
          <cell r="AD105" t="str">
            <v>0193-01</v>
          </cell>
          <cell r="AE105" t="str">
            <v>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 &amp; 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</v>
          </cell>
        </row>
        <row r="106">
          <cell r="A106" t="str">
            <v>194-01</v>
          </cell>
          <cell r="B106">
            <v>4008</v>
          </cell>
          <cell r="C106" t="str">
            <v>DE.1.0.7.0</v>
          </cell>
          <cell r="D106" t="str">
            <v>204:232998</v>
          </cell>
          <cell r="E106">
            <v>42614.661631944444</v>
          </cell>
          <cell r="F106">
            <v>42614.67454861111</v>
          </cell>
          <cell r="G106">
            <v>1</v>
          </cell>
          <cell r="H106" t="str">
            <v>204:128</v>
          </cell>
          <cell r="I106">
            <v>42614.732476851852</v>
          </cell>
          <cell r="J106">
            <v>0</v>
          </cell>
          <cell r="K106" t="str">
            <v>4007/4008</v>
          </cell>
          <cell r="L106" t="str">
            <v>BROWN</v>
          </cell>
          <cell r="M106">
            <v>5.7928240741603076E-2</v>
          </cell>
          <cell r="N106">
            <v>83.41666666790843</v>
          </cell>
          <cell r="R106" t="str">
            <v>Delayed by Form C's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https://search-rtdc-monitor-bjffxe2xuh6vdkpspy63sjmuny.us-east-1.es.amazonaws.com/_plugin/kibana/#/discover/Steve-Slow-Train-Analysis-(2080s-and-2083s)?_g=(refreshInterval:(display:Off,section:0,value:0),time:(from:'2016-09-01 14:52:45-0600',mode:absolute,to:'2016-09-01 18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06" t="str">
            <v>N</v>
          </cell>
          <cell r="X106">
            <v>1</v>
          </cell>
          <cell r="Y106">
            <v>23.299800000000001</v>
          </cell>
          <cell r="Z106">
            <v>1.2800000000000001E-2</v>
          </cell>
          <cell r="AA106">
            <v>23.287000000000003</v>
          </cell>
          <cell r="AB106" t="e">
            <v>#N/A</v>
          </cell>
          <cell r="AC106" t="e">
            <v>#N/A</v>
          </cell>
          <cell r="AD106" t="str">
            <v>0194-01</v>
          </cell>
          <cell r="AE106" t="str">
    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    </cell>
        </row>
        <row r="107">
          <cell r="A107" t="str">
            <v>195-01</v>
          </cell>
          <cell r="B107">
            <v>4042</v>
          </cell>
          <cell r="C107" t="str">
            <v>DE.1.0.7.0</v>
          </cell>
          <cell r="D107" t="str">
            <v>204:460</v>
          </cell>
          <cell r="E107">
            <v>42614.643692129626</v>
          </cell>
          <cell r="F107">
            <v>42614.646273148152</v>
          </cell>
          <cell r="G107">
            <v>1</v>
          </cell>
          <cell r="H107" t="str">
            <v>204:233329</v>
          </cell>
          <cell r="I107">
            <v>42614.675578703704</v>
          </cell>
          <cell r="J107">
            <v>0</v>
          </cell>
          <cell r="K107" t="str">
            <v>4041/4042</v>
          </cell>
          <cell r="L107" t="str">
            <v>YOUNG</v>
          </cell>
          <cell r="M107">
            <v>2.9305555552127771E-2</v>
          </cell>
          <cell r="N107">
            <v>42.19999999506399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https://search-rtdc-monitor-bjffxe2xuh6vdkpspy63sjmuny.us-east-1.es.amazonaws.com/_plugin/kibana/#/discover/Steve-Slow-Train-Analysis-(2080s-and-2083s)?_g=(refreshInterval:(display:Off,section:0,value:0),time:(from:'2016-09-01 14:26:55-0600',mode:absolute,to:'2016-09-01 17:12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07" t="str">
            <v>N</v>
          </cell>
          <cell r="X107">
            <v>1</v>
          </cell>
          <cell r="Y107">
            <v>4.5999999999999999E-2</v>
          </cell>
          <cell r="Z107">
            <v>23.332899999999999</v>
          </cell>
          <cell r="AA107">
            <v>23.286899999999999</v>
          </cell>
          <cell r="AB107" t="e">
            <v>#N/A</v>
          </cell>
          <cell r="AC107" t="e">
            <v>#N/A</v>
          </cell>
          <cell r="AD107" t="str">
            <v>0195-01</v>
          </cell>
          <cell r="AE107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108">
          <cell r="A108" t="str">
            <v>196-01</v>
          </cell>
          <cell r="B108">
            <v>4041</v>
          </cell>
          <cell r="C108" t="str">
            <v>DE.1.0.7.0</v>
          </cell>
          <cell r="D108" t="str">
            <v>204:233008</v>
          </cell>
          <cell r="E108">
            <v>42614.680439814816</v>
          </cell>
          <cell r="F108">
            <v>42614.68509259259</v>
          </cell>
          <cell r="G108">
            <v>3</v>
          </cell>
          <cell r="H108" t="str">
            <v>204:147</v>
          </cell>
          <cell r="I108">
            <v>42614.736446759256</v>
          </cell>
          <cell r="J108">
            <v>0</v>
          </cell>
          <cell r="K108" t="str">
            <v>4041/4042</v>
          </cell>
          <cell r="L108" t="str">
            <v>YOUNG</v>
          </cell>
          <cell r="M108">
            <v>5.1354166665987577E-2</v>
          </cell>
          <cell r="N108">
            <v>73.949999999022111</v>
          </cell>
          <cell r="R108" t="str">
            <v>Delayed by Form C's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https://search-rtdc-monitor-bjffxe2xuh6vdkpspy63sjmuny.us-east-1.es.amazonaws.com/_plugin/kibana/#/discover/Steve-Slow-Train-Analysis-(2080s-and-2083s)?_g=(refreshInterval:(display:Off,section:0,value:0),time:(from:'2016-09-01 15:19:50-0600',mode:absolute,to:'2016-09-01 18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08" t="str">
            <v>N</v>
          </cell>
          <cell r="X108">
            <v>1</v>
          </cell>
          <cell r="Y108">
            <v>23.300799999999999</v>
          </cell>
          <cell r="Z108">
            <v>1.47E-2</v>
          </cell>
          <cell r="AA108">
            <v>23.286099999999998</v>
          </cell>
          <cell r="AB108" t="e">
            <v>#N/A</v>
          </cell>
          <cell r="AC108" t="e">
            <v>#N/A</v>
          </cell>
          <cell r="AD108" t="str">
            <v>0196-01</v>
          </cell>
          <cell r="AE108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109">
          <cell r="A109" t="str">
            <v>197-01</v>
          </cell>
          <cell r="B109">
            <v>4044</v>
          </cell>
          <cell r="C109" t="str">
            <v>DE.1.0.7.0</v>
          </cell>
          <cell r="D109" t="str">
            <v>204:469</v>
          </cell>
          <cell r="E109">
            <v>42614.652442129627</v>
          </cell>
          <cell r="F109">
            <v>42614.656504629631</v>
          </cell>
          <cell r="G109">
            <v>1</v>
          </cell>
          <cell r="H109" t="str">
            <v>204:233308</v>
          </cell>
          <cell r="I109">
            <v>42614.704456018517</v>
          </cell>
          <cell r="J109">
            <v>0</v>
          </cell>
          <cell r="K109" t="str">
            <v>4043/4044</v>
          </cell>
          <cell r="L109" t="str">
            <v>ISHMAEL</v>
          </cell>
          <cell r="M109">
            <v>4.7951388885849155E-2</v>
          </cell>
          <cell r="N109">
            <v>69.049999995622784</v>
          </cell>
          <cell r="R109" t="str">
            <v>Delayed by Form C's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https://search-rtdc-monitor-bjffxe2xuh6vdkpspy63sjmuny.us-east-1.es.amazonaws.com/_plugin/kibana/#/discover/Steve-Slow-Train-Analysis-(2080s-and-2083s)?_g=(refreshInterval:(display:Off,section:0,value:0),time:(from:'2016-09-01 14:39:31-0600',mode:absolute,to:'2016-09-01 17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09" t="str">
            <v>N</v>
          </cell>
          <cell r="X109">
            <v>1</v>
          </cell>
          <cell r="Y109">
            <v>4.6899999999999997E-2</v>
          </cell>
          <cell r="Z109">
            <v>23.3308</v>
          </cell>
          <cell r="AA109">
            <v>23.283899999999999</v>
          </cell>
          <cell r="AB109" t="e">
            <v>#N/A</v>
          </cell>
          <cell r="AC109" t="e">
            <v>#N/A</v>
          </cell>
          <cell r="AD109" t="str">
            <v>0197-01</v>
          </cell>
          <cell r="AE109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110">
          <cell r="A110" t="str">
            <v>199-01</v>
          </cell>
          <cell r="B110">
            <v>4020</v>
          </cell>
          <cell r="C110" t="str">
            <v>DE.1.0.7.0</v>
          </cell>
          <cell r="D110" t="str">
            <v>204:447</v>
          </cell>
          <cell r="E110">
            <v>42614.660624999997</v>
          </cell>
          <cell r="F110">
            <v>42614.667650462965</v>
          </cell>
          <cell r="G110">
            <v>7</v>
          </cell>
          <cell r="H110" t="str">
            <v>204:233286</v>
          </cell>
          <cell r="I110">
            <v>42614.717592592591</v>
          </cell>
          <cell r="J110">
            <v>0</v>
          </cell>
          <cell r="K110" t="str">
            <v>4019/4020</v>
          </cell>
          <cell r="L110" t="str">
            <v>SUR</v>
          </cell>
          <cell r="M110">
            <v>4.9942129626288079E-2</v>
          </cell>
          <cell r="N110">
            <v>71.916666661854833</v>
          </cell>
          <cell r="R110" t="str">
            <v>Delayed by Form C's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https://search-rtdc-monitor-bjffxe2xuh6vdkpspy63sjmuny.us-east-1.es.amazonaws.com/_plugin/kibana/#/discover/Steve-Slow-Train-Analysis-(2080s-and-2083s)?_g=(refreshInterval:(display:Off,section:0,value:0),time:(from:'2016-09-01 14:51:18-0600',mode:absolute,to:'2016-09-01 18:13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10" t="str">
            <v>N</v>
          </cell>
          <cell r="X110">
            <v>2</v>
          </cell>
          <cell r="Y110">
            <v>4.4699999999999997E-2</v>
          </cell>
          <cell r="Z110">
            <v>23.328600000000002</v>
          </cell>
          <cell r="AA110">
            <v>23.283900000000003</v>
          </cell>
          <cell r="AB110" t="e">
            <v>#N/A</v>
          </cell>
          <cell r="AC110" t="e">
            <v>#N/A</v>
          </cell>
          <cell r="AD110" t="str">
            <v>0199-01</v>
          </cell>
          <cell r="AE110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111">
          <cell r="A111" t="str">
            <v>200-01</v>
          </cell>
          <cell r="B111">
            <v>4043</v>
          </cell>
          <cell r="C111" t="str">
            <v>DE.1.0.7.0</v>
          </cell>
          <cell r="D111" t="str">
            <v>204:232989</v>
          </cell>
          <cell r="E111">
            <v>42614.706724537034</v>
          </cell>
          <cell r="F111">
            <v>42614.712210648147</v>
          </cell>
          <cell r="G111">
            <v>1</v>
          </cell>
          <cell r="H111" t="str">
            <v>204:158</v>
          </cell>
          <cell r="I111">
            <v>42614.748020833336</v>
          </cell>
          <cell r="J111">
            <v>0</v>
          </cell>
          <cell r="K111" t="str">
            <v>4043/4044</v>
          </cell>
          <cell r="L111" t="str">
            <v>ISHMAEL</v>
          </cell>
          <cell r="M111">
            <v>3.5810185188893229E-2</v>
          </cell>
          <cell r="N111">
            <v>51.566666672006249</v>
          </cell>
          <cell r="R111" t="str">
            <v>Delayed by Form C's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https://search-rtdc-monitor-bjffxe2xuh6vdkpspy63sjmuny.us-east-1.es.amazonaws.com/_plugin/kibana/#/discover/Steve-Slow-Train-Analysis-(2080s-and-2083s)?_g=(refreshInterval:(display:Off,section:0,value:0),time:(from:'2016-09-01 15:57:41-0600',mode:absolute,to:'2016-09-01 18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11" t="str">
            <v>N</v>
          </cell>
          <cell r="X111">
            <v>1</v>
          </cell>
          <cell r="Y111">
            <v>23.2989</v>
          </cell>
          <cell r="Z111">
            <v>1.5800000000000002E-2</v>
          </cell>
          <cell r="AA111">
            <v>23.283100000000001</v>
          </cell>
          <cell r="AB111" t="e">
            <v>#N/A</v>
          </cell>
          <cell r="AC111" t="e">
            <v>#N/A</v>
          </cell>
          <cell r="AD111" t="str">
            <v>0200-01</v>
          </cell>
          <cell r="AE111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112">
          <cell r="A112" t="str">
            <v>205-01</v>
          </cell>
          <cell r="B112">
            <v>4031</v>
          </cell>
          <cell r="C112" t="str">
            <v>DE.1.0.7.0</v>
          </cell>
          <cell r="D112" t="str">
            <v>204:473</v>
          </cell>
          <cell r="E112">
            <v>42614.702986111108</v>
          </cell>
          <cell r="F112">
            <v>42614.704652777778</v>
          </cell>
          <cell r="G112">
            <v>1</v>
          </cell>
          <cell r="H112" t="str">
            <v>204:233264</v>
          </cell>
          <cell r="I112">
            <v>42614.746574074074</v>
          </cell>
          <cell r="J112">
            <v>0</v>
          </cell>
          <cell r="K112" t="str">
            <v>4031/4032</v>
          </cell>
          <cell r="L112" t="str">
            <v>KILLION</v>
          </cell>
          <cell r="M112">
            <v>4.1921296295186039E-2</v>
          </cell>
          <cell r="N112">
            <v>60.366666665067896</v>
          </cell>
          <cell r="R112" t="str">
            <v>Delayed by Form C's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https://search-rtdc-monitor-bjffxe2xuh6vdkpspy63sjmuny.us-east-1.es.amazonaws.com/_plugin/kibana/#/discover/Steve-Slow-Train-Analysis-(2080s-and-2083s)?_g=(refreshInterval:(display:Off,section:0,value:0),time:(from:'2016-09-01 15:52:18-0600',mode:absolute,to:'2016-09-01 18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12" t="str">
            <v>N</v>
          </cell>
          <cell r="X112">
            <v>5</v>
          </cell>
          <cell r="Y112">
            <v>4.7300000000000002E-2</v>
          </cell>
          <cell r="Z112">
            <v>23.3264</v>
          </cell>
          <cell r="AA112">
            <v>23.2791</v>
          </cell>
          <cell r="AB112" t="e">
            <v>#N/A</v>
          </cell>
          <cell r="AC112" t="e">
            <v>#N/A</v>
          </cell>
          <cell r="AD112" t="str">
            <v>0205-01</v>
          </cell>
          <cell r="AE112" t="str">
    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    </cell>
        </row>
        <row r="113">
          <cell r="A113" t="str">
            <v>206-01</v>
          </cell>
          <cell r="B113">
            <v>4019</v>
          </cell>
          <cell r="C113" t="str">
            <v>DE.1.0.7.0</v>
          </cell>
          <cell r="D113" t="str">
            <v>204:232971</v>
          </cell>
          <cell r="E113">
            <v>42614.730509259258</v>
          </cell>
          <cell r="F113">
            <v>42614.737002314818</v>
          </cell>
          <cell r="G113">
            <v>1</v>
          </cell>
          <cell r="H113" t="str">
            <v>204:147</v>
          </cell>
          <cell r="I113">
            <v>42614.767939814818</v>
          </cell>
          <cell r="J113">
            <v>0</v>
          </cell>
          <cell r="K113" t="str">
            <v>4019/4020</v>
          </cell>
          <cell r="L113" t="str">
            <v>SUR</v>
          </cell>
          <cell r="M113">
            <v>3.0937499999708962E-2</v>
          </cell>
          <cell r="N113">
            <v>44.549999999580905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https://search-rtdc-monitor-bjffxe2xuh6vdkpspy63sjmuny.us-east-1.es.amazonaws.com/_plugin/kibana/#/discover/Steve-Slow-Train-Analysis-(2080s-and-2083s)?_g=(refreshInterval:(display:Off,section:0,value:0),time:(from:'2016-09-01 16:31:56-0600',mode:absolute,to:'2016-09-01 19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13" t="str">
            <v>N</v>
          </cell>
          <cell r="X113">
            <v>1</v>
          </cell>
          <cell r="Y113">
            <v>23.2971</v>
          </cell>
          <cell r="Z113">
            <v>1.47E-2</v>
          </cell>
          <cell r="AA113">
            <v>23.282399999999999</v>
          </cell>
          <cell r="AB113">
            <v>109135</v>
          </cell>
          <cell r="AC113" t="str">
            <v>GRADE CROSSING</v>
          </cell>
          <cell r="AD113" t="str">
            <v>0206-01</v>
          </cell>
          <cell r="AE113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114">
          <cell r="A114" t="str">
            <v>208-01</v>
          </cell>
          <cell r="B114">
            <v>4032</v>
          </cell>
          <cell r="C114" t="str">
            <v>DE.1.0.7.0</v>
          </cell>
          <cell r="D114" t="str">
            <v>204:232947</v>
          </cell>
          <cell r="E114">
            <v>42614.751631944448</v>
          </cell>
          <cell r="F114">
            <v>42614.753587962965</v>
          </cell>
          <cell r="G114">
            <v>1</v>
          </cell>
          <cell r="H114" t="str">
            <v>204:163</v>
          </cell>
          <cell r="I114">
            <v>42614.783831018518</v>
          </cell>
          <cell r="J114">
            <v>0</v>
          </cell>
          <cell r="K114" t="str">
            <v>4031/4032</v>
          </cell>
          <cell r="L114" t="str">
            <v>KILLION</v>
          </cell>
          <cell r="M114">
            <v>3.0243055553000886E-2</v>
          </cell>
          <cell r="N114">
            <v>43.549999996321276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https://search-rtdc-monitor-bjffxe2xuh6vdkpspy63sjmuny.us-east-1.es.amazonaws.com/_plugin/kibana/#/discover/Steve-Slow-Train-Analysis-(2080s-and-2083s)?_g=(refreshInterval:(display:Off,section:0,value:0),time:(from:'2016-09-01 17:02:21-0600',mode:absolute,to:'2016-09-01 19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14" t="str">
            <v>N</v>
          </cell>
          <cell r="X114" t="e">
            <v>#REF!</v>
          </cell>
          <cell r="Y114">
            <v>23.294699999999999</v>
          </cell>
          <cell r="Z114">
            <v>1.6299999999999999E-2</v>
          </cell>
          <cell r="AA114">
            <v>23.278399999999998</v>
          </cell>
          <cell r="AB114" t="e">
            <v>#N/A</v>
          </cell>
          <cell r="AC114" t="e">
            <v>#N/A</v>
          </cell>
          <cell r="AD114" t="str">
            <v>0208-01</v>
          </cell>
          <cell r="AE114" t="str">
    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    </cell>
        </row>
        <row r="115">
          <cell r="A115" t="str">
            <v>209-01</v>
          </cell>
          <cell r="B115">
            <v>4018</v>
          </cell>
          <cell r="C115" t="str">
            <v>DE.1.0.7.0</v>
          </cell>
          <cell r="D115" t="str">
            <v>204:455</v>
          </cell>
          <cell r="E115">
            <v>42614.721666666665</v>
          </cell>
          <cell r="F115">
            <v>42614.723287037035</v>
          </cell>
          <cell r="G115">
            <v>0</v>
          </cell>
          <cell r="H115" t="str">
            <v>204:233307</v>
          </cell>
          <cell r="I115">
            <v>42614.75277777778</v>
          </cell>
          <cell r="J115">
            <v>0</v>
          </cell>
          <cell r="K115" t="str">
            <v>4017/4018</v>
          </cell>
          <cell r="L115" t="str">
            <v>HILLS</v>
          </cell>
          <cell r="M115">
            <v>2.9490740744222421E-2</v>
          </cell>
          <cell r="N115">
            <v>42.466666671680287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https://search-rtdc-monitor-bjffxe2xuh6vdkpspy63sjmuny.us-east-1.es.amazonaws.com/_plugin/kibana/#/discover/Steve-Slow-Train-Analysis-(2080s-and-2083s)?_g=(refreshInterval:(display:Off,section:0,value:0),time:(from:'2016-09-01 16:19:12-0600',mode:absolute,to:'2016-09-01 19:04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15" t="str">
            <v>N</v>
          </cell>
          <cell r="X115">
            <v>1</v>
          </cell>
          <cell r="Y115">
            <v>4.5499999999999999E-2</v>
          </cell>
          <cell r="Z115">
            <v>23.3307</v>
          </cell>
          <cell r="AA115">
            <v>23.2852</v>
          </cell>
          <cell r="AB115" t="e">
            <v>#N/A</v>
          </cell>
          <cell r="AC115" t="e">
            <v>#N/A</v>
          </cell>
          <cell r="AD115" t="str">
            <v>0209-01</v>
          </cell>
          <cell r="AE115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116">
          <cell r="A116" t="str">
            <v>210-01</v>
          </cell>
          <cell r="B116">
            <v>4017</v>
          </cell>
          <cell r="C116" t="str">
            <v>DE.1.0.7.0</v>
          </cell>
          <cell r="D116" t="str">
            <v>204:232978</v>
          </cell>
          <cell r="E116">
            <v>42614.754652777781</v>
          </cell>
          <cell r="F116">
            <v>42614.757905092592</v>
          </cell>
          <cell r="G116">
            <v>3</v>
          </cell>
          <cell r="H116" t="str">
            <v>204:138</v>
          </cell>
          <cell r="I116">
            <v>42614.789363425924</v>
          </cell>
          <cell r="J116">
            <v>0</v>
          </cell>
          <cell r="K116" t="str">
            <v>4017/4018</v>
          </cell>
          <cell r="L116" t="str">
            <v>HILLS</v>
          </cell>
          <cell r="M116">
            <v>3.145833333110204E-2</v>
          </cell>
          <cell r="N116">
            <v>45.299999996786937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https://search-rtdc-monitor-bjffxe2xuh6vdkpspy63sjmuny.us-east-1.es.amazonaws.com/_plugin/kibana/#/discover/Steve-Slow-Train-Analysis-(2080s-and-2083s)?_g=(refreshInterval:(display:Off,section:0,value:0),time:(from:'2016-09-01 17:06:42-0600',mode:absolute,to:'2016-09-01 19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16" t="str">
            <v>N</v>
          </cell>
          <cell r="X116">
            <v>1</v>
          </cell>
          <cell r="Y116">
            <v>23.297799999999999</v>
          </cell>
          <cell r="Z116">
            <v>1.38E-2</v>
          </cell>
          <cell r="AA116">
            <v>23.283999999999999</v>
          </cell>
          <cell r="AB116" t="e">
            <v>#N/A</v>
          </cell>
          <cell r="AC116" t="e">
            <v>#N/A</v>
          </cell>
          <cell r="AD116" t="str">
            <v>0210-01</v>
          </cell>
          <cell r="AE116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117">
          <cell r="A117" t="str">
            <v>211-01</v>
          </cell>
          <cell r="B117">
            <v>4038</v>
          </cell>
          <cell r="C117" t="str">
            <v>DE.1.0.7.0</v>
          </cell>
          <cell r="D117" t="str">
            <v>204:506</v>
          </cell>
          <cell r="E117">
            <v>42614.729201388887</v>
          </cell>
          <cell r="F117">
            <v>42614.730995370373</v>
          </cell>
          <cell r="G117">
            <v>1</v>
          </cell>
          <cell r="H117" t="str">
            <v>204:233310</v>
          </cell>
          <cell r="I117">
            <v>42614.767476851855</v>
          </cell>
          <cell r="J117">
            <v>0</v>
          </cell>
          <cell r="K117" t="str">
            <v>4037/4038</v>
          </cell>
          <cell r="L117" t="str">
            <v>MOSES</v>
          </cell>
          <cell r="M117">
            <v>3.6481481482042E-2</v>
          </cell>
          <cell r="N117">
            <v>52.53333333414048</v>
          </cell>
          <cell r="R117" t="str">
            <v>Delayed by Form C's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https://search-rtdc-monitor-bjffxe2xuh6vdkpspy63sjmuny.us-east-1.es.amazonaws.com/_plugin/kibana/#/discover/Steve-Slow-Train-Analysis-(2080s-and-2083s)?_g=(refreshInterval:(display:Off,section:0,value:0),time:(from:'2016-09-01 16:30:03-0600',mode:absolute,to:'2016-09-01 19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17" t="str">
            <v>N</v>
          </cell>
          <cell r="X117">
            <v>1</v>
          </cell>
          <cell r="Y117">
            <v>5.0599999999999999E-2</v>
          </cell>
          <cell r="Z117">
            <v>23.331</v>
          </cell>
          <cell r="AA117">
            <v>23.2804</v>
          </cell>
          <cell r="AB117" t="e">
            <v>#N/A</v>
          </cell>
          <cell r="AC117" t="e">
            <v>#N/A</v>
          </cell>
          <cell r="AD117" t="str">
            <v>0211-01</v>
          </cell>
          <cell r="AE117" t="str">
    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    </cell>
        </row>
        <row r="118">
          <cell r="A118" t="str">
            <v>212-01</v>
          </cell>
          <cell r="B118">
            <v>4037</v>
          </cell>
          <cell r="C118" t="str">
            <v>DE.1.0.7.0</v>
          </cell>
          <cell r="D118" t="str">
            <v>204:232993</v>
          </cell>
          <cell r="E118">
            <v>42614.771215277775</v>
          </cell>
          <cell r="F118">
            <v>42614.77275462963</v>
          </cell>
          <cell r="G118">
            <v>1</v>
          </cell>
          <cell r="H118" t="str">
            <v>204:134</v>
          </cell>
          <cell r="I118">
            <v>42614.79991898148</v>
          </cell>
          <cell r="J118">
            <v>0</v>
          </cell>
          <cell r="K118" t="str">
            <v>4037/4038</v>
          </cell>
          <cell r="L118" t="str">
            <v>MOSES</v>
          </cell>
          <cell r="M118">
            <v>2.7164351849933155E-2</v>
          </cell>
          <cell r="N118">
            <v>39.116666663903743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https://search-rtdc-monitor-bjffxe2xuh6vdkpspy63sjmuny.us-east-1.es.amazonaws.com/_plugin/kibana/#/discover/Steve-Slow-Train-Analysis-(2080s-and-2083s)?_g=(refreshInterval:(display:Off,section:0,value:0),time:(from:'2016-09-01 17:30:33-0600',mode:absolute,to:'2016-09-01 20:11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18" t="str">
            <v>N</v>
          </cell>
          <cell r="X118">
            <v>1</v>
          </cell>
          <cell r="Y118">
            <v>23.299299999999999</v>
          </cell>
          <cell r="Z118">
            <v>1.34E-2</v>
          </cell>
          <cell r="AA118">
            <v>23.285899999999998</v>
          </cell>
          <cell r="AB118" t="e">
            <v>#N/A</v>
          </cell>
          <cell r="AC118" t="e">
            <v>#N/A</v>
          </cell>
          <cell r="AD118" t="str">
            <v>0212-01</v>
          </cell>
          <cell r="AE118" t="str">
    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    </cell>
        </row>
        <row r="119">
          <cell r="A119" t="str">
            <v>213-01</v>
          </cell>
          <cell r="B119">
            <v>4042</v>
          </cell>
          <cell r="C119" t="str">
            <v>DE.1.0.7.0</v>
          </cell>
          <cell r="D119" t="str">
            <v>204:475</v>
          </cell>
          <cell r="E119">
            <v>42614.739224537036</v>
          </cell>
          <cell r="F119">
            <v>42614.741041666668</v>
          </cell>
          <cell r="G119">
            <v>2</v>
          </cell>
          <cell r="H119" t="str">
            <v>204:233318</v>
          </cell>
          <cell r="I119">
            <v>42614.769143518519</v>
          </cell>
          <cell r="J119">
            <v>0</v>
          </cell>
          <cell r="K119" t="str">
            <v>4041/4042</v>
          </cell>
          <cell r="L119" t="str">
            <v>COOLAHAN</v>
          </cell>
          <cell r="M119">
            <v>2.810185185080627E-2</v>
          </cell>
          <cell r="N119">
            <v>40.466666665161029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https://search-rtdc-monitor-bjffxe2xuh6vdkpspy63sjmuny.us-east-1.es.amazonaws.com/_plugin/kibana/#/discover/Steve-Slow-Train-Analysis-(2080s-and-2083s)?_g=(refreshInterval:(display:Off,section:0,value:0),time:(from:'2016-09-01 16:44:29-0600',mode:absolute,to:'2016-09-01 19:27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19" t="str">
            <v>N</v>
          </cell>
          <cell r="X119">
            <v>1</v>
          </cell>
          <cell r="Y119">
            <v>4.7500000000000001E-2</v>
          </cell>
          <cell r="Z119">
            <v>23.331800000000001</v>
          </cell>
          <cell r="AA119">
            <v>23.284300000000002</v>
          </cell>
          <cell r="AB119" t="e">
            <v>#N/A</v>
          </cell>
          <cell r="AC119" t="e">
            <v>#N/A</v>
          </cell>
          <cell r="AD119" t="str">
            <v>0213-01</v>
          </cell>
          <cell r="AE119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120">
          <cell r="A120" t="str">
            <v>214-01</v>
          </cell>
          <cell r="B120">
            <v>4041</v>
          </cell>
          <cell r="C120" t="str">
            <v>DE.1.0.7.0</v>
          </cell>
          <cell r="D120" t="str">
            <v>204:232994</v>
          </cell>
          <cell r="E120">
            <v>42614.776377314818</v>
          </cell>
          <cell r="F120">
            <v>42614.779409722221</v>
          </cell>
          <cell r="G120">
            <v>1</v>
          </cell>
          <cell r="H120" t="str">
            <v>204:212</v>
          </cell>
          <cell r="I120">
            <v>42614.806805555556</v>
          </cell>
          <cell r="J120">
            <v>0</v>
          </cell>
          <cell r="K120" t="str">
            <v>4041/4042</v>
          </cell>
          <cell r="L120" t="str">
            <v>COOLAHAN</v>
          </cell>
          <cell r="M120">
            <v>2.7395833334594499E-2</v>
          </cell>
          <cell r="N120">
            <v>39.450000001816079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https://search-rtdc-monitor-bjffxe2xuh6vdkpspy63sjmuny.us-east-1.es.amazonaws.com/_plugin/kibana/#/discover/Steve-Slow-Train-Analysis-(2080s-and-2083s)?_g=(refreshInterval:(display:Off,section:0,value:0),time:(from:'2016-09-01 17:37:59-0600',mode:absolute,to:'2016-09-01 20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20" t="str">
            <v>N</v>
          </cell>
          <cell r="X120">
            <v>1</v>
          </cell>
          <cell r="Y120">
            <v>23.299399999999999</v>
          </cell>
          <cell r="Z120">
            <v>2.12E-2</v>
          </cell>
          <cell r="AA120">
            <v>23.278199999999998</v>
          </cell>
          <cell r="AB120" t="e">
            <v>#N/A</v>
          </cell>
          <cell r="AC120" t="e">
            <v>#N/A</v>
          </cell>
          <cell r="AD120" t="str">
            <v>0214-01</v>
          </cell>
          <cell r="AE120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121">
          <cell r="A121" t="str">
            <v>215-01</v>
          </cell>
          <cell r="B121">
            <v>4044</v>
          </cell>
          <cell r="C121" t="str">
            <v>DE.1.0.7.0</v>
          </cell>
          <cell r="D121" t="str">
            <v>204:504</v>
          </cell>
          <cell r="E121">
            <v>42614.752106481479</v>
          </cell>
          <cell r="F121">
            <v>42614.753888888888</v>
          </cell>
          <cell r="G121">
            <v>1</v>
          </cell>
          <cell r="H121" t="str">
            <v>204:233293</v>
          </cell>
          <cell r="I121">
            <v>42614.77957175926</v>
          </cell>
          <cell r="J121">
            <v>0</v>
          </cell>
          <cell r="K121" t="str">
            <v>4043/4044</v>
          </cell>
          <cell r="L121" t="str">
            <v>HOMIK</v>
          </cell>
          <cell r="M121">
            <v>2.5682870371383615E-2</v>
          </cell>
          <cell r="N121">
            <v>36.983333334792405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https://search-rtdc-monitor-bjffxe2xuh6vdkpspy63sjmuny.us-east-1.es.amazonaws.com/_plugin/kibana/#/discover/Steve-Slow-Train-Analysis-(2080s-and-2083s)?_g=(refreshInterval:(display:Off,section:0,value:0),time:(from:'2016-09-01 17:03:02-0600',mode:absolute,to:'2016-09-01 19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21" t="str">
            <v>N</v>
          </cell>
          <cell r="X121">
            <v>1</v>
          </cell>
          <cell r="Y121">
            <v>5.04E-2</v>
          </cell>
          <cell r="Z121">
            <v>23.3293</v>
          </cell>
          <cell r="AA121">
            <v>23.2789</v>
          </cell>
          <cell r="AB121" t="e">
            <v>#N/A</v>
          </cell>
          <cell r="AC121" t="e">
            <v>#N/A</v>
          </cell>
          <cell r="AD121" t="str">
            <v>0215-01</v>
          </cell>
          <cell r="AE121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122">
          <cell r="A122" t="str">
            <v>216-01</v>
          </cell>
          <cell r="B122">
            <v>4043</v>
          </cell>
          <cell r="C122" t="str">
            <v>DE.1.0.7.0</v>
          </cell>
          <cell r="D122" t="str">
            <v>204:232966</v>
          </cell>
          <cell r="E122">
            <v>42614.781805555554</v>
          </cell>
          <cell r="F122">
            <v>42614.789247685185</v>
          </cell>
          <cell r="G122">
            <v>1</v>
          </cell>
          <cell r="H122" t="str">
            <v>204:225</v>
          </cell>
          <cell r="I122">
            <v>42614.818935185183</v>
          </cell>
          <cell r="J122">
            <v>0</v>
          </cell>
          <cell r="K122" t="str">
            <v>4043/4044</v>
          </cell>
          <cell r="L122" t="str">
            <v>HOMIK</v>
          </cell>
          <cell r="M122">
            <v>2.9687499998544808E-2</v>
          </cell>
          <cell r="N122">
            <v>42.749999997904524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https://search-rtdc-monitor-bjffxe2xuh6vdkpspy63sjmuny.us-east-1.es.amazonaws.com/_plugin/kibana/#/discover/Steve-Slow-Train-Analysis-(2080s-and-2083s)?_g=(refreshInterval:(display:Off,section:0,value:0),time:(from:'2016-09-01 17:45:48-0600',mode:absolute,to:'2016-09-01 20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22" t="str">
            <v>N</v>
          </cell>
          <cell r="X122">
            <v>1</v>
          </cell>
          <cell r="Y122">
            <v>23.296600000000002</v>
          </cell>
          <cell r="Z122">
            <v>2.2499999999999999E-2</v>
          </cell>
          <cell r="AA122">
            <v>23.274100000000001</v>
          </cell>
          <cell r="AB122" t="e">
            <v>#N/A</v>
          </cell>
          <cell r="AC122" t="e">
            <v>#N/A</v>
          </cell>
          <cell r="AD122" t="str">
            <v>0216-01</v>
          </cell>
          <cell r="AE122" t="str">
    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    </cell>
        </row>
        <row r="123">
          <cell r="A123" t="str">
            <v>217-01</v>
          </cell>
          <cell r="B123">
            <v>4011</v>
          </cell>
          <cell r="C123" t="str">
            <v>DE.1.0.7.0</v>
          </cell>
          <cell r="D123" t="str">
            <v>204:406</v>
          </cell>
          <cell r="E123">
            <v>42614.763321759259</v>
          </cell>
          <cell r="F123">
            <v>42614.764189814814</v>
          </cell>
          <cell r="G123">
            <v>0</v>
          </cell>
          <cell r="H123" t="str">
            <v>204:233343</v>
          </cell>
          <cell r="I123">
            <v>42614.787766203706</v>
          </cell>
          <cell r="J123">
            <v>0</v>
          </cell>
          <cell r="K123" t="str">
            <v>4011/4012</v>
          </cell>
          <cell r="L123" t="str">
            <v>STAMBAUGH</v>
          </cell>
          <cell r="M123">
            <v>2.3576388892251998E-2</v>
          </cell>
          <cell r="N123">
            <v>33.950000004842877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https://search-rtdc-monitor-bjffxe2xuh6vdkpspy63sjmuny.us-east-1.es.amazonaws.com/_plugin/kibana/#/discover/Steve-Slow-Train-Analysis-(2080s-and-2083s)?_g=(refreshInterval:(display:Off,section:0,value:0),time:(from:'2016-09-01 17:19:11-0600',mode:absolute,to:'2016-09-01 19:54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23" t="str">
            <v>N</v>
          </cell>
          <cell r="X123">
            <v>1</v>
          </cell>
          <cell r="Y123">
            <v>4.0599999999999997E-2</v>
          </cell>
          <cell r="Z123">
            <v>23.334299999999999</v>
          </cell>
          <cell r="AA123">
            <v>23.293699999999998</v>
          </cell>
          <cell r="AB123" t="e">
            <v>#N/A</v>
          </cell>
          <cell r="AC123" t="e">
            <v>#N/A</v>
          </cell>
          <cell r="AD123" t="str">
            <v>0217-01</v>
          </cell>
          <cell r="AE123" t="str">
    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    </cell>
        </row>
        <row r="124">
          <cell r="A124" t="str">
            <v>218-01</v>
          </cell>
          <cell r="B124">
            <v>4012</v>
          </cell>
          <cell r="C124" t="str">
            <v>DE.1.0.7.0</v>
          </cell>
          <cell r="D124" t="str">
            <v>204:233009</v>
          </cell>
          <cell r="E124">
            <v>42614.803090277775</v>
          </cell>
          <cell r="F124">
            <v>42614.805567129632</v>
          </cell>
          <cell r="G124">
            <v>2</v>
          </cell>
          <cell r="H124" t="str">
            <v>204:220</v>
          </cell>
          <cell r="I124">
            <v>42614.830370370371</v>
          </cell>
          <cell r="J124">
            <v>0</v>
          </cell>
          <cell r="K124" t="str">
            <v>4011/4012</v>
          </cell>
          <cell r="L124" t="str">
            <v>STAMBAUGH</v>
          </cell>
          <cell r="M124">
            <v>2.4803240739856847E-2</v>
          </cell>
          <cell r="N124">
            <v>35.716666665393859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https://search-rtdc-monitor-bjffxe2xuh6vdkpspy63sjmuny.us-east-1.es.amazonaws.com/_plugin/kibana/#/discover/Steve-Slow-Train-Analysis-(2080s-and-2083s)?_g=(refreshInterval:(display:Off,section:0,value:0),time:(from:'2016-09-01 18:16:27-0600',mode:absolute,to:'2016-09-01 20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24" t="str">
            <v>N</v>
          </cell>
          <cell r="X124">
            <v>1</v>
          </cell>
          <cell r="Y124">
            <v>23.300899999999999</v>
          </cell>
          <cell r="Z124">
            <v>2.1999999999999999E-2</v>
          </cell>
          <cell r="AA124">
            <v>23.2789</v>
          </cell>
          <cell r="AB124" t="e">
            <v>#N/A</v>
          </cell>
          <cell r="AC124" t="e">
            <v>#N/A</v>
          </cell>
          <cell r="AD124" t="str">
            <v>0218-01</v>
          </cell>
          <cell r="AE124" t="str">
    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    </cell>
        </row>
        <row r="125">
          <cell r="A125" t="str">
            <v>219-01</v>
          </cell>
          <cell r="B125">
            <v>4020</v>
          </cell>
          <cell r="C125" t="str">
            <v>DE.1.0.7.0</v>
          </cell>
          <cell r="D125" t="str">
            <v>204:462</v>
          </cell>
          <cell r="E125">
            <v>42614.77207175926</v>
          </cell>
          <cell r="F125">
            <v>42614.773657407408</v>
          </cell>
          <cell r="G125">
            <v>1</v>
          </cell>
          <cell r="H125" t="str">
            <v>204:233304</v>
          </cell>
          <cell r="I125">
            <v>42614.798761574071</v>
          </cell>
          <cell r="J125">
            <v>0</v>
          </cell>
          <cell r="K125" t="str">
            <v>4019/4020</v>
          </cell>
          <cell r="L125" t="str">
            <v>OUN</v>
          </cell>
          <cell r="M125">
            <v>2.5104166663368233E-2</v>
          </cell>
          <cell r="N125">
            <v>36.149999995250255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https://search-rtdc-monitor-bjffxe2xuh6vdkpspy63sjmuny.us-east-1.es.amazonaws.com/_plugin/kibana/#/discover/Steve-Slow-Train-Analysis-(2080s-and-2083s)?_g=(refreshInterval:(display:Off,section:0,value:0),time:(from:'2016-09-01 17:31:47-0600',mode:absolute,to:'2016-09-01 20:10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25" t="str">
            <v>N</v>
          </cell>
          <cell r="X125">
            <v>1</v>
          </cell>
          <cell r="Y125">
            <v>4.6199999999999998E-2</v>
          </cell>
          <cell r="Z125">
            <v>23.330400000000001</v>
          </cell>
          <cell r="AA125">
            <v>23.284200000000002</v>
          </cell>
          <cell r="AB125" t="e">
            <v>#N/A</v>
          </cell>
          <cell r="AC125" t="e">
            <v>#N/A</v>
          </cell>
          <cell r="AD125" t="str">
            <v>0219-01</v>
          </cell>
          <cell r="AE125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126">
          <cell r="A126" t="str">
            <v>220-01</v>
          </cell>
          <cell r="B126">
            <v>4019</v>
          </cell>
          <cell r="C126" t="str">
            <v>DE.1.0.7.0</v>
          </cell>
          <cell r="D126" t="str">
            <v>204:232996</v>
          </cell>
          <cell r="E126">
            <v>42614.807673611111</v>
          </cell>
          <cell r="F126">
            <v>42614.81</v>
          </cell>
          <cell r="G126">
            <v>1</v>
          </cell>
          <cell r="H126" t="str">
            <v>204:143</v>
          </cell>
          <cell r="I126">
            <v>42614.838541666664</v>
          </cell>
          <cell r="J126">
            <v>0</v>
          </cell>
          <cell r="K126" t="str">
            <v>4019/4020</v>
          </cell>
          <cell r="L126" t="str">
            <v>OUN</v>
          </cell>
          <cell r="M126">
            <v>2.8541666666569654E-2</v>
          </cell>
          <cell r="N126">
            <v>41.099999999860302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https://search-rtdc-monitor-bjffxe2xuh6vdkpspy63sjmuny.us-east-1.es.amazonaws.com/_plugin/kibana/#/discover/Steve-Slow-Train-Analysis-(2080s-and-2083s)?_g=(refreshInterval:(display:Off,section:0,value:0),time:(from:'2016-09-01 18:23:03-0600',mode:absolute,to:'2016-09-01 21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26" t="str">
            <v>N</v>
          </cell>
          <cell r="X126">
            <v>1</v>
          </cell>
          <cell r="Y126">
            <v>23.299600000000002</v>
          </cell>
          <cell r="Z126">
            <v>1.43E-2</v>
          </cell>
          <cell r="AA126">
            <v>23.285300000000003</v>
          </cell>
          <cell r="AB126" t="e">
            <v>#N/A</v>
          </cell>
          <cell r="AC126" t="e">
            <v>#N/A</v>
          </cell>
          <cell r="AD126" t="str">
            <v>0220-01</v>
          </cell>
          <cell r="AE126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127">
          <cell r="A127" t="str">
            <v>221-01</v>
          </cell>
          <cell r="B127">
            <v>4018</v>
          </cell>
          <cell r="C127" t="str">
            <v>DE.1.0.7.0</v>
          </cell>
          <cell r="D127" t="str">
            <v>204:460</v>
          </cell>
          <cell r="E127">
            <v>42614.791388888887</v>
          </cell>
          <cell r="F127">
            <v>42614.792916666665</v>
          </cell>
          <cell r="G127">
            <v>1</v>
          </cell>
          <cell r="H127" t="str">
            <v>204:233293</v>
          </cell>
          <cell r="I127">
            <v>42614.819432870368</v>
          </cell>
          <cell r="J127">
            <v>0</v>
          </cell>
          <cell r="K127" t="str">
            <v>4017/4018</v>
          </cell>
          <cell r="L127" t="str">
            <v>HILLS</v>
          </cell>
          <cell r="M127">
            <v>2.6516203703067731E-2</v>
          </cell>
          <cell r="N127">
            <v>38.183333332417533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https://search-rtdc-monitor-bjffxe2xuh6vdkpspy63sjmuny.us-east-1.es.amazonaws.com/_plugin/kibana/#/discover/Steve-Slow-Train-Analysis-(2080s-and-2083s)?_g=(refreshInterval:(display:Off,section:0,value:0),time:(from:'2016-09-01 17:59:36-0600',mode:absolute,to:'2016-09-01 20:39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27" t="str">
            <v>N</v>
          </cell>
          <cell r="X127">
            <v>1</v>
          </cell>
          <cell r="Y127">
            <v>4.5999999999999999E-2</v>
          </cell>
          <cell r="Z127">
            <v>23.3293</v>
          </cell>
          <cell r="AA127">
            <v>23.283300000000001</v>
          </cell>
          <cell r="AB127" t="e">
            <v>#N/A</v>
          </cell>
          <cell r="AC127" t="e">
            <v>#N/A</v>
          </cell>
          <cell r="AD127" t="str">
            <v>0221-01</v>
          </cell>
          <cell r="AE127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128">
          <cell r="A128" t="str">
            <v>222-01</v>
          </cell>
          <cell r="B128">
            <v>4017</v>
          </cell>
          <cell r="C128" t="str">
            <v>DE.1.0.7.0</v>
          </cell>
          <cell r="D128" t="str">
            <v>204:232983</v>
          </cell>
          <cell r="E128">
            <v>42614.825856481482</v>
          </cell>
          <cell r="F128">
            <v>42614.830821759257</v>
          </cell>
          <cell r="G128">
            <v>1</v>
          </cell>
          <cell r="H128" t="str">
            <v>204:149</v>
          </cell>
          <cell r="I128">
            <v>42614.857916666668</v>
          </cell>
          <cell r="J128">
            <v>0</v>
          </cell>
          <cell r="K128" t="str">
            <v>4017/4018</v>
          </cell>
          <cell r="L128" t="str">
            <v>HILLS</v>
          </cell>
          <cell r="M128">
            <v>2.7094907411083113E-2</v>
          </cell>
          <cell r="N128">
            <v>39.016666671959683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https://search-rtdc-monitor-bjffxe2xuh6vdkpspy63sjmuny.us-east-1.es.amazonaws.com/_plugin/kibana/#/discover/Steve-Slow-Train-Analysis-(2080s-and-2083s)?_g=(refreshInterval:(display:Off,section:0,value:0),time:(from:'2016-09-01 18:49:14-0600',mode:absolute,to:'2016-09-01 21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28" t="str">
            <v>N</v>
          </cell>
          <cell r="X128">
            <v>1</v>
          </cell>
          <cell r="Y128">
            <v>23.298300000000001</v>
          </cell>
          <cell r="Z128">
            <v>1.49E-2</v>
          </cell>
          <cell r="AA128">
            <v>23.2834</v>
          </cell>
          <cell r="AB128" t="e">
            <v>#N/A</v>
          </cell>
          <cell r="AC128" t="e">
            <v>#N/A</v>
          </cell>
          <cell r="AD128" t="str">
            <v>0222-01</v>
          </cell>
          <cell r="AE128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129">
          <cell r="A129" t="str">
            <v>223-01</v>
          </cell>
          <cell r="B129">
            <v>4042</v>
          </cell>
          <cell r="C129" t="str">
            <v>DE.1.0.7.0</v>
          </cell>
          <cell r="D129" t="str">
            <v>204:524</v>
          </cell>
          <cell r="E129">
            <v>42614.808865740742</v>
          </cell>
          <cell r="F129">
            <v>42614.8127662037</v>
          </cell>
          <cell r="G129">
            <v>5</v>
          </cell>
          <cell r="H129" t="str">
            <v>204:233325</v>
          </cell>
          <cell r="I129">
            <v>42614.837083333332</v>
          </cell>
          <cell r="J129">
            <v>0</v>
          </cell>
          <cell r="K129" t="str">
            <v>4041/4042</v>
          </cell>
          <cell r="L129" t="str">
            <v>COOLAHAN</v>
          </cell>
          <cell r="M129">
            <v>2.4317129631526768E-2</v>
          </cell>
          <cell r="N129">
            <v>35.016666669398546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https://search-rtdc-monitor-bjffxe2xuh6vdkpspy63sjmuny.us-east-1.es.amazonaws.com/_plugin/kibana/#/discover/Steve-Slow-Train-Analysis-(2080s-and-2083s)?_g=(refreshInterval:(display:Off,section:0,value:0),time:(from:'2016-09-01 18:24:46-0600',mode:absolute,to:'2016-09-01 21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29" t="str">
            <v>N</v>
          </cell>
          <cell r="X129">
            <v>1</v>
          </cell>
          <cell r="Y129">
            <v>5.2400000000000002E-2</v>
          </cell>
          <cell r="Z129">
            <v>23.3325</v>
          </cell>
          <cell r="AA129">
            <v>23.280100000000001</v>
          </cell>
          <cell r="AB129" t="e">
            <v>#N/A</v>
          </cell>
          <cell r="AC129" t="e">
            <v>#N/A</v>
          </cell>
          <cell r="AD129" t="str">
            <v>0223-01</v>
          </cell>
          <cell r="AE129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130">
          <cell r="A130" t="str">
            <v>224-01</v>
          </cell>
          <cell r="B130">
            <v>4041</v>
          </cell>
          <cell r="C130" t="str">
            <v>DE.1.0.7.0</v>
          </cell>
          <cell r="D130" t="str">
            <v>204:232998</v>
          </cell>
          <cell r="E130">
            <v>42614.847708333335</v>
          </cell>
          <cell r="F130">
            <v>42614.851898148147</v>
          </cell>
          <cell r="G130">
            <v>1</v>
          </cell>
          <cell r="H130" t="str">
            <v>204:178</v>
          </cell>
          <cell r="I130">
            <v>42614.877233796295</v>
          </cell>
          <cell r="J130">
            <v>0</v>
          </cell>
          <cell r="K130" t="str">
            <v>4041/4042</v>
          </cell>
          <cell r="L130" t="str">
            <v>COOLAHAN</v>
          </cell>
          <cell r="M130">
            <v>2.5335648148029577E-2</v>
          </cell>
          <cell r="N130">
            <v>36.483333333162591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https://search-rtdc-monitor-bjffxe2xuh6vdkpspy63sjmuny.us-east-1.es.amazonaws.com/_plugin/kibana/#/discover/Steve-Slow-Train-Analysis-(2080s-and-2083s)?_g=(refreshInterval:(display:Off,section:0,value:0),time:(from:'2016-09-01 19:20:42-0600',mode:absolute,to:'2016-09-01 22:03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30" t="str">
            <v>N</v>
          </cell>
          <cell r="X130">
            <v>1</v>
          </cell>
          <cell r="Y130">
            <v>23.299800000000001</v>
          </cell>
          <cell r="Z130">
            <v>1.78E-2</v>
          </cell>
          <cell r="AA130">
            <v>23.282</v>
          </cell>
          <cell r="AB130" t="e">
            <v>#N/A</v>
          </cell>
          <cell r="AC130" t="e">
            <v>#N/A</v>
          </cell>
          <cell r="AD130" t="str">
            <v>0224-01</v>
          </cell>
          <cell r="AE130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131">
          <cell r="A131" t="str">
            <v>225-01</v>
          </cell>
          <cell r="B131">
            <v>4011</v>
          </cell>
          <cell r="C131" t="str">
            <v>DE.1.0.7.0</v>
          </cell>
          <cell r="D131" t="str">
            <v>204:511</v>
          </cell>
          <cell r="E131">
            <v>42614.831967592596</v>
          </cell>
          <cell r="F131">
            <v>42614.834062499998</v>
          </cell>
          <cell r="G131">
            <v>1</v>
          </cell>
          <cell r="H131" t="str">
            <v>204:233322</v>
          </cell>
          <cell r="I131">
            <v>42614.859293981484</v>
          </cell>
          <cell r="J131">
            <v>0</v>
          </cell>
          <cell r="K131" t="str">
            <v>4011/4012</v>
          </cell>
          <cell r="L131" t="str">
            <v>STAMBAUGH</v>
          </cell>
          <cell r="M131">
            <v>2.5231481486116536E-2</v>
          </cell>
          <cell r="N131">
            <v>36.333333340007812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https://search-rtdc-monitor-bjffxe2xuh6vdkpspy63sjmuny.us-east-1.es.amazonaws.com/_plugin/kibana/#/discover/Steve-Slow-Train-Analysis-(2080s-and-2083s)?_g=(refreshInterval:(display:Off,section:0,value:0),time:(from:'2016-09-01 18:58:02-0600',mode:absolute,to:'2016-09-01 21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31" t="str">
            <v>N</v>
          </cell>
          <cell r="X131">
            <v>1</v>
          </cell>
          <cell r="Y131">
            <v>5.11E-2</v>
          </cell>
          <cell r="Z131">
            <v>23.3322</v>
          </cell>
          <cell r="AA131">
            <v>23.281099999999999</v>
          </cell>
          <cell r="AB131" t="e">
            <v>#N/A</v>
          </cell>
          <cell r="AC131" t="e">
            <v>#N/A</v>
          </cell>
          <cell r="AD131" t="str">
            <v>0225-01</v>
          </cell>
          <cell r="AE131" t="str">
    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    </cell>
        </row>
        <row r="132">
          <cell r="A132" t="str">
            <v>226-01</v>
          </cell>
          <cell r="B132">
            <v>4012</v>
          </cell>
          <cell r="C132" t="str">
            <v>DE.1.0.7.0</v>
          </cell>
          <cell r="D132" t="str">
            <v>204:232978</v>
          </cell>
          <cell r="E132">
            <v>42614.869479166664</v>
          </cell>
          <cell r="F132">
            <v>42614.872974537036</v>
          </cell>
          <cell r="G132">
            <v>1</v>
          </cell>
          <cell r="H132" t="str">
            <v>204:127</v>
          </cell>
          <cell r="I132">
            <v>42614.898831018516</v>
          </cell>
          <cell r="J132">
            <v>0</v>
          </cell>
          <cell r="K132" t="str">
            <v>4011/4012</v>
          </cell>
          <cell r="L132" t="str">
            <v>STAMBAUGH</v>
          </cell>
          <cell r="M132">
            <v>2.5856481479422655E-2</v>
          </cell>
          <cell r="N132">
            <v>37.233333330368623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https://search-rtdc-monitor-bjffxe2xuh6vdkpspy63sjmuny.us-east-1.es.amazonaws.com/_plugin/kibana/#/discover/Steve-Slow-Train-Analysis-(2080s-and-2083s)?_g=(refreshInterval:(display:Off,section:0,value:0),time:(from:'2016-09-01 19:52:03-0600',mode:absolute,to:'2016-09-01 22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32" t="str">
            <v>N</v>
          </cell>
          <cell r="X132">
            <v>1</v>
          </cell>
          <cell r="Y132">
            <v>23.297799999999999</v>
          </cell>
          <cell r="Z132">
            <v>1.2699999999999999E-2</v>
          </cell>
          <cell r="AA132">
            <v>23.2851</v>
          </cell>
          <cell r="AB132" t="e">
            <v>#N/A</v>
          </cell>
          <cell r="AC132" t="e">
            <v>#N/A</v>
          </cell>
          <cell r="AD132" t="str">
            <v>0226-01</v>
          </cell>
          <cell r="AE132" t="str">
    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    </cell>
        </row>
        <row r="133">
          <cell r="A133" t="str">
            <v>227-01</v>
          </cell>
          <cell r="B133">
            <v>4020</v>
          </cell>
          <cell r="C133" t="str">
            <v>DE.1.0.7.0</v>
          </cell>
          <cell r="D133" t="str">
            <v>204:460</v>
          </cell>
          <cell r="E133">
            <v>42614.849259259259</v>
          </cell>
          <cell r="F133">
            <v>42614.85460648148</v>
          </cell>
          <cell r="G133">
            <v>1</v>
          </cell>
          <cell r="H133" t="str">
            <v>204:233246</v>
          </cell>
          <cell r="I133">
            <v>42614.880358796298</v>
          </cell>
          <cell r="J133">
            <v>0</v>
          </cell>
          <cell r="K133" t="str">
            <v>4019/4020</v>
          </cell>
          <cell r="L133" t="str">
            <v>OUN</v>
          </cell>
          <cell r="M133">
            <v>2.5752314817509614E-2</v>
          </cell>
          <cell r="N133">
            <v>37.083333337213844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https://search-rtdc-monitor-bjffxe2xuh6vdkpspy63sjmuny.us-east-1.es.amazonaws.com/_plugin/kibana/#/discover/Steve-Slow-Train-Analysis-(2080s-and-2083s)?_g=(refreshInterval:(display:Off,section:0,value:0),time:(from:'2016-09-01 19:22:56-0600',mode:absolute,to:'2016-09-01 22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33" t="str">
            <v>N</v>
          </cell>
          <cell r="X133">
            <v>1</v>
          </cell>
          <cell r="Y133">
            <v>4.5999999999999999E-2</v>
          </cell>
          <cell r="Z133">
            <v>23.3246</v>
          </cell>
          <cell r="AA133">
            <v>23.278600000000001</v>
          </cell>
          <cell r="AB133" t="e">
            <v>#N/A</v>
          </cell>
          <cell r="AC133" t="e">
            <v>#N/A</v>
          </cell>
          <cell r="AD133" t="str">
            <v>0227-01</v>
          </cell>
          <cell r="AE133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134">
          <cell r="A134" t="str">
            <v>228-01</v>
          </cell>
          <cell r="B134">
            <v>4019</v>
          </cell>
          <cell r="C134" t="str">
            <v>DE.1.0.7.0</v>
          </cell>
          <cell r="D134" t="str">
            <v>204:232998</v>
          </cell>
          <cell r="E134">
            <v>42614.889247685183</v>
          </cell>
          <cell r="F134">
            <v>42614.893449074072</v>
          </cell>
          <cell r="G134">
            <v>1</v>
          </cell>
          <cell r="H134" t="str">
            <v>204:147</v>
          </cell>
          <cell r="I134">
            <v>42614.920752314814</v>
          </cell>
          <cell r="J134">
            <v>0</v>
          </cell>
          <cell r="K134" t="str">
            <v>4019/4020</v>
          </cell>
          <cell r="L134" t="str">
            <v>OUN</v>
          </cell>
          <cell r="M134">
            <v>2.7303240742185153E-2</v>
          </cell>
          <cell r="N134">
            <v>39.31666666874662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https://search-rtdc-monitor-bjffxe2xuh6vdkpspy63sjmuny.us-east-1.es.amazonaws.com/_plugin/kibana/#/discover/Steve-Slow-Train-Analysis-(2080s-and-2083s)?_g=(refreshInterval:(display:Off,section:0,value:0),time:(from:'2016-09-01 20:20:31-0600',mode:absolute,to:'2016-09-01 23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34" t="str">
            <v>N</v>
          </cell>
          <cell r="X134">
            <v>1</v>
          </cell>
          <cell r="Y134">
            <v>23.299800000000001</v>
          </cell>
          <cell r="Z134">
            <v>1.47E-2</v>
          </cell>
          <cell r="AA134">
            <v>23.2851</v>
          </cell>
          <cell r="AB134" t="e">
            <v>#N/A</v>
          </cell>
          <cell r="AC134" t="e">
            <v>#N/A</v>
          </cell>
          <cell r="AD134" t="str">
            <v>0228-01</v>
          </cell>
          <cell r="AE134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135">
          <cell r="A135" t="str">
            <v>229-01</v>
          </cell>
          <cell r="B135">
            <v>4018</v>
          </cell>
          <cell r="C135" t="str">
            <v>DE.1.0.7.0</v>
          </cell>
          <cell r="D135" t="str">
            <v>204:433</v>
          </cell>
          <cell r="E135">
            <v>42614.870844907404</v>
          </cell>
          <cell r="F135">
            <v>42614.875300925924</v>
          </cell>
          <cell r="G135">
            <v>1</v>
          </cell>
          <cell r="H135" t="str">
            <v>204:233291</v>
          </cell>
          <cell r="I135">
            <v>42614.90079861111</v>
          </cell>
          <cell r="J135">
            <v>0</v>
          </cell>
          <cell r="K135" t="str">
            <v>4017/4018</v>
          </cell>
          <cell r="L135" t="str">
            <v>HILLS</v>
          </cell>
          <cell r="M135">
            <v>2.5497685186564922E-2</v>
          </cell>
          <cell r="N135">
            <v>36.716666668653488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https://search-rtdc-monitor-bjffxe2xuh6vdkpspy63sjmuny.us-east-1.es.amazonaws.com/_plugin/kibana/#/discover/Steve-Slow-Train-Analysis-(2080s-and-2083s)?_g=(refreshInterval:(display:Off,section:0,value:0),time:(from:'2016-09-01 19:54:01-0600',mode:absolute,to:'2016-09-01 22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35" t="str">
            <v>N</v>
          </cell>
          <cell r="X135">
            <v>1</v>
          </cell>
          <cell r="Y135">
            <v>4.3299999999999998E-2</v>
          </cell>
          <cell r="Z135">
            <v>23.3291</v>
          </cell>
          <cell r="AA135">
            <v>23.285800000000002</v>
          </cell>
          <cell r="AB135" t="e">
            <v>#N/A</v>
          </cell>
          <cell r="AC135" t="e">
            <v>#N/A</v>
          </cell>
          <cell r="AD135" t="str">
            <v>0229-01</v>
          </cell>
          <cell r="AE135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136">
          <cell r="A136" t="str">
            <v>230-01</v>
          </cell>
          <cell r="B136">
            <v>4017</v>
          </cell>
          <cell r="C136" t="str">
            <v>DE.1.0.7.0</v>
          </cell>
          <cell r="D136" t="str">
            <v>204:232981</v>
          </cell>
          <cell r="E136">
            <v>42614.907916666663</v>
          </cell>
          <cell r="F136">
            <v>42614.914363425924</v>
          </cell>
          <cell r="G136">
            <v>1</v>
          </cell>
          <cell r="H136" t="str">
            <v>204:149</v>
          </cell>
          <cell r="I136">
            <v>42614.94091435185</v>
          </cell>
          <cell r="J136">
            <v>0</v>
          </cell>
          <cell r="K136" t="str">
            <v>4017/4018</v>
          </cell>
          <cell r="L136" t="str">
            <v>HILLS</v>
          </cell>
          <cell r="M136">
            <v>2.6550925926130731E-2</v>
          </cell>
          <cell r="N136">
            <v>38.233333333628252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https://search-rtdc-monitor-bjffxe2xuh6vdkpspy63sjmuny.us-east-1.es.amazonaws.com/_plugin/kibana/#/discover/Steve-Slow-Train-Analysis-(2080s-and-2083s)?_g=(refreshInterval:(display:Off,section:0,value:0),time:(from:'2016-09-01 20:47:24-0600',mode:absolute,to:'2016-09-01 23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36" t="str">
            <v>N</v>
          </cell>
          <cell r="X136">
            <v>1</v>
          </cell>
          <cell r="Y136">
            <v>23.298100000000002</v>
          </cell>
          <cell r="Z136">
            <v>1.49E-2</v>
          </cell>
          <cell r="AA136">
            <v>23.283200000000001</v>
          </cell>
          <cell r="AB136" t="e">
            <v>#N/A</v>
          </cell>
          <cell r="AC136" t="e">
            <v>#N/A</v>
          </cell>
          <cell r="AD136" t="str">
            <v>0230-01</v>
          </cell>
          <cell r="AE136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137">
          <cell r="A137" t="str">
            <v>231-01</v>
          </cell>
          <cell r="B137">
            <v>4042</v>
          </cell>
          <cell r="C137" t="str">
            <v>DE.1.0.7.0</v>
          </cell>
          <cell r="D137" t="str">
            <v>204:484</v>
          </cell>
          <cell r="E137">
            <v>42614.892280092594</v>
          </cell>
          <cell r="F137">
            <v>42614.896122685182</v>
          </cell>
          <cell r="G137">
            <v>5</v>
          </cell>
          <cell r="H137" t="str">
            <v>204:233305</v>
          </cell>
          <cell r="I137">
            <v>42614.920335648145</v>
          </cell>
          <cell r="J137">
            <v>0</v>
          </cell>
          <cell r="K137" t="str">
            <v>4041/4042</v>
          </cell>
          <cell r="L137" t="str">
            <v>COOLAHAN</v>
          </cell>
          <cell r="M137">
            <v>2.421296296233777E-2</v>
          </cell>
          <cell r="N137">
            <v>34.866666665766388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https://search-rtdc-monitor-bjffxe2xuh6vdkpspy63sjmuny.us-east-1.es.amazonaws.com/_plugin/kibana/#/discover/Steve-Slow-Train-Analysis-(2080s-and-2083s)?_g=(refreshInterval:(display:Off,section:0,value:0),time:(from:'2016-09-01 20:24:53-0600',mode:absolute,to:'2016-09-01 23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37" t="str">
            <v>N</v>
          </cell>
          <cell r="X137">
            <v>1</v>
          </cell>
          <cell r="Y137">
            <v>4.8399999999999999E-2</v>
          </cell>
          <cell r="Z137">
            <v>23.330500000000001</v>
          </cell>
          <cell r="AA137">
            <v>23.2821</v>
          </cell>
          <cell r="AB137" t="e">
            <v>#N/A</v>
          </cell>
          <cell r="AC137" t="e">
            <v>#N/A</v>
          </cell>
          <cell r="AD137" t="str">
            <v>0231-01</v>
          </cell>
          <cell r="AE137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138">
          <cell r="A138" t="str">
            <v>232-01</v>
          </cell>
          <cell r="B138">
            <v>4041</v>
          </cell>
          <cell r="C138" t="str">
            <v>DE.1.0.7.0</v>
          </cell>
          <cell r="D138" t="str">
            <v>204:232978</v>
          </cell>
          <cell r="E138">
            <v>42614.929976851854</v>
          </cell>
          <cell r="F138">
            <v>42614.934895833336</v>
          </cell>
          <cell r="G138">
            <v>1</v>
          </cell>
          <cell r="H138" t="str">
            <v>204:154</v>
          </cell>
          <cell r="I138">
            <v>42614.960706018515</v>
          </cell>
          <cell r="J138">
            <v>0</v>
          </cell>
          <cell r="K138" t="str">
            <v>4041/4042</v>
          </cell>
          <cell r="L138" t="str">
            <v>COOLAHAN</v>
          </cell>
          <cell r="M138">
            <v>2.5810185179580003E-2</v>
          </cell>
          <cell r="N138">
            <v>37.166666658595204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https://search-rtdc-monitor-bjffxe2xuh6vdkpspy63sjmuny.us-east-1.es.amazonaws.com/_plugin/kibana/#/discover/Steve-Slow-Train-Analysis-(2080s-and-2083s)?_g=(refreshInterval:(display:Off,section:0,value:0),time:(from:'2016-09-01 21:19:10-0600',mode:absolute,to:'2016-09-02 00:03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38" t="str">
            <v>N</v>
          </cell>
          <cell r="X138">
            <v>1</v>
          </cell>
          <cell r="Y138">
            <v>23.297799999999999</v>
          </cell>
          <cell r="Z138">
            <v>1.54E-2</v>
          </cell>
          <cell r="AA138">
            <v>23.282399999999999</v>
          </cell>
          <cell r="AB138" t="e">
            <v>#N/A</v>
          </cell>
          <cell r="AC138" t="e">
            <v>#N/A</v>
          </cell>
          <cell r="AD138" t="str">
            <v>0232-01</v>
          </cell>
          <cell r="AE138" t="str">
    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    </cell>
        </row>
        <row r="139">
          <cell r="A139" t="str">
            <v>233-01</v>
          </cell>
          <cell r="B139">
            <v>4011</v>
          </cell>
          <cell r="C139" t="str">
            <v>DE.1.0.7.0</v>
          </cell>
          <cell r="D139" t="str">
            <v>204:462</v>
          </cell>
          <cell r="E139">
            <v>42614.910127314812</v>
          </cell>
          <cell r="F139">
            <v>42614.917199074072</v>
          </cell>
          <cell r="G139">
            <v>1</v>
          </cell>
          <cell r="H139" t="str">
            <v>204:233013</v>
          </cell>
          <cell r="I139">
            <v>42614.941319444442</v>
          </cell>
          <cell r="J139">
            <v>0</v>
          </cell>
          <cell r="K139" t="str">
            <v>4011/4012</v>
          </cell>
          <cell r="L139" t="str">
            <v>STAMBAUGH</v>
          </cell>
          <cell r="M139">
            <v>2.4120370369928423E-2</v>
          </cell>
          <cell r="N139">
            <v>34.73333333269693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https://search-rtdc-monitor-bjffxe2xuh6vdkpspy63sjmuny.us-east-1.es.amazonaws.com/_plugin/kibana/#/discover/Steve-Slow-Train-Analysis-(2080s-and-2083s)?_g=(refreshInterval:(display:Off,section:0,value:0),time:(from:'2016-09-01 20:50:35-0600',mode:absolute,to:'2016-09-01 23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39" t="str">
            <v>N</v>
          </cell>
          <cell r="X139">
            <v>1</v>
          </cell>
          <cell r="Y139">
            <v>4.6199999999999998E-2</v>
          </cell>
          <cell r="Z139">
            <v>23.301300000000001</v>
          </cell>
          <cell r="AA139">
            <v>23.255100000000002</v>
          </cell>
          <cell r="AB139" t="e">
            <v>#N/A</v>
          </cell>
          <cell r="AC139" t="e">
            <v>#N/A</v>
          </cell>
          <cell r="AD139" t="str">
            <v>0233-01</v>
          </cell>
          <cell r="AE139" t="str">
    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    </cell>
        </row>
        <row r="140">
          <cell r="A140" t="str">
            <v>234-01</v>
          </cell>
          <cell r="B140">
            <v>4012</v>
          </cell>
          <cell r="C140" t="str">
            <v>DE.1.0.7.0</v>
          </cell>
          <cell r="D140" t="str">
            <v>204:232706</v>
          </cell>
          <cell r="E140">
            <v>42614.951956018522</v>
          </cell>
          <cell r="F140">
            <v>42614.95653935185</v>
          </cell>
          <cell r="G140">
            <v>1</v>
          </cell>
          <cell r="H140" t="str">
            <v>204:119</v>
          </cell>
          <cell r="I140">
            <v>42614.982685185183</v>
          </cell>
          <cell r="J140">
            <v>0</v>
          </cell>
          <cell r="K140" t="str">
            <v>4011/4012</v>
          </cell>
          <cell r="L140" t="str">
            <v>STAMBAUGH</v>
          </cell>
          <cell r="M140">
            <v>2.6145833333430346E-2</v>
          </cell>
          <cell r="N140">
            <v>37.650000000139698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https://search-rtdc-monitor-bjffxe2xuh6vdkpspy63sjmuny.us-east-1.es.amazonaws.com/_plugin/kibana/#/discover/Steve-Slow-Train-Analysis-(2080s-and-2083s)?_g=(refreshInterval:(display:Off,section:0,value:0),time:(from:'2016-09-01 21:50:49-0600',mode:absolute,to:'2016-09-02 00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40" t="str">
            <v>N</v>
          </cell>
          <cell r="X140">
            <v>1</v>
          </cell>
          <cell r="Y140">
            <v>23.270600000000002</v>
          </cell>
          <cell r="Z140">
            <v>1.1900000000000001E-2</v>
          </cell>
          <cell r="AA140">
            <v>23.258700000000001</v>
          </cell>
          <cell r="AB140" t="e">
            <v>#N/A</v>
          </cell>
          <cell r="AC140" t="e">
            <v>#N/A</v>
          </cell>
          <cell r="AD140" t="str">
            <v>0234-01</v>
          </cell>
          <cell r="AE140" t="str">
    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    </cell>
        </row>
        <row r="141">
          <cell r="A141" t="str">
            <v>235-01</v>
          </cell>
          <cell r="B141">
            <v>4020</v>
          </cell>
          <cell r="C141" t="str">
            <v>DE.1.0.7.0</v>
          </cell>
          <cell r="D141" t="str">
            <v>204:455</v>
          </cell>
          <cell r="E141">
            <v>42614.931898148148</v>
          </cell>
          <cell r="F141">
            <v>42614.937743055554</v>
          </cell>
          <cell r="G141">
            <v>1</v>
          </cell>
          <cell r="H141" t="str">
            <v>204:233322</v>
          </cell>
          <cell r="I141">
            <v>42614.962881944448</v>
          </cell>
          <cell r="J141">
            <v>0</v>
          </cell>
          <cell r="K141" t="str">
            <v>4019/4020</v>
          </cell>
          <cell r="L141" t="str">
            <v>OUN</v>
          </cell>
          <cell r="M141">
            <v>2.513888889370719E-2</v>
          </cell>
          <cell r="N141">
            <v>36.200000006938353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https://search-rtdc-monitor-bjffxe2xuh6vdkpspy63sjmuny.us-east-1.es.amazonaws.com/_plugin/kibana/#/discover/Steve-Slow-Train-Analysis-(2080s-and-2083s)?_g=(refreshInterval:(display:Off,section:0,value:0),time:(from:'2016-09-01 21:21:56-0600',mode:absolute,to:'2016-09-02 00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41" t="str">
            <v>N</v>
          </cell>
          <cell r="X141">
            <v>1</v>
          </cell>
          <cell r="Y141">
            <v>4.5499999999999999E-2</v>
          </cell>
          <cell r="Z141">
            <v>23.3322</v>
          </cell>
          <cell r="AA141">
            <v>23.2867</v>
          </cell>
          <cell r="AB141" t="e">
            <v>#N/A</v>
          </cell>
          <cell r="AC141" t="e">
            <v>#N/A</v>
          </cell>
          <cell r="AD141" t="str">
            <v>0235-01</v>
          </cell>
          <cell r="AE141" t="str">
    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    </cell>
        </row>
        <row r="142">
          <cell r="A142" t="str">
            <v>236-01</v>
          </cell>
          <cell r="B142">
            <v>4019</v>
          </cell>
          <cell r="C142" t="str">
            <v>DE.1.0.7.0</v>
          </cell>
          <cell r="D142" t="str">
            <v>204:232984</v>
          </cell>
          <cell r="E142">
            <v>42614.969837962963</v>
          </cell>
          <cell r="F142">
            <v>42614.976666666669</v>
          </cell>
          <cell r="G142">
            <v>1</v>
          </cell>
          <cell r="H142" t="str">
            <v>204:143</v>
          </cell>
          <cell r="I142">
            <v>42615.003935185188</v>
          </cell>
          <cell r="J142">
            <v>0</v>
          </cell>
          <cell r="K142" t="str">
            <v>4019/4020</v>
          </cell>
          <cell r="L142" t="str">
            <v>OUN</v>
          </cell>
          <cell r="M142">
            <v>2.7268518519122154E-2</v>
          </cell>
          <cell r="N142">
            <v>39.266666667535901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https://search-rtdc-monitor-bjffxe2xuh6vdkpspy63sjmuny.us-east-1.es.amazonaws.com/_plugin/kibana/#/discover/Steve-Slow-Train-Analysis-(2080s-and-2083s)?_g=(refreshInterval:(display:Off,section:0,value:0),time:(from:'2016-09-01 22:16:34-0600',mode:absolute,to:'2016-09-02 01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42" t="str">
            <v>N</v>
          </cell>
          <cell r="X142">
            <v>1</v>
          </cell>
          <cell r="Y142">
            <v>23.298400000000001</v>
          </cell>
          <cell r="Z142">
            <v>1.43E-2</v>
          </cell>
          <cell r="AA142">
            <v>23.284100000000002</v>
          </cell>
          <cell r="AB142" t="e">
            <v>#N/A</v>
          </cell>
          <cell r="AC142" t="e">
            <v>#N/A</v>
          </cell>
          <cell r="AD142" t="str">
            <v>0236-01</v>
          </cell>
          <cell r="AE142" t="str">
    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    </cell>
        </row>
        <row r="143">
          <cell r="A143" t="str">
            <v>237-01</v>
          </cell>
          <cell r="B143">
            <v>4018</v>
          </cell>
          <cell r="C143" t="str">
            <v>DE.1.0.7.0</v>
          </cell>
          <cell r="D143" t="str">
            <v>204:473</v>
          </cell>
          <cell r="E143">
            <v>42614.953680555554</v>
          </cell>
          <cell r="F143">
            <v>42614.958645833336</v>
          </cell>
          <cell r="G143">
            <v>1</v>
          </cell>
          <cell r="H143" t="str">
            <v>204:233284</v>
          </cell>
          <cell r="I143">
            <v>42614.983032407406</v>
          </cell>
          <cell r="J143">
            <v>0</v>
          </cell>
          <cell r="K143" t="str">
            <v>4017/4018</v>
          </cell>
          <cell r="L143" t="str">
            <v>HILLS</v>
          </cell>
          <cell r="M143">
            <v>2.438657407037681E-2</v>
          </cell>
          <cell r="N143">
            <v>35.116666661342606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https://search-rtdc-monitor-bjffxe2xuh6vdkpspy63sjmuny.us-east-1.es.amazonaws.com/_plugin/kibana/#/discover/Steve-Slow-Train-Analysis-(2080s-and-2083s)?_g=(refreshInterval:(display:Off,section:0,value:0),time:(from:'2016-09-01 21:53:18-0600',mode:absolute,to:'2016-09-02 00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43" t="str">
            <v>N</v>
          </cell>
          <cell r="X143">
            <v>1</v>
          </cell>
          <cell r="Y143">
            <v>4.7300000000000002E-2</v>
          </cell>
          <cell r="Z143">
            <v>23.328399999999998</v>
          </cell>
          <cell r="AA143">
            <v>23.281099999999999</v>
          </cell>
          <cell r="AB143" t="e">
            <v>#N/A</v>
          </cell>
          <cell r="AC143" t="e">
            <v>#N/A</v>
          </cell>
          <cell r="AD143" t="str">
            <v>0237-01</v>
          </cell>
          <cell r="AE143" t="str">
    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    </cell>
        </row>
        <row r="144">
          <cell r="A144" t="str">
            <v>238-01</v>
          </cell>
          <cell r="B144">
            <v>4017</v>
          </cell>
          <cell r="C144" t="str">
            <v>DE.1.0.7.0</v>
          </cell>
          <cell r="D144" t="str">
            <v>204:232992</v>
          </cell>
          <cell r="E144">
            <v>42614.99019675926</v>
          </cell>
          <cell r="F144">
            <v>42614.997407407405</v>
          </cell>
          <cell r="G144">
            <v>1</v>
          </cell>
          <cell r="H144" t="str">
            <v>204:154</v>
          </cell>
          <cell r="I144">
            <v>42615.027789351851</v>
          </cell>
          <cell r="J144">
            <v>0</v>
          </cell>
          <cell r="K144" t="str">
            <v>4017/4018</v>
          </cell>
          <cell r="L144" t="str">
            <v>HILLS</v>
          </cell>
          <cell r="M144">
            <v>3.0381944445252884E-2</v>
          </cell>
          <cell r="N144">
            <v>43.750000001164153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https://search-rtdc-monitor-bjffxe2xuh6vdkpspy63sjmuny.us-east-1.es.amazonaws.com/_plugin/kibana/#/discover/Steve-Slow-Train-Analysis-(2080s-and-2083s)?_g=(refreshInterval:(display:Off,section:0,value:0),time:(from:'2016-09-01 22:45:53-0600',mode:absolute,to:'2016-09-02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44" t="str">
            <v>N</v>
          </cell>
          <cell r="X144">
            <v>1</v>
          </cell>
          <cell r="Y144">
            <v>23.299199999999999</v>
          </cell>
          <cell r="Z144">
            <v>1.54E-2</v>
          </cell>
          <cell r="AA144">
            <v>23.283799999999999</v>
          </cell>
          <cell r="AB144">
            <v>63309</v>
          </cell>
          <cell r="AC144" t="str">
            <v>GRADE CROSSING</v>
          </cell>
          <cell r="AD144" t="str">
            <v>0238-01</v>
          </cell>
          <cell r="AE144" t="str">
    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    </cell>
        </row>
        <row r="145">
          <cell r="A145" t="str">
            <v>239-01</v>
          </cell>
          <cell r="B145">
            <v>4042</v>
          </cell>
          <cell r="C145" t="str">
            <v>DE.1.0.7.0</v>
          </cell>
          <cell r="D145" t="str">
            <v>204:446</v>
          </cell>
          <cell r="E145">
            <v>42614.976203703707</v>
          </cell>
          <cell r="F145">
            <v>42614.979467592595</v>
          </cell>
          <cell r="G145">
            <v>1</v>
          </cell>
          <cell r="H145" t="str">
            <v>204:233328</v>
          </cell>
          <cell r="I145">
            <v>42615.003831018519</v>
          </cell>
          <cell r="J145">
            <v>0</v>
          </cell>
          <cell r="K145" t="str">
            <v>4041/4042</v>
          </cell>
          <cell r="L145" t="str">
            <v>COOLAHAN</v>
          </cell>
          <cell r="M145">
            <v>2.4363425924093463E-2</v>
          </cell>
          <cell r="N145">
            <v>35.083333330694586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https://search-rtdc-monitor-bjffxe2xuh6vdkpspy63sjmuny.us-east-1.es.amazonaws.com/_plugin/kibana/#/discover/Steve-Slow-Train-Analysis-(2080s-and-2083s)?_g=(refreshInterval:(display:Off,section:0,value:0),time:(from:'2016-09-01 22:25:44-0600',mode:absolute,to:'2016-09-02 01:05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45" t="str">
            <v>N</v>
          </cell>
          <cell r="X145">
            <v>1</v>
          </cell>
          <cell r="Y145">
            <v>4.4600000000000001E-2</v>
          </cell>
          <cell r="Z145">
            <v>23.332799999999999</v>
          </cell>
          <cell r="AA145">
            <v>23.2882</v>
          </cell>
          <cell r="AB145" t="e">
            <v>#N/A</v>
          </cell>
          <cell r="AC145" t="e">
            <v>#N/A</v>
          </cell>
          <cell r="AD145" t="str">
            <v>0239-01</v>
          </cell>
          <cell r="AE145" t="str">
    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    </cell>
        </row>
        <row r="146">
          <cell r="A146" t="str">
            <v>240-01</v>
          </cell>
          <cell r="B146">
            <v>4041</v>
          </cell>
          <cell r="C146" t="str">
            <v>DE.1.0.7.0</v>
          </cell>
          <cell r="D146" t="str">
            <v>204:232992</v>
          </cell>
          <cell r="E146">
            <v>42615.014594907407</v>
          </cell>
          <cell r="F146">
            <v>42615.018680555557</v>
          </cell>
          <cell r="G146">
            <v>5</v>
          </cell>
          <cell r="H146" t="str">
            <v>204:509</v>
          </cell>
          <cell r="I146">
            <v>42615.044594907406</v>
          </cell>
          <cell r="J146">
            <v>0</v>
          </cell>
          <cell r="K146" t="str">
            <v>4041/4042</v>
          </cell>
          <cell r="L146" t="str">
            <v>COOLAHAN</v>
          </cell>
          <cell r="M146">
            <v>2.5914351848769002E-2</v>
          </cell>
          <cell r="N146">
            <v>37.316666662227362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https://search-rtdc-monitor-bjffxe2xuh6vdkpspy63sjmuny.us-east-1.es.amazonaws.com/_plugin/kibana/#/discover/Steve-Slow-Train-Analysis-(2080s-and-2083s)?_g=(refreshInterval:(display:Off,section:0,value:0),time:(from:'2016-09-01 23:21:01-0600',mode:absolute,to:'2016-09-02 02:04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46" t="str">
            <v>N</v>
          </cell>
          <cell r="X146">
            <v>1</v>
          </cell>
          <cell r="Y146">
            <v>23.299199999999999</v>
          </cell>
          <cell r="Z146">
            <v>5.0900000000000001E-2</v>
          </cell>
          <cell r="AA146">
            <v>23.2483</v>
          </cell>
          <cell r="AB146" t="e">
            <v>#N/A</v>
          </cell>
          <cell r="AC146" t="e">
            <v>#N/A</v>
          </cell>
          <cell r="AD146" t="str">
            <v>0240-01</v>
          </cell>
          <cell r="AE146" t="str">
            <v>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 &amp; 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</v>
          </cell>
        </row>
        <row r="147">
          <cell r="A147" t="str">
            <v>241-01</v>
          </cell>
          <cell r="B147">
            <v>4011</v>
          </cell>
          <cell r="C147" t="str">
            <v>DE.1.0.7.0</v>
          </cell>
          <cell r="D147" t="str">
            <v>204:437</v>
          </cell>
          <cell r="E147">
            <v>42614.984456018516</v>
          </cell>
          <cell r="F147">
            <v>42615.000659722224</v>
          </cell>
          <cell r="G147">
            <v>1</v>
          </cell>
          <cell r="H147" t="str">
            <v>204:233407</v>
          </cell>
          <cell r="I147">
            <v>42615.026099537034</v>
          </cell>
          <cell r="J147">
            <v>0</v>
          </cell>
          <cell r="K147" t="str">
            <v>4011/4012</v>
          </cell>
          <cell r="L147" t="str">
            <v>STAMBAUGH</v>
          </cell>
          <cell r="M147">
            <v>2.5439814809942618E-2</v>
          </cell>
          <cell r="N147">
            <v>36.63333332631737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https://search-rtdc-monitor-bjffxe2xuh6vdkpspy63sjmuny.us-east-1.es.amazonaws.com/_plugin/kibana/#/discover/Steve-Slow-Train-Analysis-(2080s-and-2083s)?_g=(refreshInterval:(display:Off,section:0,value:0),time:(from:'2016-09-01 22:37:37-0600',mode:absolute,to:'2016-09-02 01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47" t="str">
            <v>N</v>
          </cell>
          <cell r="X147">
            <v>1</v>
          </cell>
          <cell r="Y147">
            <v>4.3700000000000003E-2</v>
          </cell>
          <cell r="Z147">
            <v>23.340699999999998</v>
          </cell>
          <cell r="AA147">
            <v>23.296999999999997</v>
          </cell>
          <cell r="AB147">
            <v>20338</v>
          </cell>
          <cell r="AC147" t="str">
            <v>PERMANENT SPEED RESTRICTION</v>
          </cell>
          <cell r="AD147" t="str">
            <v>0241-01</v>
          </cell>
          <cell r="AE147" t="str">
            <v>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 &amp; 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</v>
          </cell>
        </row>
        <row r="148">
          <cell r="A148" t="str">
            <v>242-01</v>
          </cell>
          <cell r="B148">
            <v>4012</v>
          </cell>
          <cell r="C148" t="str">
            <v>DE.1.0.7.0</v>
          </cell>
          <cell r="D148" t="str">
            <v>204:233080</v>
          </cell>
          <cell r="E148">
            <v>42615.034733796296</v>
          </cell>
          <cell r="F148">
            <v>42615.039571759262</v>
          </cell>
          <cell r="G148">
            <v>1</v>
          </cell>
          <cell r="H148" t="str">
            <v>204:63</v>
          </cell>
          <cell r="I148">
            <v>42615.064976851849</v>
          </cell>
          <cell r="J148">
            <v>0</v>
          </cell>
          <cell r="K148" t="str">
            <v>4011/4012</v>
          </cell>
          <cell r="L148" t="str">
            <v>STAMBAUGH</v>
          </cell>
          <cell r="M148">
            <v>2.5405092586879618E-2</v>
          </cell>
          <cell r="N148">
            <v>36.583333325106651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https://search-rtdc-monitor-bjffxe2xuh6vdkpspy63sjmuny.us-east-1.es.amazonaws.com/_plugin/kibana/#/discover/Steve-Slow-Train-Analysis-(2080s-and-2083s)?_g=(refreshInterval:(display:Off,section:0,value:0),time:(from:'2016-09-01 23:50:01-0600',mode:absolute,to:'2016-09-02 02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48" t="str">
            <v>N</v>
          </cell>
          <cell r="X148">
            <v>1</v>
          </cell>
          <cell r="Y148">
            <v>23.308</v>
          </cell>
          <cell r="Z148">
            <v>6.3E-3</v>
          </cell>
          <cell r="AA148">
            <v>23.3017</v>
          </cell>
          <cell r="AB148" t="e">
            <v>#N/A</v>
          </cell>
          <cell r="AC148" t="e">
            <v>#N/A</v>
          </cell>
          <cell r="AD148" t="str">
            <v>0242-01</v>
          </cell>
          <cell r="AE148" t="str">
            <v>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 &amp; 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</v>
          </cell>
        </row>
        <row r="149">
          <cell r="A149" t="str">
            <v>243-01</v>
          </cell>
          <cell r="B149">
            <v>4020</v>
          </cell>
          <cell r="C149" t="str">
            <v>DE.1.0.7.0</v>
          </cell>
          <cell r="D149" t="str">
            <v>204:444</v>
          </cell>
          <cell r="E149">
            <v>42615.015173611115</v>
          </cell>
          <cell r="F149">
            <v>42615.021157407406</v>
          </cell>
          <cell r="G149">
            <v>1</v>
          </cell>
          <cell r="H149" t="str">
            <v>204:233309</v>
          </cell>
          <cell r="I149">
            <v>42615.046643518515</v>
          </cell>
          <cell r="J149">
            <v>0</v>
          </cell>
          <cell r="K149" t="str">
            <v>4019/4020</v>
          </cell>
          <cell r="L149" t="str">
            <v>OUN</v>
          </cell>
          <cell r="M149">
            <v>2.548611110978527E-2</v>
          </cell>
          <cell r="N149">
            <v>36.699999998090789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https://search-rtdc-monitor-bjffxe2xuh6vdkpspy63sjmuny.us-east-1.es.amazonaws.com/_plugin/kibana/#/discover/Steve-Slow-Train-Analysis-(2080s-and-2083s)?_g=(refreshInterval:(display:Off,section:0,value:0),time:(from:'2016-09-01 23:21:51-0600',mode:absolute,to:'2016-09-02 02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49" t="str">
            <v>N</v>
          </cell>
          <cell r="X149">
            <v>1</v>
          </cell>
          <cell r="Y149">
            <v>4.4400000000000002E-2</v>
          </cell>
          <cell r="Z149">
            <v>23.3309</v>
          </cell>
          <cell r="AA149">
            <v>23.2865</v>
          </cell>
          <cell r="AB149" t="e">
            <v>#N/A</v>
          </cell>
          <cell r="AC149" t="e">
            <v>#N/A</v>
          </cell>
          <cell r="AD149" t="str">
            <v>0243-01</v>
          </cell>
          <cell r="AE149" t="str">
            <v>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 &amp; 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</v>
          </cell>
        </row>
        <row r="150">
          <cell r="A150" t="str">
            <v>244-01</v>
          </cell>
          <cell r="B150">
            <v>4019</v>
          </cell>
          <cell r="C150" t="str">
            <v>DE.1.0.7.0</v>
          </cell>
          <cell r="D150" t="str">
            <v>204:232990</v>
          </cell>
          <cell r="E150">
            <v>42615.053773148145</v>
          </cell>
          <cell r="F150">
            <v>42615.059918981482</v>
          </cell>
          <cell r="G150">
            <v>1</v>
          </cell>
          <cell r="H150" t="str">
            <v>204:139</v>
          </cell>
          <cell r="I150">
            <v>42615.08699074074</v>
          </cell>
          <cell r="J150">
            <v>0</v>
          </cell>
          <cell r="K150" t="str">
            <v>4019/4020</v>
          </cell>
          <cell r="L150" t="str">
            <v>OUN</v>
          </cell>
          <cell r="M150">
            <v>2.7071759257523809E-2</v>
          </cell>
          <cell r="N150">
            <v>38.983333330834284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https://search-rtdc-monitor-bjffxe2xuh6vdkpspy63sjmuny.us-east-1.es.amazonaws.com/_plugin/kibana/#/discover/Steve-Slow-Train-Analysis-(2080s-and-2083s)?_g=(refreshInterval:(display:Off,section:0,value:0),time:(from:'2016-09-02 00:17:26-0600',mode:absolute,to:'2016-09-02 03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50" t="str">
            <v>N</v>
          </cell>
          <cell r="X150">
            <v>1</v>
          </cell>
          <cell r="Y150">
            <v>23.298999999999999</v>
          </cell>
          <cell r="Z150">
            <v>1.3899999999999999E-2</v>
          </cell>
          <cell r="AA150">
            <v>23.2851</v>
          </cell>
          <cell r="AB150" t="e">
            <v>#N/A</v>
          </cell>
          <cell r="AC150" t="e">
            <v>#N/A</v>
          </cell>
          <cell r="AD150" t="str">
            <v>0244-01</v>
          </cell>
          <cell r="AE150" t="str">
            <v>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 &amp; 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</v>
          </cell>
        </row>
        <row r="151">
          <cell r="A151" t="str">
            <v>800-01</v>
          </cell>
          <cell r="B151">
            <v>4010</v>
          </cell>
          <cell r="C151" t="str">
            <v>DE.1.0.7.0</v>
          </cell>
          <cell r="D151" t="str">
            <v>300:58626</v>
          </cell>
          <cell r="E151">
            <v>42614.209988425922</v>
          </cell>
          <cell r="F151">
            <v>42614.214074074072</v>
          </cell>
          <cell r="G151">
            <v>1</v>
          </cell>
          <cell r="H151" t="str">
            <v>204:869</v>
          </cell>
          <cell r="I151">
            <v>42614.225173611114</v>
          </cell>
          <cell r="J151">
            <v>0</v>
          </cell>
          <cell r="K151" t="str">
            <v>4009/4010</v>
          </cell>
          <cell r="L151" t="str">
            <v>YORK</v>
          </cell>
          <cell r="M151">
            <v>1.1099537041445728E-2</v>
          </cell>
          <cell r="N151">
            <v>15.983333339681849</v>
          </cell>
          <cell r="S151">
            <v>1</v>
          </cell>
          <cell r="T151" t="str">
            <v>Southbound</v>
          </cell>
          <cell r="U151">
            <v>1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https://search-rtdc-monitor-bjffxe2xuh6vdkpspy63sjmuny.us-east-1.es.amazonaws.com/_plugin/kibana/#/discover/Steve-Slow-Train-Analysis-(2080s-and-2083s)?_g=(refreshInterval:(display:Off,section:0,value:0),time:(from:'2016-09-01 04:02:23-0600',mode:absolute,to:'2016-09-01 06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51" t="str">
            <v>N</v>
          </cell>
          <cell r="X151">
            <v>556</v>
          </cell>
          <cell r="Y151">
            <v>5.8625999999999996</v>
          </cell>
          <cell r="Z151">
            <v>8.6900000000000005E-2</v>
          </cell>
          <cell r="AA151">
            <v>5.7756999999999996</v>
          </cell>
          <cell r="AB151" t="e">
            <v>#N/A</v>
          </cell>
          <cell r="AC151" t="e">
            <v>#N/A</v>
          </cell>
          <cell r="AD151" t="str">
            <v>0800-01</v>
          </cell>
          <cell r="AE151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152">
          <cell r="A152" t="str">
            <v>801-01</v>
          </cell>
          <cell r="B152">
            <v>4009</v>
          </cell>
          <cell r="C152" t="str">
            <v>DE.1.0.7.0</v>
          </cell>
          <cell r="D152" t="str">
            <v>204:1172</v>
          </cell>
          <cell r="E152">
            <v>42614.227222222224</v>
          </cell>
          <cell r="F152">
            <v>42614.243935185186</v>
          </cell>
          <cell r="G152">
            <v>1</v>
          </cell>
          <cell r="H152" t="str">
            <v>300:58928</v>
          </cell>
          <cell r="I152">
            <v>42614.253113425926</v>
          </cell>
          <cell r="J152">
            <v>0</v>
          </cell>
          <cell r="K152" t="str">
            <v>4009/4010</v>
          </cell>
          <cell r="L152" t="str">
            <v>YORK</v>
          </cell>
          <cell r="M152">
            <v>9.1782407398568466E-3</v>
          </cell>
          <cell r="N152">
            <v>13.216666665393859</v>
          </cell>
          <cell r="S152">
            <v>1</v>
          </cell>
          <cell r="T152" t="str">
            <v>NorthBound</v>
          </cell>
          <cell r="U152">
            <v>1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https://search-rtdc-monitor-bjffxe2xuh6vdkpspy63sjmuny.us-east-1.es.amazonaws.com/_plugin/kibana/#/discover/Steve-Slow-Train-Analysis-(2080s-and-2083s)?_g=(refreshInterval:(display:Off,section:0,value:0),time:(from:'2016-09-01 04:27:12-0600',mode:absolute,to:'2016-09-01 07:04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52" t="str">
            <v>N</v>
          </cell>
          <cell r="X152">
            <v>1</v>
          </cell>
          <cell r="Y152">
            <v>0.1172</v>
          </cell>
          <cell r="Z152">
            <v>5.8928000000000003</v>
          </cell>
          <cell r="AA152">
            <v>5.7755999999999998</v>
          </cell>
          <cell r="AB152" t="e">
            <v>#N/A</v>
          </cell>
          <cell r="AC152" t="e">
            <v>#N/A</v>
          </cell>
          <cell r="AD152" t="str">
            <v>0801-01</v>
          </cell>
          <cell r="AE152" t="str">
    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    </cell>
        </row>
        <row r="153">
          <cell r="A153" t="str">
            <v>802-01</v>
          </cell>
          <cell r="B153">
            <v>4010</v>
          </cell>
          <cell r="C153" t="str">
            <v>DE.1.0.7.0</v>
          </cell>
          <cell r="D153" t="str">
            <v>300:58624</v>
          </cell>
          <cell r="E153">
            <v>42614.254155092596</v>
          </cell>
          <cell r="F153">
            <v>42614.257488425923</v>
          </cell>
          <cell r="G153">
            <v>1</v>
          </cell>
          <cell r="H153" t="str">
            <v>204:869</v>
          </cell>
          <cell r="I153">
            <v>42614.268252314818</v>
          </cell>
          <cell r="J153">
            <v>0</v>
          </cell>
          <cell r="K153" t="str">
            <v>4009/4010</v>
          </cell>
          <cell r="L153" t="str">
            <v>YORK</v>
          </cell>
          <cell r="M153">
            <v>1.0763888894871343E-2</v>
          </cell>
          <cell r="N153">
            <v>15.500000008614734</v>
          </cell>
          <cell r="S153">
            <v>1</v>
          </cell>
          <cell r="T153" t="str">
            <v>Southbound</v>
          </cell>
          <cell r="U153">
            <v>1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https://search-rtdc-monitor-bjffxe2xuh6vdkpspy63sjmuny.us-east-1.es.amazonaws.com/_plugin/kibana/#/discover/Steve-Slow-Train-Analysis-(2080s-and-2083s)?_g=(refreshInterval:(display:Off,section:0,value:0),time:(from:'2016-09-01 05:05:59-0600',mode:absolute,to:'2016-09-01 07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53" t="str">
            <v>N</v>
          </cell>
          <cell r="X153">
            <v>1</v>
          </cell>
          <cell r="Y153">
            <v>5.8624000000000001</v>
          </cell>
          <cell r="Z153">
            <v>8.6900000000000005E-2</v>
          </cell>
          <cell r="AA153">
            <v>5.7755000000000001</v>
          </cell>
          <cell r="AB153" t="e">
            <v>#N/A</v>
          </cell>
          <cell r="AC153" t="e">
            <v>#N/A</v>
          </cell>
          <cell r="AD153" t="str">
            <v>0802-01</v>
          </cell>
          <cell r="AE153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154">
          <cell r="A154" t="str">
            <v>803-01</v>
          </cell>
          <cell r="B154">
            <v>4014</v>
          </cell>
          <cell r="C154" t="str">
            <v>DE.1.0.7.0</v>
          </cell>
          <cell r="D154" t="str">
            <v>204:962</v>
          </cell>
          <cell r="E154">
            <v>42614.258587962962</v>
          </cell>
          <cell r="F154">
            <v>42614.264791666668</v>
          </cell>
          <cell r="G154">
            <v>1</v>
          </cell>
          <cell r="H154" t="str">
            <v>300:58990</v>
          </cell>
          <cell r="I154">
            <v>42614.274467592593</v>
          </cell>
          <cell r="J154">
            <v>0</v>
          </cell>
          <cell r="K154" t="str">
            <v>4013/4014</v>
          </cell>
          <cell r="L154" t="str">
            <v>GEBRETEKLE</v>
          </cell>
          <cell r="M154">
            <v>9.6759259249665774E-3</v>
          </cell>
          <cell r="N154">
            <v>13.933333331951872</v>
          </cell>
          <cell r="S154">
            <v>1</v>
          </cell>
          <cell r="T154" t="str">
            <v>NorthBound</v>
          </cell>
          <cell r="U154">
            <v>1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https://search-rtdc-monitor-bjffxe2xuh6vdkpspy63sjmuny.us-east-1.es.amazonaws.com/_plugin/kibana/#/discover/Steve-Slow-Train-Analysis-(2080s-and-2083s)?_g=(refreshInterval:(display:Off,section:0,value:0),time:(from:'2016-09-01 05:12:22-0600',mode:absolute,to:'2016-09-01 07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54" t="str">
            <v>N</v>
          </cell>
          <cell r="X154">
            <v>1</v>
          </cell>
          <cell r="Y154">
            <v>9.6199999999999994E-2</v>
          </cell>
          <cell r="Z154">
            <v>5.899</v>
          </cell>
          <cell r="AA154">
            <v>5.8028000000000004</v>
          </cell>
          <cell r="AB154" t="e">
            <v>#N/A</v>
          </cell>
          <cell r="AC154" t="e">
            <v>#N/A</v>
          </cell>
          <cell r="AD154" t="str">
            <v>0803-01</v>
          </cell>
          <cell r="AE154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55">
          <cell r="A155" t="str">
            <v>804-01</v>
          </cell>
          <cell r="B155">
            <v>4013</v>
          </cell>
          <cell r="C155" t="str">
            <v>DE.1.0.7.0</v>
          </cell>
          <cell r="D155" t="str">
            <v>300:58666</v>
          </cell>
          <cell r="E155">
            <v>42614.275879629633</v>
          </cell>
          <cell r="F155">
            <v>42614.277581018519</v>
          </cell>
          <cell r="G155">
            <v>1</v>
          </cell>
          <cell r="H155" t="str">
            <v>204:724</v>
          </cell>
          <cell r="I155">
            <v>42614.288576388892</v>
          </cell>
          <cell r="J155">
            <v>0</v>
          </cell>
          <cell r="K155" t="str">
            <v>4013/4014</v>
          </cell>
          <cell r="L155" t="str">
            <v>GEBRETEKLE</v>
          </cell>
          <cell r="M155">
            <v>1.099537037225673E-2</v>
          </cell>
          <cell r="N155">
            <v>15.833333336049691</v>
          </cell>
          <cell r="S155">
            <v>1</v>
          </cell>
          <cell r="T155" t="str">
            <v>Southbound</v>
          </cell>
          <cell r="U155">
            <v>1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https://search-rtdc-monitor-bjffxe2xuh6vdkpspy63sjmuny.us-east-1.es.amazonaws.com/_plugin/kibana/#/discover/Steve-Slow-Train-Analysis-(2080s-and-2083s)?_g=(refreshInterval:(display:Off,section:0,value:0),time:(from:'2016-09-01 05:37:16-0600',mode:absolute,to:'2016-09-01 07:55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55" t="str">
            <v>N</v>
          </cell>
          <cell r="X155">
            <v>1</v>
          </cell>
          <cell r="Y155">
            <v>5.8666</v>
          </cell>
          <cell r="Z155">
            <v>7.2400000000000006E-2</v>
          </cell>
          <cell r="AA155">
            <v>5.7942</v>
          </cell>
          <cell r="AB155" t="e">
            <v>#N/A</v>
          </cell>
          <cell r="AC155" t="e">
            <v>#N/A</v>
          </cell>
          <cell r="AD155" t="str">
            <v>0804-01</v>
          </cell>
          <cell r="AE155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56">
          <cell r="A156" t="str">
            <v>805-01</v>
          </cell>
          <cell r="B156">
            <v>4009</v>
          </cell>
          <cell r="C156" t="str">
            <v>DE.1.0.7.0</v>
          </cell>
          <cell r="D156" t="str">
            <v>204:1174</v>
          </cell>
          <cell r="E156">
            <v>42614.269988425927</v>
          </cell>
          <cell r="F156">
            <v>42614.28564814815</v>
          </cell>
          <cell r="G156">
            <v>1</v>
          </cell>
          <cell r="H156" t="str">
            <v>300:58931</v>
          </cell>
          <cell r="I156">
            <v>42614.294814814813</v>
          </cell>
          <cell r="J156">
            <v>0</v>
          </cell>
          <cell r="K156" t="str">
            <v>4009/4010</v>
          </cell>
          <cell r="L156" t="str">
            <v>YORK</v>
          </cell>
          <cell r="M156">
            <v>9.1666666630771942E-3</v>
          </cell>
          <cell r="N156">
            <v>13.19999999483116</v>
          </cell>
          <cell r="S156">
            <v>1</v>
          </cell>
          <cell r="T156" t="str">
            <v>NorthBound</v>
          </cell>
          <cell r="U156">
            <v>1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https://search-rtdc-monitor-bjffxe2xuh6vdkpspy63sjmuny.us-east-1.es.amazonaws.com/_plugin/kibana/#/discover/Steve-Slow-Train-Analysis-(2080s-and-2083s)?_g=(refreshInterval:(display:Off,section:0,value:0),time:(from:'2016-09-01 05:28:47-0600',mode:absolute,to:'2016-09-01 08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56" t="str">
            <v>N</v>
          </cell>
          <cell r="X156">
            <v>1</v>
          </cell>
          <cell r="Y156">
            <v>0.1174</v>
          </cell>
          <cell r="Z156">
            <v>5.8930999999999996</v>
          </cell>
          <cell r="AA156">
            <v>5.7756999999999996</v>
          </cell>
          <cell r="AB156" t="e">
            <v>#N/A</v>
          </cell>
          <cell r="AC156" t="e">
            <v>#N/A</v>
          </cell>
          <cell r="AD156" t="str">
            <v>0805-01</v>
          </cell>
          <cell r="AE156" t="str">
    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    </cell>
        </row>
        <row r="157">
          <cell r="A157" t="str">
            <v>806-01</v>
          </cell>
          <cell r="B157">
            <v>4010</v>
          </cell>
          <cell r="C157" t="str">
            <v>DE.1.0.7.0</v>
          </cell>
          <cell r="D157" t="str">
            <v>300:58623</v>
          </cell>
          <cell r="E157">
            <v>42614.296273148146</v>
          </cell>
          <cell r="F157">
            <v>42614.298368055555</v>
          </cell>
          <cell r="G157">
            <v>0</v>
          </cell>
          <cell r="H157" t="str">
            <v>204:845</v>
          </cell>
          <cell r="I157">
            <v>42614.30940972222</v>
          </cell>
          <cell r="J157">
            <v>0</v>
          </cell>
          <cell r="K157" t="str">
            <v>4009/4010</v>
          </cell>
          <cell r="L157" t="str">
            <v>YORK</v>
          </cell>
          <cell r="M157">
            <v>1.1041666664823424E-2</v>
          </cell>
          <cell r="N157">
            <v>15.899999997345731</v>
          </cell>
          <cell r="S157">
            <v>1</v>
          </cell>
          <cell r="T157" t="str">
            <v>Southbound</v>
          </cell>
          <cell r="U157">
            <v>1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https://search-rtdc-monitor-bjffxe2xuh6vdkpspy63sjmuny.us-east-1.es.amazonaws.com/_plugin/kibana/#/discover/Steve-Slow-Train-Analysis-(2080s-and-2083s)?_g=(refreshInterval:(display:Off,section:0,value:0),time:(from:'2016-09-01 06:06:38-0600',mode:absolute,to:'2016-09-01 08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57" t="str">
            <v>N</v>
          </cell>
          <cell r="X157">
            <v>1</v>
          </cell>
          <cell r="Y157">
            <v>5.8623000000000003</v>
          </cell>
          <cell r="Z157">
            <v>8.4500000000000006E-2</v>
          </cell>
          <cell r="AA157">
            <v>5.7778</v>
          </cell>
          <cell r="AB157" t="e">
            <v>#N/A</v>
          </cell>
          <cell r="AC157" t="e">
            <v>#N/A</v>
          </cell>
          <cell r="AD157" t="str">
            <v>0806-01</v>
          </cell>
          <cell r="AE157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158">
          <cell r="A158" t="str">
            <v>807-01</v>
          </cell>
          <cell r="B158">
            <v>4014</v>
          </cell>
          <cell r="C158" t="str">
            <v>DE.1.0.7.0</v>
          </cell>
          <cell r="D158" t="str">
            <v>204:981</v>
          </cell>
          <cell r="E158">
            <v>42614.304849537039</v>
          </cell>
          <cell r="F158">
            <v>42614.306469907409</v>
          </cell>
          <cell r="G158">
            <v>1</v>
          </cell>
          <cell r="H158" t="str">
            <v>300:58993</v>
          </cell>
          <cell r="I158">
            <v>42614.316018518519</v>
          </cell>
          <cell r="J158">
            <v>0</v>
          </cell>
          <cell r="K158" t="str">
            <v>4013/4014</v>
          </cell>
          <cell r="L158" t="str">
            <v>BEAM</v>
          </cell>
          <cell r="M158">
            <v>9.5486111094942316E-3</v>
          </cell>
          <cell r="N158">
            <v>13.749999997671694</v>
          </cell>
          <cell r="S158">
            <v>1</v>
          </cell>
          <cell r="T158" t="str">
            <v>NorthBound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https://search-rtdc-monitor-bjffxe2xuh6vdkpspy63sjmuny.us-east-1.es.amazonaws.com/_plugin/kibana/#/discover/Steve-Slow-Train-Analysis-(2080s-and-2083s)?_g=(refreshInterval:(display:Off,section:0,value:0),time:(from:'2016-09-01 06:18:59-0600',mode:absolute,to:'2016-09-01 08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58" t="str">
            <v>N</v>
          </cell>
          <cell r="X158">
            <v>1</v>
          </cell>
          <cell r="Y158">
            <v>9.8100000000000007E-2</v>
          </cell>
          <cell r="Z158">
            <v>5.8993000000000002</v>
          </cell>
          <cell r="AA158">
            <v>5.8012000000000006</v>
          </cell>
          <cell r="AB158" t="e">
            <v>#N/A</v>
          </cell>
          <cell r="AC158" t="e">
            <v>#N/A</v>
          </cell>
          <cell r="AD158" t="str">
            <v>0807-01</v>
          </cell>
          <cell r="AE158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59">
          <cell r="A159" t="str">
            <v>808-01</v>
          </cell>
          <cell r="B159">
            <v>4013</v>
          </cell>
          <cell r="C159" t="str">
            <v>DE.1.0.7.0</v>
          </cell>
          <cell r="D159" t="str">
            <v>300:58677</v>
          </cell>
          <cell r="E159">
            <v>42614.317083333335</v>
          </cell>
          <cell r="F159">
            <v>42614.318460648145</v>
          </cell>
          <cell r="G159">
            <v>1</v>
          </cell>
          <cell r="H159" t="str">
            <v>204:789</v>
          </cell>
          <cell r="I159">
            <v>42614.330578703702</v>
          </cell>
          <cell r="J159">
            <v>0</v>
          </cell>
          <cell r="K159" t="str">
            <v>4013/4014</v>
          </cell>
          <cell r="L159" t="str">
            <v>BEAM</v>
          </cell>
          <cell r="M159">
            <v>1.2118055557948537E-2</v>
          </cell>
          <cell r="N159">
            <v>17.450000003445894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https://search-rtdc-monitor-bjffxe2xuh6vdkpspy63sjmuny.us-east-1.es.amazonaws.com/_plugin/kibana/#/discover/Steve-Slow-Train-Analysis-(2080s-and-2083s)?_g=(refreshInterval:(display:Off,section:0,value:0),time:(from:'2016-09-01 06:36:36-0600',mode:absolute,to:'2016-09-01 08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59" t="str">
            <v>N</v>
          </cell>
          <cell r="X159">
            <v>1</v>
          </cell>
          <cell r="Y159">
            <v>5.8677000000000001</v>
          </cell>
          <cell r="Z159">
            <v>7.8899999999999998E-2</v>
          </cell>
          <cell r="AA159">
            <v>5.7888000000000002</v>
          </cell>
          <cell r="AB159" t="e">
            <v>#N/A</v>
          </cell>
          <cell r="AC159" t="e">
            <v>#N/A</v>
          </cell>
          <cell r="AD159" t="str">
            <v>0808-01</v>
          </cell>
          <cell r="AE159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60">
          <cell r="A160" t="str">
            <v>809-01</v>
          </cell>
          <cell r="B160">
            <v>4009</v>
          </cell>
          <cell r="C160" t="str">
            <v>DE.1.0.7.0</v>
          </cell>
          <cell r="D160" t="str">
            <v>204:1123</v>
          </cell>
          <cell r="E160">
            <v>42614.311412037037</v>
          </cell>
          <cell r="F160">
            <v>42614.327303240738</v>
          </cell>
          <cell r="G160">
            <v>1</v>
          </cell>
          <cell r="H160" t="str">
            <v>300:58944</v>
          </cell>
          <cell r="I160">
            <v>42614.336458333331</v>
          </cell>
          <cell r="J160">
            <v>0</v>
          </cell>
          <cell r="K160" t="str">
            <v>4009/4010</v>
          </cell>
          <cell r="L160" t="str">
            <v>YORK</v>
          </cell>
          <cell r="M160">
            <v>9.1550925935734995E-3</v>
          </cell>
          <cell r="N160">
            <v>13.183333334745839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https://search-rtdc-monitor-bjffxe2xuh6vdkpspy63sjmuny.us-east-1.es.amazonaws.com/_plugin/kibana/#/discover/Steve-Slow-Train-Analysis-(2080s-and-2083s)?_g=(refreshInterval:(display:Off,section:0,value:0),time:(from:'2016-09-01 06:28:26-0600',mode:absolute,to:'2016-09-01 09:04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60" t="str">
            <v>N</v>
          </cell>
          <cell r="X160">
            <v>1</v>
          </cell>
          <cell r="Y160">
            <v>0.1123</v>
          </cell>
          <cell r="Z160">
            <v>5.8944000000000001</v>
          </cell>
          <cell r="AA160">
            <v>5.7820999999999998</v>
          </cell>
          <cell r="AB160" t="e">
            <v>#N/A</v>
          </cell>
          <cell r="AC160" t="e">
            <v>#N/A</v>
          </cell>
          <cell r="AD160" t="str">
            <v>0809-01</v>
          </cell>
          <cell r="AE160" t="str">
    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    </cell>
        </row>
        <row r="161">
          <cell r="A161" t="str">
            <v>810-01</v>
          </cell>
          <cell r="B161">
            <v>4010</v>
          </cell>
          <cell r="C161" t="str">
            <v>DE.1.0.7.0</v>
          </cell>
          <cell r="D161" t="str">
            <v>300:58623</v>
          </cell>
          <cell r="E161">
            <v>42614.33761574074</v>
          </cell>
          <cell r="F161">
            <v>42614.340277777781</v>
          </cell>
          <cell r="G161">
            <v>1</v>
          </cell>
          <cell r="H161" t="str">
            <v>204:892</v>
          </cell>
          <cell r="I161">
            <v>42614.351805555554</v>
          </cell>
          <cell r="J161">
            <v>0</v>
          </cell>
          <cell r="K161" t="str">
            <v>4009/4010</v>
          </cell>
          <cell r="L161" t="str">
            <v>YORK</v>
          </cell>
          <cell r="M161">
            <v>1.1527777773153502E-2</v>
          </cell>
          <cell r="N161">
            <v>16.599999993341044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https://search-rtdc-monitor-bjffxe2xuh6vdkpspy63sjmuny.us-east-1.es.amazonaws.com/_plugin/kibana/#/discover/Steve-Slow-Train-Analysis-(2080s-and-2083s)?_g=(refreshInterval:(display:Off,section:0,value:0),time:(from:'2016-09-01 07:06:10-0600',mode:absolute,to:'2016-09-01 09:26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61" t="str">
            <v>N</v>
          </cell>
          <cell r="X161">
            <v>1</v>
          </cell>
          <cell r="Y161">
            <v>5.8623000000000003</v>
          </cell>
          <cell r="Z161">
            <v>8.9200000000000002E-2</v>
          </cell>
          <cell r="AA161">
            <v>5.7731000000000003</v>
          </cell>
          <cell r="AB161" t="e">
            <v>#N/A</v>
          </cell>
          <cell r="AC161" t="e">
            <v>#N/A</v>
          </cell>
          <cell r="AD161" t="str">
            <v>0810-01</v>
          </cell>
          <cell r="AE161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162">
          <cell r="A162" t="str">
            <v>811-01</v>
          </cell>
          <cell r="B162">
            <v>4014</v>
          </cell>
          <cell r="C162" t="str">
            <v>DE.1.0.7.0</v>
          </cell>
          <cell r="D162" t="str">
            <v>204:1070</v>
          </cell>
          <cell r="E162">
            <v>42614.343101851853</v>
          </cell>
          <cell r="F162">
            <v>42614.348113425927</v>
          </cell>
          <cell r="G162">
            <v>1</v>
          </cell>
          <cell r="H162" t="str">
            <v>300:59001</v>
          </cell>
          <cell r="I162">
            <v>42614.357673611114</v>
          </cell>
          <cell r="J162">
            <v>0</v>
          </cell>
          <cell r="K162" t="str">
            <v>4013/4014</v>
          </cell>
          <cell r="L162" t="str">
            <v>BEAM</v>
          </cell>
          <cell r="M162">
            <v>9.560185186273884E-3</v>
          </cell>
          <cell r="N162">
            <v>13.766666668234393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https://search-rtdc-monitor-bjffxe2xuh6vdkpspy63sjmuny.us-east-1.es.amazonaws.com/_plugin/kibana/#/discover/Steve-Slow-Train-Analysis-(2080s-and-2083s)?_g=(refreshInterval:(display:Off,section:0,value:0),time:(from:'2016-09-01 07:14:04-0600',mode:absolute,to:'2016-09-01 09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62" t="str">
            <v>N</v>
          </cell>
          <cell r="X162">
            <v>1</v>
          </cell>
          <cell r="Y162">
            <v>0.107</v>
          </cell>
          <cell r="Z162">
            <v>5.9001000000000001</v>
          </cell>
          <cell r="AA162">
            <v>5.7930999999999999</v>
          </cell>
          <cell r="AB162" t="e">
            <v>#N/A</v>
          </cell>
          <cell r="AC162" t="e">
            <v>#N/A</v>
          </cell>
          <cell r="AD162" t="str">
            <v>0811-01</v>
          </cell>
          <cell r="AE162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63">
          <cell r="A163" t="str">
            <v>812-01</v>
          </cell>
          <cell r="B163">
            <v>4013</v>
          </cell>
          <cell r="C163" t="str">
            <v>DE.1.0.7.0</v>
          </cell>
          <cell r="D163" t="str">
            <v>300:58687</v>
          </cell>
          <cell r="E163">
            <v>42614.35864583333</v>
          </cell>
          <cell r="F163">
            <v>42614.359942129631</v>
          </cell>
          <cell r="G163">
            <v>0</v>
          </cell>
          <cell r="H163" t="str">
            <v>204:792</v>
          </cell>
          <cell r="I163">
            <v>42614.371412037035</v>
          </cell>
          <cell r="J163">
            <v>0</v>
          </cell>
          <cell r="K163" t="str">
            <v>4013/4014</v>
          </cell>
          <cell r="L163" t="str">
            <v>BEAM</v>
          </cell>
          <cell r="M163">
            <v>1.1469907403807156E-2</v>
          </cell>
          <cell r="N163">
            <v>16.516666661482304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https://search-rtdc-monitor-bjffxe2xuh6vdkpspy63sjmuny.us-east-1.es.amazonaws.com/_plugin/kibana/#/discover/Steve-Slow-Train-Analysis-(2080s-and-2083s)?_g=(refreshInterval:(display:Off,section:0,value:0),time:(from:'2016-09-01 07:36:27-0600',mode:absolute,to:'2016-09-01 09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63" t="str">
            <v>N</v>
          </cell>
          <cell r="X163">
            <v>1</v>
          </cell>
          <cell r="Y163">
            <v>5.8686999999999996</v>
          </cell>
          <cell r="Z163">
            <v>7.9200000000000007E-2</v>
          </cell>
          <cell r="AA163">
            <v>5.7894999999999994</v>
          </cell>
          <cell r="AB163" t="e">
            <v>#N/A</v>
          </cell>
          <cell r="AC163" t="e">
            <v>#N/A</v>
          </cell>
          <cell r="AD163" t="str">
            <v>0812-01</v>
          </cell>
          <cell r="AE163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64">
          <cell r="A164" t="str">
            <v>813-01</v>
          </cell>
          <cell r="B164">
            <v>4014</v>
          </cell>
          <cell r="C164" t="str">
            <v>DE.1.0.7.0</v>
          </cell>
          <cell r="D164" t="str">
            <v>204:1076</v>
          </cell>
          <cell r="E164">
            <v>42614.385104166664</v>
          </cell>
          <cell r="F164">
            <v>42614.389768518522</v>
          </cell>
          <cell r="G164">
            <v>1</v>
          </cell>
          <cell r="H164" t="str">
            <v>300:58973</v>
          </cell>
          <cell r="I164">
            <v>42614.399236111109</v>
          </cell>
          <cell r="J164">
            <v>0</v>
          </cell>
          <cell r="K164" t="str">
            <v>4013/4014</v>
          </cell>
          <cell r="L164" t="str">
            <v>GEBRETEKLE</v>
          </cell>
          <cell r="M164">
            <v>9.4675925865885802E-3</v>
          </cell>
          <cell r="N164">
            <v>13.633333324687555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https://search-rtdc-monitor-bjffxe2xuh6vdkpspy63sjmuny.us-east-1.es.amazonaws.com/_plugin/kibana/#/discover/Steve-Slow-Train-Analysis-(2080s-and-2083s)?_g=(refreshInterval:(display:Off,section:0,value:0),time:(from:'2016-09-01 08:14:33-0600',mode:absolute,to:'2016-09-01 10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64" t="str">
            <v>N</v>
          </cell>
          <cell r="X164">
            <v>1</v>
          </cell>
          <cell r="Y164">
            <v>0.1076</v>
          </cell>
          <cell r="Z164">
            <v>5.8973000000000004</v>
          </cell>
          <cell r="AA164">
            <v>5.7897000000000007</v>
          </cell>
          <cell r="AB164" t="e">
            <v>#N/A</v>
          </cell>
          <cell r="AC164" t="e">
            <v>#N/A</v>
          </cell>
          <cell r="AD164" t="str">
            <v>0813-01</v>
          </cell>
          <cell r="AE164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65">
          <cell r="A165" t="str">
            <v>814-01</v>
          </cell>
          <cell r="B165">
            <v>4013</v>
          </cell>
          <cell r="C165" t="str">
            <v>DE.1.0.7.0</v>
          </cell>
          <cell r="D165" t="str">
            <v>300:58662</v>
          </cell>
          <cell r="E165">
            <v>42614.400914351849</v>
          </cell>
          <cell r="F165">
            <v>42614.402905092589</v>
          </cell>
          <cell r="G165">
            <v>1</v>
          </cell>
          <cell r="H165" t="str">
            <v>204:698</v>
          </cell>
          <cell r="I165">
            <v>42614.412951388891</v>
          </cell>
          <cell r="J165">
            <v>0</v>
          </cell>
          <cell r="K165" t="str">
            <v>4013/4014</v>
          </cell>
          <cell r="L165" t="str">
            <v>GEBRETEKLE</v>
          </cell>
          <cell r="M165">
            <v>1.004629630187992E-2</v>
          </cell>
          <cell r="N165">
            <v>14.466666674707085</v>
          </cell>
          <cell r="S165">
            <v>1</v>
          </cell>
          <cell r="T165" t="str">
            <v>Southbound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https://search-rtdc-monitor-bjffxe2xuh6vdkpspy63sjmuny.us-east-1.es.amazonaws.com/_plugin/kibana/#/discover/Steve-Slow-Train-Analysis-(2080s-and-2083s)?_g=(refreshInterval:(display:Off,section:0,value:0),time:(from:'2016-09-01 08:37:19-0600',mode:absolute,to:'2016-09-01 10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65" t="str">
            <v>N</v>
          </cell>
          <cell r="X165">
            <v>1</v>
          </cell>
          <cell r="Y165">
            <v>5.8662000000000001</v>
          </cell>
          <cell r="Z165">
            <v>6.9800000000000001E-2</v>
          </cell>
          <cell r="AA165">
            <v>5.7964000000000002</v>
          </cell>
          <cell r="AB165" t="e">
            <v>#N/A</v>
          </cell>
          <cell r="AC165" t="e">
            <v>#N/A</v>
          </cell>
          <cell r="AD165" t="str">
            <v>0814-01</v>
          </cell>
          <cell r="AE165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66">
          <cell r="A166" t="str">
            <v>815-01</v>
          </cell>
          <cell r="B166">
            <v>4014</v>
          </cell>
          <cell r="C166" t="str">
            <v>DE.1.0.7.0</v>
          </cell>
          <cell r="D166" t="str">
            <v>204:972</v>
          </cell>
          <cell r="E166">
            <v>42614.429236111115</v>
          </cell>
          <cell r="F166">
            <v>42614.431435185186</v>
          </cell>
          <cell r="G166">
            <v>1</v>
          </cell>
          <cell r="H166" t="str">
            <v>300:58992</v>
          </cell>
          <cell r="I166">
            <v>42614.441041666665</v>
          </cell>
          <cell r="J166">
            <v>0</v>
          </cell>
          <cell r="K166" t="str">
            <v>4013/4014</v>
          </cell>
          <cell r="L166" t="str">
            <v>GEBRETEKLE</v>
          </cell>
          <cell r="M166">
            <v>9.6064814788405783E-3</v>
          </cell>
          <cell r="N166">
            <v>13.833333329530433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https://search-rtdc-monitor-bjffxe2xuh6vdkpspy63sjmuny.us-east-1.es.amazonaws.com/_plugin/kibana/#/discover/Steve-Slow-Train-Analysis-(2080s-and-2083s)?_g=(refreshInterval:(display:Off,section:0,value:0),time:(from:'2016-09-01 09:18:06-0600',mode:absolute,to:'2016-09-01 11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66" t="str">
            <v>N</v>
          </cell>
          <cell r="X166">
            <v>1</v>
          </cell>
          <cell r="Y166">
            <v>9.7199999999999995E-2</v>
          </cell>
          <cell r="Z166">
            <v>5.8992000000000004</v>
          </cell>
          <cell r="AA166">
            <v>5.8020000000000005</v>
          </cell>
          <cell r="AB166" t="e">
            <v>#N/A</v>
          </cell>
          <cell r="AC166" t="e">
            <v>#N/A</v>
          </cell>
          <cell r="AD166" t="str">
            <v>0815-01</v>
          </cell>
          <cell r="AE166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67">
          <cell r="A167" t="str">
            <v>816-01</v>
          </cell>
          <cell r="B167">
            <v>4013</v>
          </cell>
          <cell r="C167" t="str">
            <v>DE.1.0.7.0</v>
          </cell>
          <cell r="D167" t="str">
            <v>300:58668</v>
          </cell>
          <cell r="E167">
            <v>42614.442615740743</v>
          </cell>
          <cell r="F167">
            <v>42614.44427083333</v>
          </cell>
          <cell r="G167">
            <v>1</v>
          </cell>
          <cell r="H167" t="str">
            <v>204:678</v>
          </cell>
          <cell r="I167">
            <v>42614.454641203702</v>
          </cell>
          <cell r="J167">
            <v>0</v>
          </cell>
          <cell r="K167" t="str">
            <v>4013/4014</v>
          </cell>
          <cell r="L167" t="str">
            <v>GEBRETEKLE</v>
          </cell>
          <cell r="M167">
            <v>1.0370370371674653E-2</v>
          </cell>
          <cell r="N167">
            <v>14.933333335211501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https://search-rtdc-monitor-bjffxe2xuh6vdkpspy63sjmuny.us-east-1.es.amazonaws.com/_plugin/kibana/#/discover/Steve-Slow-Train-Analysis-(2080s-and-2083s)?_g=(refreshInterval:(display:Off,section:0,value:0),time:(from:'2016-09-01 09:37:22-0600',mode:absolute,to:'2016-09-01 11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67" t="str">
            <v>N</v>
          </cell>
          <cell r="X167">
            <v>1</v>
          </cell>
          <cell r="Y167">
            <v>5.8667999999999996</v>
          </cell>
          <cell r="Z167">
            <v>6.7799999999999999E-2</v>
          </cell>
          <cell r="AA167">
            <v>5.7989999999999995</v>
          </cell>
          <cell r="AB167" t="e">
            <v>#N/A</v>
          </cell>
          <cell r="AC167" t="e">
            <v>#N/A</v>
          </cell>
          <cell r="AD167" t="str">
            <v>0816-01</v>
          </cell>
          <cell r="AE167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68">
          <cell r="A168" t="str">
            <v>817-01</v>
          </cell>
          <cell r="B168">
            <v>4014</v>
          </cell>
          <cell r="C168" t="str">
            <v>DE.1.0.7.0</v>
          </cell>
          <cell r="D168" t="str">
            <v>204:979</v>
          </cell>
          <cell r="E168">
            <v>42614.470972222225</v>
          </cell>
          <cell r="F168">
            <v>42614.473067129627</v>
          </cell>
          <cell r="G168">
            <v>1</v>
          </cell>
          <cell r="H168" t="str">
            <v>300:58971</v>
          </cell>
          <cell r="I168">
            <v>42614.483217592591</v>
          </cell>
          <cell r="J168">
            <v>0</v>
          </cell>
          <cell r="K168" t="str">
            <v>4013/4014</v>
          </cell>
          <cell r="L168" t="str">
            <v>GEBRETEKLE</v>
          </cell>
          <cell r="M168">
            <v>1.0150462963792961E-2</v>
          </cell>
          <cell r="N168">
            <v>14.616666667861864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https://search-rtdc-monitor-bjffxe2xuh6vdkpspy63sjmuny.us-east-1.es.amazonaws.com/_plugin/kibana/#/discover/Steve-Slow-Train-Analysis-(2080s-and-2083s)?_g=(refreshInterval:(display:Off,section:0,value:0),time:(from:'2016-09-01 10:18:12-0600',mode:absolute,to:'2016-09-01 12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68" t="str">
            <v>N</v>
          </cell>
          <cell r="X168">
            <v>1</v>
          </cell>
          <cell r="Y168">
            <v>9.7900000000000001E-2</v>
          </cell>
          <cell r="Z168">
            <v>5.8971</v>
          </cell>
          <cell r="AA168">
            <v>5.7991999999999999</v>
          </cell>
          <cell r="AB168" t="e">
            <v>#N/A</v>
          </cell>
          <cell r="AC168" t="e">
            <v>#N/A</v>
          </cell>
          <cell r="AD168" t="str">
            <v>0817-01</v>
          </cell>
          <cell r="AE168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69">
          <cell r="A169" t="str">
            <v>818-01</v>
          </cell>
          <cell r="B169">
            <v>4013</v>
          </cell>
          <cell r="C169" t="str">
            <v>DE.1.0.7.0</v>
          </cell>
          <cell r="D169" t="str">
            <v>300:58655</v>
          </cell>
          <cell r="E169">
            <v>42614.484583333331</v>
          </cell>
          <cell r="F169">
            <v>42614.486331018517</v>
          </cell>
          <cell r="G169">
            <v>1</v>
          </cell>
          <cell r="H169" t="str">
            <v>204:699</v>
          </cell>
          <cell r="I169">
            <v>42614.49664351852</v>
          </cell>
          <cell r="J169">
            <v>0</v>
          </cell>
          <cell r="K169" t="str">
            <v>4013/4014</v>
          </cell>
          <cell r="L169" t="str">
            <v>GEBRETEKLE</v>
          </cell>
          <cell r="M169">
            <v>1.0312500002328306E-2</v>
          </cell>
          <cell r="N169">
            <v>14.850000003352761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https://search-rtdc-monitor-bjffxe2xuh6vdkpspy63sjmuny.us-east-1.es.amazonaws.com/_plugin/kibana/#/discover/Steve-Slow-Train-Analysis-(2080s-and-2083s)?_g=(refreshInterval:(display:Off,section:0,value:0),time:(from:'2016-09-01 10:37:48-0600',mode:absolute,to:'2016-09-01 12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69" t="str">
            <v>N</v>
          </cell>
          <cell r="X169">
            <v>1</v>
          </cell>
          <cell r="Y169">
            <v>5.8654999999999999</v>
          </cell>
          <cell r="Z169">
            <v>6.9900000000000004E-2</v>
          </cell>
          <cell r="AA169">
            <v>5.7956000000000003</v>
          </cell>
          <cell r="AB169" t="e">
            <v>#N/A</v>
          </cell>
          <cell r="AC169" t="e">
            <v>#N/A</v>
          </cell>
          <cell r="AD169" t="str">
            <v>0818-01</v>
          </cell>
          <cell r="AE169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70">
          <cell r="A170" t="str">
            <v>819-01</v>
          </cell>
          <cell r="B170">
            <v>4014</v>
          </cell>
          <cell r="C170" t="str">
            <v>DE.1.0.7.0</v>
          </cell>
          <cell r="D170" t="str">
            <v>204:978</v>
          </cell>
          <cell r="E170">
            <v>42614.512048611112</v>
          </cell>
          <cell r="F170">
            <v>42614.514745370368</v>
          </cell>
          <cell r="G170">
            <v>1</v>
          </cell>
          <cell r="H170" t="str">
            <v>300:58984</v>
          </cell>
          <cell r="I170">
            <v>42614.52449074074</v>
          </cell>
          <cell r="J170">
            <v>0</v>
          </cell>
          <cell r="K170" t="str">
            <v>4013/4014</v>
          </cell>
          <cell r="L170" t="str">
            <v>GEBRETEKLE</v>
          </cell>
          <cell r="M170">
            <v>9.7453703710925765E-3</v>
          </cell>
          <cell r="N170">
            <v>14.03333333437331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https://search-rtdc-monitor-bjffxe2xuh6vdkpspy63sjmuny.us-east-1.es.amazonaws.com/_plugin/kibana/#/discover/Steve-Slow-Train-Analysis-(2080s-and-2083s)?_g=(refreshInterval:(display:Off,section:0,value:0),time:(from:'2016-09-01 11:17:21-0600',mode:absolute,to:'2016-09-01 13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70" t="str">
            <v>N</v>
          </cell>
          <cell r="X170">
            <v>1</v>
          </cell>
          <cell r="Y170">
            <v>9.7799999999999998E-2</v>
          </cell>
          <cell r="Z170">
            <v>5.8983999999999996</v>
          </cell>
          <cell r="AA170">
            <v>5.8005999999999993</v>
          </cell>
          <cell r="AB170" t="e">
            <v>#N/A</v>
          </cell>
          <cell r="AC170" t="e">
            <v>#N/A</v>
          </cell>
          <cell r="AD170" t="str">
            <v>0819-01</v>
          </cell>
          <cell r="AE170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71">
          <cell r="A171" t="str">
            <v>820-01</v>
          </cell>
          <cell r="B171">
            <v>4013</v>
          </cell>
          <cell r="C171" t="str">
            <v>DE.1.0.7.0</v>
          </cell>
          <cell r="D171" t="str">
            <v>300:58677</v>
          </cell>
          <cell r="E171">
            <v>42614.52616898148</v>
          </cell>
          <cell r="F171">
            <v>42614.528333333335</v>
          </cell>
          <cell r="G171">
            <v>1</v>
          </cell>
          <cell r="H171" t="str">
            <v>204:698</v>
          </cell>
          <cell r="I171">
            <v>42614.538043981483</v>
          </cell>
          <cell r="J171">
            <v>0</v>
          </cell>
          <cell r="K171" t="str">
            <v>4013/4014</v>
          </cell>
          <cell r="L171" t="str">
            <v>GEBRETEKLE</v>
          </cell>
          <cell r="M171">
            <v>9.710648148029577E-3</v>
          </cell>
          <cell r="N171">
            <v>13.983333333162591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https://search-rtdc-monitor-bjffxe2xuh6vdkpspy63sjmuny.us-east-1.es.amazonaws.com/_plugin/kibana/#/discover/Steve-Slow-Train-Analysis-(2080s-and-2083s)?_g=(refreshInterval:(display:Off,section:0,value:0),time:(from:'2016-09-01 11:37:41-0600',mode:absolute,to:'2016-09-01 13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71" t="str">
            <v>N</v>
          </cell>
          <cell r="X171">
            <v>1</v>
          </cell>
          <cell r="Y171">
            <v>5.8677000000000001</v>
          </cell>
          <cell r="Z171">
            <v>6.9800000000000001E-2</v>
          </cell>
          <cell r="AA171">
            <v>5.7979000000000003</v>
          </cell>
          <cell r="AB171" t="e">
            <v>#N/A</v>
          </cell>
          <cell r="AC171" t="e">
            <v>#N/A</v>
          </cell>
          <cell r="AD171" t="str">
            <v>0820-01</v>
          </cell>
          <cell r="AE171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72">
          <cell r="A172" t="str">
            <v>821-01</v>
          </cell>
          <cell r="B172">
            <v>4014</v>
          </cell>
          <cell r="C172" t="str">
            <v>DE.1.0.7.0</v>
          </cell>
          <cell r="D172" t="str">
            <v>204:981</v>
          </cell>
          <cell r="E172">
            <v>42614.552476851852</v>
          </cell>
          <cell r="F172">
            <v>42614.556458333333</v>
          </cell>
          <cell r="G172">
            <v>2</v>
          </cell>
          <cell r="H172" t="str">
            <v>300:58963</v>
          </cell>
          <cell r="I172">
            <v>42614.567129629628</v>
          </cell>
          <cell r="J172">
            <v>0</v>
          </cell>
          <cell r="K172" t="str">
            <v>4013/4014</v>
          </cell>
          <cell r="L172" t="str">
            <v>MAHAN</v>
          </cell>
          <cell r="M172">
            <v>1.0671296295186039E-2</v>
          </cell>
          <cell r="N172">
            <v>15.366666665067896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https://search-rtdc-monitor-bjffxe2xuh6vdkpspy63sjmuny.us-east-1.es.amazonaws.com/_plugin/kibana/#/discover/Steve-Slow-Train-Analysis-(2080s-and-2083s)?_g=(refreshInterval:(display:Off,section:0,value:0),time:(from:'2016-09-01 12:15:34-0600',mode:absolute,to:'2016-09-01 14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72" t="str">
            <v>N</v>
          </cell>
          <cell r="X172">
            <v>1</v>
          </cell>
          <cell r="Y172">
            <v>9.8100000000000007E-2</v>
          </cell>
          <cell r="Z172">
            <v>5.8963000000000001</v>
          </cell>
          <cell r="AA172">
            <v>5.7982000000000005</v>
          </cell>
          <cell r="AB172" t="e">
            <v>#N/A</v>
          </cell>
          <cell r="AC172" t="e">
            <v>#N/A</v>
          </cell>
          <cell r="AD172" t="str">
            <v>0821-01</v>
          </cell>
          <cell r="AE172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73">
          <cell r="A173" t="str">
            <v>822-01</v>
          </cell>
          <cell r="B173">
            <v>4013</v>
          </cell>
          <cell r="C173" t="str">
            <v>DE.1.0.7.0</v>
          </cell>
          <cell r="D173" t="str">
            <v>300:58638</v>
          </cell>
          <cell r="E173">
            <v>42614.570706018516</v>
          </cell>
          <cell r="F173">
            <v>42614.572858796295</v>
          </cell>
          <cell r="G173">
            <v>1</v>
          </cell>
          <cell r="H173" t="str">
            <v>204:736</v>
          </cell>
          <cell r="I173">
            <v>42614.582372685189</v>
          </cell>
          <cell r="J173">
            <v>0</v>
          </cell>
          <cell r="K173" t="str">
            <v>4013/4014</v>
          </cell>
          <cell r="L173" t="str">
            <v>MAHAN</v>
          </cell>
          <cell r="M173">
            <v>9.5138888937071897E-3</v>
          </cell>
          <cell r="N173">
            <v>13.700000006938353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https://search-rtdc-monitor-bjffxe2xuh6vdkpspy63sjmuny.us-east-1.es.amazonaws.com/_plugin/kibana/#/discover/Steve-Slow-Train-Analysis-(2080s-and-2083s)?_g=(refreshInterval:(display:Off,section:0,value:0),time:(from:'2016-09-01 12:41:49-0600',mode:absolute,to:'2016-09-01 14:58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73" t="str">
            <v>N</v>
          </cell>
          <cell r="X173">
            <v>1</v>
          </cell>
          <cell r="Y173">
            <v>5.8638000000000003</v>
          </cell>
          <cell r="Z173">
            <v>7.3599999999999999E-2</v>
          </cell>
          <cell r="AA173">
            <v>5.7902000000000005</v>
          </cell>
          <cell r="AB173" t="e">
            <v>#N/A</v>
          </cell>
          <cell r="AC173" t="e">
            <v>#N/A</v>
          </cell>
          <cell r="AD173" t="str">
            <v>0822-01</v>
          </cell>
          <cell r="AE173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74">
          <cell r="A174" t="str">
            <v>823-01</v>
          </cell>
          <cell r="B174">
            <v>4014</v>
          </cell>
          <cell r="C174" t="str">
            <v>DE.1.0.7.0</v>
          </cell>
          <cell r="D174" t="str">
            <v>204:1016</v>
          </cell>
          <cell r="E174">
            <v>42614.593611111108</v>
          </cell>
          <cell r="F174">
            <v>42614.598113425927</v>
          </cell>
          <cell r="G174">
            <v>1</v>
          </cell>
          <cell r="H174" t="str">
            <v>300:58928</v>
          </cell>
          <cell r="I174">
            <v>42614.6093287037</v>
          </cell>
          <cell r="J174">
            <v>0</v>
          </cell>
          <cell r="K174" t="str">
            <v>4013/4014</v>
          </cell>
          <cell r="L174" t="str">
            <v>MAHAN</v>
          </cell>
          <cell r="M174">
            <v>1.1215277772862464E-2</v>
          </cell>
          <cell r="N174">
            <v>16.149999992921948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https://search-rtdc-monitor-bjffxe2xuh6vdkpspy63sjmuny.us-east-1.es.amazonaws.com/_plugin/kibana/#/discover/Steve-Slow-Train-Analysis-(2080s-and-2083s)?_g=(refreshInterval:(display:Off,section:0,value:0),time:(from:'2016-09-01 13:14:48-0600',mode:absolute,to:'2016-09-01 15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74" t="str">
            <v>N</v>
          </cell>
          <cell r="X174">
            <v>1</v>
          </cell>
          <cell r="Y174">
            <v>0.1016</v>
          </cell>
          <cell r="Z174">
            <v>5.8928000000000003</v>
          </cell>
          <cell r="AA174">
            <v>5.7911999999999999</v>
          </cell>
          <cell r="AB174" t="e">
            <v>#N/A</v>
          </cell>
          <cell r="AC174" t="e">
            <v>#N/A</v>
          </cell>
          <cell r="AD174" t="str">
            <v>0823-01</v>
          </cell>
          <cell r="AE174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75">
          <cell r="A175" t="str">
            <v>824-01</v>
          </cell>
          <cell r="B175">
            <v>4013</v>
          </cell>
          <cell r="C175" t="str">
            <v>DE.1.0.7.0</v>
          </cell>
          <cell r="D175" t="str">
            <v>300:58626</v>
          </cell>
          <cell r="E175">
            <v>42614.610347222224</v>
          </cell>
          <cell r="F175">
            <v>42614.639756944445</v>
          </cell>
          <cell r="G175">
            <v>1</v>
          </cell>
          <cell r="H175" t="str">
            <v>204:745</v>
          </cell>
          <cell r="I175">
            <v>42614.649722222224</v>
          </cell>
          <cell r="J175">
            <v>0</v>
          </cell>
          <cell r="K175" t="str">
            <v>4013/4014</v>
          </cell>
          <cell r="L175" t="str">
            <v>MAHAN</v>
          </cell>
          <cell r="M175">
            <v>9.9652777789742686E-3</v>
          </cell>
          <cell r="N175">
            <v>14.350000001722947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https://search-rtdc-monitor-bjffxe2xuh6vdkpspy63sjmuny.us-east-1.es.amazonaws.com/_plugin/kibana/#/discover/Steve-Slow-Train-Analysis-(2080s-and-2083s)?_g=(refreshInterval:(display:Off,section:0,value:0),time:(from:'2016-09-01 13:38:54-0600',mode:absolute,to:'2016-09-01 16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75" t="str">
            <v>N</v>
          </cell>
          <cell r="X175">
            <v>1</v>
          </cell>
          <cell r="Y175">
            <v>5.8625999999999996</v>
          </cell>
          <cell r="Z175">
            <v>7.4499999999999997E-2</v>
          </cell>
          <cell r="AA175">
            <v>5.7881</v>
          </cell>
          <cell r="AB175" t="e">
            <v>#N/A</v>
          </cell>
          <cell r="AC175" t="e">
            <v>#N/A</v>
          </cell>
          <cell r="AD175" t="str">
            <v>0824-01</v>
          </cell>
          <cell r="AE175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76">
          <cell r="A176" t="str">
            <v>825-01</v>
          </cell>
          <cell r="B176">
            <v>4014</v>
          </cell>
          <cell r="C176" t="str">
            <v>DE.1.0.7.0</v>
          </cell>
          <cell r="D176" t="str">
            <v>204:1035</v>
          </cell>
          <cell r="E176">
            <v>42614.637245370373</v>
          </cell>
          <cell r="F176">
            <v>42614.639756944445</v>
          </cell>
          <cell r="G176">
            <v>0</v>
          </cell>
          <cell r="H176" t="str">
            <v>300:58948</v>
          </cell>
          <cell r="I176">
            <v>42614.649722222224</v>
          </cell>
          <cell r="J176">
            <v>0</v>
          </cell>
          <cell r="K176" t="str">
            <v>4013/4014</v>
          </cell>
          <cell r="L176" t="str">
            <v>MAHAN</v>
          </cell>
          <cell r="M176">
            <v>9.9652777789742686E-3</v>
          </cell>
          <cell r="N176">
            <v>14.350000001722947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https://search-rtdc-monitor-bjffxe2xuh6vdkpspy63sjmuny.us-east-1.es.amazonaws.com/_plugin/kibana/#/discover/Steve-Slow-Train-Analysis-(2080s-and-2083s)?_g=(refreshInterval:(display:Off,section:0,value:0),time:(from:'2016-09-01 14:17:38-0600',mode:absolute,to:'2016-09-01 16:35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76" t="str">
            <v>N</v>
          </cell>
          <cell r="X176">
            <v>1</v>
          </cell>
          <cell r="Y176">
            <v>0.10349999999999999</v>
          </cell>
          <cell r="Z176">
            <v>5.8948</v>
          </cell>
          <cell r="AA176">
            <v>5.7912999999999997</v>
          </cell>
          <cell r="AB176" t="e">
            <v>#N/A</v>
          </cell>
          <cell r="AC176" t="e">
            <v>#N/A</v>
          </cell>
          <cell r="AD176" t="str">
            <v>0825-01</v>
          </cell>
          <cell r="AE176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77">
          <cell r="A177" t="str">
            <v>826-01</v>
          </cell>
          <cell r="B177">
            <v>4013</v>
          </cell>
          <cell r="C177" t="str">
            <v>DE.1.0.7.0</v>
          </cell>
          <cell r="D177" t="str">
            <v>300:58621</v>
          </cell>
          <cell r="E177">
            <v>42614.650810185187</v>
          </cell>
          <cell r="F177">
            <v>42614.652557870373</v>
          </cell>
          <cell r="G177">
            <v>1</v>
          </cell>
          <cell r="H177" t="str">
            <v>204:778</v>
          </cell>
          <cell r="I177">
            <v>42614.664166666669</v>
          </cell>
          <cell r="J177">
            <v>0</v>
          </cell>
          <cell r="K177" t="str">
            <v>4013/4014</v>
          </cell>
          <cell r="L177" t="str">
            <v>MAHAN</v>
          </cell>
          <cell r="M177">
            <v>1.1608796296059154E-2</v>
          </cell>
          <cell r="N177">
            <v>16.716666666325182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https://search-rtdc-monitor-bjffxe2xuh6vdkpspy63sjmuny.us-east-1.es.amazonaws.com/_plugin/kibana/#/discover/Steve-Slow-Train-Analysis-(2080s-and-2083s)?_g=(refreshInterval:(display:Off,section:0,value:0),time:(from:'2016-09-01 14:37:10-0600',mode:absolute,to:'2016-09-01 16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77" t="str">
            <v>N</v>
          </cell>
          <cell r="X177">
            <v>1</v>
          </cell>
          <cell r="Y177">
            <v>5.8620999999999999</v>
          </cell>
          <cell r="Z177">
            <v>7.7799999999999994E-2</v>
          </cell>
          <cell r="AA177">
            <v>5.7843</v>
          </cell>
          <cell r="AB177" t="e">
            <v>#N/A</v>
          </cell>
          <cell r="AC177" t="e">
            <v>#N/A</v>
          </cell>
          <cell r="AD177" t="str">
            <v>0826-01</v>
          </cell>
          <cell r="AE177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78">
          <cell r="A178" t="str">
            <v>827-01</v>
          </cell>
          <cell r="B178">
            <v>4009</v>
          </cell>
          <cell r="C178" t="str">
            <v>DE.1.0.7.0</v>
          </cell>
          <cell r="D178" t="str">
            <v>204:941</v>
          </cell>
          <cell r="E178">
            <v>42614.656157407408</v>
          </cell>
          <cell r="F178">
            <v>42614.660590277781</v>
          </cell>
          <cell r="G178">
            <v>1</v>
          </cell>
          <cell r="H178" t="str">
            <v>300:58946</v>
          </cell>
          <cell r="I178">
            <v>42614.669560185182</v>
          </cell>
          <cell r="J178">
            <v>0</v>
          </cell>
          <cell r="K178" t="str">
            <v>4009/4010</v>
          </cell>
          <cell r="L178" t="str">
            <v>YANAI</v>
          </cell>
          <cell r="M178">
            <v>8.9699074014788494E-3</v>
          </cell>
          <cell r="N178">
            <v>12.916666658129543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https://search-rtdc-monitor-bjffxe2xuh6vdkpspy63sjmuny.us-east-1.es.amazonaws.com/_plugin/kibana/#/discover/Steve-Slow-Train-Analysis-(2080s-and-2083s)?_g=(refreshInterval:(display:Off,section:0,value:0),time:(from:'2016-09-01 14:44:52-0600',mode:absolute,to:'2016-09-01 17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78" t="str">
            <v>N</v>
          </cell>
          <cell r="X178">
            <v>1</v>
          </cell>
          <cell r="Y178">
            <v>9.4100000000000003E-2</v>
          </cell>
          <cell r="Z178">
            <v>5.8945999999999996</v>
          </cell>
          <cell r="AA178">
            <v>5.8004999999999995</v>
          </cell>
          <cell r="AB178" t="e">
            <v>#N/A</v>
          </cell>
          <cell r="AC178" t="e">
            <v>#N/A</v>
          </cell>
          <cell r="AD178" t="str">
            <v>0827-01</v>
          </cell>
          <cell r="AE178" t="str">
    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    </cell>
        </row>
        <row r="179">
          <cell r="A179" t="str">
            <v>828-01</v>
          </cell>
          <cell r="B179">
            <v>4010</v>
          </cell>
          <cell r="C179" t="str">
            <v>DE.1.0.7.0</v>
          </cell>
          <cell r="D179" t="str">
            <v>300:58632</v>
          </cell>
          <cell r="E179">
            <v>42614.670567129629</v>
          </cell>
          <cell r="F179">
            <v>42614.672060185185</v>
          </cell>
          <cell r="G179">
            <v>1</v>
          </cell>
          <cell r="H179" t="str">
            <v>204:656</v>
          </cell>
          <cell r="I179">
            <v>42614.684016203704</v>
          </cell>
          <cell r="J179">
            <v>0</v>
          </cell>
          <cell r="K179" t="str">
            <v>4009/4010</v>
          </cell>
          <cell r="L179" t="str">
            <v>YANAI</v>
          </cell>
          <cell r="M179">
            <v>1.1956018519413192E-2</v>
          </cell>
          <cell r="N179">
            <v>17.216666667954996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https://search-rtdc-monitor-bjffxe2xuh6vdkpspy63sjmuny.us-east-1.es.amazonaws.com/_plugin/kibana/#/discover/Steve-Slow-Train-Analysis-(2080s-and-2083s)?_g=(refreshInterval:(display:Off,section:0,value:0),time:(from:'2016-09-01 15:05:37-0600',mode:absolute,to:'2016-09-01 17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79" t="str">
            <v>N</v>
          </cell>
          <cell r="X179">
            <v>1</v>
          </cell>
          <cell r="Y179">
            <v>5.8632</v>
          </cell>
          <cell r="Z179">
            <v>6.5600000000000006E-2</v>
          </cell>
          <cell r="AA179">
            <v>5.7976000000000001</v>
          </cell>
          <cell r="AB179" t="e">
            <v>#N/A</v>
          </cell>
          <cell r="AC179" t="e">
            <v>#N/A</v>
          </cell>
          <cell r="AD179" t="str">
            <v>0828-01</v>
          </cell>
          <cell r="AE179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180">
          <cell r="A180" t="str">
            <v>829-01</v>
          </cell>
          <cell r="B180">
            <v>4014</v>
          </cell>
          <cell r="C180" t="str">
            <v>DE.1.0.7.0</v>
          </cell>
          <cell r="D180" t="str">
            <v>204:1051</v>
          </cell>
          <cell r="E180">
            <v>42614.678124999999</v>
          </cell>
          <cell r="F180">
            <v>42614.681493055556</v>
          </cell>
          <cell r="G180">
            <v>1</v>
          </cell>
          <cell r="H180" t="str">
            <v>300:58935</v>
          </cell>
          <cell r="I180">
            <v>42614.691562499997</v>
          </cell>
          <cell r="J180">
            <v>0</v>
          </cell>
          <cell r="K180" t="str">
            <v>4013/4014</v>
          </cell>
          <cell r="L180" t="str">
            <v>MAHAN</v>
          </cell>
          <cell r="M180">
            <v>1.006944444088731E-2</v>
          </cell>
          <cell r="N180">
            <v>14.499999994877726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https://search-rtdc-monitor-bjffxe2xuh6vdkpspy63sjmuny.us-east-1.es.amazonaws.com/_plugin/kibana/#/discover/Steve-Slow-Train-Analysis-(2080s-and-2083s)?_g=(refreshInterval:(display:Off,section:0,value:0),time:(from:'2016-09-01 15:16:30-0600',mode:absolute,to:'2016-09-01 17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80" t="str">
            <v>N</v>
          </cell>
          <cell r="X180">
            <v>1</v>
          </cell>
          <cell r="Y180">
            <v>0.1051</v>
          </cell>
          <cell r="Z180">
            <v>5.8935000000000004</v>
          </cell>
          <cell r="AA180">
            <v>5.7884000000000002</v>
          </cell>
          <cell r="AB180" t="e">
            <v>#N/A</v>
          </cell>
          <cell r="AC180" t="e">
            <v>#N/A</v>
          </cell>
          <cell r="AD180" t="str">
            <v>0829-01</v>
          </cell>
          <cell r="AE180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81">
          <cell r="A181" t="str">
            <v>830-01</v>
          </cell>
          <cell r="B181">
            <v>4013</v>
          </cell>
          <cell r="C181" t="str">
            <v>DE.1.0.7.0</v>
          </cell>
          <cell r="D181" t="str">
            <v>300:58617</v>
          </cell>
          <cell r="E181">
            <v>42614.692453703705</v>
          </cell>
          <cell r="F181">
            <v>42614.693692129629</v>
          </cell>
          <cell r="G181">
            <v>0</v>
          </cell>
          <cell r="H181" t="str">
            <v>204:764</v>
          </cell>
          <cell r="I181">
            <v>42614.705324074072</v>
          </cell>
          <cell r="J181">
            <v>0</v>
          </cell>
          <cell r="K181" t="str">
            <v>4013/4014</v>
          </cell>
          <cell r="L181" t="str">
            <v>MAHAN</v>
          </cell>
          <cell r="M181">
            <v>1.1631944442342501E-2</v>
          </cell>
          <cell r="N181">
            <v>16.749999996973202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https://search-rtdc-monitor-bjffxe2xuh6vdkpspy63sjmuny.us-east-1.es.amazonaws.com/_plugin/kibana/#/discover/Steve-Slow-Train-Analysis-(2080s-and-2083s)?_g=(refreshInterval:(display:Off,section:0,value:0),time:(from:'2016-09-01 15:37:08-0600',mode:absolute,to:'2016-09-01 17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81" t="str">
            <v>N</v>
          </cell>
          <cell r="X181">
            <v>1</v>
          </cell>
          <cell r="Y181">
            <v>5.8616999999999999</v>
          </cell>
          <cell r="Z181">
            <v>7.6399999999999996E-2</v>
          </cell>
          <cell r="AA181">
            <v>5.7853000000000003</v>
          </cell>
          <cell r="AB181" t="e">
            <v>#N/A</v>
          </cell>
          <cell r="AC181" t="e">
            <v>#N/A</v>
          </cell>
          <cell r="AD181" t="str">
            <v>0830-01</v>
          </cell>
          <cell r="AE181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82">
          <cell r="A182" t="str">
            <v>831-01</v>
          </cell>
          <cell r="B182">
            <v>4009</v>
          </cell>
          <cell r="C182" t="str">
            <v>DE.1.0.7.0</v>
          </cell>
          <cell r="D182" t="str">
            <v>204:953</v>
          </cell>
          <cell r="E182">
            <v>42614.69935185185</v>
          </cell>
          <cell r="F182">
            <v>42614.702233796299</v>
          </cell>
          <cell r="G182">
            <v>1</v>
          </cell>
          <cell r="H182" t="str">
            <v>300:58978</v>
          </cell>
          <cell r="I182">
            <v>42614.711006944446</v>
          </cell>
          <cell r="J182">
            <v>0</v>
          </cell>
          <cell r="K182" t="str">
            <v>4009/4010</v>
          </cell>
          <cell r="L182" t="str">
            <v>YANAI</v>
          </cell>
          <cell r="M182">
            <v>8.7731481471564621E-3</v>
          </cell>
          <cell r="N182">
            <v>12.633333331905305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https://search-rtdc-monitor-bjffxe2xuh6vdkpspy63sjmuny.us-east-1.es.amazonaws.com/_plugin/kibana/#/discover/Steve-Slow-Train-Analysis-(2080s-and-2083s)?_g=(refreshInterval:(display:Off,section:0,value:0),time:(from:'2016-09-01 15:47:04-0600',mode:absolute,to:'2016-09-01 18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82" t="str">
            <v>N</v>
          </cell>
          <cell r="X182">
            <v>1</v>
          </cell>
          <cell r="Y182">
            <v>9.5299999999999996E-2</v>
          </cell>
          <cell r="Z182">
            <v>5.8978000000000002</v>
          </cell>
          <cell r="AA182">
            <v>5.8025000000000002</v>
          </cell>
          <cell r="AB182" t="e">
            <v>#N/A</v>
          </cell>
          <cell r="AC182" t="e">
            <v>#N/A</v>
          </cell>
          <cell r="AD182" t="str">
            <v>0831-01</v>
          </cell>
          <cell r="AE182" t="str">
    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    </cell>
        </row>
        <row r="183">
          <cell r="A183" t="str">
            <v>832-01</v>
          </cell>
          <cell r="B183">
            <v>4010</v>
          </cell>
          <cell r="C183" t="str">
            <v>DE.1.0.7.0</v>
          </cell>
          <cell r="D183" t="str">
            <v>300:58658</v>
          </cell>
          <cell r="E183">
            <v>42614.712025462963</v>
          </cell>
          <cell r="F183">
            <v>42614.713402777779</v>
          </cell>
          <cell r="G183">
            <v>1</v>
          </cell>
          <cell r="H183" t="str">
            <v>204:643</v>
          </cell>
          <cell r="I183">
            <v>42614.726018518515</v>
          </cell>
          <cell r="J183">
            <v>0</v>
          </cell>
          <cell r="K183" t="str">
            <v>4009/4010</v>
          </cell>
          <cell r="L183" t="str">
            <v>YANAI</v>
          </cell>
          <cell r="M183">
            <v>1.261574073578231E-2</v>
          </cell>
          <cell r="N183">
            <v>18.166666659526527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https://search-rtdc-monitor-bjffxe2xuh6vdkpspy63sjmuny.us-east-1.es.amazonaws.com/_plugin/kibana/#/discover/Steve-Slow-Train-Analysis-(2080s-and-2083s)?_g=(refreshInterval:(display:Off,section:0,value:0),time:(from:'2016-09-01 16:05:19-0600',mode:absolute,to:'2016-09-01 18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83" t="str">
            <v>N</v>
          </cell>
          <cell r="X183">
            <v>1</v>
          </cell>
          <cell r="Y183">
            <v>5.8658000000000001</v>
          </cell>
          <cell r="Z183">
            <v>6.4299999999999996E-2</v>
          </cell>
          <cell r="AA183">
            <v>5.8014999999999999</v>
          </cell>
          <cell r="AB183" t="e">
            <v>#N/A</v>
          </cell>
          <cell r="AC183" t="e">
            <v>#N/A</v>
          </cell>
          <cell r="AD183" t="str">
            <v>0832-01</v>
          </cell>
          <cell r="AE183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184">
          <cell r="A184" t="str">
            <v>833-01</v>
          </cell>
          <cell r="B184">
            <v>4014</v>
          </cell>
          <cell r="C184" t="str">
            <v>DE.1.0.7.0</v>
          </cell>
          <cell r="D184" t="str">
            <v>204:1055</v>
          </cell>
          <cell r="E184">
            <v>42614.718043981484</v>
          </cell>
          <cell r="F184">
            <v>42614.723090277781</v>
          </cell>
          <cell r="G184">
            <v>2</v>
          </cell>
          <cell r="H184" t="str">
            <v>300:58958</v>
          </cell>
          <cell r="I184">
            <v>42614.73333333333</v>
          </cell>
          <cell r="J184">
            <v>0</v>
          </cell>
          <cell r="K184" t="str">
            <v>4013/4014</v>
          </cell>
          <cell r="L184" t="str">
            <v>MAHAN</v>
          </cell>
          <cell r="M184">
            <v>1.024305554892635E-2</v>
          </cell>
          <cell r="N184">
            <v>14.749999990453944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https://search-rtdc-monitor-bjffxe2xuh6vdkpspy63sjmuny.us-east-1.es.amazonaws.com/_plugin/kibana/#/discover/Steve-Slow-Train-Analysis-(2080s-and-2083s)?_g=(refreshInterval:(display:Off,section:0,value:0),time:(from:'2016-09-01 16:13:59-0600',mode:absolute,to:'2016-09-01 18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84" t="str">
            <v>N</v>
          </cell>
          <cell r="X184">
            <v>1</v>
          </cell>
          <cell r="Y184">
            <v>0.1055</v>
          </cell>
          <cell r="Z184">
            <v>5.8958000000000004</v>
          </cell>
          <cell r="AA184">
            <v>5.7903000000000002</v>
          </cell>
          <cell r="AB184" t="e">
            <v>#N/A</v>
          </cell>
          <cell r="AC184" t="e">
            <v>#N/A</v>
          </cell>
          <cell r="AD184" t="str">
            <v>0833-01</v>
          </cell>
          <cell r="AE184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85">
          <cell r="A185" t="str">
            <v>834-01</v>
          </cell>
          <cell r="B185">
            <v>4013</v>
          </cell>
          <cell r="C185" t="str">
            <v>DE.1.0.7.0</v>
          </cell>
          <cell r="D185" t="str">
            <v>300:58647</v>
          </cell>
          <cell r="E185">
            <v>42614.734363425923</v>
          </cell>
          <cell r="F185">
            <v>42614.736087962963</v>
          </cell>
          <cell r="G185">
            <v>1</v>
          </cell>
          <cell r="H185" t="str">
            <v>204:738</v>
          </cell>
          <cell r="I185">
            <v>42614.747673611113</v>
          </cell>
          <cell r="J185">
            <v>0</v>
          </cell>
          <cell r="K185" t="str">
            <v>4013/4014</v>
          </cell>
          <cell r="L185" t="str">
            <v>MAHAN</v>
          </cell>
          <cell r="M185">
            <v>1.1585648149775807E-2</v>
          </cell>
          <cell r="N185">
            <v>16.683333335677162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https://search-rtdc-monitor-bjffxe2xuh6vdkpspy63sjmuny.us-east-1.es.amazonaws.com/_plugin/kibana/#/discover/Steve-Slow-Train-Analysis-(2080s-and-2083s)?_g=(refreshInterval:(display:Off,section:0,value:0),time:(from:'2016-09-01 16:37:29-0600',mode:absolute,to:'2016-09-01 18:56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85" t="str">
            <v>N</v>
          </cell>
          <cell r="X185">
            <v>1</v>
          </cell>
          <cell r="Y185">
            <v>5.8647</v>
          </cell>
          <cell r="Z185">
            <v>7.3800000000000004E-2</v>
          </cell>
          <cell r="AA185">
            <v>5.7908999999999997</v>
          </cell>
          <cell r="AB185" t="e">
            <v>#N/A</v>
          </cell>
          <cell r="AC185" t="e">
            <v>#N/A</v>
          </cell>
          <cell r="AD185" t="str">
            <v>0834-01</v>
          </cell>
          <cell r="AE185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86">
          <cell r="A186" t="str">
            <v>835-01</v>
          </cell>
          <cell r="B186">
            <v>4009</v>
          </cell>
          <cell r="C186" t="str">
            <v>DE.1.0.7.0</v>
          </cell>
          <cell r="D186" t="str">
            <v>204:927</v>
          </cell>
          <cell r="E186">
            <v>42614.740474537037</v>
          </cell>
          <cell r="F186">
            <v>42614.743923611109</v>
          </cell>
          <cell r="G186">
            <v>1</v>
          </cell>
          <cell r="H186" t="str">
            <v>300:58946</v>
          </cell>
          <cell r="I186">
            <v>42614.752812500003</v>
          </cell>
          <cell r="J186">
            <v>0</v>
          </cell>
          <cell r="K186" t="str">
            <v>4009/4010</v>
          </cell>
          <cell r="L186" t="str">
            <v>YANAI</v>
          </cell>
          <cell r="M186">
            <v>8.8888888931251131E-3</v>
          </cell>
          <cell r="N186">
            <v>12.800000006100163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https://search-rtdc-monitor-bjffxe2xuh6vdkpspy63sjmuny.us-east-1.es.amazonaws.com/_plugin/kibana/#/discover/Steve-Slow-Train-Analysis-(2080s-and-2083s)?_g=(refreshInterval:(display:Off,section:0,value:0),time:(from:'2016-09-01 16:46:17-0600',mode:absolute,to:'2016-09-01 19:04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86" t="str">
            <v>N</v>
          </cell>
          <cell r="X186">
            <v>1</v>
          </cell>
          <cell r="Y186">
            <v>9.2700000000000005E-2</v>
          </cell>
          <cell r="Z186">
            <v>5.8945999999999996</v>
          </cell>
          <cell r="AA186">
            <v>5.8018999999999998</v>
          </cell>
          <cell r="AB186" t="e">
            <v>#N/A</v>
          </cell>
          <cell r="AC186" t="e">
            <v>#N/A</v>
          </cell>
          <cell r="AD186" t="str">
            <v>0835-01</v>
          </cell>
          <cell r="AE186" t="str">
    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    </cell>
        </row>
        <row r="187">
          <cell r="A187" t="str">
            <v>836-01</v>
          </cell>
          <cell r="B187">
            <v>4010</v>
          </cell>
          <cell r="C187" t="str">
            <v>DE.1.0.7.0</v>
          </cell>
          <cell r="D187" t="str">
            <v>300:58641</v>
          </cell>
          <cell r="E187">
            <v>42614.753703703704</v>
          </cell>
          <cell r="F187">
            <v>42614.755266203705</v>
          </cell>
          <cell r="G187">
            <v>1</v>
          </cell>
          <cell r="H187" t="str">
            <v>204:659</v>
          </cell>
          <cell r="I187">
            <v>42614.767650462964</v>
          </cell>
          <cell r="J187">
            <v>0</v>
          </cell>
          <cell r="K187" t="str">
            <v>4009/4010</v>
          </cell>
          <cell r="L187" t="str">
            <v>YANAI</v>
          </cell>
          <cell r="M187">
            <v>1.2384259258396924E-2</v>
          </cell>
          <cell r="N187">
            <v>17.83333333209157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https://search-rtdc-monitor-bjffxe2xuh6vdkpspy63sjmuny.us-east-1.es.amazonaws.com/_plugin/kibana/#/discover/Steve-Slow-Train-Analysis-(2080s-and-2083s)?_g=(refreshInterval:(display:Off,section:0,value:0),time:(from:'2016-09-01 17:05:20-0600',mode:absolute,to:'2016-09-01 19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87" t="str">
            <v>N</v>
          </cell>
          <cell r="X187">
            <v>1</v>
          </cell>
          <cell r="Y187">
            <v>5.8640999999999996</v>
          </cell>
          <cell r="Z187">
            <v>6.59E-2</v>
          </cell>
          <cell r="AA187">
            <v>5.7981999999999996</v>
          </cell>
          <cell r="AB187" t="e">
            <v>#N/A</v>
          </cell>
          <cell r="AC187" t="e">
            <v>#N/A</v>
          </cell>
          <cell r="AD187" t="str">
            <v>0836-01</v>
          </cell>
          <cell r="AE187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188">
          <cell r="A188" t="str">
            <v>837-01</v>
          </cell>
          <cell r="B188">
            <v>4014</v>
          </cell>
          <cell r="C188" t="str">
            <v>DE.1.0.7.0</v>
          </cell>
          <cell r="D188" t="str">
            <v>204:1027</v>
          </cell>
          <cell r="E188">
            <v>42614.762939814813</v>
          </cell>
          <cell r="F188">
            <v>42614.764814814815</v>
          </cell>
          <cell r="G188">
            <v>1</v>
          </cell>
          <cell r="H188" t="str">
            <v>300:58976</v>
          </cell>
          <cell r="I188">
            <v>42614.775069444448</v>
          </cell>
          <cell r="J188">
            <v>0</v>
          </cell>
          <cell r="K188" t="str">
            <v>4013/4014</v>
          </cell>
          <cell r="L188" t="str">
            <v>MAHAN</v>
          </cell>
          <cell r="M188">
            <v>1.025462963298196E-2</v>
          </cell>
          <cell r="N188">
            <v>14.766666671494022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https://search-rtdc-monitor-bjffxe2xuh6vdkpspy63sjmuny.us-east-1.es.amazonaws.com/_plugin/kibana/#/discover/Steve-Slow-Train-Analysis-(2080s-and-2083s)?_g=(refreshInterval:(display:Off,section:0,value:0),time:(from:'2016-09-01 17:18:38-0600',mode:absolute,to:'2016-09-01 19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88" t="str">
            <v>N</v>
          </cell>
          <cell r="X188">
            <v>1</v>
          </cell>
          <cell r="Y188">
            <v>0.1027</v>
          </cell>
          <cell r="Z188">
            <v>5.8975999999999997</v>
          </cell>
          <cell r="AA188">
            <v>5.7949000000000002</v>
          </cell>
          <cell r="AB188" t="e">
            <v>#N/A</v>
          </cell>
          <cell r="AC188" t="e">
            <v>#N/A</v>
          </cell>
          <cell r="AD188" t="str">
            <v>0837-01</v>
          </cell>
          <cell r="AE188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89">
          <cell r="A189" t="str">
            <v>838-01</v>
          </cell>
          <cell r="B189">
            <v>4013</v>
          </cell>
          <cell r="C189" t="str">
            <v>DE.1.0.7.0</v>
          </cell>
          <cell r="D189" t="str">
            <v>300:58662</v>
          </cell>
          <cell r="E189">
            <v>42614.776261574072</v>
          </cell>
          <cell r="F189">
            <v>42614.777939814812</v>
          </cell>
          <cell r="G189">
            <v>1</v>
          </cell>
          <cell r="H189" t="str">
            <v>204:740</v>
          </cell>
          <cell r="I189">
            <v>42614.788923611108</v>
          </cell>
          <cell r="J189">
            <v>0</v>
          </cell>
          <cell r="K189" t="str">
            <v>4013/4014</v>
          </cell>
          <cell r="L189" t="str">
            <v>MAHAN</v>
          </cell>
          <cell r="M189">
            <v>1.0983796295477077E-2</v>
          </cell>
          <cell r="N189">
            <v>15.816666665486991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https://search-rtdc-monitor-bjffxe2xuh6vdkpspy63sjmuny.us-east-1.es.amazonaws.com/_plugin/kibana/#/discover/Steve-Slow-Train-Analysis-(2080s-and-2083s)?_g=(refreshInterval:(display:Off,section:0,value:0),time:(from:'2016-09-01 17:37:49-0600',mode:absolute,to:'2016-09-01 19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89" t="str">
            <v>N</v>
          </cell>
          <cell r="X189">
            <v>1</v>
          </cell>
          <cell r="Y189">
            <v>5.8662000000000001</v>
          </cell>
          <cell r="Z189">
            <v>7.3999999999999996E-2</v>
          </cell>
          <cell r="AA189">
            <v>5.7922000000000002</v>
          </cell>
          <cell r="AB189" t="e">
            <v>#N/A</v>
          </cell>
          <cell r="AC189" t="e">
            <v>#N/A</v>
          </cell>
          <cell r="AD189" t="str">
            <v>0838-01</v>
          </cell>
          <cell r="AE189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90">
          <cell r="A190" t="str">
            <v>839-01</v>
          </cell>
          <cell r="B190">
            <v>4009</v>
          </cell>
          <cell r="C190" t="str">
            <v>DE.1.0.7.0</v>
          </cell>
          <cell r="D190" t="str">
            <v>204:929</v>
          </cell>
          <cell r="E190">
            <v>42614.782361111109</v>
          </cell>
          <cell r="F190">
            <v>42614.78564814815</v>
          </cell>
          <cell r="G190">
            <v>1</v>
          </cell>
          <cell r="H190" t="str">
            <v>300:58969</v>
          </cell>
          <cell r="I190">
            <v>42614.794421296298</v>
          </cell>
          <cell r="J190">
            <v>0</v>
          </cell>
          <cell r="K190" t="str">
            <v>4009/4010</v>
          </cell>
          <cell r="L190" t="str">
            <v>YANAI</v>
          </cell>
          <cell r="M190">
            <v>8.7731481471564621E-3</v>
          </cell>
          <cell r="N190">
            <v>12.633333331905305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https://search-rtdc-monitor-bjffxe2xuh6vdkpspy63sjmuny.us-east-1.es.amazonaws.com/_plugin/kibana/#/discover/Steve-Slow-Train-Analysis-(2080s-and-2083s)?_g=(refreshInterval:(display:Off,section:0,value:0),time:(from:'2016-09-01 17:46:36-0600',mode:absolute,to:'2016-09-01 20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90" t="str">
            <v>N</v>
          </cell>
          <cell r="X190">
            <v>1</v>
          </cell>
          <cell r="Y190">
            <v>9.2899999999999996E-2</v>
          </cell>
          <cell r="Z190">
            <v>5.8968999999999996</v>
          </cell>
          <cell r="AA190">
            <v>5.8039999999999994</v>
          </cell>
          <cell r="AB190" t="e">
            <v>#N/A</v>
          </cell>
          <cell r="AC190" t="e">
            <v>#N/A</v>
          </cell>
          <cell r="AD190" t="str">
            <v>0839-01</v>
          </cell>
          <cell r="AE190" t="str">
    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    </cell>
        </row>
        <row r="191">
          <cell r="A191" t="str">
            <v>840-01</v>
          </cell>
          <cell r="B191">
            <v>4013</v>
          </cell>
          <cell r="C191" t="str">
            <v>DE.1.0.7.0</v>
          </cell>
          <cell r="D191" t="str">
            <v>300:58617</v>
          </cell>
          <cell r="E191">
            <v>42614.817696759259</v>
          </cell>
          <cell r="F191">
            <v>42614.819432870368</v>
          </cell>
          <cell r="G191">
            <v>1</v>
          </cell>
          <cell r="H191" t="str">
            <v>204:762</v>
          </cell>
          <cell r="I191">
            <v>42614.830833333333</v>
          </cell>
          <cell r="J191">
            <v>0</v>
          </cell>
          <cell r="K191" t="str">
            <v>4013/4014</v>
          </cell>
          <cell r="L191" t="str">
            <v>MAHAN</v>
          </cell>
          <cell r="M191">
            <v>1.1400462964957114E-2</v>
          </cell>
          <cell r="N191">
            <v>16.416666669538245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https://search-rtdc-monitor-bjffxe2xuh6vdkpspy63sjmuny.us-east-1.es.amazonaws.com/_plugin/kibana/#/discover/Steve-Slow-Train-Analysis-(2080s-and-2083s)?_g=(refreshInterval:(display:Off,section:0,value:0),time:(from:'2016-09-01 18:37:29-0600',mode:absolute,to:'2016-09-01 20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91" t="str">
            <v>N</v>
          </cell>
          <cell r="X191">
            <v>1</v>
          </cell>
          <cell r="Y191">
            <v>5.8616999999999999</v>
          </cell>
          <cell r="Z191">
            <v>7.6200000000000004E-2</v>
          </cell>
          <cell r="AA191">
            <v>5.7854999999999999</v>
          </cell>
          <cell r="AB191" t="e">
            <v>#N/A</v>
          </cell>
          <cell r="AC191" t="e">
            <v>#N/A</v>
          </cell>
          <cell r="AD191" t="str">
            <v>0840-01</v>
          </cell>
          <cell r="AE191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92">
          <cell r="A192" t="str">
            <v>841-01</v>
          </cell>
          <cell r="B192">
            <v>4014</v>
          </cell>
          <cell r="C192" t="str">
            <v>DE.1.0.7.0</v>
          </cell>
          <cell r="D192" t="str">
            <v>204:1027</v>
          </cell>
          <cell r="E192">
            <v>42614.803541666668</v>
          </cell>
          <cell r="F192">
            <v>42614.80641203704</v>
          </cell>
          <cell r="G192">
            <v>1</v>
          </cell>
          <cell r="H192" t="str">
            <v>300:58944</v>
          </cell>
          <cell r="I192">
            <v>42614.816504629627</v>
          </cell>
          <cell r="J192">
            <v>0</v>
          </cell>
          <cell r="K192" t="str">
            <v>4013/4014</v>
          </cell>
          <cell r="L192" t="str">
            <v>MAHAN</v>
          </cell>
          <cell r="M192">
            <v>1.0092592587170657E-2</v>
          </cell>
          <cell r="N192">
            <v>14.533333325525746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https://search-rtdc-monitor-bjffxe2xuh6vdkpspy63sjmuny.us-east-1.es.amazonaws.com/_plugin/kibana/#/discover/Steve-Slow-Train-Analysis-(2080s-and-2083s)?_g=(refreshInterval:(display:Off,section:0,value:0),time:(from:'2016-09-01 18:17:06-0600',mode:absolute,to:'2016-09-01 20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92" t="str">
            <v>N</v>
          </cell>
          <cell r="X192">
            <v>1</v>
          </cell>
          <cell r="Y192">
            <v>0.1027</v>
          </cell>
          <cell r="Z192">
            <v>5.8944000000000001</v>
          </cell>
          <cell r="AA192">
            <v>5.7917000000000005</v>
          </cell>
          <cell r="AB192" t="e">
            <v>#N/A</v>
          </cell>
          <cell r="AC192" t="e">
            <v>#N/A</v>
          </cell>
          <cell r="AD192" t="str">
            <v>0841-01</v>
          </cell>
          <cell r="AE192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93">
          <cell r="A193" t="str">
            <v>842-01</v>
          </cell>
          <cell r="B193">
            <v>4013</v>
          </cell>
          <cell r="C193" t="str">
            <v>DE.1.0.7.0</v>
          </cell>
          <cell r="D193" t="str">
            <v>300:58611</v>
          </cell>
          <cell r="E193">
            <v>42614.859560185185</v>
          </cell>
          <cell r="F193">
            <v>42614.861076388886</v>
          </cell>
          <cell r="G193">
            <v>1</v>
          </cell>
          <cell r="H193" t="str">
            <v>204:797</v>
          </cell>
          <cell r="I193">
            <v>42614.871736111112</v>
          </cell>
          <cell r="J193">
            <v>0</v>
          </cell>
          <cell r="K193" t="str">
            <v>4013/4014</v>
          </cell>
          <cell r="L193" t="str">
            <v>MAHAN</v>
          </cell>
          <cell r="M193">
            <v>1.0659722225682344E-2</v>
          </cell>
          <cell r="N193">
            <v>15.350000004982576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https://search-rtdc-monitor-bjffxe2xuh6vdkpspy63sjmuny.us-east-1.es.amazonaws.com/_plugin/kibana/#/discover/Steve-Slow-Train-Analysis-(2080s-and-2083s)?_g=(refreshInterval:(display:Off,section:0,value:0),time:(from:'2016-09-01 19:37:46-0600',mode:absolute,to:'2016-09-01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93" t="str">
            <v>N</v>
          </cell>
          <cell r="X193">
            <v>1</v>
          </cell>
          <cell r="Y193">
            <v>5.8611000000000004</v>
          </cell>
          <cell r="Z193">
            <v>7.9699999999999993E-2</v>
          </cell>
          <cell r="AA193">
            <v>5.7814000000000005</v>
          </cell>
          <cell r="AB193" t="e">
            <v>#N/A</v>
          </cell>
          <cell r="AC193" t="e">
            <v>#N/A</v>
          </cell>
          <cell r="AD193" t="str">
            <v>0842-01</v>
          </cell>
          <cell r="AE193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94">
          <cell r="A194" t="str">
            <v>843-01</v>
          </cell>
          <cell r="B194">
            <v>4014</v>
          </cell>
          <cell r="C194" t="str">
            <v>DE.1.0.7.0</v>
          </cell>
          <cell r="D194" t="str">
            <v>204:1039</v>
          </cell>
          <cell r="E194">
            <v>42614.842418981483</v>
          </cell>
          <cell r="F194">
            <v>42614.84820601852</v>
          </cell>
          <cell r="G194">
            <v>1</v>
          </cell>
          <cell r="H194" t="str">
            <v>300:58926</v>
          </cell>
          <cell r="I194">
            <v>42614.858587962961</v>
          </cell>
          <cell r="J194">
            <v>0</v>
          </cell>
          <cell r="K194" t="str">
            <v>4013/4014</v>
          </cell>
          <cell r="L194" t="str">
            <v>MAHAN</v>
          </cell>
          <cell r="M194">
            <v>1.0381944441178348E-2</v>
          </cell>
          <cell r="N194">
            <v>14.949999995296821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https://search-rtdc-monitor-bjffxe2xuh6vdkpspy63sjmuny.us-east-1.es.amazonaws.com/_plugin/kibana/#/discover/Steve-Slow-Train-Analysis-(2080s-and-2083s)?_g=(refreshInterval:(display:Off,section:0,value:0),time:(from:'2016-09-01 19:13:05-0600',mode:absolute,to:'2016-09-01 21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94" t="str">
            <v>N</v>
          </cell>
          <cell r="X194">
            <v>1</v>
          </cell>
          <cell r="Y194">
            <v>0.10390000000000001</v>
          </cell>
          <cell r="Z194">
            <v>5.8925999999999998</v>
          </cell>
          <cell r="AA194">
            <v>5.7886999999999995</v>
          </cell>
          <cell r="AB194" t="e">
            <v>#N/A</v>
          </cell>
          <cell r="AC194" t="e">
            <v>#N/A</v>
          </cell>
          <cell r="AD194" t="str">
            <v>0843-01</v>
          </cell>
          <cell r="AE194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95">
          <cell r="A195" t="str">
            <v>844-01</v>
          </cell>
          <cell r="B195">
            <v>4013</v>
          </cell>
          <cell r="C195" t="str">
            <v>DE.1.0.7.0</v>
          </cell>
          <cell r="D195" t="str">
            <v>300:58640</v>
          </cell>
          <cell r="E195">
            <v>42614.900590277779</v>
          </cell>
          <cell r="F195">
            <v>42614.902094907404</v>
          </cell>
          <cell r="G195">
            <v>1</v>
          </cell>
          <cell r="H195" t="str">
            <v>204:657</v>
          </cell>
          <cell r="I195">
            <v>42614.913055555553</v>
          </cell>
          <cell r="J195">
            <v>0</v>
          </cell>
          <cell r="K195" t="str">
            <v>4013/4014</v>
          </cell>
          <cell r="L195" t="str">
            <v>YANAI</v>
          </cell>
          <cell r="M195">
            <v>1.096064814919373E-2</v>
          </cell>
          <cell r="N195">
            <v>15.783333334838971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https://search-rtdc-monitor-bjffxe2xuh6vdkpspy63sjmuny.us-east-1.es.amazonaws.com/_plugin/kibana/#/discover/Steve-Slow-Train-Analysis-(2080s-and-2083s)?_g=(refreshInterval:(display:Off,section:0,value:0),time:(from:'2016-09-01 20:36:51-0600',mode:absolute,to:'2016-09-01 22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95" t="str">
            <v>N</v>
          </cell>
          <cell r="X195">
            <v>1</v>
          </cell>
          <cell r="Y195">
            <v>5.8639999999999999</v>
          </cell>
          <cell r="Z195">
            <v>6.5699999999999995E-2</v>
          </cell>
          <cell r="AA195">
            <v>5.7983000000000002</v>
          </cell>
          <cell r="AB195" t="e">
            <v>#N/A</v>
          </cell>
          <cell r="AC195" t="e">
            <v>#N/A</v>
          </cell>
          <cell r="AD195" t="str">
            <v>0844-01</v>
          </cell>
          <cell r="AE195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196">
          <cell r="A196" t="str">
            <v>845-01</v>
          </cell>
          <cell r="B196">
            <v>4014</v>
          </cell>
          <cell r="C196" t="str">
            <v>DE.1.0.7.0</v>
          </cell>
          <cell r="D196" t="str">
            <v>204:1084</v>
          </cell>
          <cell r="E196">
            <v>42614.887175925927</v>
          </cell>
          <cell r="F196">
            <v>42614.890405092592</v>
          </cell>
          <cell r="G196">
            <v>1</v>
          </cell>
          <cell r="H196" t="str">
            <v>300:58952</v>
          </cell>
          <cell r="I196">
            <v>42614.899652777778</v>
          </cell>
          <cell r="J196">
            <v>0</v>
          </cell>
          <cell r="K196" t="str">
            <v>4013/4014</v>
          </cell>
          <cell r="L196" t="str">
            <v>YANAI</v>
          </cell>
          <cell r="M196">
            <v>9.2476851859828457E-3</v>
          </cell>
          <cell r="N196">
            <v>13.316666667815298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https://search-rtdc-monitor-bjffxe2xuh6vdkpspy63sjmuny.us-east-1.es.amazonaws.com/_plugin/kibana/#/discover/Steve-Slow-Train-Analysis-(2080s-and-2083s)?_g=(refreshInterval:(display:Off,section:0,value:0),time:(from:'2016-09-01 20:17:32-0600',mode:absolute,to:'2016-09-01 22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96" t="str">
            <v>N</v>
          </cell>
          <cell r="X196">
            <v>1</v>
          </cell>
          <cell r="Y196">
            <v>0.1084</v>
          </cell>
          <cell r="Z196">
            <v>5.8952</v>
          </cell>
          <cell r="AA196">
            <v>5.7868000000000004</v>
          </cell>
          <cell r="AB196" t="e">
            <v>#N/A</v>
          </cell>
          <cell r="AC196" t="e">
            <v>#N/A</v>
          </cell>
          <cell r="AD196" t="str">
            <v>0845-01</v>
          </cell>
          <cell r="AE196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97">
          <cell r="A197" t="str">
            <v>847-01</v>
          </cell>
          <cell r="B197">
            <v>4014</v>
          </cell>
          <cell r="C197" t="str">
            <v>DE.1.0.7.0</v>
          </cell>
          <cell r="D197" t="str">
            <v>204:929</v>
          </cell>
          <cell r="E197">
            <v>42614.928437499999</v>
          </cell>
          <cell r="F197">
            <v>42614.931435185186</v>
          </cell>
          <cell r="G197">
            <v>1</v>
          </cell>
          <cell r="H197" t="str">
            <v>300:58937</v>
          </cell>
          <cell r="I197">
            <v>42614.941192129627</v>
          </cell>
          <cell r="J197">
            <v>0</v>
          </cell>
          <cell r="K197" t="str">
            <v>4013/4014</v>
          </cell>
          <cell r="L197" t="str">
            <v>YANAI</v>
          </cell>
          <cell r="M197">
            <v>9.7569444405962713E-3</v>
          </cell>
          <cell r="N197">
            <v>14.049999994458631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https://search-rtdc-monitor-bjffxe2xuh6vdkpspy63sjmuny.us-east-1.es.amazonaws.com/_plugin/kibana/#/discover/Steve-Slow-Train-Analysis-(2080s-and-2083s)?_g=(refreshInterval:(display:Off,section:0,value:0),time:(from:'2016-09-01 21:16:57-0600',mode:absolute,to:'2016-09-01 23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97" t="str">
            <v>N</v>
          </cell>
          <cell r="X197">
            <v>2</v>
          </cell>
          <cell r="Y197">
            <v>9.2899999999999996E-2</v>
          </cell>
          <cell r="Z197">
            <v>5.8936999999999999</v>
          </cell>
          <cell r="AA197">
            <v>5.8007999999999997</v>
          </cell>
          <cell r="AB197" t="e">
            <v>#N/A</v>
          </cell>
          <cell r="AC197" t="e">
            <v>#N/A</v>
          </cell>
          <cell r="AD197" t="str">
            <v>0847-01</v>
          </cell>
          <cell r="AE197" t="str">
    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    </cell>
        </row>
        <row r="198">
          <cell r="A198" t="str">
            <v>307-01</v>
          </cell>
          <cell r="B198">
            <v>4044</v>
          </cell>
          <cell r="C198" t="str">
            <v>DE.1.0.7.0</v>
          </cell>
          <cell r="D198" t="str">
            <v>204:520</v>
          </cell>
          <cell r="E198">
            <v>42614.821979166663</v>
          </cell>
          <cell r="F198">
            <v>42614.831226851849</v>
          </cell>
          <cell r="G198">
            <v>1</v>
          </cell>
          <cell r="H198" t="str">
            <v>300:23293</v>
          </cell>
          <cell r="I198">
            <v>42614.835995370369</v>
          </cell>
          <cell r="J198">
            <v>0</v>
          </cell>
          <cell r="K198" t="str">
            <v>4043/4044</v>
          </cell>
          <cell r="L198" t="str">
            <v>HOMIK</v>
          </cell>
          <cell r="M198">
            <v>4.7685185199952684E-3</v>
          </cell>
          <cell r="N198">
            <v>6.8666666687931865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https://search-rtdc-monitor-bjffxe2xuh6vdkpspy63sjmuny.us-east-1.es.amazonaws.com/_plugin/kibana/#/discover/Steve-Slow-Train-Analysis-(2080s-and-2083s)?_g=(refreshInterval:(display:Off,section:0,value:0),time:(from:'2016-09-01 18:43:39-0600',mode:absolute,to:'2016-09-01 21:03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98" t="str">
            <v>Y</v>
          </cell>
          <cell r="X198">
            <v>-540</v>
          </cell>
          <cell r="Y198">
            <v>5.1999999999999998E-2</v>
          </cell>
          <cell r="Z198">
            <v>2.3292999999999999</v>
          </cell>
          <cell r="AA198">
            <v>2.2772999999999999</v>
          </cell>
          <cell r="AB198" t="e">
            <v>#N/A</v>
          </cell>
          <cell r="AC198" t="e">
            <v>#N/A</v>
          </cell>
          <cell r="AD198" t="str">
            <v>0307-01</v>
          </cell>
          <cell r="AE198" t="str">
            <v>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 &amp; 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</v>
          </cell>
        </row>
        <row r="199">
          <cell r="A199" t="str">
            <v>309-01</v>
          </cell>
          <cell r="B199">
            <v>4018</v>
          </cell>
          <cell r="C199" t="str">
            <v>DE.1.0.7.0</v>
          </cell>
          <cell r="D199" t="str">
            <v>204:482</v>
          </cell>
          <cell r="E199">
            <v>42615.030636574076</v>
          </cell>
          <cell r="F199">
            <v>42615.040972222225</v>
          </cell>
          <cell r="G199">
            <v>1</v>
          </cell>
          <cell r="H199" t="str">
            <v>300:22212</v>
          </cell>
          <cell r="I199">
            <v>42615.045775462961</v>
          </cell>
          <cell r="J199">
            <v>0</v>
          </cell>
          <cell r="K199" t="str">
            <v>4017/4018</v>
          </cell>
          <cell r="L199" t="str">
            <v>HILLS</v>
          </cell>
          <cell r="M199">
            <v>4.8032407357823104E-3</v>
          </cell>
          <cell r="N199">
            <v>6.9166666595265269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https://search-rtdc-monitor-bjffxe2xuh6vdkpspy63sjmuny.us-east-1.es.amazonaws.com/_plugin/kibana/#/discover/Steve-Slow-Train-Analysis-(2080s-and-2083s)?_g=(refreshInterval:(display:Off,section:0,value:0),time:(from:'2016-09-01 23:44:07-0600',mode:absolute,to:'2016-09-02 02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99" t="str">
            <v>Y</v>
          </cell>
          <cell r="X199">
            <v>2</v>
          </cell>
          <cell r="Y199">
            <v>4.82E-2</v>
          </cell>
          <cell r="Z199">
            <v>2.2212000000000001</v>
          </cell>
          <cell r="AA199">
            <v>2.173</v>
          </cell>
          <cell r="AB199" t="e">
            <v>#N/A</v>
          </cell>
          <cell r="AC199" t="e">
            <v>#N/A</v>
          </cell>
          <cell r="AD199" t="str">
            <v>0309-01</v>
          </cell>
          <cell r="AE199" t="str">
            <v>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 &amp; 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</v>
          </cell>
        </row>
        <row r="200">
          <cell r="A200" t="str">
            <v>311-01</v>
          </cell>
          <cell r="B200">
            <v>4042</v>
          </cell>
          <cell r="C200" t="str">
            <v>DE.1.0.7.0</v>
          </cell>
          <cell r="D200" t="str">
            <v>204:916</v>
          </cell>
          <cell r="E200">
            <v>42615.046516203707</v>
          </cell>
          <cell r="F200">
            <v>25568.958333333332</v>
          </cell>
          <cell r="G200">
            <v>1</v>
          </cell>
          <cell r="H200" t="str">
            <v>300:23111</v>
          </cell>
          <cell r="I200">
            <v>25568.958333333332</v>
          </cell>
          <cell r="J200">
            <v>0</v>
          </cell>
          <cell r="K200" t="str">
            <v>4041/4042</v>
          </cell>
          <cell r="L200" t="str">
            <v>COOLAHAN</v>
          </cell>
          <cell r="M200">
            <v>0</v>
          </cell>
          <cell r="N200">
            <v>0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https://search-rtdc-monitor-bjffxe2xuh6vdkpspy63sjmuny.us-east-1.es.amazonaws.com/_plugin/kibana/#/discover/Steve-Slow-Train-Analysis-(2080s-and-2083s)?_g=(refreshInterval:(display:Off,section:0,value:0),time:(from:'2016-09-02 00:06:59-0600',mode:absolute,to:'1970-01-01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200" t="str">
            <v>Y</v>
          </cell>
          <cell r="X200">
            <v>2</v>
          </cell>
          <cell r="Y200">
            <v>9.1600000000000001E-2</v>
          </cell>
          <cell r="Z200">
            <v>2.3111000000000002</v>
          </cell>
          <cell r="AA200">
            <v>2.2195</v>
          </cell>
          <cell r="AB200" t="e">
            <v>#N/A</v>
          </cell>
          <cell r="AC200" t="e">
            <v>#N/A</v>
          </cell>
          <cell r="AD200" t="str">
            <v>0311-01</v>
          </cell>
          <cell r="AE200" t="str">
            <v>aws s3 cp s3://rtdc.mdm.uploadarchive/RTDC4042/1969-12-31/ "%USERPROFILE%\AppData\Local\Temp\OnboardLogs"\RTDC4042\1969-12-31 --recursive &amp; "%USERPROFILE%\Documents\GitHub\mrs-test-scripts\Headless Mode &amp; Sideloading\WalkAndUnGZ.bat" "%USERPROFILE%\AppData\Local\Temp\OnboardLogs"\RTDC4042\1969-12-31 &amp; aws s3 cp s3://rtdc.mdm.uploadarchive/RTDC4042/1970-01-01/ "%USERPROFILE%\AppData\Local\Temp\OnboardLogs"\RTDC4042\1970-01-01 --recursive &amp; "%USERPROFILE%\Documents\GitHub\mrs-test-scripts\Headless Mode &amp; Sideloading\WalkAndUnGZ.bat" "%USERPROFILE%\AppData\Local\Temp\OnboardLogs"\RTDC4042\1970-01-01</v>
          </cell>
        </row>
        <row r="201">
          <cell r="A201" t="str">
            <v>313-01</v>
          </cell>
          <cell r="B201">
            <v>4011</v>
          </cell>
          <cell r="C201" t="str">
            <v>DE.1.0.7.0</v>
          </cell>
          <cell r="D201" t="str">
            <v>204:387</v>
          </cell>
          <cell r="E201">
            <v>42615.066863425927</v>
          </cell>
          <cell r="F201">
            <v>25568.958333333332</v>
          </cell>
          <cell r="G201">
            <v>1</v>
          </cell>
          <cell r="H201" t="str">
            <v>300:23121</v>
          </cell>
          <cell r="I201">
            <v>25568.958333333332</v>
          </cell>
          <cell r="J201">
            <v>0</v>
          </cell>
          <cell r="K201" t="str">
            <v>4011/4012</v>
          </cell>
          <cell r="L201" t="str">
            <v>STAMBAUGH</v>
          </cell>
          <cell r="M201">
            <v>0</v>
          </cell>
          <cell r="N201">
            <v>0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https://search-rtdc-monitor-bjffxe2xuh6vdkpspy63sjmuny.us-east-1.es.amazonaws.com/_plugin/kibana/#/discover/Steve-Slow-Train-Analysis-(2080s-and-2083s)?_g=(refreshInterval:(display:Off,section:0,value:0),time:(from:'2016-09-02 00:36:17-0600',mode:absolute,to:'1970-01-01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201" t="str">
            <v>Y</v>
          </cell>
          <cell r="X201">
            <v>2</v>
          </cell>
          <cell r="Y201">
            <v>3.8699999999999998E-2</v>
          </cell>
          <cell r="Z201">
            <v>2.3121</v>
          </cell>
          <cell r="AA201">
            <v>2.2734000000000001</v>
          </cell>
          <cell r="AB201" t="e">
            <v>#N/A</v>
          </cell>
          <cell r="AC201" t="e">
            <v>#N/A</v>
          </cell>
          <cell r="AD201" t="str">
            <v>0313-01</v>
          </cell>
          <cell r="AE201" t="str">
    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    </cell>
        </row>
        <row r="202">
          <cell r="A202" t="str">
            <v>315-01</v>
          </cell>
          <cell r="B202">
            <v>4020</v>
          </cell>
          <cell r="C202" t="str">
            <v>DE.1.0.7.0</v>
          </cell>
          <cell r="D202" t="str">
            <v>204:457</v>
          </cell>
          <cell r="E202">
            <v>42615.088495370372</v>
          </cell>
          <cell r="F202">
            <v>25568.958333333332</v>
          </cell>
          <cell r="G202">
            <v>2</v>
          </cell>
          <cell r="H202" t="str">
            <v>300:22276</v>
          </cell>
          <cell r="I202">
            <v>25568.958333333332</v>
          </cell>
          <cell r="J202">
            <v>0</v>
          </cell>
          <cell r="K202" t="str">
            <v>4019/4020</v>
          </cell>
          <cell r="L202" t="str">
            <v>OUN</v>
          </cell>
          <cell r="M202">
            <v>0</v>
          </cell>
          <cell r="N202">
            <v>0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https://search-rtdc-monitor-bjffxe2xuh6vdkpspy63sjmuny.us-east-1.es.amazonaws.com/_plugin/kibana/#/discover/Steve-Slow-Train-Analysis-(2080s-and-2083s)?_g=(refreshInterval:(display:Off,section:0,value:0),time:(from:'2016-09-02 01:07:26-0600',mode:absolute,to:'1970-01-01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02" t="str">
            <v>Y</v>
          </cell>
          <cell r="X202">
            <v>2</v>
          </cell>
          <cell r="Y202">
            <v>4.5699999999999998E-2</v>
          </cell>
          <cell r="Z202">
            <v>2.2275999999999998</v>
          </cell>
          <cell r="AA202">
            <v>2.1818999999999997</v>
          </cell>
          <cell r="AB202" t="e">
            <v>#N/A</v>
          </cell>
          <cell r="AC202" t="e">
            <v>#N/A</v>
          </cell>
          <cell r="AD202" t="str">
            <v>0315-01</v>
          </cell>
          <cell r="AE202" t="str">
    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    </cell>
        </row>
        <row r="203">
          <cell r="A203" t="str">
            <v>315-31</v>
          </cell>
          <cell r="B203">
            <v>4016</v>
          </cell>
          <cell r="C203" t="str">
            <v>DE.1.0.7.0</v>
          </cell>
          <cell r="D203" t="str">
            <v>204:455</v>
          </cell>
          <cell r="E203">
            <v>42614.088194444441</v>
          </cell>
          <cell r="F203">
            <v>25568.958333333332</v>
          </cell>
          <cell r="G203">
            <v>2</v>
          </cell>
          <cell r="H203" t="str">
            <v>300:23312</v>
          </cell>
          <cell r="I203">
            <v>25568.958333333332</v>
          </cell>
          <cell r="J203">
            <v>0</v>
          </cell>
          <cell r="K203" t="str">
            <v>4015/4016</v>
          </cell>
          <cell r="L203" t="str">
            <v>COOLAHAN</v>
          </cell>
          <cell r="M203">
            <v>0</v>
          </cell>
          <cell r="N203">
            <v>0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https://search-rtdc-monitor-bjffxe2xuh6vdkpspy63sjmuny.us-east-1.es.amazonaws.com/_plugin/kibana/#/discover/Steve-Slow-Train-Analysis-(2080s-and-2083s)?_g=(refreshInterval:(display:Off,section:0,value:0),time:(from:'2016-09-01 01:07:00-0600',mode:absolute,to:'1970-01-01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203" t="str">
            <v>Y</v>
          </cell>
          <cell r="X203">
            <v>0</v>
          </cell>
          <cell r="Y203">
            <v>4.5499999999999999E-2</v>
          </cell>
          <cell r="Z203">
            <v>2.3311999999999999</v>
          </cell>
          <cell r="AA203">
            <v>2.2856999999999998</v>
          </cell>
          <cell r="AB203" t="e">
            <v>#N/A</v>
          </cell>
          <cell r="AC203" t="e">
            <v>#N/A</v>
          </cell>
          <cell r="AD203" t="str">
            <v>0315-31</v>
          </cell>
          <cell r="AE203" t="str">
    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    </cell>
        </row>
        <row r="204">
          <cell r="A204" t="str">
            <v>902-01</v>
          </cell>
          <cell r="B204">
            <v>4013</v>
          </cell>
          <cell r="C204" t="str">
            <v>DE.1.0.7.0</v>
          </cell>
          <cell r="D204" t="str">
            <v>300:23346</v>
          </cell>
          <cell r="E204">
            <v>42614.244733796295</v>
          </cell>
          <cell r="F204">
            <v>42614.249305555553</v>
          </cell>
          <cell r="G204">
            <v>6</v>
          </cell>
          <cell r="H204" t="str">
            <v>204:684</v>
          </cell>
          <cell r="I204">
            <v>42614.256284722222</v>
          </cell>
          <cell r="J204">
            <v>0</v>
          </cell>
          <cell r="K204" t="str">
            <v>4013/4014</v>
          </cell>
          <cell r="L204" t="str">
            <v>GEBRETEKLE</v>
          </cell>
          <cell r="M204">
            <v>6.9791666683158837E-3</v>
          </cell>
          <cell r="N204">
            <v>10.050000002374873</v>
          </cell>
          <cell r="S204">
            <v>1</v>
          </cell>
          <cell r="T204" t="str">
            <v>Southbound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https://search-rtdc-monitor-bjffxe2xuh6vdkpspy63sjmuny.us-east-1.es.amazonaws.com/_plugin/kibana/#/discover/Steve-Slow-Train-Analysis-(2080s-and-2083s)?_g=(refreshInterval:(display:Off,section:0,value:0),time:(from:'2016-09-01 04:52:25-0600',mode:absolute,to:'2016-09-01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04" t="str">
            <v>Y</v>
          </cell>
          <cell r="X204">
            <v>587</v>
          </cell>
          <cell r="Y204">
            <v>2.3346</v>
          </cell>
          <cell r="Z204">
            <v>6.8400000000000002E-2</v>
          </cell>
          <cell r="AA204">
            <v>2.2662</v>
          </cell>
          <cell r="AB204" t="e">
            <v>#N/A</v>
          </cell>
          <cell r="AC204" t="e">
            <v>#N/A</v>
          </cell>
          <cell r="AD204" t="str">
            <v>0902-01</v>
          </cell>
          <cell r="AE204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205">
          <cell r="A205" t="str">
            <v>904-01</v>
          </cell>
          <cell r="B205">
            <v>4010</v>
          </cell>
          <cell r="C205" t="str">
            <v>DE.1.0.7.0</v>
          </cell>
          <cell r="D205" t="str">
            <v>300:23620</v>
          </cell>
          <cell r="E205">
            <v>42614.637476851851</v>
          </cell>
          <cell r="F205">
            <v>42614.640034722222</v>
          </cell>
          <cell r="G205">
            <v>3</v>
          </cell>
          <cell r="H205" t="str">
            <v>204:647</v>
          </cell>
          <cell r="I205">
            <v>42614.645439814813</v>
          </cell>
          <cell r="J205">
            <v>0</v>
          </cell>
          <cell r="K205" t="str">
            <v>4009/4010</v>
          </cell>
          <cell r="L205" t="str">
            <v>YANAI</v>
          </cell>
          <cell r="M205">
            <v>5.4050925900810398E-3</v>
          </cell>
          <cell r="N205">
            <v>7.7833333297166973</v>
          </cell>
          <cell r="S205">
            <v>1</v>
          </cell>
          <cell r="T205" t="str">
            <v>Southbound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https://search-rtdc-monitor-bjffxe2xuh6vdkpspy63sjmuny.us-east-1.es.amazonaws.com/_plugin/kibana/#/discover/Steve-Slow-Train-Analysis-(2080s-and-2083s)?_g=(refreshInterval:(display:Off,section:0,value:0),time:(from:'2016-09-01 14:17:58-0600',mode:absolute,to:'2016-09-01 16:29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205" t="str">
            <v>Y</v>
          </cell>
          <cell r="X205">
            <v>2</v>
          </cell>
          <cell r="Y205">
            <v>2.3620000000000001</v>
          </cell>
          <cell r="Z205">
            <v>6.4699999999999994E-2</v>
          </cell>
          <cell r="AA205">
            <v>2.2972999999999999</v>
          </cell>
          <cell r="AB205" t="e">
            <v>#N/A</v>
          </cell>
          <cell r="AC205" t="e">
            <v>#N/A</v>
          </cell>
          <cell r="AD205" t="str">
            <v>0904-01</v>
          </cell>
          <cell r="AE205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206">
          <cell r="A206" t="str">
            <v>906-01</v>
          </cell>
          <cell r="B206">
            <v>4010</v>
          </cell>
          <cell r="C206" t="str">
            <v>DE.1.0.7.0</v>
          </cell>
          <cell r="D206" t="str">
            <v>300:58658</v>
          </cell>
          <cell r="E206">
            <v>42614.795347222222</v>
          </cell>
          <cell r="F206">
            <v>42614.797002314815</v>
          </cell>
          <cell r="G206">
            <v>1</v>
          </cell>
          <cell r="H206" t="str">
            <v>300:21619</v>
          </cell>
          <cell r="I206">
            <v>42614.801527777781</v>
          </cell>
          <cell r="J206">
            <v>0</v>
          </cell>
          <cell r="K206" t="str">
            <v>4009/4010</v>
          </cell>
          <cell r="L206" t="str">
            <v>YANAI</v>
          </cell>
          <cell r="M206">
            <v>4.5254629658302292E-3</v>
          </cell>
          <cell r="N206">
            <v>6.5166666707955301</v>
          </cell>
          <cell r="S206">
            <v>0</v>
          </cell>
          <cell r="T206" t="str">
            <v>Southbound</v>
          </cell>
          <cell r="U206">
            <v>0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https://search-rtdc-monitor-bjffxe2xuh6vdkpspy63sjmuny.us-east-1.es.amazonaws.com/_plugin/kibana/#/discover/Steve-Slow-Train-Analysis-(2080s-and-2083s)?_g=(refreshInterval:(display:Off,section:0,value:0),time:(from:'2016-09-01 18:05:18-0600',mode:absolute,to:'2016-09-01 20:14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206" t="str">
            <v>Y</v>
          </cell>
          <cell r="X206">
            <v>2</v>
          </cell>
          <cell r="Y206">
            <v>5.8658000000000001</v>
          </cell>
          <cell r="Z206">
            <v>2.1619000000000002</v>
          </cell>
          <cell r="AA206">
            <v>3.7039</v>
          </cell>
          <cell r="AB206" t="e">
            <v>#N/A</v>
          </cell>
          <cell r="AC206" t="e">
            <v>#N/A</v>
          </cell>
          <cell r="AD206" t="str">
            <v>0906-01</v>
          </cell>
          <cell r="AE206" t="str">
    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    </cell>
        </row>
        <row r="207">
          <cell r="A207" t="str">
            <v>908-01</v>
          </cell>
          <cell r="B207">
            <v>4013</v>
          </cell>
          <cell r="C207" t="str">
            <v>DE.1.0.7.0</v>
          </cell>
          <cell r="D207" t="str">
            <v>300:58632</v>
          </cell>
          <cell r="E207">
            <v>42614.942499999997</v>
          </cell>
          <cell r="F207">
            <v>42614.943865740737</v>
          </cell>
          <cell r="G207">
            <v>1</v>
          </cell>
          <cell r="H207" t="str">
            <v>300:21638</v>
          </cell>
          <cell r="I207">
            <v>42614.948553240742</v>
          </cell>
          <cell r="J207">
            <v>0</v>
          </cell>
          <cell r="K207" t="str">
            <v>4013/4014</v>
          </cell>
          <cell r="L207" t="str">
            <v>YANAI</v>
          </cell>
          <cell r="M207">
            <v>4.6875000043655746E-3</v>
          </cell>
          <cell r="N207">
            <v>6.7500000062864274</v>
          </cell>
          <cell r="S207">
            <v>0</v>
          </cell>
          <cell r="T207" t="str">
            <v>Southbound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https://search-rtdc-monitor-bjffxe2xuh6vdkpspy63sjmuny.us-east-1.es.amazonaws.com/_plugin/kibana/#/discover/Steve-Slow-Train-Analysis-(2080s-and-2083s)?_g=(refreshInterval:(display:Off,section:0,value:0),time:(from:'2016-09-01 21:37:12-0600',mode:absolute,to:'2016-09-01 23:45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07" t="str">
            <v>Y</v>
          </cell>
          <cell r="X207">
            <v>2</v>
          </cell>
          <cell r="Y207">
            <v>5.8632</v>
          </cell>
          <cell r="Z207">
            <v>2.1638000000000002</v>
          </cell>
          <cell r="AA207">
            <v>3.6993999999999998</v>
          </cell>
          <cell r="AB207" t="e">
            <v>#N/A</v>
          </cell>
          <cell r="AC207" t="e">
            <v>#N/A</v>
          </cell>
          <cell r="AD207" t="str">
            <v>0908-01</v>
          </cell>
          <cell r="AE207" t="str">
    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    </cell>
        </row>
        <row r="208">
          <cell r="A208" t="str">
            <v>50-01</v>
          </cell>
          <cell r="B208">
            <v>4022</v>
          </cell>
          <cell r="C208" t="str">
            <v>DE.1.0.7.0</v>
          </cell>
          <cell r="D208" t="str">
            <v>204:1166</v>
          </cell>
          <cell r="E208">
            <v>42614.756782407407</v>
          </cell>
          <cell r="F208">
            <v>42614.767696759256</v>
          </cell>
          <cell r="G208">
            <v>1</v>
          </cell>
          <cell r="H208" t="str">
            <v>300:25499</v>
          </cell>
          <cell r="I208">
            <v>42614.775543981479</v>
          </cell>
          <cell r="J208">
            <v>0</v>
          </cell>
          <cell r="K208" t="str">
            <v>4021/4022</v>
          </cell>
          <cell r="L208" t="str">
            <v>ISHMAEL</v>
          </cell>
          <cell r="M208">
            <v>7.8472222230629995E-3</v>
          </cell>
          <cell r="N208">
            <v>11.300000001210719</v>
          </cell>
          <cell r="S208">
            <v>0</v>
          </cell>
          <cell r="T208" t="e">
            <v>#VALUE!</v>
          </cell>
          <cell r="U208">
            <v>0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https://search-rtdc-monitor-bjffxe2xuh6vdkpspy63sjmuny.us-east-1.es.amazonaws.com/_plugin/kibana/#/discover/Steve-Slow-Train-Analysis-(2080s-and-2083s)?_g=(refreshInterval:(display:Off,section:0,value:0),time:(from:'2016-09-01 17:09:46-0600',mode:absolute,to:'2016-09-01 19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    </cell>
          <cell r="W208" t="str">
            <v>Y</v>
          </cell>
          <cell r="X208" t="e">
            <v>#VALUE!</v>
          </cell>
          <cell r="Y208">
            <v>0.1166</v>
          </cell>
          <cell r="Z208">
            <v>2.5499000000000001</v>
          </cell>
          <cell r="AA208">
            <v>2.4333</v>
          </cell>
          <cell r="AB208" t="e">
            <v>#N/A</v>
          </cell>
          <cell r="AC208" t="e">
            <v>#N/A</v>
          </cell>
          <cell r="AD208" t="str">
            <v>50-01</v>
          </cell>
          <cell r="AE208" t="str">
            <v>aws s3 cp s3://rtdc.mdm.uploadarchive/RTDC4022/2016-09-01/ "%USERPROFILE%\AppData\Local\Temp\OnboardLogs"\RTDC4022\2016-09-01 --recursive &amp; "%USERPROFILE%\Documents\GitHub\mrs-test-scripts\Headless Mode &amp; Sideloading\WalkAndUnGZ.bat" "%USERPROFILE%\AppData\Local\Temp\OnboardLogs"\RTDC4022\2016-09-01 &amp; 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</v>
          </cell>
        </row>
        <row r="209">
          <cell r="A209" t="str">
            <v>51-01</v>
          </cell>
          <cell r="B209">
            <v>4006</v>
          </cell>
          <cell r="C209" t="str">
            <v>DE.1.0.7.0</v>
          </cell>
          <cell r="D209" t="str">
            <v>204:1160</v>
          </cell>
          <cell r="E209">
            <v>42614.47210648148</v>
          </cell>
          <cell r="F209">
            <v>25568.958333333332</v>
          </cell>
          <cell r="G209">
            <v>1</v>
          </cell>
          <cell r="H209" t="str">
            <v>300:24260</v>
          </cell>
          <cell r="I209">
            <v>25568.958333333332</v>
          </cell>
          <cell r="J209">
            <v>0</v>
          </cell>
          <cell r="K209" t="str">
            <v>4005/4006</v>
          </cell>
          <cell r="L209" t="str">
            <v>MALAVE</v>
          </cell>
          <cell r="M209">
            <v>0</v>
          </cell>
          <cell r="N209">
            <v>0</v>
          </cell>
          <cell r="S209">
            <v>0</v>
          </cell>
          <cell r="T209" t="e">
            <v>#VALUE!</v>
          </cell>
          <cell r="U209">
            <v>0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https://search-rtdc-monitor-bjffxe2xuh6vdkpspy63sjmuny.us-east-1.es.amazonaws.com/_plugin/kibana/#/discover/Steve-Slow-Train-Analysis-(2080s-and-2083s)?_g=(refreshInterval:(display:Off,section:0,value:0),time:(from:'2016-09-01 10:19:50-0600',mode:absolute,to:'1970-01-01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4006%22')),sort:!(Time,asc))</v>
          </cell>
          <cell r="W209" t="str">
            <v>Y</v>
          </cell>
          <cell r="X209" t="e">
            <v>#VALUE!</v>
          </cell>
          <cell r="Y209">
            <v>0.11600000000000001</v>
          </cell>
          <cell r="Z209">
            <v>2.4260000000000002</v>
          </cell>
          <cell r="AA209">
            <v>2.31</v>
          </cell>
          <cell r="AB209" t="e">
            <v>#N/A</v>
          </cell>
          <cell r="AC209" t="e">
            <v>#N/A</v>
          </cell>
          <cell r="AD209" t="str">
            <v>51-01</v>
          </cell>
          <cell r="AE209" t="str">
            <v>aws s3 cp s3://rtdc.mdm.uploadarchive/RTDC4006/1969-12-31/ "%USERPROFILE%\AppData\Local\Temp\OnboardLogs"\RTDC4006\1969-12-31 --recursive &amp; "%USERPROFILE%\Documents\GitHub\mrs-test-scripts\Headless Mode &amp; Sideloading\WalkAndUnGZ.bat" "%USERPROFILE%\AppData\Local\Temp\OnboardLogs"\RTDC4006\1969-12-31 &amp; aws s3 cp s3://rtdc.mdm.uploadarchive/RTDC4006/1970-01-01/ "%USERPROFILE%\AppData\Local\Temp\OnboardLogs"\RTDC4006\1970-01-01 --recursive &amp; "%USERPROFILE%\Documents\GitHub\mrs-test-scripts\Headless Mode &amp; Sideloading\WalkAndUnGZ.bat" "%USERPROFILE%\AppData\Local\Temp\OnboardLogs"\RTDC4006\1970-01-01</v>
          </cell>
        </row>
        <row r="210">
          <cell r="A210" t="str">
            <v>53-01</v>
          </cell>
          <cell r="B210">
            <v>4022</v>
          </cell>
          <cell r="C210" t="str">
            <v>DE.1.0.7.0</v>
          </cell>
          <cell r="D210" t="str">
            <v>204:446</v>
          </cell>
          <cell r="E210">
            <v>42614.491481481484</v>
          </cell>
          <cell r="F210">
            <v>25568.958333333332</v>
          </cell>
          <cell r="G210">
            <v>0</v>
          </cell>
          <cell r="H210" t="str">
            <v>300:25499</v>
          </cell>
          <cell r="I210">
            <v>25568.958333333332</v>
          </cell>
          <cell r="J210">
            <v>0</v>
          </cell>
          <cell r="K210" t="str">
            <v>4021/4022</v>
          </cell>
          <cell r="L210" t="str">
            <v>ROCHA</v>
          </cell>
          <cell r="M210">
            <v>0</v>
          </cell>
          <cell r="N210">
            <v>0</v>
          </cell>
          <cell r="S210">
            <v>0</v>
          </cell>
          <cell r="T210" t="e">
            <v>#VALUE!</v>
          </cell>
          <cell r="U210">
            <v>0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https://search-rtdc-monitor-bjffxe2xuh6vdkpspy63sjmuny.us-east-1.es.amazonaws.com/_plugin/kibana/#/discover/Steve-Slow-Train-Analysis-(2080s-and-2083s)?_g=(refreshInterval:(display:Off,section:0,value:0),time:(from:'2016-09-01 10:47:44-0600',mode:absolute,to:'1970-01-01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    </cell>
          <cell r="W210" t="str">
            <v>Y</v>
          </cell>
          <cell r="X210" t="e">
            <v>#VALUE!</v>
          </cell>
          <cell r="Y210">
            <v>4.4600000000000001E-2</v>
          </cell>
          <cell r="Z210">
            <v>2.5499000000000001</v>
          </cell>
          <cell r="AA210">
            <v>2.5053000000000001</v>
          </cell>
          <cell r="AB210" t="e">
            <v>#N/A</v>
          </cell>
          <cell r="AC210" t="e">
            <v>#N/A</v>
          </cell>
          <cell r="AD210" t="str">
            <v>53-01</v>
          </cell>
          <cell r="AE210" t="str">
    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    </cell>
        </row>
        <row r="211">
          <cell r="A211" t="str">
            <v>54-01</v>
          </cell>
          <cell r="B211">
            <v>4028</v>
          </cell>
          <cell r="C211" t="str">
            <v>DE.1.0.7.0</v>
          </cell>
          <cell r="D211" t="str">
            <v>300:23346</v>
          </cell>
          <cell r="E211">
            <v>42614.780532407407</v>
          </cell>
          <cell r="F211">
            <v>42614.784131944441</v>
          </cell>
          <cell r="G211">
            <v>4</v>
          </cell>
          <cell r="H211">
            <v>8.5243055555555554</v>
          </cell>
          <cell r="I211">
            <v>42614.793356481481</v>
          </cell>
          <cell r="J211">
            <v>0</v>
          </cell>
          <cell r="K211" t="str">
            <v>4027/4028</v>
          </cell>
          <cell r="L211" t="str">
            <v>COOPER</v>
          </cell>
          <cell r="M211">
            <v>9.2245370396994986E-3</v>
          </cell>
          <cell r="N211">
            <v>13.283333337167278</v>
          </cell>
          <cell r="S211">
            <v>0</v>
          </cell>
          <cell r="T211" t="e">
            <v>#VALUE!</v>
          </cell>
          <cell r="U211">
            <v>0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https://search-rtdc-monitor-bjffxe2xuh6vdkpspy63sjmuny.us-east-1.es.amazonaws.com/_plugin/kibana/#/discover/Steve-Slow-Train-Analysis-(2080s-and-2083s)?_g=(refreshInterval:(display:Off,section:0,value:0),time:(from:'2016-09-01 17:43:58-0600',mode:absolute,to:'2016-09-01 20:02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211" t="str">
            <v>N</v>
          </cell>
          <cell r="X211" t="e">
            <v>#VALUE!</v>
          </cell>
          <cell r="Y211">
            <v>2.3346</v>
          </cell>
          <cell r="Z211">
            <v>43055555.555600002</v>
          </cell>
          <cell r="AA211">
            <v>43055553.221000001</v>
          </cell>
          <cell r="AB211" t="e">
            <v>#N/A</v>
          </cell>
          <cell r="AC211" t="e">
            <v>#N/A</v>
          </cell>
          <cell r="AD211" t="str">
            <v>54-01</v>
          </cell>
          <cell r="AE211" t="str">
            <v>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 &amp; aws s3 cp s3://rtdc.mdm.uploadarchive/RTDC4028/2016-09-02/ "%USERPROFILE%\AppData\Local\Temp\OnboardLogs"\RTDC4028\2016-09-02 --recursive &amp; "%USERPROFILE%\Documents\GitHub\mrs-test-scripts\Headless Mode &amp; Sideloading\WalkAndUnGZ.bat" "%USERPROFILE%\AppData\Local\Temp\OnboardLogs"\RTDC4028\2016-09-02</v>
          </cell>
        </row>
        <row r="212">
          <cell r="A212" t="str">
            <v>57-01</v>
          </cell>
          <cell r="B212">
            <v>4051</v>
          </cell>
          <cell r="C212" t="str">
            <v>DE.1.0.8.0.ENG1</v>
          </cell>
          <cell r="D212" t="str">
            <v>204:10068</v>
          </cell>
          <cell r="E212">
            <v>42615.103703703702</v>
          </cell>
          <cell r="F212">
            <v>42615.105092592596</v>
          </cell>
          <cell r="G212">
            <v>1</v>
          </cell>
          <cell r="H212" t="str">
            <v>204:128366</v>
          </cell>
          <cell r="I212">
            <v>42615.123518518521</v>
          </cell>
          <cell r="J212">
            <v>0</v>
          </cell>
          <cell r="K212" t="str">
            <v>4051/4052</v>
          </cell>
          <cell r="L212" t="str">
            <v>GOLIGHTLY</v>
          </cell>
          <cell r="M212">
            <v>1.8425925925839692E-2</v>
          </cell>
          <cell r="N212">
            <v>26.533333333209157</v>
          </cell>
          <cell r="S212">
            <v>0</v>
          </cell>
          <cell r="T212" t="e">
            <v>#VALUE!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https://search-rtdc-monitor-bjffxe2xuh6vdkpspy63sjmuny.us-east-1.es.amazonaws.com/_plugin/kibana/#/discover/Steve-Slow-Train-Analysis-(2080s-and-2083s)?_g=(refreshInterval:(display:Off,section:0,value:0),time:(from:'2016-09-02 01:29:20-0600',mode:absolute,to:'2016-09-02 03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    </cell>
          <cell r="W212" t="str">
            <v>N</v>
          </cell>
          <cell r="X212" t="e">
            <v>#VALUE!</v>
          </cell>
          <cell r="Y212">
            <v>1.0067999999999999</v>
          </cell>
          <cell r="Z212">
            <v>12.836600000000001</v>
          </cell>
          <cell r="AA212">
            <v>11.829800000000001</v>
          </cell>
          <cell r="AB212" t="e">
            <v>#N/A</v>
          </cell>
          <cell r="AC212" t="e">
            <v>#N/A</v>
          </cell>
          <cell r="AD212" t="str">
            <v>57-01</v>
          </cell>
          <cell r="AE212" t="str">
    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    </cell>
        </row>
        <row r="213">
          <cell r="A213" t="str">
            <v>57-01</v>
          </cell>
          <cell r="B213">
            <v>4051</v>
          </cell>
          <cell r="C213" t="str">
            <v>DE.1.0.8.0.ENG1</v>
          </cell>
          <cell r="D213" t="str">
            <v>204:484</v>
          </cell>
          <cell r="E213">
            <v>42615.055011574077</v>
          </cell>
          <cell r="F213">
            <v>42615.084826388891</v>
          </cell>
          <cell r="G213">
            <v>1</v>
          </cell>
          <cell r="H213" t="str">
            <v>204:157936</v>
          </cell>
          <cell r="I213">
            <v>42615.101064814815</v>
          </cell>
          <cell r="J213">
            <v>0</v>
          </cell>
          <cell r="K213" t="str">
            <v>4051/4052</v>
          </cell>
          <cell r="L213" t="str">
            <v>GOLIGHTLY</v>
          </cell>
          <cell r="M213">
            <v>1.6238425923802424E-2</v>
          </cell>
          <cell r="N213">
            <v>23.383333330275491</v>
          </cell>
          <cell r="S213">
            <v>0</v>
          </cell>
          <cell r="T213" t="e">
            <v>#VALUE!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https://search-rtdc-monitor-bjffxe2xuh6vdkpspy63sjmuny.us-east-1.es.amazonaws.com/_plugin/kibana/#/discover/Steve-Slow-Train-Analysis-(2080s-and-2083s)?_g=(refreshInterval:(display:Off,section:0,value:0),time:(from:'2016-09-02 00:19:13-0600',mode:absolute,to:'2016-09-02 03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    </cell>
          <cell r="W213" t="str">
            <v>N</v>
          </cell>
          <cell r="X213" t="e">
            <v>#VALUE!</v>
          </cell>
          <cell r="Y213">
            <v>4.8399999999999999E-2</v>
          </cell>
          <cell r="Z213">
            <v>15.7936</v>
          </cell>
          <cell r="AA213">
            <v>15.745200000000001</v>
          </cell>
          <cell r="AB213" t="e">
            <v>#N/A</v>
          </cell>
          <cell r="AC213" t="e">
            <v>#N/A</v>
          </cell>
          <cell r="AD213" t="str">
            <v>57-01</v>
          </cell>
          <cell r="AE213" t="str">
    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    </cell>
        </row>
        <row r="214">
          <cell r="A214" t="str">
            <v>67-01</v>
          </cell>
          <cell r="B214">
            <v>4052</v>
          </cell>
          <cell r="C214" t="str">
            <v>DE.1.0.8.0.ENG1</v>
          </cell>
          <cell r="D214" t="str">
            <v>204:157705</v>
          </cell>
          <cell r="E214">
            <v>42615.083090277774</v>
          </cell>
          <cell r="F214">
            <v>42615.084826388891</v>
          </cell>
          <cell r="G214">
            <v>1</v>
          </cell>
          <cell r="H214" t="str">
            <v>204:9810</v>
          </cell>
          <cell r="I214">
            <v>42615.101064814815</v>
          </cell>
          <cell r="J214">
            <v>0</v>
          </cell>
          <cell r="K214" t="str">
            <v>4051/4052</v>
          </cell>
          <cell r="L214" t="str">
            <v>GOLIGHTLY</v>
          </cell>
          <cell r="M214">
            <v>1.6238425923802424E-2</v>
          </cell>
          <cell r="N214">
            <v>23.383333330275491</v>
          </cell>
          <cell r="S214">
            <v>0</v>
          </cell>
          <cell r="T214" t="e">
            <v>#VALUE!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https://search-rtdc-monitor-bjffxe2xuh6vdkpspy63sjmuny.us-east-1.es.amazonaws.com/_plugin/kibana/#/discover/Steve-Slow-Train-Analysis-(2080s-and-2083s)?_g=(refreshInterval:(display:Off,section:0,value:0),time:(from:'2016-09-02 00:59:39-0600',mode:absolute,to:'2016-09-02 03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    </cell>
          <cell r="W214" t="str">
            <v>N</v>
          </cell>
          <cell r="X214" t="e">
            <v>#VALUE!</v>
          </cell>
          <cell r="Y214">
            <v>15.7705</v>
          </cell>
          <cell r="Z214">
            <v>0.98099999999999998</v>
          </cell>
          <cell r="AA214">
            <v>14.7895</v>
          </cell>
          <cell r="AB214" t="e">
            <v>#N/A</v>
          </cell>
          <cell r="AC214" t="e">
            <v>#N/A</v>
          </cell>
          <cell r="AD214" t="str">
            <v>67-01</v>
          </cell>
          <cell r="AE214" t="str">
            <v>aws s3 cp s3://rtdc.mdm.uploadarchive/RTDC4052/2016-09-02/ "%USERPROFILE%\AppData\Local\Temp\OnboardLogs"\RTDC4052\2016-09-02 --recursive &amp; "%USERPROFILE%\Documents\GitHub\mrs-test-scripts\Headless Mode &amp; Sideloading\WalkAndUnGZ.bat" "%USERPROFILE%\AppData\Local\Temp\OnboardLogs"\RTDC4052\2016-09-02 &amp; aws s3 cp s3://rtdc.mdm.uploadarchive/RTDC4052/2016-09-03/ "%USERPROFILE%\AppData\Local\Temp\OnboardLogs"\RTDC4052\2016-09-03 --recursive &amp; "%USERPROFILE%\Documents\GitHub\mrs-test-scripts\Headless Mode &amp; Sideloading\WalkAndUnGZ.bat" "%USERPROFILE%\AppData\Local\Temp\OnboardLogs"\RTDC4052\2016-09-03</v>
          </cell>
        </row>
        <row r="215">
          <cell r="A215" t="str">
            <v>JOHN-01</v>
          </cell>
          <cell r="B215">
            <v>4051</v>
          </cell>
          <cell r="C215" t="str">
            <v>DE.1.0.7.0</v>
          </cell>
          <cell r="D215" t="str">
            <v>300:25436</v>
          </cell>
          <cell r="E215">
            <v>42614.606851851851</v>
          </cell>
          <cell r="F215">
            <v>25568.958333333332</v>
          </cell>
          <cell r="G215">
            <v>8</v>
          </cell>
          <cell r="H215" t="str">
            <v>300:25434</v>
          </cell>
          <cell r="I215">
            <v>25568.958333333332</v>
          </cell>
          <cell r="J215">
            <v>0</v>
          </cell>
          <cell r="K215" t="str">
            <v>4051/4052</v>
          </cell>
          <cell r="L215" t="str">
            <v>HAUSER</v>
          </cell>
          <cell r="M215">
            <v>0</v>
          </cell>
          <cell r="N215">
            <v>0</v>
          </cell>
          <cell r="S215">
            <v>0</v>
          </cell>
          <cell r="T215" t="e">
            <v>#VALUE!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https://search-rtdc-monitor-bjffxe2xuh6vdkpspy63sjmuny.us-east-1.es.amazonaws.com/_plugin/kibana/#/discover/Steve-Slow-Train-Analysis-(2080s-and-2083s)?_g=(refreshInterval:(display:Off,section:0,value:0),time:(from:'2016-09-01 13:33:52-0600',mode:absolute,to:'1970-01-01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    </cell>
          <cell r="W215" t="str">
            <v>Y</v>
          </cell>
          <cell r="X215" t="e">
            <v>#VALUE!</v>
          </cell>
          <cell r="Y215">
            <v>2.5436000000000001</v>
          </cell>
          <cell r="Z215">
            <v>2.5434000000000001</v>
          </cell>
          <cell r="AA215">
            <v>1.9999999999997797E-4</v>
          </cell>
          <cell r="AB215" t="e">
            <v>#N/A</v>
          </cell>
          <cell r="AC215" t="e">
            <v>#N/A</v>
          </cell>
          <cell r="AD215" t="str">
            <v>JOHN-01</v>
          </cell>
          <cell r="AE215" t="str">
            <v>aws s3 cp s3://rtdc.mdm.uploadarchive/RTDC4051/1969-12-31/ "%USERPROFILE%\AppData\Local\Temp\OnboardLogs"\RTDC4051\1969-12-31 --recursive &amp; "%USERPROFILE%\Documents\GitHub\mrs-test-scripts\Headless Mode &amp; Sideloading\WalkAndUnGZ.bat" "%USERPROFILE%\AppData\Local\Temp\OnboardLogs"\RTDC4051\1969-12-31 &amp; aws s3 cp s3://rtdc.mdm.uploadarchive/RTDC4051/1970-01-01/ "%USERPROFILE%\AppData\Local\Temp\OnboardLogs"\RTDC4051\1970-01-01 --recursive &amp; "%USERPROFILE%\Documents\GitHub\mrs-test-scripts\Headless Mode &amp; Sideloading\WalkAndUnGZ.bat" "%USERPROFILE%\AppData\Local\Temp\OnboardLogs"\RTDC4051\1970-01-01</v>
          </cell>
        </row>
        <row r="216">
          <cell r="A216" t="str">
            <v>NEWELL-01</v>
          </cell>
          <cell r="B216">
            <v>4021</v>
          </cell>
          <cell r="C216" t="str">
            <v>DE.1.0.7.0</v>
          </cell>
          <cell r="D216" t="str">
            <v>300:23158</v>
          </cell>
          <cell r="E216">
            <v>42614.458356481482</v>
          </cell>
          <cell r="F216">
            <v>42614.459756944445</v>
          </cell>
          <cell r="G216">
            <v>1</v>
          </cell>
          <cell r="H216" t="str">
            <v>204:144</v>
          </cell>
          <cell r="I216">
            <v>42614.465439814812</v>
          </cell>
          <cell r="J216">
            <v>0</v>
          </cell>
          <cell r="K216" t="str">
            <v>4021/4022</v>
          </cell>
          <cell r="L216" t="str">
            <v>NEWELL</v>
          </cell>
          <cell r="M216">
            <v>5.6828703673090786E-3</v>
          </cell>
          <cell r="N216">
            <v>8.1833333289250731</v>
          </cell>
          <cell r="S216">
            <v>0</v>
          </cell>
          <cell r="T216" t="e">
            <v>#VALUE!</v>
          </cell>
          <cell r="U216">
            <v>0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https://search-rtdc-monitor-bjffxe2xuh6vdkpspy63sjmuny.us-east-1.es.amazonaws.com/_plugin/kibana/#/discover/Steve-Slow-Train-Analysis-(2080s-and-2083s)?_g=(refreshInterval:(display:Off,section:0,value:0),time:(from:'2016-09-01 10:00:02-0600',mode:absolute,to:'2016-09-01 12:10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    </cell>
          <cell r="W216" t="str">
            <v>Y</v>
          </cell>
          <cell r="X216" t="e">
            <v>#VALUE!</v>
          </cell>
          <cell r="Y216">
            <v>2.3157999999999999</v>
          </cell>
          <cell r="Z216">
            <v>1.44E-2</v>
          </cell>
          <cell r="AA216">
            <v>2.3013999999999997</v>
          </cell>
          <cell r="AB216" t="e">
            <v>#N/A</v>
          </cell>
          <cell r="AC216" t="e">
            <v>#N/A</v>
          </cell>
          <cell r="AD216" t="str">
            <v>NEWELL-01</v>
          </cell>
          <cell r="AE216" t="str">
            <v>aws s3 cp s3://rtdc.mdm.uploadarchive/RTDC4021/2016-09-01/ "%USERPROFILE%\AppData\Local\Temp\OnboardLogs"\RTDC4021\2016-09-01 --recursive &amp; "%USERPROFILE%\Documents\GitHub\mrs-test-scripts\Headless Mode &amp; Sideloading\WalkAndUnGZ.bat" "%USERPROFILE%\AppData\Local\Temp\OnboardLogs"\RTDC4021\2016-09-01 &amp; aws s3 cp s3://rtdc.mdm.uploadarchive/RTDC4021/2016-09-02/ "%USERPROFILE%\AppData\Local\Temp\OnboardLogs"\RTDC4021\2016-09-02 --recursive &amp; "%USERPROFILE%\Documents\GitHub\mrs-test-scripts\Headless Mode &amp; Sideloading\WalkAndUnGZ.bat" "%USERPROFILE%\AppData\Local\Temp\OnboardLogs"\RTDC4021\2016-09-02</v>
          </cell>
        </row>
      </sheetData>
      <sheetData sheetId="1" refreshError="1"/>
      <sheetData sheetId="2" refreshError="1"/>
      <sheetData sheetId="3">
        <row r="1">
          <cell r="C1" t="str">
            <v>Train ID</v>
          </cell>
          <cell r="D1" t="str">
            <v>Employee Identifier</v>
          </cell>
          <cell r="E1" t="str">
            <v>Employee Last Name</v>
          </cell>
        </row>
        <row r="2">
          <cell r="C2" t="str">
            <v>242-31</v>
          </cell>
          <cell r="D2">
            <v>2000000</v>
          </cell>
          <cell r="E2" t="str">
            <v>STAMBAUGH</v>
          </cell>
        </row>
        <row r="3">
          <cell r="C3" t="str">
            <v>311-31</v>
          </cell>
          <cell r="D3">
            <v>1230000</v>
          </cell>
          <cell r="E3" t="str">
            <v>YANAI</v>
          </cell>
        </row>
        <row r="4">
          <cell r="C4" t="str">
            <v>244-31</v>
          </cell>
          <cell r="D4">
            <v>1290000</v>
          </cell>
          <cell r="E4" t="str">
            <v>COOLAHAN</v>
          </cell>
        </row>
        <row r="5">
          <cell r="C5" t="str">
            <v>313-31</v>
          </cell>
          <cell r="D5">
            <v>2000000</v>
          </cell>
          <cell r="E5" t="str">
            <v>STAMBAUGH</v>
          </cell>
        </row>
        <row r="6">
          <cell r="C6" t="str">
            <v>315-31</v>
          </cell>
          <cell r="D6">
            <v>1290000</v>
          </cell>
          <cell r="E6" t="str">
            <v>COOLAHAN</v>
          </cell>
        </row>
        <row r="7">
          <cell r="C7" t="str">
            <v>101-01</v>
          </cell>
          <cell r="D7">
            <v>2010000</v>
          </cell>
          <cell r="E7" t="str">
            <v>MAELZER</v>
          </cell>
        </row>
        <row r="8">
          <cell r="C8" t="str">
            <v>103-01</v>
          </cell>
          <cell r="D8">
            <v>1090000</v>
          </cell>
          <cell r="E8" t="str">
            <v>SPECTOR</v>
          </cell>
        </row>
        <row r="9">
          <cell r="C9" t="str">
            <v>102-01</v>
          </cell>
          <cell r="D9">
            <v>2010000</v>
          </cell>
          <cell r="E9" t="str">
            <v>MAELZER</v>
          </cell>
        </row>
        <row r="10">
          <cell r="C10" t="str">
            <v>105-01</v>
          </cell>
          <cell r="D10">
            <v>1310000</v>
          </cell>
          <cell r="E10" t="str">
            <v>MALAVE</v>
          </cell>
        </row>
        <row r="11">
          <cell r="C11" t="str">
            <v>107-01</v>
          </cell>
          <cell r="D11">
            <v>1760000</v>
          </cell>
          <cell r="E11" t="str">
            <v>STRICKLAND</v>
          </cell>
        </row>
        <row r="12">
          <cell r="C12" t="str">
            <v>109-01</v>
          </cell>
          <cell r="D12">
            <v>2260000</v>
          </cell>
          <cell r="E12" t="str">
            <v>ARVIDSON</v>
          </cell>
        </row>
        <row r="13">
          <cell r="C13" t="str">
            <v>111-01</v>
          </cell>
          <cell r="D13">
            <v>1110000</v>
          </cell>
          <cell r="E13" t="str">
            <v>STARKS</v>
          </cell>
        </row>
        <row r="14">
          <cell r="C14" t="str">
            <v>111-01</v>
          </cell>
          <cell r="D14">
            <v>1110000</v>
          </cell>
          <cell r="E14" t="str">
            <v>STARKS</v>
          </cell>
        </row>
        <row r="15">
          <cell r="C15" t="str">
            <v>800-01</v>
          </cell>
          <cell r="D15">
            <v>1830000</v>
          </cell>
          <cell r="E15" t="str">
            <v>YORK</v>
          </cell>
        </row>
        <row r="16">
          <cell r="C16" t="str">
            <v>106-01</v>
          </cell>
          <cell r="D16">
            <v>1310000</v>
          </cell>
          <cell r="E16" t="str">
            <v>MALAVE</v>
          </cell>
        </row>
        <row r="17">
          <cell r="C17" t="str">
            <v>113-01</v>
          </cell>
          <cell r="D17">
            <v>2010000</v>
          </cell>
          <cell r="E17" t="str">
            <v>MAELZER</v>
          </cell>
        </row>
        <row r="18">
          <cell r="C18" t="str">
            <v>108-01</v>
          </cell>
          <cell r="D18">
            <v>1760000</v>
          </cell>
          <cell r="E18" t="str">
            <v>STRICKLAND</v>
          </cell>
        </row>
        <row r="19">
          <cell r="C19" t="str">
            <v>115-01</v>
          </cell>
          <cell r="D19">
            <v>2230000</v>
          </cell>
          <cell r="E19" t="str">
            <v>SMITH</v>
          </cell>
        </row>
        <row r="20">
          <cell r="C20" t="str">
            <v>801-01</v>
          </cell>
          <cell r="D20">
            <v>1830000</v>
          </cell>
          <cell r="E20" t="str">
            <v>YORK</v>
          </cell>
        </row>
        <row r="21">
          <cell r="C21" t="str">
            <v>117-01</v>
          </cell>
          <cell r="D21">
            <v>1090000</v>
          </cell>
          <cell r="E21" t="str">
            <v>SPECTOR</v>
          </cell>
        </row>
        <row r="22">
          <cell r="C22" t="str">
            <v>110-01</v>
          </cell>
          <cell r="D22">
            <v>2260000</v>
          </cell>
          <cell r="E22" t="str">
            <v>ARVIDSON</v>
          </cell>
        </row>
        <row r="23">
          <cell r="C23" t="str">
            <v>902-01</v>
          </cell>
          <cell r="D23">
            <v>1100000</v>
          </cell>
          <cell r="E23" t="str">
            <v>GEBRETEKLE</v>
          </cell>
        </row>
        <row r="24">
          <cell r="C24" t="str">
            <v>112-01</v>
          </cell>
          <cell r="D24">
            <v>1110000</v>
          </cell>
          <cell r="E24" t="str">
            <v>STARKS</v>
          </cell>
        </row>
        <row r="25">
          <cell r="C25" t="str">
            <v>119-01</v>
          </cell>
          <cell r="D25">
            <v>1310000</v>
          </cell>
          <cell r="E25" t="str">
            <v>MALAVE</v>
          </cell>
        </row>
        <row r="26">
          <cell r="C26" t="str">
            <v>114-01</v>
          </cell>
          <cell r="D26">
            <v>2010000</v>
          </cell>
          <cell r="E26" t="str">
            <v>MAELZER</v>
          </cell>
        </row>
        <row r="27">
          <cell r="C27" t="str">
            <v>802-01</v>
          </cell>
          <cell r="D27">
            <v>1830000</v>
          </cell>
          <cell r="E27" t="str">
            <v>YORK</v>
          </cell>
        </row>
        <row r="28">
          <cell r="C28" t="str">
            <v>121-01</v>
          </cell>
          <cell r="D28">
            <v>1760000</v>
          </cell>
          <cell r="E28" t="str">
            <v>STRICKLAND</v>
          </cell>
        </row>
        <row r="29">
          <cell r="C29" t="str">
            <v>803-01</v>
          </cell>
          <cell r="D29">
            <v>1100000</v>
          </cell>
          <cell r="E29" t="str">
            <v>GEBRETEKLE</v>
          </cell>
        </row>
        <row r="30">
          <cell r="C30" t="str">
            <v>116-01</v>
          </cell>
          <cell r="D30">
            <v>2230000</v>
          </cell>
          <cell r="E30" t="str">
            <v>SMITH</v>
          </cell>
        </row>
        <row r="31">
          <cell r="C31" t="str">
            <v>123-01</v>
          </cell>
          <cell r="D31">
            <v>2260000</v>
          </cell>
          <cell r="E31" t="str">
            <v>ARVIDSON</v>
          </cell>
        </row>
        <row r="32">
          <cell r="C32" t="str">
            <v>805-01</v>
          </cell>
          <cell r="D32">
            <v>1830000</v>
          </cell>
          <cell r="E32" t="str">
            <v>YORK</v>
          </cell>
        </row>
        <row r="33">
          <cell r="C33" t="str">
            <v>804-01</v>
          </cell>
          <cell r="D33">
            <v>1100000</v>
          </cell>
          <cell r="E33" t="str">
            <v>GEBRETEKLE</v>
          </cell>
        </row>
        <row r="34">
          <cell r="C34" t="str">
            <v>125-01</v>
          </cell>
          <cell r="D34">
            <v>1110000</v>
          </cell>
          <cell r="E34" t="str">
            <v>STARKS</v>
          </cell>
        </row>
        <row r="35">
          <cell r="C35" t="str">
            <v>118-01</v>
          </cell>
          <cell r="D35">
            <v>1090000</v>
          </cell>
          <cell r="E35" t="str">
            <v>SPECTOR</v>
          </cell>
        </row>
        <row r="36">
          <cell r="C36" t="str">
            <v>120-01</v>
          </cell>
          <cell r="D36">
            <v>1310000</v>
          </cell>
          <cell r="E36" t="str">
            <v>MALAVE</v>
          </cell>
        </row>
        <row r="37">
          <cell r="C37" t="str">
            <v>127-01</v>
          </cell>
          <cell r="D37">
            <v>2010000</v>
          </cell>
          <cell r="E37" t="str">
            <v>MAELZER</v>
          </cell>
        </row>
        <row r="38">
          <cell r="C38" t="str">
            <v>122-01</v>
          </cell>
          <cell r="D38">
            <v>1760000</v>
          </cell>
          <cell r="E38" t="str">
            <v>STRICKLAND</v>
          </cell>
        </row>
        <row r="39">
          <cell r="C39" t="str">
            <v>806-01</v>
          </cell>
          <cell r="D39">
            <v>1830000</v>
          </cell>
          <cell r="E39" t="str">
            <v>YORK</v>
          </cell>
        </row>
        <row r="40">
          <cell r="C40" t="str">
            <v>129-01</v>
          </cell>
          <cell r="D40">
            <v>2230000</v>
          </cell>
          <cell r="E40" t="str">
            <v>SMITH</v>
          </cell>
        </row>
        <row r="41">
          <cell r="C41" t="str">
            <v>807-01</v>
          </cell>
          <cell r="D41">
            <v>1340000</v>
          </cell>
          <cell r="E41" t="str">
            <v>BEAM</v>
          </cell>
        </row>
        <row r="42">
          <cell r="C42" t="str">
            <v>124-01</v>
          </cell>
          <cell r="D42">
            <v>2260000</v>
          </cell>
          <cell r="E42" t="str">
            <v>ARVIDSON</v>
          </cell>
        </row>
        <row r="43">
          <cell r="C43" t="str">
            <v>809-01</v>
          </cell>
          <cell r="D43">
            <v>1830000</v>
          </cell>
          <cell r="E43" t="str">
            <v>YORK</v>
          </cell>
        </row>
        <row r="44">
          <cell r="C44" t="str">
            <v>808-01</v>
          </cell>
          <cell r="D44">
            <v>1340000</v>
          </cell>
          <cell r="E44" t="str">
            <v>BEAM</v>
          </cell>
        </row>
        <row r="45">
          <cell r="C45" t="str">
            <v>126-01</v>
          </cell>
          <cell r="D45">
            <v>1110000</v>
          </cell>
          <cell r="E45" t="str">
            <v>STARKS</v>
          </cell>
        </row>
        <row r="46">
          <cell r="C46" t="str">
            <v>133-01</v>
          </cell>
          <cell r="D46">
            <v>1310000</v>
          </cell>
          <cell r="E46" t="str">
            <v>MALAVE</v>
          </cell>
        </row>
        <row r="47">
          <cell r="C47" t="str">
            <v>128-01</v>
          </cell>
          <cell r="D47">
            <v>2010000</v>
          </cell>
          <cell r="E47" t="str">
            <v>MAELZER</v>
          </cell>
        </row>
        <row r="48">
          <cell r="C48" t="str">
            <v>130-01</v>
          </cell>
          <cell r="D48">
            <v>2230000</v>
          </cell>
          <cell r="E48" t="str">
            <v>SMITH</v>
          </cell>
        </row>
        <row r="49">
          <cell r="C49" t="str">
            <v>135-01</v>
          </cell>
          <cell r="D49">
            <v>1760000</v>
          </cell>
          <cell r="E49" t="str">
            <v>STRICKLAND</v>
          </cell>
        </row>
        <row r="50">
          <cell r="C50" t="str">
            <v>810-01</v>
          </cell>
          <cell r="D50">
            <v>1830000</v>
          </cell>
          <cell r="E50" t="str">
            <v>YORK</v>
          </cell>
        </row>
        <row r="51">
          <cell r="C51" t="str">
            <v>137-01</v>
          </cell>
          <cell r="D51">
            <v>2260000</v>
          </cell>
          <cell r="E51" t="str">
            <v>ARVIDSON</v>
          </cell>
        </row>
        <row r="52">
          <cell r="C52" t="str">
            <v>811-01</v>
          </cell>
          <cell r="D52">
            <v>1340000</v>
          </cell>
          <cell r="E52" t="str">
            <v>BEAM</v>
          </cell>
        </row>
        <row r="53">
          <cell r="C53" t="str">
            <v>132-01</v>
          </cell>
          <cell r="D53">
            <v>1090000</v>
          </cell>
          <cell r="E53" t="str">
            <v>SPECTOR</v>
          </cell>
        </row>
        <row r="54">
          <cell r="C54" t="str">
            <v>139-01</v>
          </cell>
          <cell r="D54">
            <v>1110000</v>
          </cell>
          <cell r="E54" t="str">
            <v>STARKS</v>
          </cell>
        </row>
        <row r="55">
          <cell r="C55" t="str">
            <v>812-01</v>
          </cell>
          <cell r="D55">
            <v>1340000</v>
          </cell>
          <cell r="E55" t="str">
            <v>BEAM</v>
          </cell>
        </row>
        <row r="56">
          <cell r="C56" t="str">
            <v>141-01</v>
          </cell>
          <cell r="D56">
            <v>2010000</v>
          </cell>
          <cell r="E56" t="str">
            <v>MAELZER</v>
          </cell>
        </row>
        <row r="57">
          <cell r="C57" t="str">
            <v>134-01</v>
          </cell>
          <cell r="D57">
            <v>1310000</v>
          </cell>
          <cell r="E57" t="str">
            <v>MALAVE</v>
          </cell>
        </row>
        <row r="58">
          <cell r="C58" t="str">
            <v>136-01</v>
          </cell>
          <cell r="D58">
            <v>1760000</v>
          </cell>
          <cell r="E58" t="str">
            <v>STRICKLAND</v>
          </cell>
        </row>
        <row r="59">
          <cell r="C59" t="str">
            <v>143-01</v>
          </cell>
          <cell r="D59">
            <v>2230000</v>
          </cell>
          <cell r="E59" t="str">
            <v>SMITH</v>
          </cell>
        </row>
        <row r="60">
          <cell r="C60" t="str">
            <v>138-01</v>
          </cell>
          <cell r="D60">
            <v>2260000</v>
          </cell>
          <cell r="E60" t="str">
            <v>ARVIDSON</v>
          </cell>
        </row>
        <row r="61">
          <cell r="C61" t="str">
            <v>145-01</v>
          </cell>
          <cell r="D61">
            <v>1090000</v>
          </cell>
          <cell r="E61" t="str">
            <v>SPECTOR</v>
          </cell>
        </row>
        <row r="62">
          <cell r="C62" t="str">
            <v>813-01</v>
          </cell>
          <cell r="D62">
            <v>1100000</v>
          </cell>
          <cell r="E62" t="str">
            <v>GEBRETEKLE</v>
          </cell>
        </row>
        <row r="63">
          <cell r="C63" t="str">
            <v>140-01</v>
          </cell>
          <cell r="D63">
            <v>1110000</v>
          </cell>
          <cell r="E63" t="str">
            <v>STARKS</v>
          </cell>
        </row>
        <row r="64">
          <cell r="C64" t="str">
            <v>147-01</v>
          </cell>
          <cell r="D64">
            <v>1310000</v>
          </cell>
          <cell r="E64" t="str">
            <v>MALAVE</v>
          </cell>
        </row>
        <row r="65">
          <cell r="C65" t="str">
            <v>142-01</v>
          </cell>
          <cell r="D65">
            <v>2010000</v>
          </cell>
          <cell r="E65" t="str">
            <v>MAELZER</v>
          </cell>
        </row>
        <row r="66">
          <cell r="C66" t="str">
            <v>814-01</v>
          </cell>
          <cell r="D66">
            <v>1100000</v>
          </cell>
          <cell r="E66" t="str">
            <v>GEBRETEKLE</v>
          </cell>
        </row>
        <row r="67">
          <cell r="C67" t="str">
            <v>149-01</v>
          </cell>
          <cell r="D67">
            <v>1760000</v>
          </cell>
          <cell r="E67" t="str">
            <v>STRICKLAND</v>
          </cell>
        </row>
        <row r="68">
          <cell r="C68" t="str">
            <v>144-01</v>
          </cell>
          <cell r="D68">
            <v>2230000</v>
          </cell>
          <cell r="E68" t="str">
            <v>SMITH</v>
          </cell>
        </row>
        <row r="69">
          <cell r="C69" t="str">
            <v>151-01</v>
          </cell>
          <cell r="D69">
            <v>2260000</v>
          </cell>
          <cell r="E69" t="str">
            <v>ARVIDSON</v>
          </cell>
        </row>
        <row r="70">
          <cell r="C70" t="str">
            <v>146-01</v>
          </cell>
          <cell r="D70">
            <v>1090000</v>
          </cell>
          <cell r="E70" t="str">
            <v>SPECTOR</v>
          </cell>
        </row>
        <row r="71">
          <cell r="C71" t="str">
            <v>153-01</v>
          </cell>
          <cell r="D71">
            <v>1110000</v>
          </cell>
          <cell r="E71" t="str">
            <v>STARKS</v>
          </cell>
        </row>
        <row r="72">
          <cell r="C72" t="str">
            <v>815-01</v>
          </cell>
          <cell r="D72">
            <v>1100000</v>
          </cell>
          <cell r="E72" t="str">
            <v>GEBRETEKLE</v>
          </cell>
        </row>
        <row r="73">
          <cell r="C73" t="str">
            <v>148-01</v>
          </cell>
          <cell r="D73">
            <v>1310000</v>
          </cell>
          <cell r="E73" t="str">
            <v>MALAVE</v>
          </cell>
        </row>
        <row r="74">
          <cell r="C74" t="str">
            <v>155-01</v>
          </cell>
          <cell r="D74">
            <v>1830000</v>
          </cell>
          <cell r="E74" t="str">
            <v>YORK</v>
          </cell>
        </row>
        <row r="75">
          <cell r="C75" t="str">
            <v>150-01</v>
          </cell>
          <cell r="D75">
            <v>1760000</v>
          </cell>
          <cell r="E75" t="str">
            <v>STRICKLAND</v>
          </cell>
        </row>
        <row r="76">
          <cell r="C76" t="str">
            <v>816-01</v>
          </cell>
          <cell r="D76">
            <v>1100000</v>
          </cell>
          <cell r="E76" t="str">
            <v>GEBRETEKLE</v>
          </cell>
        </row>
        <row r="77">
          <cell r="C77" t="str">
            <v>157-01</v>
          </cell>
          <cell r="D77">
            <v>2230000</v>
          </cell>
          <cell r="E77" t="str">
            <v>SMITH</v>
          </cell>
        </row>
        <row r="78">
          <cell r="C78" t="str">
            <v>152-01</v>
          </cell>
          <cell r="D78">
            <v>2260000</v>
          </cell>
          <cell r="E78" t="str">
            <v>ARVIDSON</v>
          </cell>
        </row>
        <row r="79">
          <cell r="C79" t="str">
            <v>NEWELL-01</v>
          </cell>
          <cell r="D79">
            <v>1810000</v>
          </cell>
          <cell r="E79" t="str">
            <v>NEWELL</v>
          </cell>
        </row>
        <row r="80">
          <cell r="C80" t="str">
            <v>159-01</v>
          </cell>
          <cell r="D80">
            <v>2140000</v>
          </cell>
          <cell r="E80" t="str">
            <v>ROBINSON</v>
          </cell>
        </row>
        <row r="81">
          <cell r="C81" t="str">
            <v>NEWELL-01</v>
          </cell>
          <cell r="D81">
            <v>1810000</v>
          </cell>
          <cell r="E81" t="str">
            <v>NEWELL</v>
          </cell>
        </row>
        <row r="82">
          <cell r="C82" t="str">
            <v>154-01</v>
          </cell>
          <cell r="D82">
            <v>1110000</v>
          </cell>
          <cell r="E82" t="str">
            <v>STARKS</v>
          </cell>
        </row>
        <row r="83">
          <cell r="C83" t="str">
            <v>156-01</v>
          </cell>
          <cell r="D83">
            <v>1830000</v>
          </cell>
          <cell r="E83" t="str">
            <v>YORK</v>
          </cell>
        </row>
        <row r="84">
          <cell r="C84" t="str">
            <v>161-01</v>
          </cell>
          <cell r="D84">
            <v>2020000</v>
          </cell>
          <cell r="E84" t="str">
            <v>SHOOK</v>
          </cell>
        </row>
        <row r="85">
          <cell r="C85" t="str">
            <v>817-01</v>
          </cell>
          <cell r="D85">
            <v>1100000</v>
          </cell>
          <cell r="E85" t="str">
            <v>GEBRETEKLE</v>
          </cell>
        </row>
        <row r="86">
          <cell r="C86" t="str">
            <v>51-01</v>
          </cell>
          <cell r="D86">
            <v>1310000</v>
          </cell>
          <cell r="E86" t="str">
            <v>MALAVE</v>
          </cell>
        </row>
        <row r="87">
          <cell r="C87" t="str">
            <v>163-01</v>
          </cell>
          <cell r="D87">
            <v>2040000</v>
          </cell>
          <cell r="E87" t="str">
            <v>MOSES</v>
          </cell>
        </row>
        <row r="88">
          <cell r="C88" t="str">
            <v>158-01</v>
          </cell>
          <cell r="D88">
            <v>2230000</v>
          </cell>
          <cell r="E88" t="str">
            <v>SMITH</v>
          </cell>
        </row>
        <row r="89">
          <cell r="C89" t="str">
            <v>818-01</v>
          </cell>
          <cell r="D89">
            <v>1100000</v>
          </cell>
          <cell r="E89" t="str">
            <v>GEBRETEKLE</v>
          </cell>
        </row>
        <row r="90">
          <cell r="C90" t="str">
            <v>165-01</v>
          </cell>
          <cell r="D90">
            <v>2270000</v>
          </cell>
          <cell r="E90" t="str">
            <v>BROWN</v>
          </cell>
        </row>
        <row r="91">
          <cell r="C91" t="str">
            <v>53-01</v>
          </cell>
          <cell r="D91">
            <v>900000</v>
          </cell>
          <cell r="E91" t="str">
            <v>ROCHA</v>
          </cell>
        </row>
        <row r="92">
          <cell r="C92" t="str">
            <v>160-01</v>
          </cell>
          <cell r="D92">
            <v>2140000</v>
          </cell>
          <cell r="E92" t="str">
            <v>ROBINSON</v>
          </cell>
        </row>
        <row r="93">
          <cell r="C93" t="str">
            <v>53-01</v>
          </cell>
          <cell r="D93">
            <v>900000</v>
          </cell>
          <cell r="E93" t="str">
            <v>ROCHA</v>
          </cell>
        </row>
        <row r="94">
          <cell r="C94" t="str">
            <v>167-01</v>
          </cell>
          <cell r="D94">
            <v>1140000</v>
          </cell>
          <cell r="E94" t="str">
            <v>YOUNG</v>
          </cell>
        </row>
        <row r="95">
          <cell r="C95" t="str">
            <v>162-01</v>
          </cell>
          <cell r="D95">
            <v>2020000</v>
          </cell>
          <cell r="E95" t="str">
            <v>SHOOK</v>
          </cell>
        </row>
        <row r="96">
          <cell r="C96" t="str">
            <v>169-01</v>
          </cell>
          <cell r="D96">
            <v>2100000</v>
          </cell>
          <cell r="E96" t="str">
            <v>ISHMAEL</v>
          </cell>
        </row>
        <row r="97">
          <cell r="C97" t="str">
            <v>819-01</v>
          </cell>
          <cell r="D97">
            <v>1100000</v>
          </cell>
          <cell r="E97" t="str">
            <v>GEBRETEKLE</v>
          </cell>
        </row>
        <row r="98">
          <cell r="C98" t="str">
            <v>166-01</v>
          </cell>
          <cell r="D98">
            <v>2270000</v>
          </cell>
          <cell r="E98" t="str">
            <v>BROWN</v>
          </cell>
        </row>
        <row r="99">
          <cell r="C99" t="str">
            <v>164-01</v>
          </cell>
          <cell r="D99">
            <v>2040000</v>
          </cell>
          <cell r="E99" t="str">
            <v>MOSES</v>
          </cell>
        </row>
        <row r="100">
          <cell r="C100" t="str">
            <v>171-01</v>
          </cell>
          <cell r="D100">
            <v>910000</v>
          </cell>
          <cell r="E100" t="str">
            <v>SUR</v>
          </cell>
        </row>
        <row r="101">
          <cell r="C101" t="str">
            <v>820-01</v>
          </cell>
          <cell r="D101">
            <v>1100000</v>
          </cell>
          <cell r="E101" t="str">
            <v>GEBRETEKLE</v>
          </cell>
        </row>
        <row r="102">
          <cell r="C102" t="str">
            <v>173-01</v>
          </cell>
          <cell r="D102">
            <v>2140000</v>
          </cell>
          <cell r="E102" t="str">
            <v>ROBINSON</v>
          </cell>
        </row>
        <row r="103">
          <cell r="C103" t="str">
            <v>168-01</v>
          </cell>
          <cell r="D103">
            <v>1140000</v>
          </cell>
          <cell r="E103" t="str">
            <v>YOUNG</v>
          </cell>
        </row>
        <row r="104">
          <cell r="C104" t="str">
            <v>175-01</v>
          </cell>
          <cell r="D104">
            <v>2020000</v>
          </cell>
          <cell r="E104" t="str">
            <v>SHOOK</v>
          </cell>
        </row>
        <row r="105">
          <cell r="C105" t="str">
            <v>170-01</v>
          </cell>
          <cell r="D105">
            <v>2100000</v>
          </cell>
          <cell r="E105" t="str">
            <v>ISHMAEL</v>
          </cell>
        </row>
        <row r="106">
          <cell r="C106" t="str">
            <v>177-01</v>
          </cell>
          <cell r="D106">
            <v>2040000</v>
          </cell>
          <cell r="E106" t="str">
            <v>MOSES</v>
          </cell>
        </row>
        <row r="107">
          <cell r="C107" t="str">
            <v>172-01</v>
          </cell>
          <cell r="D107">
            <v>910000</v>
          </cell>
          <cell r="E107" t="str">
            <v>SUR</v>
          </cell>
        </row>
        <row r="108">
          <cell r="C108" t="str">
            <v>821-01</v>
          </cell>
          <cell r="D108">
            <v>2280000</v>
          </cell>
          <cell r="E108" t="str">
            <v>MAHAN</v>
          </cell>
        </row>
        <row r="109">
          <cell r="C109" t="str">
            <v>179-01</v>
          </cell>
          <cell r="D109">
            <v>2270000</v>
          </cell>
          <cell r="E109" t="str">
            <v>BROWN</v>
          </cell>
        </row>
        <row r="110">
          <cell r="C110" t="str">
            <v>174-01</v>
          </cell>
          <cell r="D110">
            <v>940000</v>
          </cell>
          <cell r="E110" t="str">
            <v>BONDS</v>
          </cell>
        </row>
        <row r="111">
          <cell r="C111" t="str">
            <v>181-01</v>
          </cell>
          <cell r="D111">
            <v>1140000</v>
          </cell>
          <cell r="E111" t="str">
            <v>YOUNG</v>
          </cell>
        </row>
        <row r="112">
          <cell r="C112" t="str">
            <v>822-01</v>
          </cell>
          <cell r="D112">
            <v>2280000</v>
          </cell>
          <cell r="E112" t="str">
            <v>MAHAN</v>
          </cell>
        </row>
        <row r="113">
          <cell r="C113" t="str">
            <v>176-01</v>
          </cell>
          <cell r="D113">
            <v>2020000</v>
          </cell>
          <cell r="E113" t="str">
            <v>SHOOK</v>
          </cell>
        </row>
        <row r="114">
          <cell r="C114" t="str">
            <v>183-01</v>
          </cell>
          <cell r="D114">
            <v>2100000</v>
          </cell>
          <cell r="E114" t="str">
            <v>ISHMAEL</v>
          </cell>
        </row>
        <row r="115">
          <cell r="C115" t="str">
            <v>178-01</v>
          </cell>
          <cell r="D115">
            <v>2040000</v>
          </cell>
          <cell r="E115" t="str">
            <v>MOSES</v>
          </cell>
        </row>
        <row r="116">
          <cell r="C116" t="str">
            <v>185-01</v>
          </cell>
          <cell r="D116">
            <v>910000</v>
          </cell>
          <cell r="E116" t="str">
            <v>SUR</v>
          </cell>
        </row>
        <row r="117">
          <cell r="C117" t="str">
            <v>180-01</v>
          </cell>
          <cell r="D117">
            <v>2270000</v>
          </cell>
          <cell r="E117" t="str">
            <v>BROWN</v>
          </cell>
        </row>
        <row r="118">
          <cell r="C118" t="str">
            <v>185-01</v>
          </cell>
          <cell r="D118">
            <v>910000</v>
          </cell>
          <cell r="E118" t="str">
            <v>SUR</v>
          </cell>
        </row>
        <row r="119">
          <cell r="C119" t="str">
            <v>823-01</v>
          </cell>
          <cell r="D119">
            <v>2280000</v>
          </cell>
          <cell r="E119" t="str">
            <v>MAHAN</v>
          </cell>
        </row>
        <row r="120">
          <cell r="C120" t="str">
            <v>187-01</v>
          </cell>
          <cell r="D120">
            <v>940000</v>
          </cell>
          <cell r="E120" t="str">
            <v>BONDS</v>
          </cell>
        </row>
        <row r="121">
          <cell r="C121" t="str">
            <v>182-01</v>
          </cell>
          <cell r="D121">
            <v>1140000</v>
          </cell>
          <cell r="E121" t="str">
            <v>YOUNG</v>
          </cell>
        </row>
        <row r="122">
          <cell r="C122" t="str">
            <v>189-01</v>
          </cell>
          <cell r="D122">
            <v>2020000</v>
          </cell>
          <cell r="E122" t="str">
            <v>SHOOK</v>
          </cell>
        </row>
        <row r="123">
          <cell r="C123" t="str">
            <v>824-01</v>
          </cell>
          <cell r="D123">
            <v>2280000</v>
          </cell>
          <cell r="E123" t="str">
            <v>MAHAN</v>
          </cell>
        </row>
        <row r="124">
          <cell r="C124" t="str">
            <v>JOHN-01</v>
          </cell>
          <cell r="D124">
            <v>0</v>
          </cell>
          <cell r="E124" t="str">
            <v>HAUSER</v>
          </cell>
        </row>
        <row r="125">
          <cell r="C125" t="str">
            <v>184-01</v>
          </cell>
          <cell r="D125">
            <v>2100000</v>
          </cell>
          <cell r="E125" t="str">
            <v>ISHMAEL</v>
          </cell>
        </row>
        <row r="126">
          <cell r="C126" t="str">
            <v>186-01</v>
          </cell>
          <cell r="D126">
            <v>910000</v>
          </cell>
          <cell r="E126" t="str">
            <v>SUR</v>
          </cell>
        </row>
        <row r="127">
          <cell r="C127" t="str">
            <v>191-01</v>
          </cell>
          <cell r="D127">
            <v>2040000</v>
          </cell>
          <cell r="E127" t="str">
            <v>MOSES</v>
          </cell>
        </row>
        <row r="128">
          <cell r="C128" t="str">
            <v>193-01</v>
          </cell>
          <cell r="D128">
            <v>2270000</v>
          </cell>
          <cell r="E128" t="str">
            <v>BROWN</v>
          </cell>
        </row>
        <row r="129">
          <cell r="C129" t="str">
            <v>824-01</v>
          </cell>
          <cell r="D129">
            <v>2280000</v>
          </cell>
          <cell r="E129" t="str">
            <v>MAHAN</v>
          </cell>
        </row>
        <row r="130">
          <cell r="C130" t="str">
            <v>824-01</v>
          </cell>
          <cell r="D130">
            <v>2280000</v>
          </cell>
          <cell r="E130" t="str">
            <v>MAHAN</v>
          </cell>
        </row>
        <row r="131">
          <cell r="C131" t="str">
            <v>825-01</v>
          </cell>
          <cell r="D131">
            <v>2280000</v>
          </cell>
          <cell r="E131" t="str">
            <v>MAHAN</v>
          </cell>
        </row>
        <row r="132">
          <cell r="C132" t="str">
            <v>904-01</v>
          </cell>
          <cell r="D132">
            <v>1230000</v>
          </cell>
          <cell r="E132" t="str">
            <v>YANAI</v>
          </cell>
        </row>
        <row r="133">
          <cell r="C133" t="str">
            <v>188-01</v>
          </cell>
          <cell r="D133">
            <v>940000</v>
          </cell>
          <cell r="E133" t="str">
            <v>BONDS</v>
          </cell>
        </row>
        <row r="134">
          <cell r="C134" t="str">
            <v>195-01</v>
          </cell>
          <cell r="D134">
            <v>1140000</v>
          </cell>
          <cell r="E134" t="str">
            <v>YOUNG</v>
          </cell>
        </row>
        <row r="135">
          <cell r="C135" t="str">
            <v>190-01</v>
          </cell>
          <cell r="D135">
            <v>2020000</v>
          </cell>
          <cell r="E135" t="str">
            <v>SHOOK</v>
          </cell>
        </row>
        <row r="136">
          <cell r="C136" t="str">
            <v>826-01</v>
          </cell>
          <cell r="D136">
            <v>2280000</v>
          </cell>
          <cell r="E136" t="str">
            <v>MAHAN</v>
          </cell>
        </row>
        <row r="137">
          <cell r="C137" t="str">
            <v>197-01</v>
          </cell>
          <cell r="D137">
            <v>2100000</v>
          </cell>
          <cell r="E137" t="str">
            <v>ISHMAEL</v>
          </cell>
        </row>
        <row r="138">
          <cell r="C138" t="str">
            <v>827-01</v>
          </cell>
          <cell r="D138">
            <v>1230000</v>
          </cell>
          <cell r="E138" t="str">
            <v>YANAI</v>
          </cell>
        </row>
        <row r="139">
          <cell r="C139" t="str">
            <v>192-01</v>
          </cell>
          <cell r="D139">
            <v>2040000</v>
          </cell>
          <cell r="E139" t="str">
            <v>MOSES</v>
          </cell>
        </row>
        <row r="140">
          <cell r="C140" t="str">
            <v>199-01</v>
          </cell>
          <cell r="D140">
            <v>910000</v>
          </cell>
          <cell r="E140" t="str">
            <v>SUR</v>
          </cell>
        </row>
        <row r="141">
          <cell r="C141" t="str">
            <v>194-01</v>
          </cell>
          <cell r="D141">
            <v>2270000</v>
          </cell>
          <cell r="E141" t="str">
            <v>BROWN</v>
          </cell>
        </row>
        <row r="142">
          <cell r="C142" t="str">
            <v>828-01</v>
          </cell>
          <cell r="D142">
            <v>1230000</v>
          </cell>
          <cell r="E142" t="str">
            <v>YANAI</v>
          </cell>
        </row>
        <row r="143">
          <cell r="C143" t="str">
            <v>829-01</v>
          </cell>
          <cell r="D143">
            <v>2280000</v>
          </cell>
          <cell r="E143" t="str">
            <v>MAHAN</v>
          </cell>
        </row>
        <row r="144">
          <cell r="C144" t="str">
            <v>196-01</v>
          </cell>
          <cell r="D144">
            <v>1140000</v>
          </cell>
          <cell r="E144" t="str">
            <v>YOUNG</v>
          </cell>
        </row>
        <row r="145">
          <cell r="C145" t="str">
            <v>830-01</v>
          </cell>
          <cell r="D145">
            <v>2280000</v>
          </cell>
          <cell r="E145" t="str">
            <v>MAHAN</v>
          </cell>
        </row>
        <row r="146">
          <cell r="C146" t="str">
            <v>205-01</v>
          </cell>
          <cell r="D146">
            <v>2030000</v>
          </cell>
          <cell r="E146" t="str">
            <v>KILLION</v>
          </cell>
        </row>
        <row r="147">
          <cell r="C147" t="str">
            <v>KILL-01</v>
          </cell>
          <cell r="D147">
            <v>2030000</v>
          </cell>
          <cell r="E147" t="str">
            <v>KILLION</v>
          </cell>
        </row>
        <row r="148">
          <cell r="C148" t="str">
            <v>831-01</v>
          </cell>
          <cell r="D148">
            <v>1230000</v>
          </cell>
          <cell r="E148" t="str">
            <v>YANAI</v>
          </cell>
        </row>
        <row r="149">
          <cell r="C149" t="str">
            <v>205-01</v>
          </cell>
          <cell r="D149">
            <v>2030000</v>
          </cell>
          <cell r="E149" t="str">
            <v>KILLION</v>
          </cell>
        </row>
        <row r="150">
          <cell r="C150" t="str">
            <v>KILL-01</v>
          </cell>
          <cell r="D150">
            <v>2030000</v>
          </cell>
          <cell r="E150" t="str">
            <v>KILLION</v>
          </cell>
        </row>
        <row r="151">
          <cell r="C151" t="str">
            <v>205-01</v>
          </cell>
          <cell r="D151">
            <v>2030000</v>
          </cell>
          <cell r="E151" t="str">
            <v>KILLION</v>
          </cell>
        </row>
        <row r="152">
          <cell r="C152" t="str">
            <v>205-01</v>
          </cell>
          <cell r="D152">
            <v>2030000</v>
          </cell>
          <cell r="E152" t="str">
            <v>KILLION</v>
          </cell>
        </row>
        <row r="153">
          <cell r="C153" t="str">
            <v>200-01</v>
          </cell>
          <cell r="D153">
            <v>2100000</v>
          </cell>
          <cell r="E153" t="str">
            <v>ISHMAEL</v>
          </cell>
        </row>
        <row r="154">
          <cell r="C154" t="str">
            <v>832-01</v>
          </cell>
          <cell r="D154">
            <v>1230000</v>
          </cell>
          <cell r="E154" t="str">
            <v>YANAI</v>
          </cell>
        </row>
        <row r="155">
          <cell r="C155" t="str">
            <v>209-01</v>
          </cell>
          <cell r="D155">
            <v>2220000</v>
          </cell>
          <cell r="E155" t="str">
            <v>HILLS</v>
          </cell>
        </row>
        <row r="156">
          <cell r="C156" t="str">
            <v>833-01</v>
          </cell>
          <cell r="D156">
            <v>2280000</v>
          </cell>
          <cell r="E156" t="str">
            <v>MAHAN</v>
          </cell>
        </row>
        <row r="157">
          <cell r="C157" t="str">
            <v>209-01</v>
          </cell>
          <cell r="D157">
            <v>2220000</v>
          </cell>
          <cell r="E157" t="str">
            <v>HILLS</v>
          </cell>
        </row>
        <row r="158">
          <cell r="C158" t="str">
            <v>211-01</v>
          </cell>
          <cell r="D158">
            <v>2040000</v>
          </cell>
          <cell r="E158" t="str">
            <v>MOSES</v>
          </cell>
        </row>
        <row r="159">
          <cell r="C159" t="str">
            <v>206-01</v>
          </cell>
          <cell r="D159">
            <v>910000</v>
          </cell>
          <cell r="E159" t="str">
            <v>SUR</v>
          </cell>
        </row>
        <row r="160">
          <cell r="C160" t="str">
            <v>834-01</v>
          </cell>
          <cell r="D160">
            <v>2280000</v>
          </cell>
          <cell r="E160" t="str">
            <v>MAHAN</v>
          </cell>
        </row>
        <row r="161">
          <cell r="C161" t="str">
            <v>213-01</v>
          </cell>
          <cell r="D161">
            <v>1290000</v>
          </cell>
          <cell r="E161" t="str">
            <v>COOLAHAN</v>
          </cell>
        </row>
        <row r="162">
          <cell r="C162" t="str">
            <v>213-01</v>
          </cell>
          <cell r="D162">
            <v>1290000</v>
          </cell>
          <cell r="E162" t="str">
            <v>COOLAHAN</v>
          </cell>
        </row>
        <row r="163">
          <cell r="C163" t="str">
            <v>835-01</v>
          </cell>
          <cell r="D163">
            <v>1230000</v>
          </cell>
          <cell r="E163" t="str">
            <v>YANAI</v>
          </cell>
        </row>
        <row r="164">
          <cell r="C164" t="str">
            <v>208-01</v>
          </cell>
          <cell r="D164">
            <v>2030000</v>
          </cell>
          <cell r="E164" t="str">
            <v>KILLION</v>
          </cell>
        </row>
        <row r="165">
          <cell r="C165" t="str">
            <v>208-01</v>
          </cell>
          <cell r="D165">
            <v>2030000</v>
          </cell>
          <cell r="E165" t="str">
            <v>KILLION</v>
          </cell>
        </row>
        <row r="166">
          <cell r="C166" t="str">
            <v>215-01</v>
          </cell>
          <cell r="D166">
            <v>730000</v>
          </cell>
          <cell r="E166" t="str">
            <v>HOMIK</v>
          </cell>
        </row>
        <row r="167">
          <cell r="C167" t="str">
            <v>836-01</v>
          </cell>
          <cell r="D167">
            <v>1230000</v>
          </cell>
          <cell r="E167" t="str">
            <v>YANAI</v>
          </cell>
        </row>
        <row r="168">
          <cell r="C168" t="str">
            <v>210-01</v>
          </cell>
          <cell r="D168">
            <v>2220000</v>
          </cell>
          <cell r="E168" t="str">
            <v>HILLS</v>
          </cell>
        </row>
        <row r="169">
          <cell r="C169" t="str">
            <v>50-01</v>
          </cell>
          <cell r="D169">
            <v>2100000</v>
          </cell>
          <cell r="E169" t="str">
            <v>ISHMAEL</v>
          </cell>
        </row>
        <row r="170">
          <cell r="C170" t="str">
            <v>217-01</v>
          </cell>
          <cell r="D170">
            <v>2000000</v>
          </cell>
          <cell r="E170" t="str">
            <v>STAMBAUGH</v>
          </cell>
        </row>
        <row r="171">
          <cell r="C171" t="str">
            <v>837-01</v>
          </cell>
          <cell r="D171">
            <v>2280000</v>
          </cell>
          <cell r="E171" t="str">
            <v>MAHAN</v>
          </cell>
        </row>
        <row r="172">
          <cell r="C172" t="str">
            <v>217-01</v>
          </cell>
          <cell r="D172">
            <v>2000000</v>
          </cell>
          <cell r="E172" t="str">
            <v>STAMBAUGH</v>
          </cell>
        </row>
        <row r="173">
          <cell r="C173" t="str">
            <v>212-01</v>
          </cell>
          <cell r="D173">
            <v>2040000</v>
          </cell>
          <cell r="E173" t="str">
            <v>MOSES</v>
          </cell>
        </row>
        <row r="174">
          <cell r="C174" t="str">
            <v>52-01</v>
          </cell>
          <cell r="D174">
            <v>1810000</v>
          </cell>
          <cell r="E174" t="str">
            <v>NEWELL</v>
          </cell>
        </row>
        <row r="175">
          <cell r="C175" t="str">
            <v>219-01</v>
          </cell>
          <cell r="D175">
            <v>2110000</v>
          </cell>
          <cell r="E175" t="str">
            <v>OUN</v>
          </cell>
        </row>
        <row r="176">
          <cell r="C176" t="str">
            <v>838-01</v>
          </cell>
          <cell r="D176">
            <v>2280000</v>
          </cell>
          <cell r="E176" t="str">
            <v>MAHAN</v>
          </cell>
        </row>
        <row r="177">
          <cell r="C177" t="str">
            <v>214-01</v>
          </cell>
          <cell r="D177">
            <v>1290000</v>
          </cell>
          <cell r="E177" t="str">
            <v>COOLAHAN</v>
          </cell>
        </row>
        <row r="178">
          <cell r="C178" t="str">
            <v>54-01</v>
          </cell>
          <cell r="D178">
            <v>1170000</v>
          </cell>
          <cell r="E178" t="str">
            <v>COOPER</v>
          </cell>
        </row>
        <row r="179">
          <cell r="C179" t="str">
            <v>216-01</v>
          </cell>
          <cell r="D179">
            <v>730000</v>
          </cell>
          <cell r="E179" t="str">
            <v>HOMIK</v>
          </cell>
        </row>
        <row r="180">
          <cell r="C180" t="str">
            <v>839-01</v>
          </cell>
          <cell r="D180">
            <v>1230000</v>
          </cell>
          <cell r="E180" t="str">
            <v>YANAI</v>
          </cell>
        </row>
        <row r="181">
          <cell r="C181" t="str">
            <v>221-01</v>
          </cell>
          <cell r="D181">
            <v>2220000</v>
          </cell>
          <cell r="E181" t="str">
            <v>HILLS</v>
          </cell>
        </row>
        <row r="182">
          <cell r="C182" t="str">
            <v>303-01</v>
          </cell>
          <cell r="D182">
            <v>2030000</v>
          </cell>
          <cell r="E182" t="str">
            <v>KILLION</v>
          </cell>
        </row>
        <row r="183">
          <cell r="C183" t="str">
            <v>906-01</v>
          </cell>
          <cell r="D183">
            <v>1230000</v>
          </cell>
          <cell r="E183" t="str">
            <v>YANAI</v>
          </cell>
        </row>
        <row r="184">
          <cell r="C184" t="str">
            <v>218-01</v>
          </cell>
          <cell r="D184">
            <v>2000000</v>
          </cell>
          <cell r="E184" t="str">
            <v>STAMBAUGH</v>
          </cell>
        </row>
        <row r="185">
          <cell r="C185" t="str">
            <v>841-01</v>
          </cell>
          <cell r="D185">
            <v>2280000</v>
          </cell>
          <cell r="E185" t="str">
            <v>MAHAN</v>
          </cell>
        </row>
        <row r="186">
          <cell r="C186" t="str">
            <v>220-01</v>
          </cell>
          <cell r="D186">
            <v>2110000</v>
          </cell>
          <cell r="E186" t="str">
            <v>OUN</v>
          </cell>
        </row>
        <row r="187">
          <cell r="C187" t="str">
            <v>223-01</v>
          </cell>
          <cell r="D187">
            <v>1290000</v>
          </cell>
          <cell r="E187" t="str">
            <v>COOLAHAN</v>
          </cell>
        </row>
        <row r="188">
          <cell r="C188" t="str">
            <v>840-01</v>
          </cell>
          <cell r="D188">
            <v>2280000</v>
          </cell>
          <cell r="E188" t="str">
            <v>MAHAN</v>
          </cell>
        </row>
        <row r="189">
          <cell r="C189" t="str">
            <v>307-01</v>
          </cell>
          <cell r="D189">
            <v>730000</v>
          </cell>
          <cell r="E189" t="str">
            <v>HOMIK</v>
          </cell>
        </row>
        <row r="190">
          <cell r="C190" t="str">
            <v>222-01</v>
          </cell>
          <cell r="D190">
            <v>2220000</v>
          </cell>
          <cell r="E190" t="str">
            <v>HILLS</v>
          </cell>
        </row>
        <row r="191">
          <cell r="C191" t="str">
            <v>225-01</v>
          </cell>
          <cell r="D191">
            <v>2000000</v>
          </cell>
          <cell r="E191" t="str">
            <v>STAMBAUGH</v>
          </cell>
        </row>
        <row r="192">
          <cell r="C192" t="str">
            <v>843-01</v>
          </cell>
          <cell r="D192">
            <v>2280000</v>
          </cell>
          <cell r="E192" t="str">
            <v>MAHAN</v>
          </cell>
        </row>
        <row r="193">
          <cell r="C193" t="str">
            <v>224-01</v>
          </cell>
          <cell r="D193">
            <v>1290000</v>
          </cell>
          <cell r="E193" t="str">
            <v>COOLAHAN</v>
          </cell>
        </row>
        <row r="194">
          <cell r="C194" t="str">
            <v>227-01</v>
          </cell>
          <cell r="D194">
            <v>2110000</v>
          </cell>
          <cell r="E194" t="str">
            <v>OUN</v>
          </cell>
        </row>
        <row r="195">
          <cell r="C195" t="str">
            <v>842-01</v>
          </cell>
          <cell r="D195">
            <v>2280000</v>
          </cell>
          <cell r="E195" t="str">
            <v>MAHAN</v>
          </cell>
        </row>
        <row r="196">
          <cell r="C196" t="str">
            <v>226-01</v>
          </cell>
          <cell r="D196">
            <v>2000000</v>
          </cell>
          <cell r="E196" t="str">
            <v>STAMBAUGH</v>
          </cell>
        </row>
        <row r="197">
          <cell r="C197" t="str">
            <v>229-01</v>
          </cell>
          <cell r="D197">
            <v>2220000</v>
          </cell>
          <cell r="E197" t="str">
            <v>HILLS</v>
          </cell>
        </row>
        <row r="198">
          <cell r="C198" t="str">
            <v>845-01</v>
          </cell>
          <cell r="D198">
            <v>1230000</v>
          </cell>
          <cell r="E198" t="str">
            <v>YANAI</v>
          </cell>
        </row>
        <row r="199">
          <cell r="C199" t="str">
            <v>228-01</v>
          </cell>
          <cell r="D199">
            <v>2110000</v>
          </cell>
          <cell r="E199" t="str">
            <v>OUN</v>
          </cell>
        </row>
        <row r="200">
          <cell r="C200" t="str">
            <v>845-01</v>
          </cell>
          <cell r="D200">
            <v>1230000</v>
          </cell>
          <cell r="E200" t="str">
            <v>YANAI</v>
          </cell>
        </row>
        <row r="201">
          <cell r="C201" t="str">
            <v>231-01</v>
          </cell>
          <cell r="D201">
            <v>1290000</v>
          </cell>
          <cell r="E201" t="str">
            <v>COOLAHAN</v>
          </cell>
        </row>
        <row r="202">
          <cell r="C202" t="str">
            <v>844-01</v>
          </cell>
          <cell r="D202">
            <v>1230000</v>
          </cell>
          <cell r="E202" t="str">
            <v>YANAI</v>
          </cell>
        </row>
        <row r="203">
          <cell r="C203" t="str">
            <v>230-01</v>
          </cell>
          <cell r="D203">
            <v>2220000</v>
          </cell>
          <cell r="E203" t="str">
            <v>HILLS</v>
          </cell>
        </row>
        <row r="204">
          <cell r="C204" t="str">
            <v>233-01</v>
          </cell>
          <cell r="D204">
            <v>2000000</v>
          </cell>
          <cell r="E204" t="str">
            <v>STAMBAUGH</v>
          </cell>
        </row>
        <row r="205">
          <cell r="C205" t="str">
            <v>847-01</v>
          </cell>
          <cell r="D205">
            <v>1230000</v>
          </cell>
          <cell r="E205" t="str">
            <v>YANAI</v>
          </cell>
        </row>
        <row r="206">
          <cell r="C206" t="str">
            <v>232-01</v>
          </cell>
          <cell r="D206">
            <v>1290000</v>
          </cell>
          <cell r="E206" t="str">
            <v>COOLAHAN</v>
          </cell>
        </row>
        <row r="207">
          <cell r="C207" t="str">
            <v>235-01</v>
          </cell>
          <cell r="D207">
            <v>2110000</v>
          </cell>
          <cell r="E207" t="str">
            <v>OUN</v>
          </cell>
        </row>
        <row r="208">
          <cell r="C208" t="str">
            <v>908-01</v>
          </cell>
          <cell r="D208">
            <v>1230000</v>
          </cell>
          <cell r="E208" t="str">
            <v>YANAI</v>
          </cell>
        </row>
        <row r="209">
          <cell r="C209" t="str">
            <v>234-01</v>
          </cell>
          <cell r="D209">
            <v>2000000</v>
          </cell>
          <cell r="E209" t="str">
            <v>STAMBAUGH</v>
          </cell>
        </row>
        <row r="210">
          <cell r="C210" t="str">
            <v>237-01</v>
          </cell>
          <cell r="D210">
            <v>2220000</v>
          </cell>
          <cell r="E210" t="str">
            <v>HILLS</v>
          </cell>
        </row>
        <row r="211">
          <cell r="C211" t="str">
            <v>236-01</v>
          </cell>
          <cell r="D211">
            <v>2110000</v>
          </cell>
          <cell r="E211" t="str">
            <v>OUN</v>
          </cell>
        </row>
        <row r="212">
          <cell r="C212" t="str">
            <v>239-01</v>
          </cell>
          <cell r="D212">
            <v>1290000</v>
          </cell>
          <cell r="E212" t="str">
            <v>COOLAHAN</v>
          </cell>
        </row>
        <row r="213">
          <cell r="C213" t="str">
            <v>241-01</v>
          </cell>
          <cell r="D213">
            <v>2000000</v>
          </cell>
          <cell r="E213" t="str">
            <v>STAMBAUGH</v>
          </cell>
        </row>
        <row r="214">
          <cell r="C214" t="str">
            <v>238-01</v>
          </cell>
          <cell r="D214">
            <v>2220000</v>
          </cell>
          <cell r="E214" t="str">
            <v>HILLS</v>
          </cell>
        </row>
        <row r="215">
          <cell r="C215" t="str">
            <v>240-01</v>
          </cell>
          <cell r="D215">
            <v>1290000</v>
          </cell>
          <cell r="E215" t="str">
            <v>COOLAHAN</v>
          </cell>
        </row>
        <row r="216">
          <cell r="C216" t="str">
            <v>243-01</v>
          </cell>
          <cell r="D216">
            <v>2110000</v>
          </cell>
          <cell r="E216" t="str">
            <v>OUN</v>
          </cell>
        </row>
        <row r="217">
          <cell r="C217" t="str">
            <v>57-01</v>
          </cell>
          <cell r="D217">
            <v>1410000</v>
          </cell>
          <cell r="E217" t="str">
            <v>GOLIGHTLY</v>
          </cell>
        </row>
        <row r="218">
          <cell r="C218" t="str">
            <v>309-01</v>
          </cell>
          <cell r="D218">
            <v>2220000</v>
          </cell>
          <cell r="E218" t="str">
            <v>HILLS</v>
          </cell>
        </row>
        <row r="219">
          <cell r="C219" t="str">
            <v>242-01</v>
          </cell>
          <cell r="D219">
            <v>2000000</v>
          </cell>
          <cell r="E219" t="str">
            <v>STAMBAUGH</v>
          </cell>
        </row>
        <row r="220">
          <cell r="C220" t="str">
            <v>311-01</v>
          </cell>
          <cell r="D220">
            <v>1290000</v>
          </cell>
          <cell r="E220" t="str">
            <v>COOLAHAN</v>
          </cell>
        </row>
        <row r="221">
          <cell r="C221" t="str">
            <v>244-01</v>
          </cell>
          <cell r="D221">
            <v>2110000</v>
          </cell>
          <cell r="E221" t="str">
            <v>OUN</v>
          </cell>
        </row>
        <row r="222">
          <cell r="C222" t="str">
            <v>57-01</v>
          </cell>
          <cell r="D222">
            <v>1410000</v>
          </cell>
          <cell r="E222" t="str">
            <v>GOLIGHTLY</v>
          </cell>
        </row>
        <row r="223">
          <cell r="C223" t="str">
            <v>313-01</v>
          </cell>
          <cell r="D223">
            <v>2000000</v>
          </cell>
          <cell r="E223" t="str">
            <v>STAMBAUGH</v>
          </cell>
        </row>
        <row r="224">
          <cell r="C224" t="str">
            <v>57-01</v>
          </cell>
          <cell r="D224">
            <v>1410000</v>
          </cell>
          <cell r="E224" t="str">
            <v>GOLIGHTLY</v>
          </cell>
        </row>
        <row r="225">
          <cell r="C225" t="str">
            <v>67-01</v>
          </cell>
          <cell r="D225">
            <v>1410000</v>
          </cell>
          <cell r="E225" t="str">
            <v>GOLIGHTLY</v>
          </cell>
        </row>
        <row r="226">
          <cell r="C226" t="str">
            <v>315-01</v>
          </cell>
          <cell r="D226">
            <v>2110000</v>
          </cell>
          <cell r="E226" t="str">
            <v>OUN</v>
          </cell>
        </row>
        <row r="227">
          <cell r="C227" t="str">
            <v>57-01</v>
          </cell>
          <cell r="D227">
            <v>1410000</v>
          </cell>
          <cell r="E227" t="str">
            <v>GOLIGHTLY</v>
          </cell>
        </row>
        <row r="230">
          <cell r="C230" t="str">
            <v>245-26</v>
          </cell>
          <cell r="D230">
            <v>2090000</v>
          </cell>
          <cell r="E230" t="str">
            <v>HAITHCOX</v>
          </cell>
        </row>
        <row r="231">
          <cell r="C231" t="str">
            <v>242-26</v>
          </cell>
          <cell r="D231">
            <v>1800000</v>
          </cell>
          <cell r="E231" t="str">
            <v>CHANDLER</v>
          </cell>
        </row>
        <row r="232">
          <cell r="C232" t="str">
            <v>245-26</v>
          </cell>
          <cell r="D232">
            <v>2090000</v>
          </cell>
          <cell r="E232" t="str">
            <v>HAITHCOX</v>
          </cell>
        </row>
        <row r="233">
          <cell r="C233" t="str">
            <v>309-26</v>
          </cell>
          <cell r="D233">
            <v>1230000</v>
          </cell>
          <cell r="E233" t="str">
            <v>YANAI</v>
          </cell>
        </row>
        <row r="234">
          <cell r="C234" t="str">
            <v>244-26</v>
          </cell>
          <cell r="D234">
            <v>2260000</v>
          </cell>
          <cell r="E234" t="str">
            <v>ARVIDSON</v>
          </cell>
        </row>
        <row r="235">
          <cell r="C235" t="str">
            <v>311-26</v>
          </cell>
          <cell r="D235">
            <v>1800000</v>
          </cell>
          <cell r="E235" t="str">
            <v>CHANDLER</v>
          </cell>
        </row>
        <row r="236">
          <cell r="C236" t="str">
            <v>246-26</v>
          </cell>
          <cell r="D236">
            <v>2090000</v>
          </cell>
          <cell r="E236" t="str">
            <v>HAITHCOX</v>
          </cell>
        </row>
        <row r="237">
          <cell r="C237" t="str">
            <v>313-26</v>
          </cell>
          <cell r="D237">
            <v>2260000</v>
          </cell>
          <cell r="E237" t="str">
            <v>ARVIDSON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  <sheetName val="Redmine List Values"/>
    </sheetNames>
    <sheetDataSet>
      <sheetData sheetId="0">
        <row r="13">
          <cell r="A13" t="str">
            <v>101-02</v>
          </cell>
          <cell r="B13">
            <v>4053</v>
          </cell>
          <cell r="C13" t="str">
            <v>DE.1.0.7.0</v>
          </cell>
          <cell r="D13" t="str">
            <v>204:743</v>
          </cell>
          <cell r="E13">
            <v>42615.128645833334</v>
          </cell>
          <cell r="F13">
            <v>42615.135659722226</v>
          </cell>
          <cell r="G13">
            <v>1</v>
          </cell>
          <cell r="H13" t="str">
            <v>204:233055</v>
          </cell>
          <cell r="I13">
            <v>42615.161770833336</v>
          </cell>
          <cell r="J13">
            <v>1</v>
          </cell>
          <cell r="K13" t="str">
            <v>4053/4054</v>
          </cell>
          <cell r="L13" t="str">
            <v>MAELZER</v>
          </cell>
          <cell r="M13">
            <v>2.6111111110367347E-2</v>
          </cell>
          <cell r="N13">
            <v>37.599999998928979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https://search-rtdc-monitor-bjffxe2xuh6vdkpspy63sjmuny.us-east-1.es.amazonaws.com/_plugin/kibana/#/discover/Steve-Slow-Train-Analysis-(2080s-and-2083s)?_g=(refreshInterval:(display:Off,section:0,value:0),time:(from:'2016-09-02 02:05:15-0600',mode:absolute,to:'2016-09-02 04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13" t="str">
            <v>N</v>
          </cell>
          <cell r="X13" t="e">
            <v>#VALUE!</v>
          </cell>
          <cell r="Y13">
            <v>7.4300000000000005E-2</v>
          </cell>
          <cell r="Z13">
            <v>23.305499999999999</v>
          </cell>
          <cell r="AA13">
            <v>23.231199999999998</v>
          </cell>
          <cell r="AB13" t="e">
            <v>#N/A</v>
          </cell>
          <cell r="AC13" t="e">
            <v>#N/A</v>
          </cell>
          <cell r="AD13" t="str">
            <v>0101-02</v>
          </cell>
          <cell r="AE13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14">
          <cell r="A14" t="str">
            <v>102-02</v>
          </cell>
          <cell r="B14">
            <v>4030</v>
          </cell>
          <cell r="C14" t="str">
            <v>DE.1.0.7.0</v>
          </cell>
          <cell r="D14" t="str">
            <v>204:232687</v>
          </cell>
          <cell r="E14">
            <v>42615.170046296298</v>
          </cell>
          <cell r="F14">
            <v>42615.174513888887</v>
          </cell>
          <cell r="G14">
            <v>1</v>
          </cell>
          <cell r="H14" t="str">
            <v>204:138</v>
          </cell>
          <cell r="I14">
            <v>42615.203761574077</v>
          </cell>
          <cell r="J14">
            <v>1</v>
          </cell>
          <cell r="K14" t="str">
            <v>4029/4030</v>
          </cell>
          <cell r="L14" t="str">
            <v>MAELZER</v>
          </cell>
          <cell r="M14">
            <v>2.9247685190057382E-2</v>
          </cell>
          <cell r="N14">
            <v>42.11666667368263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https://search-rtdc-monitor-bjffxe2xuh6vdkpspy63sjmuny.us-east-1.es.amazonaws.com/_plugin/kibana/#/discover/Steve-Slow-Train-Analysis-(2080s-and-2083s)?_g=(refreshInterval:(display:Off,section:0,value:0),time:(from:'2016-09-02 03:04:52-0600',mode:absolute,to:'2016-09-02 05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4" t="str">
            <v>N</v>
          </cell>
          <cell r="X14">
            <v>1</v>
          </cell>
          <cell r="Y14">
            <v>23.268699999999999</v>
          </cell>
          <cell r="Z14">
            <v>1.38E-2</v>
          </cell>
          <cell r="AA14">
            <v>23.254899999999999</v>
          </cell>
          <cell r="AB14" t="e">
            <v>#N/A</v>
          </cell>
          <cell r="AC14" t="e">
            <v>#N/A</v>
          </cell>
          <cell r="AD14" t="str">
            <v>0102-02</v>
          </cell>
          <cell r="AE14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15">
          <cell r="A15" t="str">
            <v>103-02</v>
          </cell>
          <cell r="B15">
            <v>4046</v>
          </cell>
          <cell r="C15" t="str">
            <v>DE.1.0.7.0</v>
          </cell>
          <cell r="D15" t="str">
            <v>204:739</v>
          </cell>
          <cell r="E15">
            <v>42615.152777777781</v>
          </cell>
          <cell r="F15">
            <v>42615.157650462963</v>
          </cell>
          <cell r="G15">
            <v>1</v>
          </cell>
          <cell r="H15" t="str">
            <v>204:233334</v>
          </cell>
          <cell r="I15">
            <v>42615.185104166667</v>
          </cell>
          <cell r="J15">
            <v>1</v>
          </cell>
          <cell r="K15" t="str">
            <v>4045/4046</v>
          </cell>
          <cell r="L15" t="str">
            <v>DAVIS</v>
          </cell>
          <cell r="M15">
            <v>2.7453703703940846E-2</v>
          </cell>
          <cell r="N15">
            <v>39.533333333674818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https://search-rtdc-monitor-bjffxe2xuh6vdkpspy63sjmuny.us-east-1.es.amazonaws.com/_plugin/kibana/#/discover/Steve-Slow-Train-Analysis-(2080s-and-2083s)?_g=(refreshInterval:(display:Off,section:0,value:0),time:(from:'2016-09-02 02:40:00-0600',mode:absolute,to:'2016-09-02 05:26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5" t="str">
            <v>N</v>
          </cell>
          <cell r="X15">
            <v>1</v>
          </cell>
          <cell r="Y15">
            <v>7.3899999999999993E-2</v>
          </cell>
          <cell r="Z15">
            <v>23.333400000000001</v>
          </cell>
          <cell r="AA15">
            <v>23.259500000000003</v>
          </cell>
          <cell r="AB15" t="e">
            <v>#N/A</v>
          </cell>
          <cell r="AC15" t="e">
            <v>#N/A</v>
          </cell>
          <cell r="AD15" t="str">
            <v>0103-02</v>
          </cell>
          <cell r="AE15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16">
          <cell r="A16" t="str">
            <v>104-02</v>
          </cell>
          <cell r="B16">
            <v>4015</v>
          </cell>
          <cell r="C16" t="str">
            <v>DE.1.0.7.0</v>
          </cell>
          <cell r="D16" t="str">
            <v>204:232669</v>
          </cell>
          <cell r="E16">
            <v>42615.191006944442</v>
          </cell>
          <cell r="F16">
            <v>42615.195370370369</v>
          </cell>
          <cell r="G16">
            <v>1</v>
          </cell>
          <cell r="H16" t="str">
            <v>204:158</v>
          </cell>
          <cell r="I16">
            <v>42615.22552083333</v>
          </cell>
          <cell r="J16">
            <v>1</v>
          </cell>
          <cell r="K16" t="str">
            <v>4015/4016</v>
          </cell>
          <cell r="L16" t="str">
            <v>DAVIS</v>
          </cell>
          <cell r="M16">
            <v>3.015046296059154E-2</v>
          </cell>
          <cell r="N16">
            <v>43.416666663251817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https://search-rtdc-monitor-bjffxe2xuh6vdkpspy63sjmuny.us-east-1.es.amazonaws.com/_plugin/kibana/#/discover/Steve-Slow-Train-Analysis-(2080s-and-2083s)?_g=(refreshInterval:(display:Off,section:0,value:0),time:(from:'2016-09-02 03:35:03-0600',mode:absolute,to:'2016-09-02 06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6" t="str">
            <v>N</v>
          </cell>
          <cell r="X16">
            <v>1</v>
          </cell>
          <cell r="Y16">
            <v>23.2669</v>
          </cell>
          <cell r="Z16">
            <v>1.5800000000000002E-2</v>
          </cell>
          <cell r="AA16">
            <v>23.251100000000001</v>
          </cell>
          <cell r="AB16" t="e">
            <v>#N/A</v>
          </cell>
          <cell r="AC16" t="e">
            <v>#N/A</v>
          </cell>
          <cell r="AD16" t="str">
            <v>0104-02</v>
          </cell>
          <cell r="AE16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17">
          <cell r="A17" t="str">
            <v>105-02</v>
          </cell>
          <cell r="C17" t="str">
            <v>DE.1.0.7.0</v>
          </cell>
          <cell r="D17" t="str">
            <v>204:232669</v>
          </cell>
          <cell r="E17">
            <v>42615.191006944442</v>
          </cell>
          <cell r="G17">
            <v>1</v>
          </cell>
          <cell r="H17" t="str">
            <v>204:158</v>
          </cell>
          <cell r="J17">
            <v>1</v>
          </cell>
          <cell r="K17" t="str">
            <v>-1/</v>
          </cell>
          <cell r="L17" t="e">
            <v>#N/A</v>
          </cell>
          <cell r="M17">
            <v>0</v>
          </cell>
          <cell r="P17">
            <v>1</v>
          </cell>
          <cell r="R17" t="str">
            <v>Did not init</v>
          </cell>
          <cell r="S17">
            <v>0</v>
          </cell>
          <cell r="T17" t="str">
            <v>NorthBound</v>
          </cell>
          <cell r="U17">
            <v>0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https://search-rtdc-monitor-bjffxe2xuh6vdkpspy63sjmuny.us-east-1.es.amazonaws.com/_plugin/kibana/#/discover/Steve-Slow-Train-Analysis-(2080s-and-2083s)?_g=(refreshInterval:(display:Off,section:0,value:0),time:(from:'2016-09-02 03:35:03-0600',mode:absolute,to:'1900-01-00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    </cell>
          <cell r="W17" t="str">
            <v>N</v>
          </cell>
          <cell r="X17">
            <v>1</v>
          </cell>
          <cell r="Y17">
            <v>23.2669</v>
          </cell>
          <cell r="Z17">
            <v>1.5800000000000002E-2</v>
          </cell>
          <cell r="AA17">
            <v>23.251100000000001</v>
          </cell>
          <cell r="AB17" t="e">
            <v>#N/A</v>
          </cell>
          <cell r="AC17" t="e">
            <v>#N/A</v>
          </cell>
          <cell r="AD17" t="str">
            <v>0105-02</v>
          </cell>
          <cell r="AE17" t="str">
    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    </cell>
        </row>
        <row r="18">
          <cell r="A18" t="str">
            <v>106-02</v>
          </cell>
          <cell r="B18">
            <v>4001</v>
          </cell>
          <cell r="C18" t="str">
            <v>DE.1.0.7.0</v>
          </cell>
          <cell r="D18" t="str">
            <v>204:232669</v>
          </cell>
          <cell r="E18">
            <v>42615.191006944442</v>
          </cell>
          <cell r="F18">
            <v>42615.224108796298</v>
          </cell>
          <cell r="G18">
            <v>1</v>
          </cell>
          <cell r="H18" t="str">
            <v>204:158</v>
          </cell>
          <cell r="I18">
            <v>42615.22552083333</v>
          </cell>
          <cell r="J18">
            <v>1</v>
          </cell>
          <cell r="K18" t="str">
            <v>4001/4002</v>
          </cell>
          <cell r="L18" t="str">
            <v>MALAVE</v>
          </cell>
          <cell r="M18">
            <v>1.4120370324235409E-3</v>
          </cell>
          <cell r="P18">
            <v>2.033333326689899</v>
          </cell>
          <cell r="R18" t="str">
            <v>Wi-MAX outage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https://search-rtdc-monitor-bjffxe2xuh6vdkpspy63sjmuny.us-east-1.es.amazonaws.com/_plugin/kibana/#/discover/Steve-Slow-Train-Analysis-(2080s-and-2083s)?_g=(refreshInterval:(display:Off,section:0,value:0),time:(from:'2016-09-02 03:35:03-0600',mode:absolute,to:'2016-09-02 06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8" t="str">
            <v>N</v>
          </cell>
          <cell r="X18">
            <v>1</v>
          </cell>
          <cell r="Y18">
            <v>23.2669</v>
          </cell>
          <cell r="Z18">
            <v>1.5800000000000002E-2</v>
          </cell>
          <cell r="AA18">
            <v>23.251100000000001</v>
          </cell>
          <cell r="AB18">
            <v>157300</v>
          </cell>
          <cell r="AC18" t="str">
            <v>SIGNAL</v>
          </cell>
          <cell r="AD18" t="str">
            <v>0106-02</v>
          </cell>
          <cell r="AE18" t="str">
            <v>aws s3 cp s3://rtdc.mdm.uploadarchive/RTDC4001/2016-09-02/ "%USERPROFILE%\AppData\Local\Temp\OnboardLogs"\RTDC4001\2016-09-02 --recursive &amp; "%USERPROFILE%\Documents\GitHub\mrs-test-scripts\Headless Mode &amp; Sideloading\WalkAndUnGZ.bat" "%USERPROFILE%\AppData\Local\Temp\OnboardLogs"\RTDC4001\2016-09-02 &amp; 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</v>
          </cell>
        </row>
        <row r="19">
          <cell r="A19" t="str">
            <v>107-02</v>
          </cell>
          <cell r="B19">
            <v>4044</v>
          </cell>
          <cell r="C19" t="str">
            <v>DE.1.0.7.0</v>
          </cell>
          <cell r="D19" t="str">
            <v>204:455</v>
          </cell>
          <cell r="E19">
            <v>42615.183495370373</v>
          </cell>
          <cell r="F19">
            <v>42615.187696759262</v>
          </cell>
          <cell r="G19">
            <v>2</v>
          </cell>
          <cell r="H19" t="str">
            <v>204:233291</v>
          </cell>
          <cell r="I19">
            <v>42615.215648148151</v>
          </cell>
          <cell r="J19">
            <v>1</v>
          </cell>
          <cell r="K19" t="str">
            <v>4043/4044</v>
          </cell>
          <cell r="L19" t="str">
            <v>SMITH</v>
          </cell>
          <cell r="M19">
            <v>2.7951388889050577E-2</v>
          </cell>
          <cell r="N19">
            <v>40.250000000232831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https://search-rtdc-monitor-bjffxe2xuh6vdkpspy63sjmuny.us-east-1.es.amazonaws.com/_plugin/kibana/#/discover/Steve-Slow-Train-Analysis-(2080s-and-2083s)?_g=(refreshInterval:(display:Off,section:0,value:0),time:(from:'2016-09-02 03:24:14-0600',mode:absolute,to:'2016-09-02 06:10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9" t="str">
            <v>N</v>
          </cell>
          <cell r="X19">
            <v>1</v>
          </cell>
          <cell r="Y19">
            <v>4.5499999999999999E-2</v>
          </cell>
          <cell r="Z19">
            <v>23.3291</v>
          </cell>
          <cell r="AA19">
            <v>23.2836</v>
          </cell>
          <cell r="AB19" t="e">
            <v>#N/A</v>
          </cell>
          <cell r="AC19" t="e">
            <v>#N/A</v>
          </cell>
          <cell r="AD19" t="str">
            <v>0107-02</v>
          </cell>
          <cell r="AE19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20">
          <cell r="A20" t="str">
            <v>108-02</v>
          </cell>
          <cell r="B20">
            <v>4043</v>
          </cell>
          <cell r="C20" t="str">
            <v>DE.1.0.7.0</v>
          </cell>
          <cell r="D20" t="str">
            <v>204:232971</v>
          </cell>
          <cell r="E20">
            <v>42615.21770833333</v>
          </cell>
          <cell r="F20">
            <v>42615.226678240739</v>
          </cell>
          <cell r="G20">
            <v>2</v>
          </cell>
          <cell r="H20" t="str">
            <v>204:150</v>
          </cell>
          <cell r="I20">
            <v>42615.257453703707</v>
          </cell>
          <cell r="J20">
            <v>1</v>
          </cell>
          <cell r="K20" t="str">
            <v>4043/4044</v>
          </cell>
          <cell r="L20" t="str">
            <v>SMITH</v>
          </cell>
          <cell r="M20">
            <v>3.0775462968449574E-2</v>
          </cell>
          <cell r="N20">
            <v>44.316666674567387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https://search-rtdc-monitor-bjffxe2xuh6vdkpspy63sjmuny.us-east-1.es.amazonaws.com/_plugin/kibana/#/discover/Steve-Slow-Train-Analysis-(2080s-and-2083s)?_g=(refreshInterval:(display:Off,section:0,value:0),time:(from:'2016-09-02 04:13:30-0600',mode:absolute,to:'2016-09-02 07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20" t="str">
            <v>N</v>
          </cell>
          <cell r="X20">
            <v>1</v>
          </cell>
          <cell r="Y20">
            <v>23.2971</v>
          </cell>
          <cell r="Z20">
            <v>1.4999999999999999E-2</v>
          </cell>
          <cell r="AA20">
            <v>23.2821</v>
          </cell>
          <cell r="AB20" t="e">
            <v>#N/A</v>
          </cell>
          <cell r="AC20" t="e">
            <v>#N/A</v>
          </cell>
          <cell r="AD20" t="str">
            <v>0108-02</v>
          </cell>
          <cell r="AE20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21">
          <cell r="A21" t="str">
            <v>109-02</v>
          </cell>
          <cell r="B21">
            <v>4031</v>
          </cell>
          <cell r="C21" t="str">
            <v>DE.1.0.7.0</v>
          </cell>
          <cell r="D21" t="str">
            <v>204:447</v>
          </cell>
          <cell r="E21">
            <v>42615.190775462965</v>
          </cell>
          <cell r="F21">
            <v>42615.198148148149</v>
          </cell>
          <cell r="G21">
            <v>1</v>
          </cell>
          <cell r="H21" t="str">
            <v>204:233321</v>
          </cell>
          <cell r="I21">
            <v>42615.223645833335</v>
          </cell>
          <cell r="J21">
            <v>1</v>
          </cell>
          <cell r="K21" t="str">
            <v>4031/4032</v>
          </cell>
          <cell r="L21" t="str">
            <v>GEBRETEKLE</v>
          </cell>
          <cell r="M21">
            <v>2.5497685186564922E-2</v>
          </cell>
          <cell r="N21">
            <v>36.716666668653488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https://search-rtdc-monitor-bjffxe2xuh6vdkpspy63sjmuny.us-east-1.es.amazonaws.com/_plugin/kibana/#/discover/Steve-Slow-Train-Analysis-(2080s-and-2083s)?_g=(refreshInterval:(display:Off,section:0,value:0),time:(from:'2016-09-02 03:34:43-0600',mode:absolute,to:'2016-09-02 06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1" t="str">
            <v>N</v>
          </cell>
          <cell r="X21">
            <v>1</v>
          </cell>
          <cell r="Y21">
            <v>4.4699999999999997E-2</v>
          </cell>
          <cell r="Z21">
            <v>23.332100000000001</v>
          </cell>
          <cell r="AA21">
            <v>23.287400000000002</v>
          </cell>
          <cell r="AB21" t="e">
            <v>#N/A</v>
          </cell>
          <cell r="AC21" t="e">
            <v>#N/A</v>
          </cell>
          <cell r="AD21" t="str">
            <v>0109-02</v>
          </cell>
          <cell r="AE21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22">
          <cell r="A22" t="str">
            <v>110-02</v>
          </cell>
          <cell r="B22">
            <v>4032</v>
          </cell>
          <cell r="C22" t="str">
            <v>DE.1.0.7.0</v>
          </cell>
          <cell r="D22" t="str">
            <v>204:232996</v>
          </cell>
          <cell r="E22">
            <v>42615.233946759261</v>
          </cell>
          <cell r="F22">
            <v>42615.237002314818</v>
          </cell>
          <cell r="G22">
            <v>1</v>
          </cell>
          <cell r="H22" t="str">
            <v>204:139</v>
          </cell>
          <cell r="I22">
            <v>42615.264444444445</v>
          </cell>
          <cell r="J22">
            <v>1</v>
          </cell>
          <cell r="K22" t="str">
            <v>4031/4032</v>
          </cell>
          <cell r="L22" t="str">
            <v>GEBRETEKLE</v>
          </cell>
          <cell r="M22">
            <v>2.7442129627161194E-2</v>
          </cell>
          <cell r="N22">
            <v>39.516666663112119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https://search-rtdc-monitor-bjffxe2xuh6vdkpspy63sjmuny.us-east-1.es.amazonaws.com/_plugin/kibana/#/discover/Steve-Slow-Train-Analysis-(2080s-and-2083s)?_g=(refreshInterval:(display:Off,section:0,value:0),time:(from:'2016-09-02 04:36:53-0600',mode:absolute,to:'2016-09-02 07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22" t="str">
            <v>N</v>
          </cell>
          <cell r="X22">
            <v>1</v>
          </cell>
          <cell r="Y22">
            <v>23.299600000000002</v>
          </cell>
          <cell r="Z22">
            <v>1.3899999999999999E-2</v>
          </cell>
          <cell r="AA22">
            <v>23.285700000000002</v>
          </cell>
          <cell r="AB22" t="e">
            <v>#N/A</v>
          </cell>
          <cell r="AC22" t="e">
            <v>#N/A</v>
          </cell>
          <cell r="AD22" t="str">
            <v>0110-02</v>
          </cell>
          <cell r="AE22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23">
          <cell r="A23" t="str">
            <v>111-02</v>
          </cell>
          <cell r="B23">
            <v>4053</v>
          </cell>
          <cell r="C23" t="str">
            <v>DE.1.0.7.0</v>
          </cell>
          <cell r="D23" t="str">
            <v>204:757</v>
          </cell>
          <cell r="E23">
            <v>42615.207395833335</v>
          </cell>
          <cell r="F23">
            <v>42615.209560185183</v>
          </cell>
          <cell r="G23">
            <v>1</v>
          </cell>
          <cell r="H23" t="str">
            <v>204:233322</v>
          </cell>
          <cell r="I23">
            <v>42615.235902777778</v>
          </cell>
          <cell r="J23">
            <v>1</v>
          </cell>
          <cell r="K23" t="str">
            <v>4053/4054</v>
          </cell>
          <cell r="L23" t="str">
            <v>SPECTOR</v>
          </cell>
          <cell r="M23">
            <v>2.6342592595028691E-2</v>
          </cell>
          <cell r="N23">
            <v>37.933333336841315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https://search-rtdc-monitor-bjffxe2xuh6vdkpspy63sjmuny.us-east-1.es.amazonaws.com/_plugin/kibana/#/discover/Steve-Slow-Train-Analysis-(2080s-and-2083s)?_g=(refreshInterval:(display:Off,section:0,value:0),time:(from:'2016-09-02 03:58:39-0600',mode:absolute,to:'2016-09-02 06:39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23" t="str">
            <v>N</v>
          </cell>
          <cell r="X23">
            <v>1</v>
          </cell>
          <cell r="Y23">
            <v>7.5700000000000003E-2</v>
          </cell>
          <cell r="Z23">
            <v>23.3322</v>
          </cell>
          <cell r="AA23">
            <v>23.256499999999999</v>
          </cell>
          <cell r="AB23" t="e">
            <v>#N/A</v>
          </cell>
          <cell r="AC23" t="e">
            <v>#N/A</v>
          </cell>
          <cell r="AD23" t="str">
            <v>0111-02</v>
          </cell>
          <cell r="AE23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24">
          <cell r="A24" t="str">
            <v>112-02</v>
          </cell>
          <cell r="B24">
            <v>4054</v>
          </cell>
          <cell r="C24" t="str">
            <v>DE.1.0.7.0</v>
          </cell>
          <cell r="D24" t="str">
            <v>204:233019</v>
          </cell>
          <cell r="E24">
            <v>42615.241712962961</v>
          </cell>
          <cell r="F24">
            <v>42615.247395833336</v>
          </cell>
          <cell r="G24">
            <v>2</v>
          </cell>
          <cell r="H24" t="str">
            <v>204:134</v>
          </cell>
          <cell r="I24">
            <v>42615.273831018516</v>
          </cell>
          <cell r="J24">
            <v>1</v>
          </cell>
          <cell r="K24" t="str">
            <v>4053/4054</v>
          </cell>
          <cell r="L24" t="str">
            <v>SPECTOR</v>
          </cell>
          <cell r="M24">
            <v>2.643518518016208E-2</v>
          </cell>
          <cell r="N24">
            <v>38.066666659433395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https://search-rtdc-monitor-bjffxe2xuh6vdkpspy63sjmuny.us-east-1.es.amazonaws.com/_plugin/kibana/#/discover/Steve-Slow-Train-Analysis-(2080s-and-2083s)?_g=(refreshInterval:(display:Off,section:0,value:0),time:(from:'2016-09-02 04:48:04-0600',mode:absolute,to:'2016-09-02 07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    </cell>
          <cell r="W24" t="str">
            <v>N</v>
          </cell>
          <cell r="X24">
            <v>1</v>
          </cell>
          <cell r="Y24">
            <v>23.3019</v>
          </cell>
          <cell r="Z24">
            <v>1.34E-2</v>
          </cell>
          <cell r="AA24">
            <v>23.288499999999999</v>
          </cell>
          <cell r="AB24" t="e">
            <v>#N/A</v>
          </cell>
          <cell r="AC24" t="e">
            <v>#N/A</v>
          </cell>
          <cell r="AD24" t="str">
            <v>0112-02</v>
          </cell>
          <cell r="AE24" t="str">
    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    </cell>
        </row>
        <row r="25">
          <cell r="A25" t="str">
            <v>113-02</v>
          </cell>
          <cell r="B25">
            <v>4029</v>
          </cell>
          <cell r="C25" t="str">
            <v>DE.1.0.7.0</v>
          </cell>
          <cell r="D25" t="str">
            <v>204:453</v>
          </cell>
          <cell r="E25">
            <v>42615.216805555552</v>
          </cell>
          <cell r="F25">
            <v>42615.219004629631</v>
          </cell>
          <cell r="G25">
            <v>1</v>
          </cell>
          <cell r="H25" t="str">
            <v>204:233312</v>
          </cell>
          <cell r="I25">
            <v>42615.245138888888</v>
          </cell>
          <cell r="J25">
            <v>1</v>
          </cell>
          <cell r="K25" t="str">
            <v>4029/4030</v>
          </cell>
          <cell r="L25" t="str">
            <v>MAELZER</v>
          </cell>
          <cell r="M25">
            <v>2.6134259256650694E-2</v>
          </cell>
          <cell r="N25">
            <v>37.633333329576999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https://search-rtdc-monitor-bjffxe2xuh6vdkpspy63sjmuny.us-east-1.es.amazonaws.com/_plugin/kibana/#/discover/Steve-Slow-Train-Analysis-(2080s-and-2083s)?_g=(refreshInterval:(display:Off,section:0,value:0),time:(from:'2016-09-02 04:12:12-0600',mode:absolute,to:'2016-09-02 06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5" t="str">
            <v>N</v>
          </cell>
          <cell r="X25">
            <v>1</v>
          </cell>
          <cell r="Y25">
            <v>4.53E-2</v>
          </cell>
          <cell r="Z25">
            <v>23.331199999999999</v>
          </cell>
          <cell r="AA25">
            <v>23.285899999999998</v>
          </cell>
          <cell r="AB25" t="e">
            <v>#N/A</v>
          </cell>
          <cell r="AC25" t="e">
            <v>#N/A</v>
          </cell>
          <cell r="AD25" t="str">
            <v>0113-02</v>
          </cell>
          <cell r="AE25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26">
          <cell r="A26" t="str">
            <v>114-02</v>
          </cell>
          <cell r="B26">
            <v>4030</v>
          </cell>
          <cell r="C26" t="str">
            <v>DE.1.0.7.0</v>
          </cell>
          <cell r="D26" t="str">
            <v>204:232996</v>
          </cell>
          <cell r="E26">
            <v>42615.250381944446</v>
          </cell>
          <cell r="F26">
            <v>42615.258055555554</v>
          </cell>
          <cell r="G26">
            <v>1</v>
          </cell>
          <cell r="H26" t="str">
            <v>204:156</v>
          </cell>
          <cell r="I26">
            <v>42615.285208333335</v>
          </cell>
          <cell r="J26">
            <v>1</v>
          </cell>
          <cell r="K26" t="str">
            <v>4029/4030</v>
          </cell>
          <cell r="L26" t="str">
            <v>MAELZER</v>
          </cell>
          <cell r="M26">
            <v>2.715277778042946E-2</v>
          </cell>
          <cell r="N26">
            <v>39.100000003818423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https://search-rtdc-monitor-bjffxe2xuh6vdkpspy63sjmuny.us-east-1.es.amazonaws.com/_plugin/kibana/#/discover/Steve-Slow-Train-Analysis-(2080s-and-2083s)?_g=(refreshInterval:(display:Off,section:0,value:0),time:(from:'2016-09-02 05:00:33-0600',mode:absolute,to:'2016-09-02 07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26" t="str">
            <v>N</v>
          </cell>
          <cell r="X26">
            <v>1</v>
          </cell>
          <cell r="Y26">
            <v>23.299600000000002</v>
          </cell>
          <cell r="Z26">
            <v>1.5599999999999999E-2</v>
          </cell>
          <cell r="AA26">
            <v>23.284000000000002</v>
          </cell>
          <cell r="AB26" t="e">
            <v>#N/A</v>
          </cell>
          <cell r="AC26" t="e">
            <v>#N/A</v>
          </cell>
          <cell r="AD26" t="str">
            <v>0114-02</v>
          </cell>
          <cell r="AE26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27">
          <cell r="A27" t="str">
            <v>115-02</v>
          </cell>
          <cell r="B27">
            <v>4046</v>
          </cell>
          <cell r="C27" t="str">
            <v>DE.1.0.7.0</v>
          </cell>
          <cell r="D27" t="str">
            <v>204:775</v>
          </cell>
          <cell r="E27">
            <v>42615.228159722225</v>
          </cell>
          <cell r="F27">
            <v>42615.229664351849</v>
          </cell>
          <cell r="G27">
            <v>1</v>
          </cell>
          <cell r="H27" t="str">
            <v>204:233300</v>
          </cell>
          <cell r="I27">
            <v>42615.253796296296</v>
          </cell>
          <cell r="J27">
            <v>1</v>
          </cell>
          <cell r="K27" t="str">
            <v>4045/4046</v>
          </cell>
          <cell r="L27" t="str">
            <v>ARVIDSON</v>
          </cell>
          <cell r="M27">
            <v>2.4131944446708076E-2</v>
          </cell>
          <cell r="N27">
            <v>34.750000003259629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https://search-rtdc-monitor-bjffxe2xuh6vdkpspy63sjmuny.us-east-1.es.amazonaws.com/_plugin/kibana/#/discover/Steve-Slow-Train-Analysis-(2080s-and-2083s)?_g=(refreshInterval:(display:Off,section:0,value:0),time:(from:'2016-09-02 04:28:33-0600',mode:absolute,to:'2016-09-02 07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27" t="str">
            <v>N</v>
          </cell>
          <cell r="X27">
            <v>1</v>
          </cell>
          <cell r="Y27">
            <v>7.7499999999999999E-2</v>
          </cell>
          <cell r="Z27">
            <v>23.33</v>
          </cell>
          <cell r="AA27">
            <v>23.252499999999998</v>
          </cell>
          <cell r="AB27" t="e">
            <v>#N/A</v>
          </cell>
          <cell r="AC27" t="e">
            <v>#N/A</v>
          </cell>
          <cell r="AD27" t="str">
            <v>0115-02</v>
          </cell>
          <cell r="AE27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28">
          <cell r="A28" t="str">
            <v>116-02</v>
          </cell>
          <cell r="B28">
            <v>4045</v>
          </cell>
          <cell r="C28" t="str">
            <v>DE.1.0.7.0</v>
          </cell>
          <cell r="D28" t="str">
            <v>204:232984</v>
          </cell>
          <cell r="E28">
            <v>42615.263020833336</v>
          </cell>
          <cell r="F28">
            <v>42615.268599537034</v>
          </cell>
          <cell r="G28">
            <v>2</v>
          </cell>
          <cell r="H28" t="str">
            <v>204:145</v>
          </cell>
          <cell r="I28">
            <v>42615.295335648145</v>
          </cell>
          <cell r="J28">
            <v>1</v>
          </cell>
          <cell r="K28" t="str">
            <v>4045/4046</v>
          </cell>
          <cell r="L28" t="str">
            <v>ARVIDSON</v>
          </cell>
          <cell r="M28">
            <v>2.6736111110949423E-2</v>
          </cell>
          <cell r="N28">
            <v>38.499999999767169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https://search-rtdc-monitor-bjffxe2xuh6vdkpspy63sjmuny.us-east-1.es.amazonaws.com/_plugin/kibana/#/discover/Steve-Slow-Train-Analysis-(2080s-and-2083s)?_g=(refreshInterval:(display:Off,section:0,value:0),time:(from:'2016-09-02 05:18:45-0600',mode:absolute,to:'2016-09-02 08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28" t="str">
            <v>N</v>
          </cell>
          <cell r="X28">
            <v>1</v>
          </cell>
          <cell r="Y28">
            <v>23.298400000000001</v>
          </cell>
          <cell r="Z28">
            <v>1.4500000000000001E-2</v>
          </cell>
          <cell r="AA28">
            <v>23.283899999999999</v>
          </cell>
          <cell r="AB28" t="e">
            <v>#N/A</v>
          </cell>
          <cell r="AC28" t="e">
            <v>#N/A</v>
          </cell>
          <cell r="AD28" t="str">
            <v>0116-02</v>
          </cell>
          <cell r="AE28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29">
          <cell r="A29" t="str">
            <v>117-02</v>
          </cell>
          <cell r="B29">
            <v>4016</v>
          </cell>
          <cell r="C29" t="str">
            <v>DE.1.0.7.0</v>
          </cell>
          <cell r="D29" t="str">
            <v>204:458</v>
          </cell>
          <cell r="E29">
            <v>42615.231481481482</v>
          </cell>
          <cell r="F29">
            <v>42615.23978009259</v>
          </cell>
          <cell r="G29">
            <v>2</v>
          </cell>
          <cell r="H29" t="str">
            <v>204:233280</v>
          </cell>
          <cell r="I29">
            <v>42615.265648148146</v>
          </cell>
          <cell r="J29">
            <v>1</v>
          </cell>
          <cell r="K29" t="str">
            <v>4015/4016</v>
          </cell>
          <cell r="L29" t="str">
            <v>DAVIS</v>
          </cell>
          <cell r="M29">
            <v>2.5868055556202307E-2</v>
          </cell>
          <cell r="N29">
            <v>37.250000000931323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https://search-rtdc-monitor-bjffxe2xuh6vdkpspy63sjmuny.us-east-1.es.amazonaws.com/_plugin/kibana/#/discover/Steve-Slow-Train-Analysis-(2080s-and-2083s)?_g=(refreshInterval:(display:Off,section:0,value:0),time:(from:'2016-09-02 04:33:20-0600',mode:absolute,to:'2016-09-02 07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29" t="str">
            <v>N</v>
          </cell>
          <cell r="X29">
            <v>1</v>
          </cell>
          <cell r="Y29">
            <v>4.58E-2</v>
          </cell>
          <cell r="Z29">
            <v>23.327999999999999</v>
          </cell>
          <cell r="AA29">
            <v>23.2822</v>
          </cell>
          <cell r="AB29" t="e">
            <v>#N/A</v>
          </cell>
          <cell r="AC29" t="e">
            <v>#N/A</v>
          </cell>
          <cell r="AD29" t="str">
            <v>0117-02</v>
          </cell>
          <cell r="AE29" t="str">
    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    </cell>
        </row>
        <row r="30">
          <cell r="A30" t="str">
            <v>118-02</v>
          </cell>
          <cell r="B30">
            <v>4015</v>
          </cell>
          <cell r="C30" t="str">
            <v>DE.1.0.7.0</v>
          </cell>
          <cell r="D30" t="str">
            <v>204:232993</v>
          </cell>
          <cell r="E30">
            <v>42615.2734375</v>
          </cell>
          <cell r="F30">
            <v>42615.278645833336</v>
          </cell>
          <cell r="G30">
            <v>1</v>
          </cell>
          <cell r="H30" t="str">
            <v>204:154</v>
          </cell>
          <cell r="I30">
            <v>42615.305914351855</v>
          </cell>
          <cell r="J30">
            <v>1</v>
          </cell>
          <cell r="K30" t="str">
            <v>4015/4016</v>
          </cell>
          <cell r="L30" t="str">
            <v>DAVIS</v>
          </cell>
          <cell r="M30">
            <v>2.7268518519122154E-2</v>
          </cell>
          <cell r="N30">
            <v>39.266666667535901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https://search-rtdc-monitor-bjffxe2xuh6vdkpspy63sjmuny.us-east-1.es.amazonaws.com/_plugin/kibana/#/discover/Steve-Slow-Train-Analysis-(2080s-and-2083s)?_g=(refreshInterval:(display:Off,section:0,value:0),time:(from:'2016-09-02 05:33:45-0600',mode:absolute,to:'2016-09-02 08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30" t="str">
            <v>N</v>
          </cell>
          <cell r="X30">
            <v>1</v>
          </cell>
          <cell r="Y30">
            <v>23.299299999999999</v>
          </cell>
          <cell r="Z30">
            <v>1.54E-2</v>
          </cell>
          <cell r="AA30">
            <v>23.283899999999999</v>
          </cell>
          <cell r="AB30" t="e">
            <v>#N/A</v>
          </cell>
          <cell r="AC30" t="e">
            <v>#N/A</v>
          </cell>
          <cell r="AD30" t="str">
            <v>0118-02</v>
          </cell>
          <cell r="AE30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31">
          <cell r="A31" t="str">
            <v>119-02</v>
          </cell>
          <cell r="B31">
            <v>4009</v>
          </cell>
          <cell r="C31" t="str">
            <v>DE.1.0.7.0</v>
          </cell>
          <cell r="D31" t="str">
            <v>204:748</v>
          </cell>
          <cell r="E31">
            <v>42615.248969907407</v>
          </cell>
          <cell r="F31">
            <v>42615.251400462963</v>
          </cell>
          <cell r="G31">
            <v>2</v>
          </cell>
          <cell r="H31" t="str">
            <v>204:233303</v>
          </cell>
          <cell r="I31">
            <v>42615.276087962964</v>
          </cell>
          <cell r="J31">
            <v>1</v>
          </cell>
          <cell r="K31" t="str">
            <v>4009/4010</v>
          </cell>
          <cell r="L31" t="str">
            <v>MALAVE</v>
          </cell>
          <cell r="M31">
            <v>2.4687500001164153E-2</v>
          </cell>
          <cell r="N31">
            <v>35.550000001676381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https://search-rtdc-monitor-bjffxe2xuh6vdkpspy63sjmuny.us-east-1.es.amazonaws.com/_plugin/kibana/#/discover/Steve-Slow-Train-Analysis-(2080s-and-2083s)?_g=(refreshInterval:(display:Off,section:0,value:0),time:(from:'2016-09-02 04:58:31-0600',mode:absolute,to:'2016-09-02 07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31" t="str">
            <v>N</v>
          </cell>
          <cell r="X31">
            <v>1</v>
          </cell>
          <cell r="Y31">
            <v>7.4800000000000005E-2</v>
          </cell>
          <cell r="Z31">
            <v>23.330300000000001</v>
          </cell>
          <cell r="AA31">
            <v>23.255500000000001</v>
          </cell>
          <cell r="AB31" t="e">
            <v>#N/A</v>
          </cell>
          <cell r="AC31" t="e">
            <v>#N/A</v>
          </cell>
          <cell r="AD31" t="str">
            <v>0119-02</v>
          </cell>
          <cell r="AE31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32">
          <cell r="A32" t="str">
            <v>120-02</v>
          </cell>
          <cell r="B32">
            <v>4010</v>
          </cell>
          <cell r="C32" t="str">
            <v>DE.1.0.7.0</v>
          </cell>
          <cell r="D32" t="str">
            <v>204:748</v>
          </cell>
          <cell r="E32">
            <v>42615.248969907407</v>
          </cell>
          <cell r="G32">
            <v>2</v>
          </cell>
          <cell r="H32" t="str">
            <v>204:233303</v>
          </cell>
          <cell r="J32">
            <v>1</v>
          </cell>
          <cell r="K32" t="str">
            <v>4009/4010</v>
          </cell>
          <cell r="L32" t="e">
            <v>#N/A</v>
          </cell>
          <cell r="M32">
            <v>0</v>
          </cell>
          <cell r="P32">
            <v>1</v>
          </cell>
          <cell r="R32" t="str">
            <v>Onboard in-route failure</v>
          </cell>
          <cell r="S32">
            <v>0</v>
          </cell>
          <cell r="T32" t="str">
            <v>Southbound</v>
          </cell>
          <cell r="U32">
            <v>0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https://search-rtdc-monitor-bjffxe2xuh6vdkpspy63sjmuny.us-east-1.es.amazonaws.com/_plugin/kibana/#/discover/Steve-Slow-Train-Analysis-(2080s-and-2083s)?_g=(refreshInterval:(display:Off,section:0,value:0),time:(from:'2016-09-02 04:58:31-0600',mode:absolute,to:'1900-01-00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32" t="str">
            <v>N</v>
          </cell>
          <cell r="X32">
            <v>1</v>
          </cell>
          <cell r="Y32">
            <v>7.4800000000000005E-2</v>
          </cell>
          <cell r="Z32">
            <v>23.330300000000001</v>
          </cell>
          <cell r="AA32">
            <v>23.255500000000001</v>
          </cell>
          <cell r="AB32" t="e">
            <v>#N/A</v>
          </cell>
          <cell r="AC32" t="e">
            <v>#N/A</v>
          </cell>
          <cell r="AD32" t="str">
            <v>0120-02</v>
          </cell>
          <cell r="AE32" t="str">
            <v>aws s3 cp s3://rtdc.mdm.uploadarchive/RTDC4010/1900-01-00/ "%USERPROFILE%\AppData\Local\Temp\OnboardLogs"\RTDC4010\1900-01-00 --recursive &amp; "%USERPROFILE%\Documents\GitHub\mrs-test-scripts\Headless Mode &amp; Sideloading\WalkAndUnGZ.bat" "%USERPROFILE%\AppData\Local\Temp\OnboardLogs"\RTDC4010\1900-01-00 &amp; aws s3 cp s3://rtdc.mdm.uploadarchive/RTDC4010/1900-01-01/ "%USERPROFILE%\AppData\Local\Temp\OnboardLogs"\RTDC4010\1900-01-01 --recursive &amp; "%USERPROFILE%\Documents\GitHub\mrs-test-scripts\Headless Mode &amp; Sideloading\WalkAndUnGZ.bat" "%USERPROFILE%\AppData\Local\Temp\OnboardLogs"\RTDC4010\1900-01-01</v>
          </cell>
        </row>
        <row r="33">
          <cell r="A33" t="str">
            <v>121-02</v>
          </cell>
          <cell r="B33">
            <v>4044</v>
          </cell>
          <cell r="C33" t="str">
            <v>DE.1.0.7.0</v>
          </cell>
          <cell r="D33" t="str">
            <v>204:431</v>
          </cell>
          <cell r="E33">
            <v>42615.258576388886</v>
          </cell>
          <cell r="F33">
            <v>42615.260613425926</v>
          </cell>
          <cell r="G33">
            <v>2</v>
          </cell>
          <cell r="H33" t="str">
            <v>204:233270</v>
          </cell>
          <cell r="I33">
            <v>42615.286273148151</v>
          </cell>
          <cell r="J33">
            <v>1</v>
          </cell>
          <cell r="K33" t="str">
            <v>4043/4044</v>
          </cell>
          <cell r="L33" t="str">
            <v>SMITH</v>
          </cell>
          <cell r="M33">
            <v>2.5659722225100268E-2</v>
          </cell>
          <cell r="N33">
            <v>36.950000004144385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https://search-rtdc-monitor-bjffxe2xuh6vdkpspy63sjmuny.us-east-1.es.amazonaws.com/_plugin/kibana/#/discover/Steve-Slow-Train-Analysis-(2080s-and-2083s)?_g=(refreshInterval:(display:Off,section:0,value:0),time:(from:'2016-09-02 05:12:21-0600',mode:absolute,to:'2016-09-02 07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33" t="str">
            <v>N</v>
          </cell>
          <cell r="X33">
            <v>1</v>
          </cell>
          <cell r="Y33">
            <v>4.3099999999999999E-2</v>
          </cell>
          <cell r="Z33">
            <v>23.327000000000002</v>
          </cell>
          <cell r="AA33">
            <v>23.283900000000003</v>
          </cell>
          <cell r="AB33" t="e">
            <v>#N/A</v>
          </cell>
          <cell r="AC33" t="e">
            <v>#N/A</v>
          </cell>
          <cell r="AD33" t="str">
            <v>0121-02</v>
          </cell>
          <cell r="AE33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34">
          <cell r="A34" t="str">
            <v>122-02</v>
          </cell>
          <cell r="B34">
            <v>4043</v>
          </cell>
          <cell r="C34" t="str">
            <v>DE.1.0.7.0</v>
          </cell>
          <cell r="D34" t="str">
            <v>204:232981</v>
          </cell>
          <cell r="E34">
            <v>42615.296967592592</v>
          </cell>
          <cell r="F34">
            <v>42615.299467592595</v>
          </cell>
          <cell r="G34">
            <v>1</v>
          </cell>
          <cell r="H34" t="str">
            <v>204:136</v>
          </cell>
          <cell r="I34">
            <v>42615.327326388891</v>
          </cell>
          <cell r="J34">
            <v>1</v>
          </cell>
          <cell r="K34" t="str">
            <v>4043/4044</v>
          </cell>
          <cell r="L34" t="str">
            <v>SMITH</v>
          </cell>
          <cell r="M34">
            <v>2.7858796296641231E-2</v>
          </cell>
          <cell r="N34">
            <v>40.116666667163372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https://search-rtdc-monitor-bjffxe2xuh6vdkpspy63sjmuny.us-east-1.es.amazonaws.com/_plugin/kibana/#/discover/Steve-Slow-Train-Analysis-(2080s-and-2083s)?_g=(refreshInterval:(display:Off,section:0,value:0),time:(from:'2016-09-02 06:07:38-0600',mode:absolute,to:'2016-09-02 08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34" t="str">
            <v>N</v>
          </cell>
          <cell r="X34">
            <v>1</v>
          </cell>
          <cell r="Y34">
            <v>23.298100000000002</v>
          </cell>
          <cell r="Z34">
            <v>1.3599999999999999E-2</v>
          </cell>
          <cell r="AA34">
            <v>23.284500000000001</v>
          </cell>
          <cell r="AB34" t="e">
            <v>#N/A</v>
          </cell>
          <cell r="AC34" t="e">
            <v>#N/A</v>
          </cell>
          <cell r="AD34" t="str">
            <v>0122-02</v>
          </cell>
          <cell r="AE34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35">
          <cell r="A35" t="str">
            <v>123-02</v>
          </cell>
          <cell r="B35">
            <v>4031</v>
          </cell>
          <cell r="C35" t="str">
            <v>DE.1.0.7.0</v>
          </cell>
          <cell r="D35" t="str">
            <v>204:437</v>
          </cell>
          <cell r="E35">
            <v>42615.268194444441</v>
          </cell>
          <cell r="F35">
            <v>42615.271018518521</v>
          </cell>
          <cell r="G35">
            <v>1</v>
          </cell>
          <cell r="H35" t="str">
            <v>204:233311</v>
          </cell>
          <cell r="I35">
            <v>42615.296111111114</v>
          </cell>
          <cell r="J35">
            <v>1</v>
          </cell>
          <cell r="K35" t="str">
            <v>4031/4032</v>
          </cell>
          <cell r="L35" t="str">
            <v>GEBRETEKLE</v>
          </cell>
          <cell r="M35">
            <v>2.5092592593864538E-2</v>
          </cell>
          <cell r="N35">
            <v>36.133333335164934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https://search-rtdc-monitor-bjffxe2xuh6vdkpspy63sjmuny.us-east-1.es.amazonaws.com/_plugin/kibana/#/discover/Steve-Slow-Train-Analysis-(2080s-and-2083s)?_g=(refreshInterval:(display:Off,section:0,value:0),time:(from:'2016-09-02 05:26:12-0600',mode:absolute,to:'2016-09-02 08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35" t="str">
            <v>N</v>
          </cell>
          <cell r="X35">
            <v>1</v>
          </cell>
          <cell r="Y35">
            <v>4.3700000000000003E-2</v>
          </cell>
          <cell r="Z35">
            <v>23.331099999999999</v>
          </cell>
          <cell r="AA35">
            <v>23.287399999999998</v>
          </cell>
          <cell r="AB35">
            <v>33137</v>
          </cell>
          <cell r="AC35" t="str">
            <v>GRADE CROSSING</v>
          </cell>
          <cell r="AD35" t="str">
            <v>0123-02</v>
          </cell>
          <cell r="AE35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36">
          <cell r="A36" t="str">
            <v>124-02</v>
          </cell>
          <cell r="B36">
            <v>4032</v>
          </cell>
          <cell r="C36" t="str">
            <v>DE.1.0.7.0</v>
          </cell>
          <cell r="D36" t="str">
            <v>204:233001</v>
          </cell>
          <cell r="E36">
            <v>42615.305972222224</v>
          </cell>
          <cell r="F36">
            <v>42615.309884259259</v>
          </cell>
          <cell r="G36">
            <v>1</v>
          </cell>
          <cell r="H36" t="str">
            <v>204:138</v>
          </cell>
          <cell r="I36">
            <v>42615.337280092594</v>
          </cell>
          <cell r="J36">
            <v>1</v>
          </cell>
          <cell r="K36" t="str">
            <v>4031/4032</v>
          </cell>
          <cell r="L36" t="str">
            <v>GEBRETEKLE</v>
          </cell>
          <cell r="M36">
            <v>2.7395833334594499E-2</v>
          </cell>
          <cell r="N36">
            <v>39.450000001816079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https://search-rtdc-monitor-bjffxe2xuh6vdkpspy63sjmuny.us-east-1.es.amazonaws.com/_plugin/kibana/#/discover/Steve-Slow-Train-Analysis-(2080s-and-2083s)?_g=(refreshInterval:(display:Off,section:0,value:0),time:(from:'2016-09-02 06:20:36-0600',mode:absolute,to:'2016-09-02 09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36" t="str">
            <v>N</v>
          </cell>
          <cell r="X36">
            <v>1</v>
          </cell>
          <cell r="Y36">
            <v>23.3001</v>
          </cell>
          <cell r="Z36">
            <v>1.38E-2</v>
          </cell>
          <cell r="AA36">
            <v>23.286300000000001</v>
          </cell>
          <cell r="AB36" t="e">
            <v>#N/A</v>
          </cell>
          <cell r="AC36" t="e">
            <v>#N/A</v>
          </cell>
          <cell r="AD36" t="str">
            <v>0124-02</v>
          </cell>
          <cell r="AE36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37">
          <cell r="A37" t="str">
            <v>125-02</v>
          </cell>
          <cell r="B37">
            <v>4053</v>
          </cell>
          <cell r="C37" t="str">
            <v>DE.1.0.7.0</v>
          </cell>
          <cell r="D37" t="str">
            <v>204:471</v>
          </cell>
          <cell r="E37">
            <v>42615.27752314815</v>
          </cell>
          <cell r="F37">
            <v>42615.281458333331</v>
          </cell>
          <cell r="G37">
            <v>1</v>
          </cell>
          <cell r="H37" t="str">
            <v>204:233308</v>
          </cell>
          <cell r="I37">
            <v>42615.306550925925</v>
          </cell>
          <cell r="J37">
            <v>1</v>
          </cell>
          <cell r="K37" t="str">
            <v>4053/4054</v>
          </cell>
          <cell r="L37" t="str">
            <v>SPECTOR</v>
          </cell>
          <cell r="M37">
            <v>2.5092592593864538E-2</v>
          </cell>
          <cell r="N37">
            <v>36.133333335164934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https://search-rtdc-monitor-bjffxe2xuh6vdkpspy63sjmuny.us-east-1.es.amazonaws.com/_plugin/kibana/#/discover/Steve-Slow-Train-Analysis-(2080s-and-2083s)?_g=(refreshInterval:(display:Off,section:0,value:0),time:(from:'2016-09-02 05:39:38-0600',mode:absolute,to:'2016-09-02 08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37" t="str">
            <v>N</v>
          </cell>
          <cell r="X37">
            <v>1</v>
          </cell>
          <cell r="Y37">
            <v>4.7100000000000003E-2</v>
          </cell>
          <cell r="Z37">
            <v>23.3308</v>
          </cell>
          <cell r="AA37">
            <v>23.2837</v>
          </cell>
          <cell r="AB37" t="e">
            <v>#N/A</v>
          </cell>
          <cell r="AC37" t="e">
            <v>#N/A</v>
          </cell>
          <cell r="AD37" t="str">
            <v>0125-02</v>
          </cell>
          <cell r="AE37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38">
          <cell r="A38" t="str">
            <v>126-02</v>
          </cell>
          <cell r="B38">
            <v>4054</v>
          </cell>
          <cell r="C38" t="str">
            <v>DE.1.0.7.0</v>
          </cell>
          <cell r="D38" t="str">
            <v>204:233004</v>
          </cell>
          <cell r="E38">
            <v>42615.312291666669</v>
          </cell>
          <cell r="F38">
            <v>42615.3203125</v>
          </cell>
          <cell r="G38">
            <v>1</v>
          </cell>
          <cell r="H38" t="str">
            <v>204:141</v>
          </cell>
          <cell r="I38">
            <v>42615.34814814815</v>
          </cell>
          <cell r="J38">
            <v>1</v>
          </cell>
          <cell r="K38" t="str">
            <v>4053/4054</v>
          </cell>
          <cell r="L38" t="str">
            <v>SPECTOR</v>
          </cell>
          <cell r="M38">
            <v>2.7835648150357883E-2</v>
          </cell>
          <cell r="N38">
            <v>40.083333336515352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https://search-rtdc-monitor-bjffxe2xuh6vdkpspy63sjmuny.us-east-1.es.amazonaws.com/_plugin/kibana/#/discover/Steve-Slow-Train-Analysis-(2080s-and-2083s)?_g=(refreshInterval:(display:Off,section:0,value:0),time:(from:'2016-09-02 06:29:42-0600',mode:absolute,to:'2016-09-02 09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    </cell>
          <cell r="W38" t="str">
            <v>N</v>
          </cell>
          <cell r="X38">
            <v>1</v>
          </cell>
          <cell r="Y38">
            <v>23.3004</v>
          </cell>
          <cell r="Z38">
            <v>1.41E-2</v>
          </cell>
          <cell r="AA38">
            <v>23.286300000000001</v>
          </cell>
          <cell r="AB38">
            <v>109135</v>
          </cell>
          <cell r="AC38" t="str">
            <v>GRADE CROSSING</v>
          </cell>
          <cell r="AD38" t="str">
            <v>0126-02</v>
          </cell>
          <cell r="AE38" t="str">
    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    </cell>
        </row>
        <row r="39">
          <cell r="A39" t="str">
            <v>127-02</v>
          </cell>
          <cell r="B39">
            <v>4029</v>
          </cell>
          <cell r="C39" t="str">
            <v>DE.1.0.7.0</v>
          </cell>
          <cell r="D39" t="str">
            <v>204:462</v>
          </cell>
          <cell r="E39">
            <v>42615.287592592591</v>
          </cell>
          <cell r="F39">
            <v>42615.291909722226</v>
          </cell>
          <cell r="G39">
            <v>1</v>
          </cell>
          <cell r="H39" t="str">
            <v>204:233307</v>
          </cell>
          <cell r="I39">
            <v>42615.317939814813</v>
          </cell>
          <cell r="J39">
            <v>1</v>
          </cell>
          <cell r="K39" t="str">
            <v>4029/4030</v>
          </cell>
          <cell r="L39" t="str">
            <v>MAELZER</v>
          </cell>
          <cell r="M39">
            <v>2.6030092587461695E-2</v>
          </cell>
          <cell r="N39">
            <v>37.483333325944841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https://search-rtdc-monitor-bjffxe2xuh6vdkpspy63sjmuny.us-east-1.es.amazonaws.com/_plugin/kibana/#/discover/Steve-Slow-Train-Analysis-(2080s-and-2083s)?_g=(refreshInterval:(display:Off,section:0,value:0),time:(from:'2016-09-02 05:54:08-0600',mode:absolute,to:'2016-09-02 08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39" t="str">
            <v>N</v>
          </cell>
          <cell r="X39">
            <v>1</v>
          </cell>
          <cell r="Y39">
            <v>4.6199999999999998E-2</v>
          </cell>
          <cell r="Z39">
            <v>23.3307</v>
          </cell>
          <cell r="AA39">
            <v>23.284500000000001</v>
          </cell>
          <cell r="AB39" t="e">
            <v>#N/A</v>
          </cell>
          <cell r="AC39" t="e">
            <v>#N/A</v>
          </cell>
          <cell r="AD39" t="str">
            <v>0127-02</v>
          </cell>
          <cell r="AE39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40">
          <cell r="A40" t="str">
            <v>128-02</v>
          </cell>
          <cell r="B40">
            <v>4030</v>
          </cell>
          <cell r="C40" t="str">
            <v>DE.1.0.7.0</v>
          </cell>
          <cell r="D40" t="str">
            <v>204:232998</v>
          </cell>
          <cell r="E40">
            <v>42615.322847222225</v>
          </cell>
          <cell r="F40">
            <v>42615.332453703704</v>
          </cell>
          <cell r="G40">
            <v>1</v>
          </cell>
          <cell r="H40" t="str">
            <v>204:138</v>
          </cell>
          <cell r="I40">
            <v>42615.358726851853</v>
          </cell>
          <cell r="J40">
            <v>1</v>
          </cell>
          <cell r="K40" t="str">
            <v>4029/4030</v>
          </cell>
          <cell r="L40" t="str">
            <v>MAELZER</v>
          </cell>
          <cell r="M40">
            <v>2.6273148148902692E-2</v>
          </cell>
          <cell r="N40">
            <v>37.833333334419876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https://search-rtdc-monitor-bjffxe2xuh6vdkpspy63sjmuny.us-east-1.es.amazonaws.com/_plugin/kibana/#/discover/Steve-Slow-Train-Analysis-(2080s-and-2083s)?_g=(refreshInterval:(display:Off,section:0,value:0),time:(from:'2016-09-02 06:44:54-0600',mode:absolute,to:'2016-09-02 09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40" t="str">
            <v>N</v>
          </cell>
          <cell r="X40">
            <v>1</v>
          </cell>
          <cell r="Y40">
            <v>23.299800000000001</v>
          </cell>
          <cell r="Z40">
            <v>1.38E-2</v>
          </cell>
          <cell r="AA40">
            <v>23.286000000000001</v>
          </cell>
          <cell r="AB40">
            <v>156300</v>
          </cell>
          <cell r="AC40" t="str">
            <v>PERMANENT SPEED RESTRICTION</v>
          </cell>
          <cell r="AD40" t="str">
            <v>0128-02</v>
          </cell>
          <cell r="AE40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41">
          <cell r="A41" t="str">
            <v>129-02</v>
          </cell>
          <cell r="B41">
            <v>4046</v>
          </cell>
          <cell r="C41" t="str">
            <v>DE.1.0.7.0</v>
          </cell>
          <cell r="D41" t="str">
            <v>204:451</v>
          </cell>
          <cell r="E41">
            <v>42615.297199074077</v>
          </cell>
          <cell r="F41">
            <v>42615.302430555559</v>
          </cell>
          <cell r="G41">
            <v>2</v>
          </cell>
          <cell r="H41" t="str">
            <v>204:233300</v>
          </cell>
          <cell r="I41">
            <v>42615.33222222222</v>
          </cell>
          <cell r="J41">
            <v>1</v>
          </cell>
          <cell r="K41" t="str">
            <v>4045/4046</v>
          </cell>
          <cell r="L41" t="str">
            <v>ARVIDSON</v>
          </cell>
          <cell r="M41">
            <v>2.979166666045785E-2</v>
          </cell>
          <cell r="N41">
            <v>42.899999991059303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https://search-rtdc-monitor-bjffxe2xuh6vdkpspy63sjmuny.us-east-1.es.amazonaws.com/_plugin/kibana/#/discover/Steve-Slow-Train-Analysis-(2080s-and-2083s)?_g=(refreshInterval:(display:Off,section:0,value:0),time:(from:'2016-09-02 06:07:58-0600',mode:absolute,to:'2016-09-02 08:58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41" t="str">
            <v>N</v>
          </cell>
          <cell r="X41">
            <v>1</v>
          </cell>
          <cell r="Y41">
            <v>4.5100000000000001E-2</v>
          </cell>
          <cell r="Z41">
            <v>23.33</v>
          </cell>
          <cell r="AA41">
            <v>23.284899999999997</v>
          </cell>
          <cell r="AB41" t="e">
            <v>#N/A</v>
          </cell>
          <cell r="AC41" t="e">
            <v>#N/A</v>
          </cell>
          <cell r="AD41" t="str">
            <v>0129-02</v>
          </cell>
          <cell r="AE41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42">
          <cell r="A42" t="str">
            <v>130-02</v>
          </cell>
          <cell r="B42">
            <v>4045</v>
          </cell>
          <cell r="C42" t="str">
            <v>DE.1.0.7.0</v>
          </cell>
          <cell r="D42" t="str">
            <v>204:232994</v>
          </cell>
          <cell r="E42">
            <v>42615.338969907411</v>
          </cell>
          <cell r="F42">
            <v>42615.341585648152</v>
          </cell>
          <cell r="G42">
            <v>1</v>
          </cell>
          <cell r="H42" t="str">
            <v>204:154</v>
          </cell>
          <cell r="I42">
            <v>42615.369803240741</v>
          </cell>
          <cell r="J42">
            <v>1</v>
          </cell>
          <cell r="K42" t="str">
            <v>4045/4046</v>
          </cell>
          <cell r="L42" t="str">
            <v>ARVIDSON</v>
          </cell>
          <cell r="M42">
            <v>2.8217592589498963E-2</v>
          </cell>
          <cell r="N42">
            <v>40.633333328878507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https://search-rtdc-monitor-bjffxe2xuh6vdkpspy63sjmuny.us-east-1.es.amazonaws.com/_plugin/kibana/#/discover/Steve-Slow-Train-Analysis-(2080s-and-2083s)?_g=(refreshInterval:(display:Off,section:0,value:0),time:(from:'2016-09-02 07:08:07-0600',mode:absolute,to:'2016-09-02 09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42" t="str">
            <v>N</v>
          </cell>
          <cell r="X42">
            <v>1</v>
          </cell>
          <cell r="Y42">
            <v>23.299399999999999</v>
          </cell>
          <cell r="Z42">
            <v>1.54E-2</v>
          </cell>
          <cell r="AA42">
            <v>23.283999999999999</v>
          </cell>
          <cell r="AB42" t="e">
            <v>#N/A</v>
          </cell>
          <cell r="AC42" t="e">
            <v>#N/A</v>
          </cell>
          <cell r="AD42" t="str">
            <v>0130-02</v>
          </cell>
          <cell r="AE42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43">
          <cell r="A43" t="str">
            <v>131-02</v>
          </cell>
          <cell r="B43">
            <v>4016</v>
          </cell>
          <cell r="C43" t="str">
            <v>DE.1.0.7.0</v>
          </cell>
          <cell r="D43" t="str">
            <v>204:451</v>
          </cell>
          <cell r="E43">
            <v>42615.307870370372</v>
          </cell>
          <cell r="F43">
            <v>42615.312662037039</v>
          </cell>
          <cell r="G43">
            <v>1</v>
          </cell>
          <cell r="H43" t="str">
            <v>204:233324</v>
          </cell>
          <cell r="I43">
            <v>42615.337395833332</v>
          </cell>
          <cell r="J43">
            <v>1</v>
          </cell>
          <cell r="K43" t="str">
            <v>4015/4016</v>
          </cell>
          <cell r="L43" t="str">
            <v>DAVIS</v>
          </cell>
          <cell r="M43">
            <v>2.4733796293730848E-2</v>
          </cell>
          <cell r="N43">
            <v>35.61666666297242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https://search-rtdc-monitor-bjffxe2xuh6vdkpspy63sjmuny.us-east-1.es.amazonaws.com/_plugin/kibana/#/discover/Steve-Slow-Train-Analysis-(2080s-and-2083s)?_g=(refreshInterval:(display:Off,section:0,value:0),time:(from:'2016-09-02 06:23:20-0600',mode:absolute,to:'2016-09-02 09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43" t="str">
            <v>N</v>
          </cell>
          <cell r="X43">
            <v>1</v>
          </cell>
          <cell r="Y43">
            <v>4.5100000000000001E-2</v>
          </cell>
          <cell r="Z43">
            <v>23.3324</v>
          </cell>
          <cell r="AA43">
            <v>23.287299999999998</v>
          </cell>
          <cell r="AB43" t="e">
            <v>#N/A</v>
          </cell>
          <cell r="AC43" t="e">
            <v>#N/A</v>
          </cell>
          <cell r="AD43" t="str">
            <v>0131-02</v>
          </cell>
          <cell r="AE43" t="str">
    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    </cell>
        </row>
        <row r="44">
          <cell r="A44" t="str">
            <v>132-02</v>
          </cell>
          <cell r="B44">
            <v>4015</v>
          </cell>
          <cell r="C44" t="str">
            <v>DE.1.0.7.0</v>
          </cell>
          <cell r="D44" t="str">
            <v>204:232984</v>
          </cell>
          <cell r="E44">
            <v>42615.348310185182</v>
          </cell>
          <cell r="F44">
            <v>42615.351539351854</v>
          </cell>
          <cell r="G44">
            <v>1</v>
          </cell>
          <cell r="H44" t="str">
            <v>204:149</v>
          </cell>
          <cell r="I44">
            <v>42615.380208333336</v>
          </cell>
          <cell r="J44">
            <v>1</v>
          </cell>
          <cell r="K44" t="str">
            <v>4015/4016</v>
          </cell>
          <cell r="L44" t="str">
            <v>DAVIS</v>
          </cell>
          <cell r="M44">
            <v>2.8668981482042E-2</v>
          </cell>
          <cell r="N44">
            <v>41.28333333414048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https://search-rtdc-monitor-bjffxe2xuh6vdkpspy63sjmuny.us-east-1.es.amazonaws.com/_plugin/kibana/#/discover/Steve-Slow-Train-Analysis-(2080s-and-2083s)?_g=(refreshInterval:(display:Off,section:0,value:0),time:(from:'2016-09-02 07:21:34-0600',mode:absolute,to:'2016-09-02 10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44" t="str">
            <v>N</v>
          </cell>
          <cell r="X44">
            <v>1</v>
          </cell>
          <cell r="Y44">
            <v>23.298400000000001</v>
          </cell>
          <cell r="Z44">
            <v>1.49E-2</v>
          </cell>
          <cell r="AA44">
            <v>23.2835</v>
          </cell>
          <cell r="AB44" t="e">
            <v>#N/A</v>
          </cell>
          <cell r="AC44" t="e">
            <v>#N/A</v>
          </cell>
          <cell r="AD44" t="str">
            <v>0132-02</v>
          </cell>
          <cell r="AE44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45">
          <cell r="A45" t="str">
            <v>133-02</v>
          </cell>
          <cell r="B45">
            <v>4009</v>
          </cell>
          <cell r="C45" t="str">
            <v>DE.1.0.7.0</v>
          </cell>
          <cell r="D45" t="str">
            <v>204:471</v>
          </cell>
          <cell r="E45">
            <v>42615.321064814816</v>
          </cell>
          <cell r="F45">
            <v>42615.323344907411</v>
          </cell>
          <cell r="G45">
            <v>1</v>
          </cell>
          <cell r="H45" t="str">
            <v>204:233306</v>
          </cell>
          <cell r="I45">
            <v>42615.349189814813</v>
          </cell>
          <cell r="J45">
            <v>1</v>
          </cell>
          <cell r="K45" t="str">
            <v>4009/4010</v>
          </cell>
          <cell r="L45" t="str">
            <v>MALAVE</v>
          </cell>
          <cell r="M45">
            <v>2.5844907402643003E-2</v>
          </cell>
          <cell r="N45">
            <v>37.216666659805924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https://search-rtdc-monitor-bjffxe2xuh6vdkpspy63sjmuny.us-east-1.es.amazonaws.com/_plugin/kibana/#/discover/Steve-Slow-Train-Analysis-(2080s-and-2083s)?_g=(refreshInterval:(display:Off,section:0,value:0),time:(from:'2016-09-02 06:42:20-0600',mode:absolute,to:'2016-09-02 09:22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45" t="str">
            <v>N</v>
          </cell>
          <cell r="X45">
            <v>1</v>
          </cell>
          <cell r="Y45">
            <v>4.7100000000000003E-2</v>
          </cell>
          <cell r="Z45">
            <v>23.3306</v>
          </cell>
          <cell r="AA45">
            <v>23.2835</v>
          </cell>
          <cell r="AB45" t="e">
            <v>#N/A</v>
          </cell>
          <cell r="AC45" t="e">
            <v>#N/A</v>
          </cell>
          <cell r="AD45" t="str">
            <v>0133-02</v>
          </cell>
          <cell r="AE45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46">
          <cell r="A46" t="str">
            <v>134-02</v>
          </cell>
          <cell r="B46">
            <v>4010</v>
          </cell>
          <cell r="C46" t="str">
            <v>DE.1.0.7.0</v>
          </cell>
          <cell r="D46" t="str">
            <v>204:232981</v>
          </cell>
          <cell r="E46">
            <v>42615.359722222223</v>
          </cell>
          <cell r="F46">
            <v>42615.362083333333</v>
          </cell>
          <cell r="G46">
            <v>2</v>
          </cell>
          <cell r="H46" t="str">
            <v>204:165</v>
          </cell>
          <cell r="I46">
            <v>42615.388738425929</v>
          </cell>
          <cell r="J46">
            <v>1</v>
          </cell>
          <cell r="K46" t="str">
            <v>4009/4010</v>
          </cell>
          <cell r="L46" t="str">
            <v>MALAVE</v>
          </cell>
          <cell r="M46">
            <v>2.6655092595319729E-2</v>
          </cell>
          <cell r="N46">
            <v>38.38333333726041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https://search-rtdc-monitor-bjffxe2xuh6vdkpspy63sjmuny.us-east-1.es.amazonaws.com/_plugin/kibana/#/discover/Steve-Slow-Train-Analysis-(2080s-and-2083s)?_g=(refreshInterval:(display:Off,section:0,value:0),time:(from:'2016-09-02 07:38:00-0600',mode:absolute,to:'2016-09-02 10:19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46" t="str">
            <v>N</v>
          </cell>
          <cell r="X46">
            <v>1</v>
          </cell>
          <cell r="Y46">
            <v>23.298100000000002</v>
          </cell>
          <cell r="Z46">
            <v>1.6500000000000001E-2</v>
          </cell>
          <cell r="AA46">
            <v>23.281600000000001</v>
          </cell>
          <cell r="AB46" t="e">
            <v>#N/A</v>
          </cell>
          <cell r="AC46" t="e">
            <v>#N/A</v>
          </cell>
          <cell r="AD46" t="str">
            <v>0134-02</v>
          </cell>
          <cell r="AE46" t="str">
    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    </cell>
        </row>
        <row r="47">
          <cell r="A47" t="str">
            <v>135-02</v>
          </cell>
          <cell r="B47">
            <v>4044</v>
          </cell>
          <cell r="C47" t="str">
            <v>DE.1.0.7.0</v>
          </cell>
          <cell r="D47" t="str">
            <v>204:466</v>
          </cell>
          <cell r="E47">
            <v>42615.329687500001</v>
          </cell>
          <cell r="F47">
            <v>42615.333495370367</v>
          </cell>
          <cell r="G47">
            <v>1</v>
          </cell>
          <cell r="H47" t="str">
            <v>204:233284</v>
          </cell>
          <cell r="I47">
            <v>42615.359629629631</v>
          </cell>
          <cell r="J47">
            <v>1</v>
          </cell>
          <cell r="K47" t="str">
            <v>4043/4044</v>
          </cell>
          <cell r="L47" t="str">
            <v>SMITH</v>
          </cell>
          <cell r="M47">
            <v>2.6134259263926651E-2</v>
          </cell>
          <cell r="N47">
            <v>37.633333340054378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https://search-rtdc-monitor-bjffxe2xuh6vdkpspy63sjmuny.us-east-1.es.amazonaws.com/_plugin/kibana/#/discover/Steve-Slow-Train-Analysis-(2080s-and-2083s)?_g=(refreshInterval:(display:Off,section:0,value:0),time:(from:'2016-09-02 06:54:45-0600',mode:absolute,to:'2016-09-02 09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47" t="str">
            <v>N</v>
          </cell>
          <cell r="X47">
            <v>1</v>
          </cell>
          <cell r="Y47">
            <v>4.6600000000000003E-2</v>
          </cell>
          <cell r="Z47">
            <v>23.328399999999998</v>
          </cell>
          <cell r="AA47">
            <v>23.281799999999997</v>
          </cell>
          <cell r="AB47" t="e">
            <v>#N/A</v>
          </cell>
          <cell r="AC47" t="e">
            <v>#N/A</v>
          </cell>
          <cell r="AD47" t="str">
            <v>0135-02</v>
          </cell>
          <cell r="AE47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48">
          <cell r="A48" t="str">
            <v>136-02</v>
          </cell>
          <cell r="B48">
            <v>4043</v>
          </cell>
          <cell r="C48" t="str">
            <v>DE.1.0.7.0</v>
          </cell>
          <cell r="D48" t="str">
            <v>204:232973</v>
          </cell>
          <cell r="E48">
            <v>42615.368738425925</v>
          </cell>
          <cell r="F48">
            <v>42615.372407407405</v>
          </cell>
          <cell r="G48">
            <v>1</v>
          </cell>
          <cell r="H48" t="str">
            <v>204:163</v>
          </cell>
          <cell r="I48">
            <v>42615.399918981479</v>
          </cell>
          <cell r="J48">
            <v>1</v>
          </cell>
          <cell r="K48" t="str">
            <v>4043/4044</v>
          </cell>
          <cell r="L48" t="str">
            <v>SMITH</v>
          </cell>
          <cell r="M48">
            <v>2.7511574073287193E-2</v>
          </cell>
          <cell r="N48">
            <v>39.616666665533558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https://search-rtdc-monitor-bjffxe2xuh6vdkpspy63sjmuny.us-east-1.es.amazonaws.com/_plugin/kibana/#/discover/Steve-Slow-Train-Analysis-(2080s-and-2083s)?_g=(refreshInterval:(display:Off,section:0,value:0),time:(from:'2016-09-02 07:50:59-0600',mode:absolute,to:'2016-09-02 10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48" t="str">
            <v>N</v>
          </cell>
          <cell r="X48">
            <v>1</v>
          </cell>
          <cell r="Y48">
            <v>23.2973</v>
          </cell>
          <cell r="Z48">
            <v>1.6299999999999999E-2</v>
          </cell>
          <cell r="AA48">
            <v>23.280999999999999</v>
          </cell>
          <cell r="AB48" t="e">
            <v>#N/A</v>
          </cell>
          <cell r="AC48" t="e">
            <v>#N/A</v>
          </cell>
          <cell r="AD48" t="str">
            <v>0136-02</v>
          </cell>
          <cell r="AE48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49">
          <cell r="A49" t="str">
            <v>137-02</v>
          </cell>
          <cell r="B49">
            <v>4031</v>
          </cell>
          <cell r="C49" t="str">
            <v>DE.1.0.7.0</v>
          </cell>
          <cell r="D49" t="str">
            <v>204:457</v>
          </cell>
          <cell r="E49">
            <v>42615.340520833335</v>
          </cell>
          <cell r="F49">
            <v>42615.344074074077</v>
          </cell>
          <cell r="G49">
            <v>1</v>
          </cell>
          <cell r="H49" t="str">
            <v>204:233315</v>
          </cell>
          <cell r="I49">
            <v>42615.369340277779</v>
          </cell>
          <cell r="J49">
            <v>1</v>
          </cell>
          <cell r="K49" t="str">
            <v>4031/4032</v>
          </cell>
          <cell r="L49" t="str">
            <v>GEBRETEKLE</v>
          </cell>
          <cell r="M49">
            <v>2.5266203701903578E-2</v>
          </cell>
          <cell r="N49">
            <v>36.383333330741152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https://search-rtdc-monitor-bjffxe2xuh6vdkpspy63sjmuny.us-east-1.es.amazonaws.com/_plugin/kibana/#/discover/Steve-Slow-Train-Analysis-(2080s-and-2083s)?_g=(refreshInterval:(display:Off,section:0,value:0),time:(from:'2016-09-02 07:10:21-0600',mode:absolute,to:'2016-09-02 09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49" t="str">
            <v>N</v>
          </cell>
          <cell r="X49">
            <v>1</v>
          </cell>
          <cell r="Y49">
            <v>4.5699999999999998E-2</v>
          </cell>
          <cell r="Z49">
            <v>23.331499999999998</v>
          </cell>
          <cell r="AA49">
            <v>23.285799999999998</v>
          </cell>
          <cell r="AB49" t="e">
            <v>#N/A</v>
          </cell>
          <cell r="AC49" t="e">
            <v>#N/A</v>
          </cell>
          <cell r="AD49" t="str">
            <v>0137-02</v>
          </cell>
          <cell r="AE49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50">
          <cell r="A50" t="str">
            <v>138-02</v>
          </cell>
          <cell r="B50">
            <v>4032</v>
          </cell>
          <cell r="C50" t="str">
            <v>DE.1.0.7.0</v>
          </cell>
          <cell r="D50" t="str">
            <v>204:232979</v>
          </cell>
          <cell r="E50">
            <v>42615.378599537034</v>
          </cell>
          <cell r="F50">
            <v>42615.383009259262</v>
          </cell>
          <cell r="G50">
            <v>2</v>
          </cell>
          <cell r="H50" t="str">
            <v>204:149</v>
          </cell>
          <cell r="I50">
            <v>42615.410081018519</v>
          </cell>
          <cell r="J50">
            <v>1</v>
          </cell>
          <cell r="K50" t="str">
            <v>4031/4032</v>
          </cell>
          <cell r="L50" t="str">
            <v>GEBRETEKLE</v>
          </cell>
          <cell r="M50">
            <v>2.7071759257523809E-2</v>
          </cell>
          <cell r="N50">
            <v>38.983333330834284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https://search-rtdc-monitor-bjffxe2xuh6vdkpspy63sjmuny.us-east-1.es.amazonaws.com/_plugin/kibana/#/discover/Steve-Slow-Train-Analysis-(2080s-and-2083s)?_g=(refreshInterval:(display:Off,section:0,value:0),time:(from:'2016-09-02 08:05:11-0600',mode:absolute,to:'2016-09-02 10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50" t="str">
            <v>N</v>
          </cell>
          <cell r="X50">
            <v>1</v>
          </cell>
          <cell r="Y50">
            <v>23.297899999999998</v>
          </cell>
          <cell r="Z50">
            <v>1.49E-2</v>
          </cell>
          <cell r="AA50">
            <v>23.282999999999998</v>
          </cell>
          <cell r="AB50" t="e">
            <v>#N/A</v>
          </cell>
          <cell r="AC50" t="e">
            <v>#N/A</v>
          </cell>
          <cell r="AD50" t="str">
            <v>0138-02</v>
          </cell>
          <cell r="AE50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51">
          <cell r="A51" t="str">
            <v>139-02</v>
          </cell>
          <cell r="B51">
            <v>4053</v>
          </cell>
          <cell r="C51" t="str">
            <v>DE.1.0.7.0</v>
          </cell>
          <cell r="D51" t="str">
            <v>204:449</v>
          </cell>
          <cell r="E51">
            <v>42615.350983796299</v>
          </cell>
          <cell r="F51">
            <v>42615.354363425926</v>
          </cell>
          <cell r="G51">
            <v>1</v>
          </cell>
          <cell r="H51" t="str">
            <v>204:233320</v>
          </cell>
          <cell r="I51">
            <v>42615.379166666666</v>
          </cell>
          <cell r="J51">
            <v>1</v>
          </cell>
          <cell r="K51" t="str">
            <v>4053/4054</v>
          </cell>
          <cell r="L51" t="str">
            <v>SPECTOR</v>
          </cell>
          <cell r="M51">
            <v>2.4803240739856847E-2</v>
          </cell>
          <cell r="N51">
            <v>35.716666665393859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https://search-rtdc-monitor-bjffxe2xuh6vdkpspy63sjmuny.us-east-1.es.amazonaws.com/_plugin/kibana/#/discover/Steve-Slow-Train-Analysis-(2080s-and-2083s)?_g=(refreshInterval:(display:Off,section:0,value:0),time:(from:'2016-09-02 07:25:25-0600',mode:absolute,to:'2016-09-02 10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51" t="str">
            <v>N</v>
          </cell>
          <cell r="X51">
            <v>1</v>
          </cell>
          <cell r="Y51">
            <v>4.4900000000000002E-2</v>
          </cell>
          <cell r="Z51">
            <v>23.332000000000001</v>
          </cell>
          <cell r="AA51">
            <v>23.287100000000002</v>
          </cell>
          <cell r="AB51" t="e">
            <v>#N/A</v>
          </cell>
          <cell r="AC51" t="e">
            <v>#N/A</v>
          </cell>
          <cell r="AD51" t="str">
            <v>0139-02</v>
          </cell>
          <cell r="AE51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52">
          <cell r="A52" t="str">
            <v>140-02</v>
          </cell>
          <cell r="B52">
            <v>4054</v>
          </cell>
          <cell r="C52" t="str">
            <v>DE.1.0.7.0</v>
          </cell>
          <cell r="D52" t="str">
            <v>204:232994</v>
          </cell>
          <cell r="E52">
            <v>42615.386782407404</v>
          </cell>
          <cell r="F52">
            <v>42615.393240740741</v>
          </cell>
          <cell r="G52">
            <v>5</v>
          </cell>
          <cell r="H52" t="str">
            <v>204:163</v>
          </cell>
          <cell r="I52">
            <v>42615.421736111108</v>
          </cell>
          <cell r="J52">
            <v>1</v>
          </cell>
          <cell r="K52" t="str">
            <v>4053/4054</v>
          </cell>
          <cell r="L52" t="str">
            <v>SPECTOR</v>
          </cell>
          <cell r="M52">
            <v>2.8495370366727002E-2</v>
          </cell>
          <cell r="N52">
            <v>41.033333328086883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https://search-rtdc-monitor-bjffxe2xuh6vdkpspy63sjmuny.us-east-1.es.amazonaws.com/_plugin/kibana/#/discover/Steve-Slow-Train-Analysis-(2080s-and-2083s)?_g=(refreshInterval:(display:Off,section:0,value:0),time:(from:'2016-09-02 08:16:58-0600',mode:absolute,to:'2016-09-02 11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    </cell>
          <cell r="W52" t="str">
            <v>N</v>
          </cell>
          <cell r="X52">
            <v>1</v>
          </cell>
          <cell r="Y52">
            <v>23.299399999999999</v>
          </cell>
          <cell r="Z52">
            <v>1.6299999999999999E-2</v>
          </cell>
          <cell r="AA52">
            <v>23.283099999999997</v>
          </cell>
          <cell r="AB52">
            <v>1</v>
          </cell>
          <cell r="AC52" t="str">
            <v>TRACK WARRANT AUTHORITY</v>
          </cell>
          <cell r="AD52" t="str">
            <v>0140-02</v>
          </cell>
          <cell r="AE52" t="str">
    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    </cell>
        </row>
        <row r="53">
          <cell r="A53" t="str">
            <v>141-02</v>
          </cell>
          <cell r="B53">
            <v>4029</v>
          </cell>
          <cell r="C53" t="str">
            <v>DE.1.0.7.0</v>
          </cell>
          <cell r="D53" t="str">
            <v>204:453</v>
          </cell>
          <cell r="E53">
            <v>42615.360752314817</v>
          </cell>
          <cell r="F53">
            <v>42615.364918981482</v>
          </cell>
          <cell r="G53">
            <v>1</v>
          </cell>
          <cell r="H53" t="str">
            <v>204:233314</v>
          </cell>
          <cell r="I53">
            <v>42615.390462962961</v>
          </cell>
          <cell r="J53">
            <v>1</v>
          </cell>
          <cell r="K53" t="str">
            <v>4029/4030</v>
          </cell>
          <cell r="L53" t="str">
            <v>MAELZER</v>
          </cell>
          <cell r="M53">
            <v>2.5543981479131617E-2</v>
          </cell>
          <cell r="N53">
            <v>36.783333329949528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https://search-rtdc-monitor-bjffxe2xuh6vdkpspy63sjmuny.us-east-1.es.amazonaws.com/_plugin/kibana/#/discover/Steve-Slow-Train-Analysis-(2080s-and-2083s)?_g=(refreshInterval:(display:Off,section:0,value:0),time:(from:'2016-09-02 07:39:29-0600',mode:absolute,to:'2016-09-02 10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53" t="str">
            <v>N</v>
          </cell>
          <cell r="X53">
            <v>1</v>
          </cell>
          <cell r="Y53">
            <v>4.53E-2</v>
          </cell>
          <cell r="Z53">
            <v>23.331399999999999</v>
          </cell>
          <cell r="AA53">
            <v>23.286099999999998</v>
          </cell>
          <cell r="AB53" t="e">
            <v>#N/A</v>
          </cell>
          <cell r="AC53" t="e">
            <v>#N/A</v>
          </cell>
          <cell r="AD53" t="str">
            <v>0141-02</v>
          </cell>
          <cell r="AE53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54">
          <cell r="A54" t="str">
            <v>142-02</v>
          </cell>
          <cell r="B54">
            <v>4030</v>
          </cell>
          <cell r="C54" t="str">
            <v>DE.1.0.7.0</v>
          </cell>
          <cell r="D54" t="str">
            <v>204:232987</v>
          </cell>
          <cell r="E54">
            <v>42615.396377314813</v>
          </cell>
          <cell r="F54">
            <v>42615.403749999998</v>
          </cell>
          <cell r="G54">
            <v>1</v>
          </cell>
          <cell r="H54" t="str">
            <v>204:138</v>
          </cell>
          <cell r="I54">
            <v>42615.430497685185</v>
          </cell>
          <cell r="J54">
            <v>1</v>
          </cell>
          <cell r="K54" t="str">
            <v>4029/4030</v>
          </cell>
          <cell r="L54" t="str">
            <v>MAELZER</v>
          </cell>
          <cell r="M54">
            <v>2.6747685187729076E-2</v>
          </cell>
          <cell r="N54">
            <v>38.516666670329869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https://search-rtdc-monitor-bjffxe2xuh6vdkpspy63sjmuny.us-east-1.es.amazonaws.com/_plugin/kibana/#/discover/Steve-Slow-Train-Analysis-(2080s-and-2083s)?_g=(refreshInterval:(display:Off,section:0,value:0),time:(from:'2016-09-02 08:30:47-0600',mode:absolute,to:'2016-09-02 11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54" t="str">
            <v>N</v>
          </cell>
          <cell r="X54">
            <v>1</v>
          </cell>
          <cell r="Y54">
            <v>23.2987</v>
          </cell>
          <cell r="Z54">
            <v>1.38E-2</v>
          </cell>
          <cell r="AA54">
            <v>23.2849</v>
          </cell>
          <cell r="AB54" t="e">
            <v>#N/A</v>
          </cell>
          <cell r="AC54" t="e">
            <v>#N/A</v>
          </cell>
          <cell r="AD54" t="str">
            <v>0142-02</v>
          </cell>
          <cell r="AE54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55">
          <cell r="A55" t="str">
            <v>143-02</v>
          </cell>
          <cell r="B55">
            <v>4046</v>
          </cell>
          <cell r="C55" t="str">
            <v>DE.1.0.7.0</v>
          </cell>
          <cell r="D55" t="str">
            <v>204:469</v>
          </cell>
          <cell r="E55">
            <v>42615.371550925927</v>
          </cell>
          <cell r="F55">
            <v>42615.376284722224</v>
          </cell>
          <cell r="G55">
            <v>1</v>
          </cell>
          <cell r="H55" t="str">
            <v>204:233268</v>
          </cell>
          <cell r="I55">
            <v>42615.402777777781</v>
          </cell>
          <cell r="J55">
            <v>1</v>
          </cell>
          <cell r="K55" t="str">
            <v>4045/4046</v>
          </cell>
          <cell r="L55" t="str">
            <v>ARVIDSON</v>
          </cell>
          <cell r="M55">
            <v>2.6493055556784384E-2</v>
          </cell>
          <cell r="N55">
            <v>38.150000001769513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https://search-rtdc-monitor-bjffxe2xuh6vdkpspy63sjmuny.us-east-1.es.amazonaws.com/_plugin/kibana/#/discover/Steve-Slow-Train-Analysis-(2080s-and-2083s)?_g=(refreshInterval:(display:Off,section:0,value:0),time:(from:'2016-09-02 07:55:02-0600',mode:absolute,to:'2016-09-02 10:40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55" t="str">
            <v>N</v>
          </cell>
          <cell r="X55">
            <v>1</v>
          </cell>
          <cell r="Y55">
            <v>4.6899999999999997E-2</v>
          </cell>
          <cell r="Z55">
            <v>23.326799999999999</v>
          </cell>
          <cell r="AA55">
            <v>23.279899999999998</v>
          </cell>
          <cell r="AB55" t="e">
            <v>#N/A</v>
          </cell>
          <cell r="AC55" t="e">
            <v>#N/A</v>
          </cell>
          <cell r="AD55" t="str">
            <v>0143-02</v>
          </cell>
          <cell r="AE55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56">
          <cell r="A56" t="str">
            <v>144-02</v>
          </cell>
          <cell r="B56">
            <v>4045</v>
          </cell>
          <cell r="C56" t="str">
            <v>DE.1.0.7.0</v>
          </cell>
          <cell r="D56" t="str">
            <v>204:232963</v>
          </cell>
          <cell r="E56">
            <v>42615.408310185187</v>
          </cell>
          <cell r="F56">
            <v>42615.414224537039</v>
          </cell>
          <cell r="G56">
            <v>1</v>
          </cell>
          <cell r="H56" t="str">
            <v>204:150</v>
          </cell>
          <cell r="I56">
            <v>42615.44358796296</v>
          </cell>
          <cell r="J56">
            <v>1</v>
          </cell>
          <cell r="K56" t="str">
            <v>4045/4046</v>
          </cell>
          <cell r="L56" t="str">
            <v>ARVIDSON</v>
          </cell>
          <cell r="M56">
            <v>2.9363425921474118E-2</v>
          </cell>
          <cell r="N56">
            <v>42.28333332692273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https://search-rtdc-monitor-bjffxe2xuh6vdkpspy63sjmuny.us-east-1.es.amazonaws.com/_plugin/kibana/#/discover/Steve-Slow-Train-Analysis-(2080s-and-2083s)?_g=(refreshInterval:(display:Off,section:0,value:0),time:(from:'2016-09-02 08:47:58-0600',mode:absolute,to:'2016-09-02 11:38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56" t="str">
            <v>N</v>
          </cell>
          <cell r="X56">
            <v>1</v>
          </cell>
          <cell r="Y56">
            <v>23.296299999999999</v>
          </cell>
          <cell r="Z56">
            <v>1.4999999999999999E-2</v>
          </cell>
          <cell r="AA56">
            <v>23.281299999999998</v>
          </cell>
          <cell r="AB56" t="e">
            <v>#N/A</v>
          </cell>
          <cell r="AC56" t="e">
            <v>#N/A</v>
          </cell>
          <cell r="AD56" t="str">
            <v>0144-02</v>
          </cell>
          <cell r="AE56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57">
          <cell r="A57" t="str">
            <v>145-02</v>
          </cell>
          <cell r="B57">
            <v>4016</v>
          </cell>
          <cell r="C57" t="str">
            <v>DE.1.0.7.0</v>
          </cell>
          <cell r="D57" t="str">
            <v>204:464</v>
          </cell>
          <cell r="E57">
            <v>42615.381678240738</v>
          </cell>
          <cell r="F57">
            <v>42615.385601851849</v>
          </cell>
          <cell r="G57">
            <v>1</v>
          </cell>
          <cell r="H57" t="str">
            <v>204:233304</v>
          </cell>
          <cell r="I57">
            <v>42615.410879629628</v>
          </cell>
          <cell r="J57">
            <v>1</v>
          </cell>
          <cell r="K57" t="str">
            <v>4015/4016</v>
          </cell>
          <cell r="L57" t="str">
            <v>DAVIS</v>
          </cell>
          <cell r="M57">
            <v>2.527777777868323E-2</v>
          </cell>
          <cell r="N57">
            <v>36.400000001303852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https://search-rtdc-monitor-bjffxe2xuh6vdkpspy63sjmuny.us-east-1.es.amazonaws.com/_plugin/kibana/#/discover/Steve-Slow-Train-Analysis-(2080s-and-2083s)?_g=(refreshInterval:(display:Off,section:0,value:0),time:(from:'2016-09-02 08:09:37-0600',mode:absolute,to:'2016-09-02 10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57" t="str">
            <v>N</v>
          </cell>
          <cell r="X57">
            <v>1</v>
          </cell>
          <cell r="Y57">
            <v>4.6399999999999997E-2</v>
          </cell>
          <cell r="Z57">
            <v>23.330400000000001</v>
          </cell>
          <cell r="AA57">
            <v>23.284000000000002</v>
          </cell>
          <cell r="AB57" t="e">
            <v>#N/A</v>
          </cell>
          <cell r="AC57" t="e">
            <v>#N/A</v>
          </cell>
          <cell r="AD57" t="str">
            <v>0145-02</v>
          </cell>
          <cell r="AE57" t="str">
    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    </cell>
        </row>
        <row r="58">
          <cell r="A58" t="str">
            <v>146-02</v>
          </cell>
          <cell r="B58">
            <v>4015</v>
          </cell>
          <cell r="C58" t="str">
            <v>DE.1.0.7.0</v>
          </cell>
          <cell r="D58" t="str">
            <v>204:232976</v>
          </cell>
          <cell r="E58">
            <v>42615.418368055558</v>
          </cell>
          <cell r="F58">
            <v>42615.424710648149</v>
          </cell>
          <cell r="G58">
            <v>1</v>
          </cell>
          <cell r="H58" t="str">
            <v>204:143</v>
          </cell>
          <cell r="I58">
            <v>42615.452476851853</v>
          </cell>
          <cell r="J58">
            <v>1</v>
          </cell>
          <cell r="K58" t="str">
            <v>4015/4016</v>
          </cell>
          <cell r="L58" t="str">
            <v>DAVIS</v>
          </cell>
          <cell r="M58">
            <v>2.7766203704231884E-2</v>
          </cell>
          <cell r="N58">
            <v>39.983333334093913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https://search-rtdc-monitor-bjffxe2xuh6vdkpspy63sjmuny.us-east-1.es.amazonaws.com/_plugin/kibana/#/discover/Steve-Slow-Train-Analysis-(2080s-and-2083s)?_g=(refreshInterval:(display:Off,section:0,value:0),time:(from:'2016-09-02 09:02:27-0600',mode:absolute,to:'2016-09-02 11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58" t="str">
            <v>N</v>
          </cell>
          <cell r="X58">
            <v>1</v>
          </cell>
          <cell r="Y58">
            <v>23.297599999999999</v>
          </cell>
          <cell r="Z58">
            <v>1.43E-2</v>
          </cell>
          <cell r="AA58">
            <v>23.283300000000001</v>
          </cell>
          <cell r="AB58">
            <v>191723</v>
          </cell>
          <cell r="AC58" t="str">
            <v>SIGNAL</v>
          </cell>
          <cell r="AD58" t="str">
            <v>0146-02</v>
          </cell>
          <cell r="AE58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59">
          <cell r="A59" t="str">
            <v>147-02</v>
          </cell>
          <cell r="B59">
            <v>4009</v>
          </cell>
          <cell r="C59" t="str">
            <v>DE.1.0.7.0</v>
          </cell>
          <cell r="D59" t="str">
            <v>204:462</v>
          </cell>
          <cell r="E59">
            <v>42615.394756944443</v>
          </cell>
          <cell r="F59">
            <v>42615.396261574075</v>
          </cell>
          <cell r="G59">
            <v>1</v>
          </cell>
          <cell r="H59" t="str">
            <v>204:233288</v>
          </cell>
          <cell r="I59">
            <v>42615.422546296293</v>
          </cell>
          <cell r="J59">
            <v>1</v>
          </cell>
          <cell r="K59" t="str">
            <v>4009/4010</v>
          </cell>
          <cell r="L59" t="str">
            <v>MALAVE</v>
          </cell>
          <cell r="M59">
            <v>2.6284722218406387E-2</v>
          </cell>
          <cell r="N59">
            <v>37.849999994505197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https://search-rtdc-monitor-bjffxe2xuh6vdkpspy63sjmuny.us-east-1.es.amazonaws.com/_plugin/kibana/#/discover/Steve-Slow-Train-Analysis-(2080s-and-2083s)?_g=(refreshInterval:(display:Off,section:0,value:0),time:(from:'2016-09-02 08:28:27-0600',mode:absolute,to:'2016-09-02 11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59" t="str">
            <v>N</v>
          </cell>
          <cell r="X59">
            <v>1</v>
          </cell>
          <cell r="Y59">
            <v>4.6199999999999998E-2</v>
          </cell>
          <cell r="Z59">
            <v>23.328800000000001</v>
          </cell>
          <cell r="AA59">
            <v>23.282600000000002</v>
          </cell>
          <cell r="AB59" t="e">
            <v>#N/A</v>
          </cell>
          <cell r="AC59" t="e">
            <v>#N/A</v>
          </cell>
          <cell r="AD59" t="str">
            <v>0147-02</v>
          </cell>
          <cell r="AE59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60">
          <cell r="A60" t="str">
            <v>148-02</v>
          </cell>
          <cell r="B60">
            <v>4010</v>
          </cell>
          <cell r="C60" t="str">
            <v>DE.1.0.7.0</v>
          </cell>
          <cell r="D60" t="str">
            <v>204:232961</v>
          </cell>
          <cell r="E60">
            <v>42615.433749999997</v>
          </cell>
          <cell r="F60">
            <v>42615.434895833336</v>
          </cell>
          <cell r="G60">
            <v>1</v>
          </cell>
          <cell r="H60" t="str">
            <v>204:145</v>
          </cell>
          <cell r="I60">
            <v>42615.461805555555</v>
          </cell>
          <cell r="J60">
            <v>1</v>
          </cell>
          <cell r="K60" t="str">
            <v>4009/4010</v>
          </cell>
          <cell r="L60" t="str">
            <v>MALAVE</v>
          </cell>
          <cell r="M60">
            <v>2.6909722218988463E-2</v>
          </cell>
          <cell r="N60">
            <v>38.749999995343387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https://search-rtdc-monitor-bjffxe2xuh6vdkpspy63sjmuny.us-east-1.es.amazonaws.com/_plugin/kibana/#/discover/Steve-Slow-Train-Analysis-(2080s-and-2083s)?_g=(refreshInterval:(display:Off,section:0,value:0),time:(from:'2016-09-02 09:24:36-0600',mode:absolute,to:'2016-09-02 12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60" t="str">
            <v>N</v>
          </cell>
          <cell r="X60">
            <v>1</v>
          </cell>
          <cell r="Y60">
            <v>23.296099999999999</v>
          </cell>
          <cell r="Z60">
            <v>1.4500000000000001E-2</v>
          </cell>
          <cell r="AA60">
            <v>23.281599999999997</v>
          </cell>
          <cell r="AB60" t="e">
            <v>#N/A</v>
          </cell>
          <cell r="AC60" t="e">
            <v>#N/A</v>
          </cell>
          <cell r="AD60" t="str">
            <v>0148-02</v>
          </cell>
          <cell r="AE60" t="str">
    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    </cell>
        </row>
        <row r="61">
          <cell r="A61" t="str">
            <v>149-02</v>
          </cell>
          <cell r="B61">
            <v>4044</v>
          </cell>
          <cell r="C61" t="str">
            <v>DE.1.0.7.0</v>
          </cell>
          <cell r="D61" t="str">
            <v>204:431</v>
          </cell>
          <cell r="E61">
            <v>42615.401226851849</v>
          </cell>
          <cell r="F61">
            <v>42615.406412037039</v>
          </cell>
          <cell r="G61">
            <v>1</v>
          </cell>
          <cell r="H61" t="str">
            <v>204:233321</v>
          </cell>
          <cell r="I61">
            <v>42615.435069444444</v>
          </cell>
          <cell r="J61">
            <v>1</v>
          </cell>
          <cell r="K61" t="str">
            <v>4043/4044</v>
          </cell>
          <cell r="L61" t="str">
            <v>SMITH</v>
          </cell>
          <cell r="M61">
            <v>2.8657407405262347E-2</v>
          </cell>
          <cell r="N61">
            <v>41.26666666357778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https://search-rtdc-monitor-bjffxe2xuh6vdkpspy63sjmuny.us-east-1.es.amazonaws.com/_plugin/kibana/#/discover/Steve-Slow-Train-Analysis-(2080s-and-2083s)?_g=(refreshInterval:(display:Off,section:0,value:0),time:(from:'2016-09-02 08:37:46-0600',mode:absolute,to:'2016-09-02 11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61" t="str">
            <v>N</v>
          </cell>
          <cell r="X61">
            <v>1</v>
          </cell>
          <cell r="Y61">
            <v>4.3099999999999999E-2</v>
          </cell>
          <cell r="Z61">
            <v>23.332100000000001</v>
          </cell>
          <cell r="AA61">
            <v>23.289000000000001</v>
          </cell>
          <cell r="AB61" t="e">
            <v>#N/A</v>
          </cell>
          <cell r="AC61" t="e">
            <v>#N/A</v>
          </cell>
          <cell r="AD61" t="str">
            <v>0149-02</v>
          </cell>
          <cell r="AE61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62">
          <cell r="A62" t="str">
            <v>150-02</v>
          </cell>
          <cell r="B62">
            <v>4043</v>
          </cell>
          <cell r="C62" t="str">
            <v>DE.1.0.7.0</v>
          </cell>
          <cell r="D62" t="str">
            <v>204:232994</v>
          </cell>
          <cell r="E62">
            <v>42615.440509259257</v>
          </cell>
          <cell r="F62">
            <v>42615.445289351854</v>
          </cell>
          <cell r="G62">
            <v>2</v>
          </cell>
          <cell r="H62" t="str">
            <v>204:139</v>
          </cell>
          <cell r="I62">
            <v>42615.471273148149</v>
          </cell>
          <cell r="J62">
            <v>1</v>
          </cell>
          <cell r="K62" t="str">
            <v>4043/4044</v>
          </cell>
          <cell r="L62" t="str">
            <v>SMITH</v>
          </cell>
          <cell r="M62">
            <v>2.5983796294895001E-2</v>
          </cell>
          <cell r="N62">
            <v>37.416666664648801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https://search-rtdc-monitor-bjffxe2xuh6vdkpspy63sjmuny.us-east-1.es.amazonaws.com/_plugin/kibana/#/discover/Steve-Slow-Train-Analysis-(2080s-and-2083s)?_g=(refreshInterval:(display:Off,section:0,value:0),time:(from:'2016-09-02 09:34:20-0600',mode:absolute,to:'2016-09-02 12:18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62" t="str">
            <v>N</v>
          </cell>
          <cell r="X62">
            <v>1</v>
          </cell>
          <cell r="Y62">
            <v>23.299399999999999</v>
          </cell>
          <cell r="Z62">
            <v>1.3899999999999999E-2</v>
          </cell>
          <cell r="AA62">
            <v>23.285499999999999</v>
          </cell>
          <cell r="AB62" t="e">
            <v>#N/A</v>
          </cell>
          <cell r="AC62" t="e">
            <v>#N/A</v>
          </cell>
          <cell r="AD62" t="str">
            <v>0150-02</v>
          </cell>
          <cell r="AE62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63">
          <cell r="A63" t="str">
            <v>151-02</v>
          </cell>
          <cell r="B63">
            <v>4031</v>
          </cell>
          <cell r="C63" t="str">
            <v>DE.1.0.7.0</v>
          </cell>
          <cell r="D63" t="str">
            <v>204:453</v>
          </cell>
          <cell r="E63">
            <v>42615.41300925926</v>
          </cell>
          <cell r="F63">
            <v>42615.416828703703</v>
          </cell>
          <cell r="G63">
            <v>1</v>
          </cell>
          <cell r="H63" t="str">
            <v>204:233326</v>
          </cell>
          <cell r="I63">
            <v>42615.442175925928</v>
          </cell>
          <cell r="J63">
            <v>1</v>
          </cell>
          <cell r="K63" t="str">
            <v>4031/4032</v>
          </cell>
          <cell r="L63" t="str">
            <v>GEBRETEKLE</v>
          </cell>
          <cell r="M63">
            <v>2.5347222224809229E-2</v>
          </cell>
          <cell r="N63">
            <v>36.50000000372529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https://search-rtdc-monitor-bjffxe2xuh6vdkpspy63sjmuny.us-east-1.es.amazonaws.com/_plugin/kibana/#/discover/Steve-Slow-Train-Analysis-(2080s-and-2083s)?_g=(refreshInterval:(display:Off,section:0,value:0),time:(from:'2016-09-02 08:54:44-0600',mode:absolute,to:'2016-09-02 11:36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63" t="str">
            <v>N</v>
          </cell>
          <cell r="X63">
            <v>1</v>
          </cell>
          <cell r="Y63">
            <v>4.53E-2</v>
          </cell>
          <cell r="Z63">
            <v>23.332599999999999</v>
          </cell>
          <cell r="AA63">
            <v>23.287299999999998</v>
          </cell>
          <cell r="AB63" t="e">
            <v>#N/A</v>
          </cell>
          <cell r="AC63" t="e">
            <v>#N/A</v>
          </cell>
          <cell r="AD63" t="str">
            <v>0151-02</v>
          </cell>
          <cell r="AE63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64">
          <cell r="A64" t="str">
            <v>152-02</v>
          </cell>
          <cell r="B64">
            <v>4032</v>
          </cell>
          <cell r="C64" t="str">
            <v>DE.1.0.7.0</v>
          </cell>
          <cell r="D64" t="str">
            <v>204:232982</v>
          </cell>
          <cell r="E64">
            <v>42615.450624999998</v>
          </cell>
          <cell r="F64">
            <v>42615.455717592595</v>
          </cell>
          <cell r="G64">
            <v>1</v>
          </cell>
          <cell r="H64" t="str">
            <v>204:139</v>
          </cell>
          <cell r="I64">
            <v>42615.483344907407</v>
          </cell>
          <cell r="J64">
            <v>1</v>
          </cell>
          <cell r="K64" t="str">
            <v>4031/4032</v>
          </cell>
          <cell r="L64" t="str">
            <v>GEBRETEKLE</v>
          </cell>
          <cell r="M64">
            <v>2.7627314811979886E-2</v>
          </cell>
          <cell r="N64">
            <v>39.783333329251036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https://search-rtdc-monitor-bjffxe2xuh6vdkpspy63sjmuny.us-east-1.es.amazonaws.com/_plugin/kibana/#/discover/Steve-Slow-Train-Analysis-(2080s-and-2083s)?_g=(refreshInterval:(display:Off,section:0,value:0),time:(from:'2016-09-02 09:48:54-0600',mode:absolute,to:'2016-09-02 12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64" t="str">
            <v>N</v>
          </cell>
          <cell r="X64">
            <v>1</v>
          </cell>
          <cell r="Y64">
            <v>23.298200000000001</v>
          </cell>
          <cell r="Z64">
            <v>1.3899999999999999E-2</v>
          </cell>
          <cell r="AA64">
            <v>23.284300000000002</v>
          </cell>
          <cell r="AB64" t="e">
            <v>#N/A</v>
          </cell>
          <cell r="AC64" t="e">
            <v>#N/A</v>
          </cell>
          <cell r="AD64" t="str">
            <v>0152-02</v>
          </cell>
          <cell r="AE64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65">
          <cell r="A65" t="str">
            <v>153-02</v>
          </cell>
          <cell r="B65">
            <v>4053</v>
          </cell>
          <cell r="C65" t="str">
            <v>DE.1.0.7.0</v>
          </cell>
          <cell r="D65" t="str">
            <v>204:464</v>
          </cell>
          <cell r="E65">
            <v>42615.425219907411</v>
          </cell>
          <cell r="F65">
            <v>42615.427303240744</v>
          </cell>
          <cell r="G65">
            <v>1</v>
          </cell>
          <cell r="H65" t="str">
            <v>204:233321</v>
          </cell>
          <cell r="I65">
            <v>42615.452384259261</v>
          </cell>
          <cell r="J65">
            <v>1</v>
          </cell>
          <cell r="K65" t="str">
            <v>4053/4054</v>
          </cell>
          <cell r="L65" t="str">
            <v>SPECTOR</v>
          </cell>
          <cell r="M65">
            <v>2.5081018517084885E-2</v>
          </cell>
          <cell r="N65">
            <v>36.116666664602235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https://search-rtdc-monitor-bjffxe2xuh6vdkpspy63sjmuny.us-east-1.es.amazonaws.com/_plugin/kibana/#/discover/Steve-Slow-Train-Analysis-(2080s-and-2083s)?_g=(refreshInterval:(display:Off,section:0,value:0),time:(from:'2016-09-02 09:12:19-0600',mode:absolute,to:'2016-09-02 11:51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65" t="str">
            <v>N</v>
          </cell>
          <cell r="X65">
            <v>1</v>
          </cell>
          <cell r="Y65">
            <v>4.6399999999999997E-2</v>
          </cell>
          <cell r="Z65">
            <v>23.332100000000001</v>
          </cell>
          <cell r="AA65">
            <v>23.285700000000002</v>
          </cell>
          <cell r="AB65" t="e">
            <v>#N/A</v>
          </cell>
          <cell r="AC65" t="e">
            <v>#N/A</v>
          </cell>
          <cell r="AD65" t="str">
            <v>0153-02</v>
          </cell>
          <cell r="AE65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66">
          <cell r="A66" t="str">
            <v>154-02</v>
          </cell>
          <cell r="B66">
            <v>4054</v>
          </cell>
          <cell r="C66" t="str">
            <v>DE.1.0.7.0</v>
          </cell>
          <cell r="D66" t="str">
            <v>204:233004</v>
          </cell>
          <cell r="E66">
            <v>42615.459953703707</v>
          </cell>
          <cell r="F66">
            <v>42615.466249999998</v>
          </cell>
          <cell r="G66">
            <v>1</v>
          </cell>
          <cell r="H66" t="str">
            <v>204:136</v>
          </cell>
          <cell r="I66">
            <v>42615.493125000001</v>
          </cell>
          <cell r="J66">
            <v>1</v>
          </cell>
          <cell r="K66" t="str">
            <v>4053/4054</v>
          </cell>
          <cell r="L66" t="str">
            <v>SPECTOR</v>
          </cell>
          <cell r="M66">
            <v>2.6875000003201421E-2</v>
          </cell>
          <cell r="N66">
            <v>38.700000004610047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https://search-rtdc-monitor-bjffxe2xuh6vdkpspy63sjmuny.us-east-1.es.amazonaws.com/_plugin/kibana/#/discover/Steve-Slow-Train-Analysis-(2080s-and-2083s)?_g=(refreshInterval:(display:Off,section:0,value:0),time:(from:'2016-09-02 10:02:20-0600',mode:absolute,to:'2016-09-02 12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    </cell>
          <cell r="W66" t="str">
            <v>N</v>
          </cell>
          <cell r="X66">
            <v>1</v>
          </cell>
          <cell r="Y66">
            <v>23.3004</v>
          </cell>
          <cell r="Z66">
            <v>1.3599999999999999E-2</v>
          </cell>
          <cell r="AA66">
            <v>23.286799999999999</v>
          </cell>
          <cell r="AB66" t="e">
            <v>#N/A</v>
          </cell>
          <cell r="AC66" t="e">
            <v>#N/A</v>
          </cell>
          <cell r="AD66" t="str">
            <v>0154-02</v>
          </cell>
          <cell r="AE66" t="str">
    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    </cell>
        </row>
        <row r="67">
          <cell r="A67" t="str">
            <v>155-02</v>
          </cell>
          <cell r="B67">
            <v>4029</v>
          </cell>
          <cell r="C67" t="str">
            <v>DE.1.0.7.0</v>
          </cell>
          <cell r="D67" t="str">
            <v>204:446</v>
          </cell>
          <cell r="E67">
            <v>42615.43209490741</v>
          </cell>
          <cell r="F67">
            <v>42615.437731481485</v>
          </cell>
          <cell r="G67">
            <v>2</v>
          </cell>
          <cell r="H67" t="str">
            <v>204:233272</v>
          </cell>
          <cell r="I67">
            <v>42615.46435185185</v>
          </cell>
          <cell r="J67">
            <v>1</v>
          </cell>
          <cell r="K67" t="str">
            <v>4029/4030</v>
          </cell>
          <cell r="L67" t="str">
            <v>STRICKLAND</v>
          </cell>
          <cell r="M67">
            <v>2.6620370364980772E-2</v>
          </cell>
          <cell r="N67">
            <v>38.333333325572312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https://search-rtdc-monitor-bjffxe2xuh6vdkpspy63sjmuny.us-east-1.es.amazonaws.com/_plugin/kibana/#/discover/Steve-Slow-Train-Analysis-(2080s-and-2083s)?_g=(refreshInterval:(display:Off,section:0,value:0),time:(from:'2016-09-02 09:22:13-0600',mode:absolute,to:'2016-09-02 12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67" t="str">
            <v>N</v>
          </cell>
          <cell r="X67">
            <v>1</v>
          </cell>
          <cell r="Y67">
            <v>4.4600000000000001E-2</v>
          </cell>
          <cell r="Z67">
            <v>23.327200000000001</v>
          </cell>
          <cell r="AA67">
            <v>23.282600000000002</v>
          </cell>
          <cell r="AB67" t="e">
            <v>#N/A</v>
          </cell>
          <cell r="AC67" t="e">
            <v>#N/A</v>
          </cell>
          <cell r="AD67" t="str">
            <v>0155-02</v>
          </cell>
          <cell r="AE67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68">
          <cell r="A68" t="str">
            <v>156-02</v>
          </cell>
          <cell r="B68">
            <v>4030</v>
          </cell>
          <cell r="C68" t="str">
            <v>DE.1.0.7.0</v>
          </cell>
          <cell r="D68" t="str">
            <v>204:232982</v>
          </cell>
          <cell r="E68">
            <v>42615.472083333334</v>
          </cell>
          <cell r="F68">
            <v>42615.476597222223</v>
          </cell>
          <cell r="G68">
            <v>2</v>
          </cell>
          <cell r="H68" t="str">
            <v>204:152</v>
          </cell>
          <cell r="I68">
            <v>42615.505787037036</v>
          </cell>
          <cell r="J68">
            <v>1</v>
          </cell>
          <cell r="K68" t="str">
            <v>4029/4030</v>
          </cell>
          <cell r="L68" t="str">
            <v>STRICKLAND</v>
          </cell>
          <cell r="M68">
            <v>2.9189814813435078E-2</v>
          </cell>
          <cell r="N68">
            <v>42.033333331346512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https://search-rtdc-monitor-bjffxe2xuh6vdkpspy63sjmuny.us-east-1.es.amazonaws.com/_plugin/kibana/#/discover/Steve-Slow-Train-Analysis-(2080s-and-2083s)?_g=(refreshInterval:(display:Off,section:0,value:0),time:(from:'2016-09-02 10:19:48-0600',mode:absolute,to:'2016-09-02 13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68" t="str">
            <v>N</v>
          </cell>
          <cell r="X68">
            <v>1</v>
          </cell>
          <cell r="Y68">
            <v>23.298200000000001</v>
          </cell>
          <cell r="Z68">
            <v>1.52E-2</v>
          </cell>
          <cell r="AA68">
            <v>23.283000000000001</v>
          </cell>
          <cell r="AB68">
            <v>183829</v>
          </cell>
          <cell r="AC68" t="str">
            <v>PERMANENT SPEED RESTRICTION</v>
          </cell>
          <cell r="AD68" t="str">
            <v>0156-02</v>
          </cell>
          <cell r="AE68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69">
          <cell r="A69" t="str">
            <v>157-02</v>
          </cell>
          <cell r="B69">
            <v>4046</v>
          </cell>
          <cell r="C69" t="str">
            <v>DE.1.0.7.0</v>
          </cell>
          <cell r="D69" t="str">
            <v>204:455</v>
          </cell>
          <cell r="E69">
            <v>42615.445601851854</v>
          </cell>
          <cell r="F69">
            <v>42615.448506944442</v>
          </cell>
          <cell r="G69">
            <v>1</v>
          </cell>
          <cell r="H69" t="str">
            <v>204:233293</v>
          </cell>
          <cell r="I69">
            <v>42615.474537037036</v>
          </cell>
          <cell r="J69">
            <v>1</v>
          </cell>
          <cell r="K69" t="str">
            <v>4045/4046</v>
          </cell>
          <cell r="L69" t="str">
            <v>ARVIDSON</v>
          </cell>
          <cell r="M69">
            <v>2.6030092594737653E-2</v>
          </cell>
          <cell r="N69">
            <v>37.48333333642222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https://search-rtdc-monitor-bjffxe2xuh6vdkpspy63sjmuny.us-east-1.es.amazonaws.com/_plugin/kibana/#/discover/Steve-Slow-Train-Analysis-(2080s-and-2083s)?_g=(refreshInterval:(display:Off,section:0,value:0),time:(from:'2016-09-02 09:41:40-0600',mode:absolute,to:'2016-09-02 12:23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69" t="str">
            <v>N</v>
          </cell>
          <cell r="X69">
            <v>1</v>
          </cell>
          <cell r="Y69">
            <v>4.5499999999999999E-2</v>
          </cell>
          <cell r="Z69">
            <v>23.3293</v>
          </cell>
          <cell r="AA69">
            <v>23.283799999999999</v>
          </cell>
          <cell r="AB69" t="e">
            <v>#N/A</v>
          </cell>
          <cell r="AC69" t="e">
            <v>#N/A</v>
          </cell>
          <cell r="AD69" t="str">
            <v>0157-02</v>
          </cell>
          <cell r="AE69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70">
          <cell r="A70" t="str">
            <v>158-02</v>
          </cell>
          <cell r="B70">
            <v>4045</v>
          </cell>
          <cell r="C70" t="str">
            <v>DE.1.0.7.0</v>
          </cell>
          <cell r="D70" t="str">
            <v>204:232989</v>
          </cell>
          <cell r="E70">
            <v>42615.477847222224</v>
          </cell>
          <cell r="F70">
            <v>42615.487141203703</v>
          </cell>
          <cell r="G70">
            <v>2</v>
          </cell>
          <cell r="H70" t="str">
            <v>204:169</v>
          </cell>
          <cell r="I70">
            <v>42615.5155787037</v>
          </cell>
          <cell r="J70">
            <v>1</v>
          </cell>
          <cell r="K70" t="str">
            <v>4045/4046</v>
          </cell>
          <cell r="L70" t="str">
            <v>ARVIDSON</v>
          </cell>
          <cell r="M70">
            <v>2.8437499997380655E-2</v>
          </cell>
          <cell r="N70">
            <v>40.949999996228144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https://search-rtdc-monitor-bjffxe2xuh6vdkpspy63sjmuny.us-east-1.es.amazonaws.com/_plugin/kibana/#/discover/Steve-Slow-Train-Analysis-(2080s-and-2083s)?_g=(refreshInterval:(display:Off,section:0,value:0),time:(from:'2016-09-02 10:28:06-0600',mode:absolute,to:'2016-09-02 13:22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70" t="str">
            <v>N</v>
          </cell>
          <cell r="X70">
            <v>1</v>
          </cell>
          <cell r="Y70">
            <v>23.2989</v>
          </cell>
          <cell r="Z70">
            <v>1.6899999999999998E-2</v>
          </cell>
          <cell r="AA70">
            <v>23.282</v>
          </cell>
          <cell r="AB70" t="e">
            <v>#N/A</v>
          </cell>
          <cell r="AC70" t="e">
            <v>#N/A</v>
          </cell>
          <cell r="AD70" t="str">
            <v>0158-02</v>
          </cell>
          <cell r="AE70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71">
          <cell r="A71" t="str">
            <v>159-02</v>
          </cell>
          <cell r="B71">
            <v>4016</v>
          </cell>
          <cell r="C71" t="str">
            <v>DE.1.0.7.0</v>
          </cell>
          <cell r="D71" t="str">
            <v>204:464</v>
          </cell>
          <cell r="E71">
            <v>42615.456111111111</v>
          </cell>
          <cell r="F71">
            <v>42615.459594907406</v>
          </cell>
          <cell r="G71">
            <v>2</v>
          </cell>
          <cell r="H71" t="str">
            <v>204:233303</v>
          </cell>
          <cell r="I71">
            <v>42615.488067129627</v>
          </cell>
          <cell r="J71">
            <v>1</v>
          </cell>
          <cell r="K71" t="str">
            <v>4015/4016</v>
          </cell>
          <cell r="L71" t="str">
            <v>STEWART</v>
          </cell>
          <cell r="M71">
            <v>2.8472222220443655E-2</v>
          </cell>
          <cell r="N71">
            <v>40.999999997438863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https://search-rtdc-monitor-bjffxe2xuh6vdkpspy63sjmuny.us-east-1.es.amazonaws.com/_plugin/kibana/#/discover/Steve-Slow-Train-Analysis-(2080s-and-2083s)?_g=(refreshInterval:(display:Off,section:0,value:0),time:(from:'2016-09-02 09:56:48-0600',mode:absolute,to:'2016-09-02 12:42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71" t="str">
            <v>N</v>
          </cell>
          <cell r="X71">
            <v>1</v>
          </cell>
          <cell r="Y71">
            <v>4.6399999999999997E-2</v>
          </cell>
          <cell r="Z71">
            <v>23.330300000000001</v>
          </cell>
          <cell r="AA71">
            <v>23.283900000000003</v>
          </cell>
          <cell r="AB71" t="e">
            <v>#N/A</v>
          </cell>
          <cell r="AC71" t="e">
            <v>#N/A</v>
          </cell>
          <cell r="AD71" t="str">
            <v>0159-02</v>
          </cell>
          <cell r="AE71" t="str">
    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    </cell>
        </row>
        <row r="72">
          <cell r="A72" t="str">
            <v>160-02</v>
          </cell>
          <cell r="B72">
            <v>4015</v>
          </cell>
          <cell r="C72" t="str">
            <v>DE.1.0.7.0</v>
          </cell>
          <cell r="D72" t="str">
            <v>204:232975</v>
          </cell>
          <cell r="E72">
            <v>42615.495532407411</v>
          </cell>
          <cell r="F72">
            <v>42615.497719907406</v>
          </cell>
          <cell r="G72">
            <v>1</v>
          </cell>
          <cell r="H72" t="str">
            <v>204:158</v>
          </cell>
          <cell r="I72">
            <v>42615.525706018518</v>
          </cell>
          <cell r="J72">
            <v>1</v>
          </cell>
          <cell r="K72" t="str">
            <v>4015/4016</v>
          </cell>
          <cell r="L72" t="str">
            <v>STEWART</v>
          </cell>
          <cell r="M72">
            <v>2.7986111112113576E-2</v>
          </cell>
          <cell r="N72">
            <v>40.30000000144355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https://search-rtdc-monitor-bjffxe2xuh6vdkpspy63sjmuny.us-east-1.es.amazonaws.com/_plugin/kibana/#/discover/Steve-Slow-Train-Analysis-(2080s-and-2083s)?_g=(refreshInterval:(display:Off,section:0,value:0),time:(from:'2016-09-02 10:53:34-0600',mode:absolute,to:'2016-09-02 13:37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72" t="str">
            <v>N</v>
          </cell>
          <cell r="X72">
            <v>1</v>
          </cell>
          <cell r="Y72">
            <v>23.297499999999999</v>
          </cell>
          <cell r="Z72">
            <v>1.5800000000000002E-2</v>
          </cell>
          <cell r="AA72">
            <v>23.281700000000001</v>
          </cell>
          <cell r="AB72" t="e">
            <v>#N/A</v>
          </cell>
          <cell r="AC72" t="e">
            <v>#N/A</v>
          </cell>
          <cell r="AD72" t="str">
            <v>0160-02</v>
          </cell>
          <cell r="AE72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73">
          <cell r="A73" t="str">
            <v>161-02</v>
          </cell>
          <cell r="B73">
            <v>4009</v>
          </cell>
          <cell r="C73" t="str">
            <v>DE.1.0.7.0</v>
          </cell>
          <cell r="D73" t="str">
            <v>204:478</v>
          </cell>
          <cell r="E73">
            <v>42615.464224537034</v>
          </cell>
          <cell r="F73">
            <v>42615.468981481485</v>
          </cell>
          <cell r="G73">
            <v>1</v>
          </cell>
          <cell r="H73" t="str">
            <v>204:233223</v>
          </cell>
          <cell r="I73">
            <v>42615.495034722226</v>
          </cell>
          <cell r="J73">
            <v>1</v>
          </cell>
          <cell r="K73" t="str">
            <v>4009/4010</v>
          </cell>
          <cell r="L73" t="str">
            <v>CLARK</v>
          </cell>
          <cell r="M73">
            <v>2.6053240741021E-2</v>
          </cell>
          <cell r="N73">
            <v>37.51666666707024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https://search-rtdc-monitor-bjffxe2xuh6vdkpspy63sjmuny.us-east-1.es.amazonaws.com/_plugin/kibana/#/discover/Steve-Slow-Train-Analysis-(2080s-and-2083s)?_g=(refreshInterval:(display:Off,section:0,value:0),time:(from:'2016-09-02 10:08:29-0600',mode:absolute,to:'2016-09-02 12:52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73" t="str">
            <v>N</v>
          </cell>
          <cell r="X73">
            <v>1</v>
          </cell>
          <cell r="Y73">
            <v>4.7800000000000002E-2</v>
          </cell>
          <cell r="Z73">
            <v>23.322299999999998</v>
          </cell>
          <cell r="AA73">
            <v>23.2745</v>
          </cell>
          <cell r="AB73" t="e">
            <v>#N/A</v>
          </cell>
          <cell r="AC73" t="e">
            <v>#N/A</v>
          </cell>
          <cell r="AD73" t="str">
            <v>0161-02</v>
          </cell>
          <cell r="AE73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74">
          <cell r="A74" t="str">
            <v>162-02</v>
          </cell>
          <cell r="B74">
            <v>4010</v>
          </cell>
          <cell r="C74" t="str">
            <v>DE.1.0.7.0</v>
          </cell>
          <cell r="D74" t="str">
            <v>204:232917</v>
          </cell>
          <cell r="E74">
            <v>42615.502106481479</v>
          </cell>
          <cell r="F74">
            <v>42615.507974537039</v>
          </cell>
          <cell r="G74">
            <v>1</v>
          </cell>
          <cell r="H74" t="str">
            <v>204:141</v>
          </cell>
          <cell r="I74">
            <v>42615.53702546296</v>
          </cell>
          <cell r="J74">
            <v>1</v>
          </cell>
          <cell r="K74" t="str">
            <v>4009/4010</v>
          </cell>
          <cell r="L74" t="str">
            <v>CLARK</v>
          </cell>
          <cell r="M74">
            <v>2.9050925921183079E-2</v>
          </cell>
          <cell r="N74">
            <v>41.833333326503634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https://search-rtdc-monitor-bjffxe2xuh6vdkpspy63sjmuny.us-east-1.es.amazonaws.com/_plugin/kibana/#/discover/Steve-Slow-Train-Analysis-(2080s-and-2083s)?_g=(refreshInterval:(display:Off,section:0,value:0),time:(from:'2016-09-02 11:03:02-0600',mode:absolute,to:'2016-09-02 13:53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74" t="str">
            <v>N</v>
          </cell>
          <cell r="X74">
            <v>1</v>
          </cell>
          <cell r="Y74">
            <v>23.291699999999999</v>
          </cell>
          <cell r="Z74">
            <v>1.41E-2</v>
          </cell>
          <cell r="AA74">
            <v>23.2776</v>
          </cell>
          <cell r="AB74" t="e">
            <v>#N/A</v>
          </cell>
          <cell r="AC74" t="e">
            <v>#N/A</v>
          </cell>
          <cell r="AD74" t="str">
            <v>0162-02</v>
          </cell>
          <cell r="AE74" t="str">
    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    </cell>
        </row>
        <row r="75">
          <cell r="A75" t="str">
            <v>163-02</v>
          </cell>
          <cell r="B75">
            <v>4044</v>
          </cell>
          <cell r="C75" t="str">
            <v>DE.1.0.7.0</v>
          </cell>
          <cell r="D75" t="str">
            <v>204:453</v>
          </cell>
          <cell r="E75">
            <v>42615.474293981482</v>
          </cell>
          <cell r="F75">
            <v>42615.479502314818</v>
          </cell>
          <cell r="G75">
            <v>1</v>
          </cell>
          <cell r="H75" t="str">
            <v>204:233312</v>
          </cell>
          <cell r="I75">
            <v>42615.505173611113</v>
          </cell>
          <cell r="J75">
            <v>1</v>
          </cell>
          <cell r="K75" t="str">
            <v>4043/4044</v>
          </cell>
          <cell r="L75" t="str">
            <v>BONDS</v>
          </cell>
          <cell r="M75">
            <v>2.5671296294603962E-2</v>
          </cell>
          <cell r="N75">
            <v>36.966666664229706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https://search-rtdc-monitor-bjffxe2xuh6vdkpspy63sjmuny.us-east-1.es.amazonaws.com/_plugin/kibana/#/discover/Steve-Slow-Train-Analysis-(2080s-and-2083s)?_g=(refreshInterval:(display:Off,section:0,value:0),time:(from:'2016-09-02 10:22:59-0600',mode:absolute,to:'2016-09-02 13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75" t="str">
            <v>N</v>
          </cell>
          <cell r="X75">
            <v>1</v>
          </cell>
          <cell r="Y75">
            <v>4.53E-2</v>
          </cell>
          <cell r="Z75">
            <v>23.331199999999999</v>
          </cell>
          <cell r="AA75">
            <v>23.285899999999998</v>
          </cell>
          <cell r="AB75" t="e">
            <v>#N/A</v>
          </cell>
          <cell r="AC75" t="e">
            <v>#N/A</v>
          </cell>
          <cell r="AD75" t="str">
            <v>0163-02</v>
          </cell>
          <cell r="AE75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76">
          <cell r="A76" t="str">
            <v>164-02</v>
          </cell>
          <cell r="B76">
            <v>4043</v>
          </cell>
          <cell r="C76" t="str">
            <v>DE.1.0.7.0</v>
          </cell>
          <cell r="D76" t="str">
            <v>204:233001</v>
          </cell>
          <cell r="E76">
            <v>42615.513159722221</v>
          </cell>
          <cell r="F76">
            <v>42615.518206018518</v>
          </cell>
          <cell r="G76">
            <v>1</v>
          </cell>
          <cell r="H76" t="str">
            <v>204:141</v>
          </cell>
          <cell r="I76">
            <v>42615.544351851851</v>
          </cell>
          <cell r="J76">
            <v>1</v>
          </cell>
          <cell r="K76" t="str">
            <v>4043/4044</v>
          </cell>
          <cell r="L76" t="str">
            <v>BONDS</v>
          </cell>
          <cell r="M76">
            <v>2.6145833333430346E-2</v>
          </cell>
          <cell r="N76">
            <v>37.650000000139698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https://search-rtdc-monitor-bjffxe2xuh6vdkpspy63sjmuny.us-east-1.es.amazonaws.com/_plugin/kibana/#/discover/Steve-Slow-Train-Analysis-(2080s-and-2083s)?_g=(refreshInterval:(display:Off,section:0,value:0),time:(from:'2016-09-02 11:18:57-0600',mode:absolute,to:'2016-09-02 14:03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76" t="str">
            <v>N</v>
          </cell>
          <cell r="X76">
            <v>1</v>
          </cell>
          <cell r="Y76">
            <v>23.3001</v>
          </cell>
          <cell r="Z76">
            <v>1.41E-2</v>
          </cell>
          <cell r="AA76">
            <v>23.286000000000001</v>
          </cell>
          <cell r="AB76" t="e">
            <v>#N/A</v>
          </cell>
          <cell r="AC76" t="e">
            <v>#N/A</v>
          </cell>
          <cell r="AD76" t="str">
            <v>0164-02</v>
          </cell>
          <cell r="AE76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77">
          <cell r="A77" t="str">
            <v>165-02</v>
          </cell>
          <cell r="B77">
            <v>4031</v>
          </cell>
          <cell r="C77" t="str">
            <v>DE.1.0.7.0</v>
          </cell>
          <cell r="D77" t="str">
            <v>204:457</v>
          </cell>
          <cell r="E77">
            <v>42615.487581018519</v>
          </cell>
          <cell r="F77">
            <v>42615.489965277775</v>
          </cell>
          <cell r="G77">
            <v>2</v>
          </cell>
          <cell r="H77" t="str">
            <v>204:233327</v>
          </cell>
          <cell r="I77">
            <v>42615.516840277778</v>
          </cell>
          <cell r="J77">
            <v>1</v>
          </cell>
          <cell r="K77" t="str">
            <v>4031/4032</v>
          </cell>
          <cell r="L77" t="str">
            <v>MOSES</v>
          </cell>
          <cell r="M77">
            <v>2.6875000003201421E-2</v>
          </cell>
          <cell r="N77">
            <v>38.700000004610047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https://search-rtdc-monitor-bjffxe2xuh6vdkpspy63sjmuny.us-east-1.es.amazonaws.com/_plugin/kibana/#/discover/Steve-Slow-Train-Analysis-(2080s-and-2083s)?_g=(refreshInterval:(display:Off,section:0,value:0),time:(from:'2016-09-02 10:42:07-0600',mode:absolute,to:'2016-09-02 13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77" t="str">
            <v>N</v>
          </cell>
          <cell r="X77">
            <v>1</v>
          </cell>
          <cell r="Y77">
            <v>4.5699999999999998E-2</v>
          </cell>
          <cell r="Z77">
            <v>23.332699999999999</v>
          </cell>
          <cell r="AA77">
            <v>23.286999999999999</v>
          </cell>
          <cell r="AB77" t="e">
            <v>#N/A</v>
          </cell>
          <cell r="AC77" t="e">
            <v>#N/A</v>
          </cell>
          <cell r="AD77" t="str">
            <v>0165-02</v>
          </cell>
          <cell r="AE77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78">
          <cell r="A78" t="str">
            <v>166-02</v>
          </cell>
          <cell r="B78">
            <v>4032</v>
          </cell>
          <cell r="C78" t="str">
            <v>DE.1.0.7.0</v>
          </cell>
          <cell r="D78" t="str">
            <v>204:233000</v>
          </cell>
          <cell r="E78">
            <v>42615.523414351854</v>
          </cell>
          <cell r="F78">
            <v>42615.528761574074</v>
          </cell>
          <cell r="G78">
            <v>2</v>
          </cell>
          <cell r="H78" t="str">
            <v>204:139</v>
          </cell>
          <cell r="I78">
            <v>42615.556759259256</v>
          </cell>
          <cell r="J78">
            <v>1</v>
          </cell>
          <cell r="K78" t="str">
            <v>4031/4032</v>
          </cell>
          <cell r="L78" t="str">
            <v>MOSES</v>
          </cell>
          <cell r="M78">
            <v>2.7997685181617271E-2</v>
          </cell>
          <cell r="N78">
            <v>40.31666666152887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https://search-rtdc-monitor-bjffxe2xuh6vdkpspy63sjmuny.us-east-1.es.amazonaws.com/_plugin/kibana/#/discover/Steve-Slow-Train-Analysis-(2080s-and-2083s)?_g=(refreshInterval:(display:Off,section:0,value:0),time:(from:'2016-09-02 11:33:43-0600',mode:absolute,to:'2016-09-02 14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78" t="str">
            <v>N</v>
          </cell>
          <cell r="X78">
            <v>1</v>
          </cell>
          <cell r="Y78">
            <v>23.3</v>
          </cell>
          <cell r="Z78">
            <v>1.3899999999999999E-2</v>
          </cell>
          <cell r="AA78">
            <v>23.286100000000001</v>
          </cell>
          <cell r="AB78">
            <v>191723</v>
          </cell>
          <cell r="AC78" t="str">
            <v>SIGNAL</v>
          </cell>
          <cell r="AD78" t="str">
            <v>0166-02</v>
          </cell>
          <cell r="AE78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79">
          <cell r="A79" t="str">
            <v>167-02</v>
          </cell>
          <cell r="B79">
            <v>4053</v>
          </cell>
          <cell r="C79" t="str">
            <v>DE.1.0.7.0</v>
          </cell>
          <cell r="D79" t="str">
            <v>204:453</v>
          </cell>
          <cell r="E79">
            <v>42615.495532407411</v>
          </cell>
          <cell r="F79">
            <v>42615.500173611108</v>
          </cell>
          <cell r="G79">
            <v>1</v>
          </cell>
          <cell r="H79" t="str">
            <v>204:233291</v>
          </cell>
          <cell r="I79">
            <v>42615.525439814817</v>
          </cell>
          <cell r="J79">
            <v>1</v>
          </cell>
          <cell r="K79" t="str">
            <v>4053/4054</v>
          </cell>
          <cell r="L79" t="str">
            <v>ISHMAEL</v>
          </cell>
          <cell r="M79">
            <v>2.5266203709179536E-2</v>
          </cell>
          <cell r="N79">
            <v>36.383333341218531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https://search-rtdc-monitor-bjffxe2xuh6vdkpspy63sjmuny.us-east-1.es.amazonaws.com/_plugin/kibana/#/discover/Steve-Slow-Train-Analysis-(2080s-and-2083s)?_g=(refreshInterval:(display:Off,section:0,value:0),time:(from:'2016-09-02 10:53:34-0600',mode:absolute,to:'2016-09-02 13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79" t="str">
            <v>N</v>
          </cell>
          <cell r="X79">
            <v>1</v>
          </cell>
          <cell r="Y79">
            <v>4.53E-2</v>
          </cell>
          <cell r="Z79">
            <v>23.3291</v>
          </cell>
          <cell r="AA79">
            <v>23.283799999999999</v>
          </cell>
          <cell r="AB79" t="e">
            <v>#N/A</v>
          </cell>
          <cell r="AC79" t="e">
            <v>#N/A</v>
          </cell>
          <cell r="AD79" t="str">
            <v>0167-02</v>
          </cell>
          <cell r="AE79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80">
          <cell r="A80" t="str">
            <v>168-02</v>
          </cell>
          <cell r="B80">
            <v>4054</v>
          </cell>
          <cell r="C80" t="str">
            <v>DE.1.0.7.0</v>
          </cell>
          <cell r="D80" t="str">
            <v>204:232977</v>
          </cell>
          <cell r="E80">
            <v>42615.532002314816</v>
          </cell>
          <cell r="F80">
            <v>42615.539085648146</v>
          </cell>
          <cell r="G80">
            <v>1</v>
          </cell>
          <cell r="H80" t="str">
            <v>204:150</v>
          </cell>
          <cell r="I80">
            <v>42615.566712962966</v>
          </cell>
          <cell r="J80">
            <v>1</v>
          </cell>
          <cell r="K80" t="str">
            <v>4053/4054</v>
          </cell>
          <cell r="L80" t="str">
            <v>ISHMAEL</v>
          </cell>
          <cell r="M80">
            <v>2.7627314819255844E-2</v>
          </cell>
          <cell r="N80">
            <v>39.783333339728415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https://search-rtdc-monitor-bjffxe2xuh6vdkpspy63sjmuny.us-east-1.es.amazonaws.com/_plugin/kibana/#/discover/Steve-Slow-Train-Analysis-(2080s-and-2083s)?_g=(refreshInterval:(display:Off,section:0,value:0),time:(from:'2016-09-02 11:46:05-0600',mode:absolute,to:'2016-09-02 14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    </cell>
          <cell r="W80" t="str">
            <v>N</v>
          </cell>
          <cell r="X80">
            <v>1</v>
          </cell>
          <cell r="Y80">
            <v>23.297699999999999</v>
          </cell>
          <cell r="Z80">
            <v>1.4999999999999999E-2</v>
          </cell>
          <cell r="AA80">
            <v>23.282699999999998</v>
          </cell>
          <cell r="AB80" t="e">
            <v>#N/A</v>
          </cell>
          <cell r="AC80" t="e">
            <v>#N/A</v>
          </cell>
          <cell r="AD80" t="str">
            <v>0168-02</v>
          </cell>
          <cell r="AE80" t="str">
    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    </cell>
        </row>
        <row r="81">
          <cell r="A81" t="str">
            <v>169-02</v>
          </cell>
          <cell r="B81">
            <v>4029</v>
          </cell>
          <cell r="C81" t="str">
            <v>DE.1.0.7.0</v>
          </cell>
          <cell r="D81" t="str">
            <v>204:469</v>
          </cell>
          <cell r="E81">
            <v>42615.508159722223</v>
          </cell>
          <cell r="F81">
            <v>42615.510567129626</v>
          </cell>
          <cell r="G81">
            <v>1</v>
          </cell>
          <cell r="H81" t="str">
            <v>204:233383</v>
          </cell>
          <cell r="I81">
            <v>42615.536793981482</v>
          </cell>
          <cell r="J81">
            <v>1</v>
          </cell>
          <cell r="K81" t="str">
            <v>4029/4030</v>
          </cell>
          <cell r="L81" t="str">
            <v>SHOOK</v>
          </cell>
          <cell r="M81">
            <v>2.6226851856335998E-2</v>
          </cell>
          <cell r="N81">
            <v>37.766666673123837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https://search-rtdc-monitor-bjffxe2xuh6vdkpspy63sjmuny.us-east-1.es.amazonaws.com/_plugin/kibana/#/discover/Steve-Slow-Train-Analysis-(2080s-and-2083s)?_g=(refreshInterval:(display:Off,section:0,value:0),time:(from:'2016-09-02 11:11:45-0600',mode:absolute,to:'2016-09-02 13:52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81" t="str">
            <v>N</v>
          </cell>
          <cell r="X81">
            <v>1</v>
          </cell>
          <cell r="Y81">
            <v>4.6899999999999997E-2</v>
          </cell>
          <cell r="Z81">
            <v>23.3383</v>
          </cell>
          <cell r="AA81">
            <v>23.291399999999999</v>
          </cell>
          <cell r="AB81" t="e">
            <v>#N/A</v>
          </cell>
          <cell r="AC81" t="e">
            <v>#N/A</v>
          </cell>
          <cell r="AD81" t="str">
            <v>0169-02</v>
          </cell>
          <cell r="AE81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82">
          <cell r="A82" t="str">
            <v>170-02</v>
          </cell>
          <cell r="B82">
            <v>4030</v>
          </cell>
          <cell r="C82" t="str">
            <v>DE.1.0.7.0</v>
          </cell>
          <cell r="D82" t="str">
            <v>204:233036</v>
          </cell>
          <cell r="E82">
            <v>42615.543599537035</v>
          </cell>
          <cell r="F82">
            <v>42615.549479166664</v>
          </cell>
          <cell r="G82">
            <v>1</v>
          </cell>
          <cell r="H82" t="str">
            <v>204:139</v>
          </cell>
          <cell r="I82">
            <v>42615.576979166668</v>
          </cell>
          <cell r="J82">
            <v>1</v>
          </cell>
          <cell r="K82" t="str">
            <v>4029/4030</v>
          </cell>
          <cell r="L82" t="str">
            <v>SHOOK</v>
          </cell>
          <cell r="M82">
            <v>2.7500000003783498E-2</v>
          </cell>
          <cell r="N82">
            <v>39.600000005448237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https://search-rtdc-monitor-bjffxe2xuh6vdkpspy63sjmuny.us-east-1.es.amazonaws.com/_plugin/kibana/#/discover/Steve-Slow-Train-Analysis-(2080s-and-2083s)?_g=(refreshInterval:(display:Off,section:0,value:0),time:(from:'2016-09-02 12:02:47-0600',mode:absolute,to:'2016-09-02 14:50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82" t="str">
            <v>N</v>
          </cell>
          <cell r="X82">
            <v>1</v>
          </cell>
          <cell r="Y82">
            <v>23.303599999999999</v>
          </cell>
          <cell r="Z82">
            <v>1.3899999999999999E-2</v>
          </cell>
          <cell r="AA82">
            <v>23.2897</v>
          </cell>
          <cell r="AB82" t="e">
            <v>#N/A</v>
          </cell>
          <cell r="AC82" t="e">
            <v>#N/A</v>
          </cell>
          <cell r="AD82" t="str">
            <v>0170-02</v>
          </cell>
          <cell r="AE82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83">
          <cell r="A83" t="str">
            <v>171-02</v>
          </cell>
          <cell r="B83">
            <v>4046</v>
          </cell>
          <cell r="C83" t="str">
            <v>DE.1.0.7.0</v>
          </cell>
          <cell r="D83" t="str">
            <v>204:482</v>
          </cell>
          <cell r="E83">
            <v>42615.51840277778</v>
          </cell>
          <cell r="F83">
            <v>42615.521724537037</v>
          </cell>
          <cell r="G83">
            <v>1</v>
          </cell>
          <cell r="H83" t="str">
            <v>204:233336</v>
          </cell>
          <cell r="I83">
            <v>42615.547430555554</v>
          </cell>
          <cell r="J83">
            <v>1</v>
          </cell>
          <cell r="K83" t="str">
            <v>4045/4046</v>
          </cell>
          <cell r="L83" t="str">
            <v>WEBSTER</v>
          </cell>
          <cell r="M83">
            <v>2.5706018517666962E-2</v>
          </cell>
          <cell r="N83">
            <v>37.016666665440425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https://search-rtdc-monitor-bjffxe2xuh6vdkpspy63sjmuny.us-east-1.es.amazonaws.com/_plugin/kibana/#/discover/Steve-Slow-Train-Analysis-(2080s-and-2083s)?_g=(refreshInterval:(display:Off,section:0,value:0),time:(from:'2016-09-02 11:26:30-0600',mode:absolute,to:'2016-09-02 14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83" t="str">
            <v>N</v>
          </cell>
          <cell r="X83">
            <v>1</v>
          </cell>
          <cell r="Y83">
            <v>4.82E-2</v>
          </cell>
          <cell r="Z83">
            <v>23.333600000000001</v>
          </cell>
          <cell r="AA83">
            <v>23.285399999999999</v>
          </cell>
          <cell r="AB83" t="e">
            <v>#N/A</v>
          </cell>
          <cell r="AC83" t="e">
            <v>#N/A</v>
          </cell>
          <cell r="AD83" t="str">
            <v>0171-02</v>
          </cell>
          <cell r="AE83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84">
          <cell r="A84" t="str">
            <v>172-02</v>
          </cell>
          <cell r="B84">
            <v>4045</v>
          </cell>
          <cell r="C84" t="str">
            <v>DE.1.0.7.0</v>
          </cell>
          <cell r="D84" t="str">
            <v>204:233005</v>
          </cell>
          <cell r="E84">
            <v>42615.556273148148</v>
          </cell>
          <cell r="F84">
            <v>42615.559942129628</v>
          </cell>
          <cell r="G84">
            <v>1</v>
          </cell>
          <cell r="H84" t="str">
            <v>204:152</v>
          </cell>
          <cell r="I84">
            <v>42615.588472222225</v>
          </cell>
          <cell r="J84">
            <v>1</v>
          </cell>
          <cell r="K84" t="str">
            <v>4045/4046</v>
          </cell>
          <cell r="L84" t="str">
            <v>WEBSTER</v>
          </cell>
          <cell r="M84">
            <v>2.8530092597065959E-2</v>
          </cell>
          <cell r="N84">
            <v>41.083333339774981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https://search-rtdc-monitor-bjffxe2xuh6vdkpspy63sjmuny.us-east-1.es.amazonaws.com/_plugin/kibana/#/discover/Steve-Slow-Train-Analysis-(2080s-and-2083s)?_g=(refreshInterval:(display:Off,section:0,value:0),time:(from:'2016-09-02 12:21:02-0600',mode:absolute,to:'2016-09-02 15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84" t="str">
            <v>N</v>
          </cell>
          <cell r="X84">
            <v>1</v>
          </cell>
          <cell r="Y84">
            <v>23.3005</v>
          </cell>
          <cell r="Z84">
            <v>1.52E-2</v>
          </cell>
          <cell r="AA84">
            <v>23.285299999999999</v>
          </cell>
          <cell r="AB84" t="e">
            <v>#N/A</v>
          </cell>
          <cell r="AC84" t="e">
            <v>#N/A</v>
          </cell>
          <cell r="AD84" t="str">
            <v>0172-02</v>
          </cell>
          <cell r="AE84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85">
          <cell r="A85" t="str">
            <v>173-02</v>
          </cell>
          <cell r="B85">
            <v>4016</v>
          </cell>
          <cell r="C85" t="str">
            <v>DE.1.0.7.0</v>
          </cell>
          <cell r="D85" t="str">
            <v>204:444</v>
          </cell>
          <cell r="E85">
            <v>42615.528564814813</v>
          </cell>
          <cell r="F85">
            <v>42615.531504629631</v>
          </cell>
          <cell r="G85">
            <v>1</v>
          </cell>
          <cell r="H85" t="str">
            <v>204:233308</v>
          </cell>
          <cell r="I85">
            <v>42615.557071759256</v>
          </cell>
          <cell r="J85">
            <v>1</v>
          </cell>
          <cell r="K85" t="str">
            <v>4015/4016</v>
          </cell>
          <cell r="L85" t="str">
            <v>STEWART</v>
          </cell>
          <cell r="M85">
            <v>2.5567129625414964E-2</v>
          </cell>
          <cell r="N85">
            <v>36.816666660597548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https://search-rtdc-monitor-bjffxe2xuh6vdkpspy63sjmuny.us-east-1.es.amazonaws.com/_plugin/kibana/#/discover/Steve-Slow-Train-Analysis-(2080s-and-2083s)?_g=(refreshInterval:(display:Off,section:0,value:0),time:(from:'2016-09-02 11:41:08-0600',mode:absolute,to:'2016-09-02 14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85" t="str">
            <v>N</v>
          </cell>
          <cell r="X85">
            <v>1</v>
          </cell>
          <cell r="Y85">
            <v>4.4400000000000002E-2</v>
          </cell>
          <cell r="Z85">
            <v>23.3308</v>
          </cell>
          <cell r="AA85">
            <v>23.2864</v>
          </cell>
          <cell r="AB85" t="e">
            <v>#N/A</v>
          </cell>
          <cell r="AC85" t="e">
            <v>#N/A</v>
          </cell>
          <cell r="AD85" t="str">
            <v>0173-02</v>
          </cell>
          <cell r="AE85" t="str">
    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    </cell>
        </row>
        <row r="86">
          <cell r="A86" t="str">
            <v>174-02</v>
          </cell>
          <cell r="B86">
            <v>4015</v>
          </cell>
          <cell r="C86" t="str">
            <v>DE.1.0.7.0</v>
          </cell>
          <cell r="D86" t="str">
            <v>204:232985</v>
          </cell>
          <cell r="E86">
            <v>42615.567129629628</v>
          </cell>
          <cell r="F86">
            <v>42615.570462962962</v>
          </cell>
          <cell r="G86">
            <v>1</v>
          </cell>
          <cell r="H86" t="str">
            <v>204:160</v>
          </cell>
          <cell r="I86">
            <v>42615.599039351851</v>
          </cell>
          <cell r="J86">
            <v>1</v>
          </cell>
          <cell r="K86" t="str">
            <v>4015/4016</v>
          </cell>
          <cell r="L86" t="str">
            <v>STEWART</v>
          </cell>
          <cell r="M86">
            <v>2.8576388889632653E-2</v>
          </cell>
          <cell r="N86">
            <v>41.150000001071021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https://search-rtdc-monitor-bjffxe2xuh6vdkpspy63sjmuny.us-east-1.es.amazonaws.com/_plugin/kibana/#/discover/Steve-Slow-Train-Analysis-(2080s-and-2083s)?_g=(refreshInterval:(display:Off,section:0,value:0),time:(from:'2016-09-02 12:36:40-0600',mode:absolute,to:'2016-09-02 15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86" t="str">
            <v>N</v>
          </cell>
          <cell r="X86">
            <v>1</v>
          </cell>
          <cell r="Y86">
            <v>23.298500000000001</v>
          </cell>
          <cell r="Z86">
            <v>1.6E-2</v>
          </cell>
          <cell r="AA86">
            <v>23.282500000000002</v>
          </cell>
          <cell r="AB86">
            <v>149700</v>
          </cell>
          <cell r="AC86" t="str">
            <v>SIGNAL</v>
          </cell>
          <cell r="AD86" t="str">
            <v>0174-02</v>
          </cell>
          <cell r="AE86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87">
          <cell r="A87" t="str">
            <v>175-02</v>
          </cell>
          <cell r="B87">
            <v>4009</v>
          </cell>
          <cell r="C87" t="str">
            <v>DE.1.0.7.0</v>
          </cell>
          <cell r="D87" t="str">
            <v>204:431</v>
          </cell>
          <cell r="E87">
            <v>42615.538576388892</v>
          </cell>
          <cell r="F87">
            <v>42615.541886574072</v>
          </cell>
          <cell r="G87">
            <v>1</v>
          </cell>
          <cell r="H87" t="str">
            <v>204:233297</v>
          </cell>
          <cell r="I87">
            <v>42615.568668981483</v>
          </cell>
          <cell r="J87">
            <v>1</v>
          </cell>
          <cell r="K87" t="str">
            <v>4009/4010</v>
          </cell>
          <cell r="L87" t="str">
            <v>CLARK</v>
          </cell>
          <cell r="M87">
            <v>2.6782407410792075E-2</v>
          </cell>
          <cell r="N87">
            <v>38.566666671540588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https://search-rtdc-monitor-bjffxe2xuh6vdkpspy63sjmuny.us-east-1.es.amazonaws.com/_plugin/kibana/#/discover/Steve-Slow-Train-Analysis-(2080s-and-2083s)?_g=(refreshInterval:(display:Off,section:0,value:0),time:(from:'2016-09-02 11:55:33-0600',mode:absolute,to:'2016-09-02 14:38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87" t="str">
            <v>N</v>
          </cell>
          <cell r="X87">
            <v>1</v>
          </cell>
          <cell r="Y87">
            <v>4.3099999999999999E-2</v>
          </cell>
          <cell r="Z87">
            <v>23.329699999999999</v>
          </cell>
          <cell r="AA87">
            <v>23.2866</v>
          </cell>
          <cell r="AB87" t="e">
            <v>#N/A</v>
          </cell>
          <cell r="AC87" t="e">
            <v>#N/A</v>
          </cell>
          <cell r="AD87" t="str">
            <v>0175-02</v>
          </cell>
          <cell r="AE87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88">
          <cell r="A88" t="str">
            <v>176-02</v>
          </cell>
          <cell r="B88">
            <v>4010</v>
          </cell>
          <cell r="C88" t="str">
            <v>DE.1.0.7.0</v>
          </cell>
          <cell r="D88" t="str">
            <v>204:232990</v>
          </cell>
          <cell r="E88">
            <v>42615.576203703706</v>
          </cell>
          <cell r="F88">
            <v>42615.580717592595</v>
          </cell>
          <cell r="G88">
            <v>1</v>
          </cell>
          <cell r="H88" t="str">
            <v>204:143</v>
          </cell>
          <cell r="I88">
            <v>42615.610381944447</v>
          </cell>
          <cell r="J88">
            <v>1</v>
          </cell>
          <cell r="K88" t="str">
            <v>4009/4010</v>
          </cell>
          <cell r="L88" t="str">
            <v>CLARK</v>
          </cell>
          <cell r="M88">
            <v>2.9664351852261461E-2</v>
          </cell>
          <cell r="N88">
            <v>42.716666667256504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https://search-rtdc-monitor-bjffxe2xuh6vdkpspy63sjmuny.us-east-1.es.amazonaws.com/_plugin/kibana/#/discover/Steve-Slow-Train-Analysis-(2080s-and-2083s)?_g=(refreshInterval:(display:Off,section:0,value:0),time:(from:'2016-09-02 12:49:44-0600',mode:absolute,to:'2016-09-02 15:38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88" t="str">
            <v>N</v>
          </cell>
          <cell r="X88">
            <v>1</v>
          </cell>
          <cell r="Y88">
            <v>23.298999999999999</v>
          </cell>
          <cell r="Z88">
            <v>1.43E-2</v>
          </cell>
          <cell r="AA88">
            <v>23.284700000000001</v>
          </cell>
          <cell r="AB88" t="e">
            <v>#N/A</v>
          </cell>
          <cell r="AC88" t="e">
            <v>#N/A</v>
          </cell>
          <cell r="AD88" t="str">
            <v>0176-02</v>
          </cell>
          <cell r="AE88" t="str">
    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    </cell>
        </row>
        <row r="89">
          <cell r="A89" t="str">
            <v>177-02</v>
          </cell>
          <cell r="B89">
            <v>4044</v>
          </cell>
          <cell r="C89" t="str">
            <v>DE.1.0.7.0</v>
          </cell>
          <cell r="D89" t="str">
            <v>204:451</v>
          </cell>
          <cell r="E89">
            <v>42615.546342592592</v>
          </cell>
          <cell r="F89">
            <v>42615.552407407406</v>
          </cell>
          <cell r="G89">
            <v>1</v>
          </cell>
          <cell r="H89" t="str">
            <v>204:233315</v>
          </cell>
          <cell r="I89">
            <v>42615.577627314815</v>
          </cell>
          <cell r="J89">
            <v>1</v>
          </cell>
          <cell r="K89" t="str">
            <v>4043/4044</v>
          </cell>
          <cell r="L89" t="str">
            <v>BONDS</v>
          </cell>
          <cell r="M89">
            <v>2.5219907409336884E-2</v>
          </cell>
          <cell r="N89">
            <v>36.316666669445112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https://search-rtdc-monitor-bjffxe2xuh6vdkpspy63sjmuny.us-east-1.es.amazonaws.com/_plugin/kibana/#/discover/Steve-Slow-Train-Analysis-(2080s-and-2083s)?_g=(refreshInterval:(display:Off,section:0,value:0),time:(from:'2016-09-02 12:06:44-0600',mode:absolute,to:'2016-09-02 14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89" t="str">
            <v>N</v>
          </cell>
          <cell r="X89">
            <v>1</v>
          </cell>
          <cell r="Y89">
            <v>4.5100000000000001E-2</v>
          </cell>
          <cell r="Z89">
            <v>23.331499999999998</v>
          </cell>
          <cell r="AA89">
            <v>23.286399999999997</v>
          </cell>
          <cell r="AB89" t="e">
            <v>#N/A</v>
          </cell>
          <cell r="AC89" t="e">
            <v>#N/A</v>
          </cell>
          <cell r="AD89" t="str">
            <v>0177-02</v>
          </cell>
          <cell r="AE89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90">
          <cell r="A90" t="str">
            <v>178-02</v>
          </cell>
          <cell r="B90">
            <v>4043</v>
          </cell>
          <cell r="C90" t="str">
            <v>DE.1.0.7.0</v>
          </cell>
          <cell r="D90" t="str">
            <v>204:232977</v>
          </cell>
          <cell r="E90">
            <v>42615.58525462963</v>
          </cell>
          <cell r="F90">
            <v>42615.591134259259</v>
          </cell>
          <cell r="G90">
            <v>1</v>
          </cell>
          <cell r="H90" t="str">
            <v>204:139</v>
          </cell>
          <cell r="I90">
            <v>42615.617581018516</v>
          </cell>
          <cell r="J90">
            <v>1</v>
          </cell>
          <cell r="K90" t="str">
            <v>4043/4044</v>
          </cell>
          <cell r="L90" t="str">
            <v>BONDS</v>
          </cell>
          <cell r="M90">
            <v>2.6446759256941732E-2</v>
          </cell>
          <cell r="N90">
            <v>38.083333329996094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https://search-rtdc-monitor-bjffxe2xuh6vdkpspy63sjmuny.us-east-1.es.amazonaws.com/_plugin/kibana/#/discover/Steve-Slow-Train-Analysis-(2080s-and-2083s)?_g=(refreshInterval:(display:Off,section:0,value:0),time:(from:'2016-09-02 13:02:46-0600',mode:absolute,to:'2016-09-02 15:49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90" t="str">
            <v>N</v>
          </cell>
          <cell r="X90">
            <v>1</v>
          </cell>
          <cell r="Y90">
            <v>23.297699999999999</v>
          </cell>
          <cell r="Z90">
            <v>1.3899999999999999E-2</v>
          </cell>
          <cell r="AA90">
            <v>23.283799999999999</v>
          </cell>
          <cell r="AB90" t="e">
            <v>#N/A</v>
          </cell>
          <cell r="AC90" t="e">
            <v>#N/A</v>
          </cell>
          <cell r="AD90" t="str">
            <v>0178-02</v>
          </cell>
          <cell r="AE90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91">
          <cell r="A91" t="str">
            <v>179-02</v>
          </cell>
          <cell r="B91">
            <v>4031</v>
          </cell>
          <cell r="C91" t="str">
            <v>DE.1.0.7.0</v>
          </cell>
          <cell r="D91" t="str">
            <v>204:444</v>
          </cell>
          <cell r="E91">
            <v>42615.55914351852</v>
          </cell>
          <cell r="F91">
            <v>42615.5627662037</v>
          </cell>
          <cell r="G91">
            <v>2</v>
          </cell>
          <cell r="H91" t="str">
            <v>204:233305</v>
          </cell>
          <cell r="I91">
            <v>42615.589895833335</v>
          </cell>
          <cell r="J91">
            <v>1</v>
          </cell>
          <cell r="K91" t="str">
            <v>4031/4032</v>
          </cell>
          <cell r="L91" t="str">
            <v>MOSES</v>
          </cell>
          <cell r="M91">
            <v>2.7129629634146113E-2</v>
          </cell>
          <cell r="N91">
            <v>39.066666673170403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https://search-rtdc-monitor-bjffxe2xuh6vdkpspy63sjmuny.us-east-1.es.amazonaws.com/_plugin/kibana/#/discover/Steve-Slow-Train-Analysis-(2080s-and-2083s)?_g=(refreshInterval:(display:Off,section:0,value:0),time:(from:'2016-09-02 12:25:10-0600',mode:absolute,to:'2016-09-02 15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91" t="str">
            <v>N</v>
          </cell>
          <cell r="X91">
            <v>1</v>
          </cell>
          <cell r="Y91">
            <v>4.4400000000000002E-2</v>
          </cell>
          <cell r="Z91">
            <v>23.330500000000001</v>
          </cell>
          <cell r="AA91">
            <v>23.286100000000001</v>
          </cell>
          <cell r="AB91">
            <v>126585</v>
          </cell>
          <cell r="AC91" t="str">
            <v>SIGNAL</v>
          </cell>
          <cell r="AD91" t="str">
            <v>0179-02</v>
          </cell>
          <cell r="AE91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92">
          <cell r="A92" t="str">
            <v>180-02</v>
          </cell>
          <cell r="B92">
            <v>4032</v>
          </cell>
          <cell r="C92" t="str">
            <v>DE.1.0.7.0</v>
          </cell>
          <cell r="D92" t="str">
            <v>204:232996</v>
          </cell>
          <cell r="E92">
            <v>42615.597719907404</v>
          </cell>
          <cell r="F92">
            <v>42615.601597222223</v>
          </cell>
          <cell r="G92">
            <v>1</v>
          </cell>
          <cell r="H92" t="str">
            <v>204:141</v>
          </cell>
          <cell r="I92">
            <v>42615.629189814812</v>
          </cell>
          <cell r="J92">
            <v>1</v>
          </cell>
          <cell r="K92" t="str">
            <v>4031/4032</v>
          </cell>
          <cell r="L92" t="str">
            <v>MOSES</v>
          </cell>
          <cell r="M92">
            <v>2.7592592588916887E-2</v>
          </cell>
          <cell r="N92">
            <v>39.733333328040317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https://search-rtdc-monitor-bjffxe2xuh6vdkpspy63sjmuny.us-east-1.es.amazonaws.com/_plugin/kibana/#/discover/Steve-Slow-Train-Analysis-(2080s-and-2083s)?_g=(refreshInterval:(display:Off,section:0,value:0),time:(from:'2016-09-02 13:20:43-0600',mode:absolute,to:'2016-09-02 16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92" t="str">
            <v>N</v>
          </cell>
          <cell r="X92">
            <v>1</v>
          </cell>
          <cell r="Y92">
            <v>23.299600000000002</v>
          </cell>
          <cell r="Z92">
            <v>1.41E-2</v>
          </cell>
          <cell r="AA92">
            <v>23.285500000000003</v>
          </cell>
          <cell r="AB92" t="e">
            <v>#N/A</v>
          </cell>
          <cell r="AC92" t="e">
            <v>#N/A</v>
          </cell>
          <cell r="AD92" t="str">
            <v>0180-02</v>
          </cell>
          <cell r="AE92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93">
          <cell r="A93" t="str">
            <v>181-02</v>
          </cell>
          <cell r="B93">
            <v>4053</v>
          </cell>
          <cell r="C93" t="str">
            <v>DE.1.0.7.0</v>
          </cell>
          <cell r="D93" t="str">
            <v>204:438</v>
          </cell>
          <cell r="E93">
            <v>42615.569004629629</v>
          </cell>
          <cell r="F93">
            <v>42615.573113425926</v>
          </cell>
          <cell r="G93">
            <v>1</v>
          </cell>
          <cell r="H93" t="str">
            <v>204:233302</v>
          </cell>
          <cell r="I93">
            <v>42615.598854166667</v>
          </cell>
          <cell r="J93">
            <v>1</v>
          </cell>
          <cell r="K93" t="str">
            <v>4053/4054</v>
          </cell>
          <cell r="L93" t="str">
            <v>ISHMAEL</v>
          </cell>
          <cell r="M93">
            <v>2.5740740740729962E-2</v>
          </cell>
          <cell r="N93">
            <v>37.066666666651145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https://search-rtdc-monitor-bjffxe2xuh6vdkpspy63sjmuny.us-east-1.es.amazonaws.com/_plugin/kibana/#/discover/Steve-Slow-Train-Analysis-(2080s-and-2083s)?_g=(refreshInterval:(display:Off,section:0,value:0),time:(from:'2016-09-02 12:39:22-0600',mode:absolute,to:'2016-09-02 15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93" t="str">
            <v>N</v>
          </cell>
          <cell r="X93">
            <v>1</v>
          </cell>
          <cell r="Y93">
            <v>4.3799999999999999E-2</v>
          </cell>
          <cell r="Z93">
            <v>23.330200000000001</v>
          </cell>
          <cell r="AA93">
            <v>23.2864</v>
          </cell>
          <cell r="AB93" t="e">
            <v>#N/A</v>
          </cell>
          <cell r="AC93" t="e">
            <v>#N/A</v>
          </cell>
          <cell r="AD93" t="str">
            <v>0181-02</v>
          </cell>
          <cell r="AE93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94">
          <cell r="A94" t="str">
            <v>182-02</v>
          </cell>
          <cell r="B94">
            <v>4054</v>
          </cell>
          <cell r="C94" t="str">
            <v>DE.1.0.7.0</v>
          </cell>
          <cell r="D94" t="str">
            <v>204:233000</v>
          </cell>
          <cell r="E94">
            <v>42615.60633101852</v>
          </cell>
          <cell r="F94">
            <v>42615.612384259257</v>
          </cell>
          <cell r="G94">
            <v>1</v>
          </cell>
          <cell r="H94" t="str">
            <v>204:143</v>
          </cell>
          <cell r="I94">
            <v>42615.639733796299</v>
          </cell>
          <cell r="J94">
            <v>1</v>
          </cell>
          <cell r="K94" t="str">
            <v>4053/4054</v>
          </cell>
          <cell r="L94" t="str">
            <v>ISHMAEL</v>
          </cell>
          <cell r="M94">
            <v>2.7349537042027805E-2</v>
          </cell>
          <cell r="N94">
            <v>39.383333340520039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https://search-rtdc-monitor-bjffxe2xuh6vdkpspy63sjmuny.us-east-1.es.amazonaws.com/_plugin/kibana/#/discover/Steve-Slow-Train-Analysis-(2080s-and-2083s)?_g=(refreshInterval:(display:Off,section:0,value:0),time:(from:'2016-09-02 13:33:07-0600',mode:absolute,to:'2016-09-02 16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    </cell>
          <cell r="W94" t="str">
            <v>N</v>
          </cell>
          <cell r="X94">
            <v>1</v>
          </cell>
          <cell r="Y94">
            <v>23.3</v>
          </cell>
          <cell r="Z94">
            <v>1.43E-2</v>
          </cell>
          <cell r="AA94">
            <v>23.285700000000002</v>
          </cell>
          <cell r="AB94" t="e">
            <v>#N/A</v>
          </cell>
          <cell r="AC94" t="e">
            <v>#N/A</v>
          </cell>
          <cell r="AD94" t="str">
            <v>0182-02</v>
          </cell>
          <cell r="AE94" t="str">
    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    </cell>
        </row>
        <row r="95">
          <cell r="A95" t="str">
            <v>183-02</v>
          </cell>
          <cell r="B95">
            <v>4029</v>
          </cell>
          <cell r="C95" t="str">
            <v>DE.1.0.7.0</v>
          </cell>
          <cell r="D95" t="str">
            <v>204:469</v>
          </cell>
          <cell r="E95">
            <v>42615.578553240739</v>
          </cell>
          <cell r="F95">
            <v>42615.58353009259</v>
          </cell>
          <cell r="G95">
            <v>1</v>
          </cell>
          <cell r="H95" t="str">
            <v>204:233397</v>
          </cell>
          <cell r="I95">
            <v>42615.609085648146</v>
          </cell>
          <cell r="J95">
            <v>1</v>
          </cell>
          <cell r="K95" t="str">
            <v>4029/4030</v>
          </cell>
          <cell r="L95" t="str">
            <v>SHOOK</v>
          </cell>
          <cell r="M95">
            <v>2.5555555555911269E-2</v>
          </cell>
          <cell r="N95">
            <v>36.800000000512227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https://search-rtdc-monitor-bjffxe2xuh6vdkpspy63sjmuny.us-east-1.es.amazonaws.com/_plugin/kibana/#/discover/Steve-Slow-Train-Analysis-(2080s-and-2083s)?_g=(refreshInterval:(display:Off,section:0,value:0),time:(from:'2016-09-02 12:53:07-0600',mode:absolute,to:'2016-09-02 15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95" t="str">
            <v>N</v>
          </cell>
          <cell r="X95">
            <v>1</v>
          </cell>
          <cell r="Y95">
            <v>4.6899999999999997E-2</v>
          </cell>
          <cell r="Z95">
            <v>23.339700000000001</v>
          </cell>
          <cell r="AA95">
            <v>23.2928</v>
          </cell>
          <cell r="AB95" t="e">
            <v>#N/A</v>
          </cell>
          <cell r="AC95" t="e">
            <v>#N/A</v>
          </cell>
          <cell r="AD95" t="str">
            <v>0183-02</v>
          </cell>
          <cell r="AE95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96">
          <cell r="A96" t="str">
            <v>184-02</v>
          </cell>
          <cell r="B96">
            <v>4030</v>
          </cell>
          <cell r="C96" t="str">
            <v>DE.1.0.7.0</v>
          </cell>
          <cell r="D96" t="str">
            <v>204:233049</v>
          </cell>
          <cell r="E96">
            <v>42615.617986111109</v>
          </cell>
          <cell r="F96">
            <v>42615.622361111113</v>
          </cell>
          <cell r="G96">
            <v>1</v>
          </cell>
          <cell r="H96" t="str">
            <v>204:165</v>
          </cell>
          <cell r="I96">
            <v>42615.64947916667</v>
          </cell>
          <cell r="J96">
            <v>1</v>
          </cell>
          <cell r="K96" t="str">
            <v>4029/4030</v>
          </cell>
          <cell r="L96" t="str">
            <v>SHOOK</v>
          </cell>
          <cell r="M96">
            <v>2.7118055557366461E-2</v>
          </cell>
          <cell r="N96">
            <v>39.050000002607703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https://search-rtdc-monitor-bjffxe2xuh6vdkpspy63sjmuny.us-east-1.es.amazonaws.com/_plugin/kibana/#/discover/Steve-Slow-Train-Analysis-(2080s-and-2083s)?_g=(refreshInterval:(display:Off,section:0,value:0),time:(from:'2016-09-02 13:49:54-0600',mode:absolute,to:'2016-09-02 16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96" t="str">
            <v>N</v>
          </cell>
          <cell r="X96">
            <v>1</v>
          </cell>
          <cell r="Y96">
            <v>23.3049</v>
          </cell>
          <cell r="Z96">
            <v>1.6500000000000001E-2</v>
          </cell>
          <cell r="AA96">
            <v>23.288399999999999</v>
          </cell>
          <cell r="AB96" t="e">
            <v>#N/A</v>
          </cell>
          <cell r="AC96" t="e">
            <v>#N/A</v>
          </cell>
          <cell r="AD96" t="str">
            <v>0184-02</v>
          </cell>
          <cell r="AE96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97">
          <cell r="A97" t="str">
            <v>185-02</v>
          </cell>
          <cell r="B97">
            <v>4046</v>
          </cell>
          <cell r="C97" t="str">
            <v>DE.1.0.7.0</v>
          </cell>
          <cell r="D97" t="str">
            <v>204:424</v>
          </cell>
          <cell r="E97">
            <v>42615.589907407404</v>
          </cell>
          <cell r="F97">
            <v>42615.594039351854</v>
          </cell>
          <cell r="G97">
            <v>1</v>
          </cell>
          <cell r="H97" t="str">
            <v>204:233327</v>
          </cell>
          <cell r="I97">
            <v>42615.619490740741</v>
          </cell>
          <cell r="J97">
            <v>1</v>
          </cell>
          <cell r="K97" t="str">
            <v>4045/4046</v>
          </cell>
          <cell r="L97" t="str">
            <v>WEBSTER</v>
          </cell>
          <cell r="M97">
            <v>2.545138888672227E-2</v>
          </cell>
          <cell r="N97">
            <v>36.649999996880069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https://search-rtdc-monitor-bjffxe2xuh6vdkpspy63sjmuny.us-east-1.es.amazonaws.com/_plugin/kibana/#/discover/Steve-Slow-Train-Analysis-(2080s-and-2083s)?_g=(refreshInterval:(display:Off,section:0,value:0),time:(from:'2016-09-02 13:09:28-0600',mode:absolute,to:'2016-09-02 15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97" t="str">
            <v>N</v>
          </cell>
          <cell r="X97">
            <v>1</v>
          </cell>
          <cell r="Y97">
            <v>4.24E-2</v>
          </cell>
          <cell r="Z97">
            <v>23.332699999999999</v>
          </cell>
          <cell r="AA97">
            <v>23.290299999999998</v>
          </cell>
          <cell r="AB97" t="e">
            <v>#N/A</v>
          </cell>
          <cell r="AC97" t="e">
            <v>#N/A</v>
          </cell>
          <cell r="AD97" t="str">
            <v>0185-02</v>
          </cell>
          <cell r="AE97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98">
          <cell r="A98" t="str">
            <v>186-02</v>
          </cell>
          <cell r="B98">
            <v>4045</v>
          </cell>
          <cell r="C98" t="str">
            <v>DE.1.0.7.0</v>
          </cell>
          <cell r="D98" t="str">
            <v>204:233004</v>
          </cell>
          <cell r="E98">
            <v>42615.628449074073</v>
          </cell>
          <cell r="F98">
            <v>42615.632893518516</v>
          </cell>
          <cell r="G98">
            <v>1</v>
          </cell>
          <cell r="H98" t="str">
            <v>204:136</v>
          </cell>
          <cell r="I98">
            <v>42615.661203703705</v>
          </cell>
          <cell r="J98">
            <v>1</v>
          </cell>
          <cell r="K98" t="str">
            <v>4045/4046</v>
          </cell>
          <cell r="L98" t="str">
            <v>WEBSTER</v>
          </cell>
          <cell r="M98">
            <v>2.8310185189184267E-2</v>
          </cell>
          <cell r="N98">
            <v>40.766666672425345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https://search-rtdc-monitor-bjffxe2xuh6vdkpspy63sjmuny.us-east-1.es.amazonaws.com/_plugin/kibana/#/discover/Steve-Slow-Train-Analysis-(2080s-and-2083s)?_g=(refreshInterval:(display:Off,section:0,value:0),time:(from:'2016-09-02 14:04:58-0600',mode:absolute,to:'2016-09-02 16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98" t="str">
            <v>N</v>
          </cell>
          <cell r="X98">
            <v>1</v>
          </cell>
          <cell r="Y98">
            <v>23.3004</v>
          </cell>
          <cell r="Z98">
            <v>1.3599999999999999E-2</v>
          </cell>
          <cell r="AA98">
            <v>23.286799999999999</v>
          </cell>
          <cell r="AB98" t="e">
            <v>#N/A</v>
          </cell>
          <cell r="AC98" t="e">
            <v>#N/A</v>
          </cell>
          <cell r="AD98" t="str">
            <v>0186-02</v>
          </cell>
          <cell r="AE98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99">
          <cell r="A99" t="str">
            <v>187-02</v>
          </cell>
          <cell r="B99">
            <v>4016</v>
          </cell>
          <cell r="C99" t="str">
            <v>DE.1.0.7.0</v>
          </cell>
          <cell r="D99" t="str">
            <v>204:466</v>
          </cell>
          <cell r="E99">
            <v>42615.601643518516</v>
          </cell>
          <cell r="F99">
            <v>42615.604513888888</v>
          </cell>
          <cell r="G99">
            <v>1</v>
          </cell>
          <cell r="H99" t="str">
            <v>204:233307</v>
          </cell>
          <cell r="I99">
            <v>42615.629907407405</v>
          </cell>
          <cell r="J99">
            <v>1</v>
          </cell>
          <cell r="K99" t="str">
            <v>4015/4016</v>
          </cell>
          <cell r="L99" t="str">
            <v>STEWART</v>
          </cell>
          <cell r="M99">
            <v>2.5393518517375924E-2</v>
          </cell>
          <cell r="N99">
            <v>36.56666666502133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https://search-rtdc-monitor-bjffxe2xuh6vdkpspy63sjmuny.us-east-1.es.amazonaws.com/_plugin/kibana/#/discover/Steve-Slow-Train-Analysis-(2080s-and-2083s)?_g=(refreshInterval:(display:Off,section:0,value:0),time:(from:'2016-09-02 13:26:22-0600',mode:absolute,to:'2016-09-02 16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99" t="str">
            <v>N</v>
          </cell>
          <cell r="X99">
            <v>1</v>
          </cell>
          <cell r="Y99">
            <v>4.6600000000000003E-2</v>
          </cell>
          <cell r="Z99">
            <v>23.3307</v>
          </cell>
          <cell r="AA99">
            <v>23.284099999999999</v>
          </cell>
          <cell r="AB99" t="e">
            <v>#N/A</v>
          </cell>
          <cell r="AC99" t="e">
            <v>#N/A</v>
          </cell>
          <cell r="AD99" t="str">
            <v>0187-02</v>
          </cell>
          <cell r="AE99" t="str">
    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    </cell>
        </row>
        <row r="100">
          <cell r="A100" t="str">
            <v>188-02</v>
          </cell>
          <cell r="B100">
            <v>4015</v>
          </cell>
          <cell r="C100" t="str">
            <v>DE.1.0.7.0</v>
          </cell>
          <cell r="D100" t="str">
            <v>204:232980</v>
          </cell>
          <cell r="E100">
            <v>42615.639270833337</v>
          </cell>
          <cell r="F100">
            <v>42615.643333333333</v>
          </cell>
          <cell r="G100">
            <v>1</v>
          </cell>
          <cell r="H100" t="str">
            <v>204:165</v>
          </cell>
          <cell r="I100">
            <v>42615.671678240738</v>
          </cell>
          <cell r="J100">
            <v>1</v>
          </cell>
          <cell r="K100" t="str">
            <v>4015/4016</v>
          </cell>
          <cell r="L100" t="str">
            <v>STEWART</v>
          </cell>
          <cell r="M100">
            <v>2.8344907404971309E-2</v>
          </cell>
          <cell r="N100">
            <v>40.816666663158685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https://search-rtdc-monitor-bjffxe2xuh6vdkpspy63sjmuny.us-east-1.es.amazonaws.com/_plugin/kibana/#/discover/Steve-Slow-Train-Analysis-(2080s-and-2083s)?_g=(refreshInterval:(display:Off,section:0,value:0),time:(from:'2016-09-02 14:20:33-0600',mode:absolute,to:'2016-09-02 17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00" t="str">
            <v>N</v>
          </cell>
          <cell r="X100">
            <v>1</v>
          </cell>
          <cell r="Y100">
            <v>23.297999999999998</v>
          </cell>
          <cell r="Z100">
            <v>1.6500000000000001E-2</v>
          </cell>
          <cell r="AA100">
            <v>23.281499999999998</v>
          </cell>
          <cell r="AB100" t="e">
            <v>#N/A</v>
          </cell>
          <cell r="AC100" t="e">
            <v>#N/A</v>
          </cell>
          <cell r="AD100" t="str">
            <v>0188-02</v>
          </cell>
          <cell r="AE100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101">
          <cell r="A101" t="str">
            <v>189-02</v>
          </cell>
          <cell r="B101">
            <v>4009</v>
          </cell>
          <cell r="C101" t="str">
            <v>DE.1.0.7.0</v>
          </cell>
          <cell r="D101" t="str">
            <v>204:431</v>
          </cell>
          <cell r="E101">
            <v>42615.611608796295</v>
          </cell>
          <cell r="F101">
            <v>42615.615057870367</v>
          </cell>
          <cell r="G101">
            <v>1</v>
          </cell>
          <cell r="H101" t="str">
            <v>204:233321</v>
          </cell>
          <cell r="I101">
            <v>42615.641238425924</v>
          </cell>
          <cell r="J101">
            <v>1</v>
          </cell>
          <cell r="K101" t="str">
            <v>4009/4010</v>
          </cell>
          <cell r="L101" t="str">
            <v>CLARK</v>
          </cell>
          <cell r="M101">
            <v>2.6180555556493346E-2</v>
          </cell>
          <cell r="N101">
            <v>37.700000001350418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https://search-rtdc-monitor-bjffxe2xuh6vdkpspy63sjmuny.us-east-1.es.amazonaws.com/_plugin/kibana/#/discover/Steve-Slow-Train-Analysis-(2080s-and-2083s)?_g=(refreshInterval:(display:Off,section:0,value:0),time:(from:'2016-09-02 13:40:43-0600',mode:absolute,to:'2016-09-02 16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01" t="str">
            <v>N</v>
          </cell>
          <cell r="X101">
            <v>1</v>
          </cell>
          <cell r="Y101">
            <v>4.3099999999999999E-2</v>
          </cell>
          <cell r="Z101">
            <v>23.332100000000001</v>
          </cell>
          <cell r="AA101">
            <v>23.289000000000001</v>
          </cell>
          <cell r="AB101" t="e">
            <v>#N/A</v>
          </cell>
          <cell r="AC101" t="e">
            <v>#N/A</v>
          </cell>
          <cell r="AD101" t="str">
            <v>0189-02</v>
          </cell>
          <cell r="AE101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102">
          <cell r="A102" t="str">
            <v>190-02</v>
          </cell>
          <cell r="B102">
            <v>4010</v>
          </cell>
          <cell r="C102" t="str">
            <v>DE.1.0.7.0</v>
          </cell>
          <cell r="D102" t="str">
            <v>204:233000</v>
          </cell>
          <cell r="E102">
            <v>42615.647534722222</v>
          </cell>
          <cell r="F102">
            <v>42615.653634259259</v>
          </cell>
          <cell r="G102">
            <v>1</v>
          </cell>
          <cell r="H102" t="str">
            <v>204:160</v>
          </cell>
          <cell r="I102">
            <v>42615.684537037036</v>
          </cell>
          <cell r="J102">
            <v>1</v>
          </cell>
          <cell r="K102" t="str">
            <v>4009/4010</v>
          </cell>
          <cell r="L102" t="str">
            <v>CLARK</v>
          </cell>
          <cell r="M102">
            <v>3.0902777776645962E-2</v>
          </cell>
          <cell r="N102">
            <v>44.499999998370185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https://search-rtdc-monitor-bjffxe2xuh6vdkpspy63sjmuny.us-east-1.es.amazonaws.com/_plugin/kibana/#/discover/Steve-Slow-Train-Analysis-(2080s-and-2083s)?_g=(refreshInterval:(display:Off,section:0,value:0),time:(from:'2016-09-02 14:32:27-0600',mode:absolute,to:'2016-09-02 17:25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02" t="str">
            <v>N</v>
          </cell>
          <cell r="X102">
            <v>1</v>
          </cell>
          <cell r="Y102">
            <v>23.3</v>
          </cell>
          <cell r="Z102">
            <v>1.6E-2</v>
          </cell>
          <cell r="AA102">
            <v>23.284000000000002</v>
          </cell>
          <cell r="AB102" t="e">
            <v>#N/A</v>
          </cell>
          <cell r="AC102" t="e">
            <v>#N/A</v>
          </cell>
          <cell r="AD102" t="str">
            <v>0190-02</v>
          </cell>
          <cell r="AE102" t="str">
    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    </cell>
        </row>
        <row r="103">
          <cell r="A103" t="str">
            <v>191-02</v>
          </cell>
          <cell r="B103">
            <v>4044</v>
          </cell>
          <cell r="C103" t="str">
            <v>DE.1.0.7.0</v>
          </cell>
          <cell r="D103" t="str">
            <v>204:442</v>
          </cell>
          <cell r="E103">
            <v>42615.619513888887</v>
          </cell>
          <cell r="F103">
            <v>42615.625335648147</v>
          </cell>
          <cell r="G103">
            <v>1</v>
          </cell>
          <cell r="H103" t="str">
            <v>204:233309</v>
          </cell>
          <cell r="I103">
            <v>42615.650856481479</v>
          </cell>
          <cell r="J103">
            <v>1</v>
          </cell>
          <cell r="K103" t="str">
            <v>4043/4044</v>
          </cell>
          <cell r="L103" t="str">
            <v>BONDS</v>
          </cell>
          <cell r="M103">
            <v>2.5520833332848269E-2</v>
          </cell>
          <cell r="N103">
            <v>36.749999999301508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https://search-rtdc-monitor-bjffxe2xuh6vdkpspy63sjmuny.us-east-1.es.amazonaws.com/_plugin/kibana/#/discover/Steve-Slow-Train-Analysis-(2080s-and-2083s)?_g=(refreshInterval:(display:Off,section:0,value:0),time:(from:'2016-09-02 13:52:06-0600',mode:absolute,to:'2016-09-02 16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03" t="str">
            <v>N</v>
          </cell>
          <cell r="X103">
            <v>1</v>
          </cell>
          <cell r="Y103">
            <v>4.4200000000000003E-2</v>
          </cell>
          <cell r="Z103">
            <v>23.3309</v>
          </cell>
          <cell r="AA103">
            <v>23.2867</v>
          </cell>
          <cell r="AB103" t="e">
            <v>#N/A</v>
          </cell>
          <cell r="AC103" t="e">
            <v>#N/A</v>
          </cell>
          <cell r="AD103" t="str">
            <v>0191-02</v>
          </cell>
          <cell r="AE103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104">
          <cell r="A104" t="str">
            <v>192-02</v>
          </cell>
          <cell r="B104">
            <v>4043</v>
          </cell>
          <cell r="C104" t="str">
            <v>DE.1.0.7.0</v>
          </cell>
          <cell r="D104" t="str">
            <v>204:232984</v>
          </cell>
          <cell r="E104">
            <v>42615.653067129628</v>
          </cell>
          <cell r="F104">
            <v>42615.6641087963</v>
          </cell>
          <cell r="G104">
            <v>1</v>
          </cell>
          <cell r="H104" t="str">
            <v>204:136</v>
          </cell>
          <cell r="I104">
            <v>42615.692326388889</v>
          </cell>
          <cell r="J104">
            <v>1</v>
          </cell>
          <cell r="K104" t="str">
            <v>4043/4044</v>
          </cell>
          <cell r="L104" t="str">
            <v>BONDS</v>
          </cell>
          <cell r="M104">
            <v>2.8217592589498963E-2</v>
          </cell>
          <cell r="N104">
            <v>40.633333328878507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https://search-rtdc-monitor-bjffxe2xuh6vdkpspy63sjmuny.us-east-1.es.amazonaws.com/_plugin/kibana/#/discover/Steve-Slow-Train-Analysis-(2080s-and-2083s)?_g=(refreshInterval:(display:Off,section:0,value:0),time:(from:'2016-09-02 14:40:25-0600',mode:absolute,to:'2016-09-02 17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04" t="str">
            <v>N</v>
          </cell>
          <cell r="X104">
            <v>1</v>
          </cell>
          <cell r="Y104">
            <v>23.298400000000001</v>
          </cell>
          <cell r="Z104">
            <v>1.3599999999999999E-2</v>
          </cell>
          <cell r="AA104">
            <v>23.284800000000001</v>
          </cell>
          <cell r="AB104" t="e">
            <v>#N/A</v>
          </cell>
          <cell r="AC104" t="e">
            <v>#N/A</v>
          </cell>
          <cell r="AD104" t="str">
            <v>0192-02</v>
          </cell>
          <cell r="AE104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105">
          <cell r="A105" t="str">
            <v>193-02</v>
          </cell>
          <cell r="B105">
            <v>4031</v>
          </cell>
          <cell r="C105" t="str">
            <v>DE.1.0.7.0</v>
          </cell>
          <cell r="D105" t="str">
            <v>204:440</v>
          </cell>
          <cell r="E105">
            <v>42615.632893518516</v>
          </cell>
          <cell r="F105">
            <v>42615.635636574072</v>
          </cell>
          <cell r="G105">
            <v>1</v>
          </cell>
          <cell r="H105" t="str">
            <v>204:233308</v>
          </cell>
          <cell r="I105">
            <v>42615.662314814814</v>
          </cell>
          <cell r="J105">
            <v>1</v>
          </cell>
          <cell r="K105" t="str">
            <v>4031/4032</v>
          </cell>
          <cell r="L105" t="str">
            <v>MOSES</v>
          </cell>
          <cell r="M105">
            <v>2.6678240741603076E-2</v>
          </cell>
          <cell r="N105">
            <v>38.41666666790843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https://search-rtdc-monitor-bjffxe2xuh6vdkpspy63sjmuny.us-east-1.es.amazonaws.com/_plugin/kibana/#/discover/Steve-Slow-Train-Analysis-(2080s-and-2083s)?_g=(refreshInterval:(display:Off,section:0,value:0),time:(from:'2016-09-02 14:11:22-0600',mode:absolute,to:'2016-09-02 16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05" t="str">
            <v>N</v>
          </cell>
          <cell r="X105">
            <v>1</v>
          </cell>
          <cell r="Y105">
            <v>4.3999999999999997E-2</v>
          </cell>
          <cell r="Z105">
            <v>23.3308</v>
          </cell>
          <cell r="AA105">
            <v>23.286799999999999</v>
          </cell>
          <cell r="AB105" t="e">
            <v>#N/A</v>
          </cell>
          <cell r="AC105" t="e">
            <v>#N/A</v>
          </cell>
          <cell r="AD105" t="str">
            <v>0193-02</v>
          </cell>
          <cell r="AE105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106">
          <cell r="A106" t="str">
            <v>194-02</v>
          </cell>
          <cell r="B106">
            <v>4032</v>
          </cell>
          <cell r="C106" t="str">
            <v>DE.1.0.7.0</v>
          </cell>
          <cell r="D106" t="str">
            <v>204:232998</v>
          </cell>
          <cell r="E106">
            <v>42615.671400462961</v>
          </cell>
          <cell r="F106">
            <v>42615.67459490741</v>
          </cell>
          <cell r="G106">
            <v>1</v>
          </cell>
          <cell r="H106" t="str">
            <v>204:138</v>
          </cell>
          <cell r="I106">
            <v>42615.701967592591</v>
          </cell>
          <cell r="J106">
            <v>1</v>
          </cell>
          <cell r="K106" t="str">
            <v>4031/4032</v>
          </cell>
          <cell r="L106" t="str">
            <v>MOSES</v>
          </cell>
          <cell r="M106">
            <v>2.7372685181035195E-2</v>
          </cell>
          <cell r="N106">
            <v>39.41666666069068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https://search-rtdc-monitor-bjffxe2xuh6vdkpspy63sjmuny.us-east-1.es.amazonaws.com/_plugin/kibana/#/discover/Steve-Slow-Train-Analysis-(2080s-and-2083s)?_g=(refreshInterval:(display:Off,section:0,value:0),time:(from:'2016-09-02 15:06:49-0600',mode:absolute,to:'2016-09-02 17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06" t="str">
            <v>N</v>
          </cell>
          <cell r="X106">
            <v>1</v>
          </cell>
          <cell r="Y106">
            <v>23.299800000000001</v>
          </cell>
          <cell r="Z106">
            <v>1.38E-2</v>
          </cell>
          <cell r="AA106">
            <v>23.286000000000001</v>
          </cell>
          <cell r="AB106" t="e">
            <v>#N/A</v>
          </cell>
          <cell r="AC106" t="e">
            <v>#N/A</v>
          </cell>
          <cell r="AD106" t="str">
            <v>0194-02</v>
          </cell>
          <cell r="AE106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107">
          <cell r="A107" t="str">
            <v>195-02</v>
          </cell>
          <cell r="B107">
            <v>4053</v>
          </cell>
          <cell r="C107" t="str">
            <v>DE.1.0.7.0</v>
          </cell>
          <cell r="D107" t="str">
            <v>204:451</v>
          </cell>
          <cell r="E107">
            <v>42615.642777777779</v>
          </cell>
          <cell r="F107">
            <v>42615.649456018517</v>
          </cell>
          <cell r="G107">
            <v>1</v>
          </cell>
          <cell r="H107" t="str">
            <v>204:233261</v>
          </cell>
          <cell r="I107">
            <v>42615.67732638889</v>
          </cell>
          <cell r="J107">
            <v>1</v>
          </cell>
          <cell r="K107" t="str">
            <v>4053/4054</v>
          </cell>
          <cell r="L107" t="str">
            <v>ISHMAEL</v>
          </cell>
          <cell r="M107">
            <v>2.7870370373420883E-2</v>
          </cell>
          <cell r="N107">
            <v>40.133333337726071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https://search-rtdc-monitor-bjffxe2xuh6vdkpspy63sjmuny.us-east-1.es.amazonaws.com/_plugin/kibana/#/discover/Steve-Slow-Train-Analysis-(2080s-and-2083s)?_g=(refreshInterval:(display:Off,section:0,value:0),time:(from:'2016-09-02 14:25:36-0600',mode:absolute,to:'2016-09-02 17:15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107" t="str">
            <v>N</v>
          </cell>
          <cell r="X107">
            <v>1</v>
          </cell>
          <cell r="Y107">
            <v>4.5100000000000001E-2</v>
          </cell>
          <cell r="Z107">
            <v>23.3261</v>
          </cell>
          <cell r="AA107">
            <v>23.280999999999999</v>
          </cell>
          <cell r="AB107" t="e">
            <v>#N/A</v>
          </cell>
          <cell r="AC107" t="e">
            <v>#N/A</v>
          </cell>
          <cell r="AD107" t="str">
            <v>0195-02</v>
          </cell>
          <cell r="AE107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108">
          <cell r="A108" t="str">
            <v>196-02</v>
          </cell>
          <cell r="B108">
            <v>4054</v>
          </cell>
          <cell r="C108" t="str">
            <v>DE.1.0.7.0</v>
          </cell>
          <cell r="D108" t="str">
            <v>204:232973</v>
          </cell>
          <cell r="E108">
            <v>42615.678877314815</v>
          </cell>
          <cell r="F108">
            <v>42615.68513888889</v>
          </cell>
          <cell r="G108">
            <v>1</v>
          </cell>
          <cell r="H108" t="str">
            <v>204:152</v>
          </cell>
          <cell r="I108">
            <v>42615.712384259263</v>
          </cell>
          <cell r="J108">
            <v>1</v>
          </cell>
          <cell r="K108" t="str">
            <v>4053/4054</v>
          </cell>
          <cell r="L108" t="str">
            <v>ISHMAEL</v>
          </cell>
          <cell r="M108">
            <v>2.7245370372838806E-2</v>
          </cell>
          <cell r="N108">
            <v>39.233333336887881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https://search-rtdc-monitor-bjffxe2xuh6vdkpspy63sjmuny.us-east-1.es.amazonaws.com/_plugin/kibana/#/discover/Steve-Slow-Train-Analysis-(2080s-and-2083s)?_g=(refreshInterval:(display:Off,section:0,value:0),time:(from:'2016-09-02 15:17:35-0600',mode:absolute,to:'2016-09-02 18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    </cell>
          <cell r="W108" t="str">
            <v>N</v>
          </cell>
          <cell r="X108">
            <v>1</v>
          </cell>
          <cell r="Y108">
            <v>23.2973</v>
          </cell>
          <cell r="Z108">
            <v>1.52E-2</v>
          </cell>
          <cell r="AA108">
            <v>23.2821</v>
          </cell>
          <cell r="AB108" t="e">
            <v>#N/A</v>
          </cell>
          <cell r="AC108" t="e">
            <v>#N/A</v>
          </cell>
          <cell r="AD108" t="str">
            <v>0196-02</v>
          </cell>
          <cell r="AE108" t="str">
    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    </cell>
        </row>
        <row r="109">
          <cell r="A109" t="str">
            <v>197-02</v>
          </cell>
          <cell r="B109">
            <v>4029</v>
          </cell>
          <cell r="C109" t="str">
            <v>DE.1.0.7.0</v>
          </cell>
          <cell r="D109" t="str">
            <v>204:464</v>
          </cell>
          <cell r="E109">
            <v>42615.652453703704</v>
          </cell>
          <cell r="F109">
            <v>42615.656423611108</v>
          </cell>
          <cell r="G109">
            <v>1</v>
          </cell>
          <cell r="H109" t="str">
            <v>204:233336</v>
          </cell>
          <cell r="I109">
            <v>42615.682025462964</v>
          </cell>
          <cell r="J109">
            <v>1</v>
          </cell>
          <cell r="K109" t="str">
            <v>4029/4030</v>
          </cell>
          <cell r="L109" t="str">
            <v>SHOOK</v>
          </cell>
          <cell r="M109">
            <v>2.5601851855753921E-2</v>
          </cell>
          <cell r="N109">
            <v>36.866666672285646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https://search-rtdc-monitor-bjffxe2xuh6vdkpspy63sjmuny.us-east-1.es.amazonaws.com/_plugin/kibana/#/discover/Steve-Slow-Train-Analysis-(2080s-and-2083s)?_g=(refreshInterval:(display:Off,section:0,value:0),time:(from:'2016-09-02 14:39:32-0600',mode:absolute,to:'2016-09-02 17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09" t="str">
            <v>N</v>
          </cell>
          <cell r="X109">
            <v>1</v>
          </cell>
          <cell r="Y109">
            <v>4.6399999999999997E-2</v>
          </cell>
          <cell r="Z109">
            <v>23.333600000000001</v>
          </cell>
          <cell r="AA109">
            <v>23.287200000000002</v>
          </cell>
          <cell r="AB109" t="e">
            <v>#N/A</v>
          </cell>
          <cell r="AC109" t="e">
            <v>#N/A</v>
          </cell>
          <cell r="AD109" t="str">
            <v>0197-02</v>
          </cell>
          <cell r="AE109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110">
          <cell r="A110" t="str">
            <v>198-02</v>
          </cell>
          <cell r="B110">
            <v>4030</v>
          </cell>
          <cell r="C110" t="str">
            <v>DE.1.0.7.0</v>
          </cell>
          <cell r="D110" t="str">
            <v>204:233045</v>
          </cell>
          <cell r="E110">
            <v>42615.688692129632</v>
          </cell>
          <cell r="F110">
            <v>42615.695335648146</v>
          </cell>
          <cell r="G110">
            <v>1</v>
          </cell>
          <cell r="H110" t="str">
            <v>204:163</v>
          </cell>
          <cell r="I110">
            <v>42615.722488425927</v>
          </cell>
          <cell r="J110">
            <v>1</v>
          </cell>
          <cell r="K110" t="str">
            <v>4029/4030</v>
          </cell>
          <cell r="L110" t="str">
            <v>SHOOK</v>
          </cell>
          <cell r="M110">
            <v>2.715277778042946E-2</v>
          </cell>
          <cell r="N110">
            <v>39.100000003818423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https://search-rtdc-monitor-bjffxe2xuh6vdkpspy63sjmuny.us-east-1.es.amazonaws.com/_plugin/kibana/#/discover/Steve-Slow-Train-Analysis-(2080s-and-2083s)?_g=(refreshInterval:(display:Off,section:0,value:0),time:(from:'2016-09-02 15:31:43-0600',mode:absolute,to:'2016-09-02 18:20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10" t="str">
            <v>N</v>
          </cell>
          <cell r="X110">
            <v>1</v>
          </cell>
          <cell r="Y110">
            <v>23.304500000000001</v>
          </cell>
          <cell r="Z110">
            <v>1.6299999999999999E-2</v>
          </cell>
          <cell r="AA110">
            <v>23.2882</v>
          </cell>
          <cell r="AB110" t="e">
            <v>#N/A</v>
          </cell>
          <cell r="AC110" t="e">
            <v>#N/A</v>
          </cell>
          <cell r="AD110" t="str">
            <v>0198-02</v>
          </cell>
          <cell r="AE110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111">
          <cell r="A111" t="str">
            <v>199-02</v>
          </cell>
          <cell r="B111">
            <v>4046</v>
          </cell>
          <cell r="C111" t="str">
            <v>DE.1.0.7.0</v>
          </cell>
          <cell r="D111" t="str">
            <v>204:429</v>
          </cell>
          <cell r="E111">
            <v>42615.662604166668</v>
          </cell>
          <cell r="F111">
            <v>42615.667245370372</v>
          </cell>
          <cell r="G111">
            <v>1</v>
          </cell>
          <cell r="H111" t="str">
            <v>204:233307</v>
          </cell>
          <cell r="I111">
            <v>42615.692384259259</v>
          </cell>
          <cell r="J111">
            <v>1</v>
          </cell>
          <cell r="K111" t="str">
            <v>4045/4046</v>
          </cell>
          <cell r="L111" t="str">
            <v>WEBSTER</v>
          </cell>
          <cell r="M111">
            <v>2.5138888886431232E-2</v>
          </cell>
          <cell r="N111">
            <v>36.199999996460974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https://search-rtdc-monitor-bjffxe2xuh6vdkpspy63sjmuny.us-east-1.es.amazonaws.com/_plugin/kibana/#/discover/Steve-Slow-Train-Analysis-(2080s-and-2083s)?_g=(refreshInterval:(display:Off,section:0,value:0),time:(from:'2016-09-02 14:54:09-0600',mode:absolute,to:'2016-09-02 17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11" t="str">
            <v>N</v>
          </cell>
          <cell r="X111">
            <v>1</v>
          </cell>
          <cell r="Y111">
            <v>4.2900000000000001E-2</v>
          </cell>
          <cell r="Z111">
            <v>23.3307</v>
          </cell>
          <cell r="AA111">
            <v>23.287800000000001</v>
          </cell>
          <cell r="AB111" t="e">
            <v>#N/A</v>
          </cell>
          <cell r="AC111" t="e">
            <v>#N/A</v>
          </cell>
          <cell r="AD111" t="str">
            <v>0199-02</v>
          </cell>
          <cell r="AE111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112">
          <cell r="A112" t="str">
            <v>200-02</v>
          </cell>
          <cell r="B112">
            <v>4045</v>
          </cell>
          <cell r="C112" t="str">
            <v>DE.1.0.7.0</v>
          </cell>
          <cell r="D112" t="str">
            <v>204:232996</v>
          </cell>
          <cell r="E112">
            <v>42615.702627314815</v>
          </cell>
          <cell r="F112">
            <v>42615.705937500003</v>
          </cell>
          <cell r="G112">
            <v>1</v>
          </cell>
          <cell r="H112" t="str">
            <v>204:134</v>
          </cell>
          <cell r="I112">
            <v>42615.733437499999</v>
          </cell>
          <cell r="J112">
            <v>1</v>
          </cell>
          <cell r="K112" t="str">
            <v>4045/4046</v>
          </cell>
          <cell r="L112" t="str">
            <v>WEBSTER</v>
          </cell>
          <cell r="M112">
            <v>2.749999999650754E-2</v>
          </cell>
          <cell r="N112">
            <v>39.599999994970858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https://search-rtdc-monitor-bjffxe2xuh6vdkpspy63sjmuny.us-east-1.es.amazonaws.com/_plugin/kibana/#/discover/Steve-Slow-Train-Analysis-(2080s-and-2083s)?_g=(refreshInterval:(display:Off,section:0,value:0),time:(from:'2016-09-02 15:51:47-0600',mode:absolute,to:'2016-09-02 18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12" t="str">
            <v>N</v>
          </cell>
          <cell r="X112">
            <v>1</v>
          </cell>
          <cell r="Y112">
            <v>23.299600000000002</v>
          </cell>
          <cell r="Z112">
            <v>1.34E-2</v>
          </cell>
          <cell r="AA112">
            <v>23.286200000000001</v>
          </cell>
          <cell r="AB112" t="e">
            <v>#N/A</v>
          </cell>
          <cell r="AC112" t="e">
            <v>#N/A</v>
          </cell>
          <cell r="AD112" t="str">
            <v>0200-02</v>
          </cell>
          <cell r="AE112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113">
          <cell r="A113" t="str">
            <v>201-02</v>
          </cell>
          <cell r="B113">
            <v>4016</v>
          </cell>
          <cell r="C113" t="str">
            <v>DE.1.0.7.0</v>
          </cell>
          <cell r="D113" t="str">
            <v>204:473</v>
          </cell>
          <cell r="E113">
            <v>42615.674629629626</v>
          </cell>
          <cell r="F113">
            <v>42615.677418981482</v>
          </cell>
          <cell r="G113">
            <v>1</v>
          </cell>
          <cell r="H113" t="str">
            <v>204:233319</v>
          </cell>
          <cell r="I113">
            <v>42615.703125</v>
          </cell>
          <cell r="J113">
            <v>1</v>
          </cell>
          <cell r="K113" t="str">
            <v>4015/4016</v>
          </cell>
          <cell r="L113" t="str">
            <v>STEWART</v>
          </cell>
          <cell r="M113">
            <v>2.5706018517666962E-2</v>
          </cell>
          <cell r="N113">
            <v>37.016666665440425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https://search-rtdc-monitor-bjffxe2xuh6vdkpspy63sjmuny.us-east-1.es.amazonaws.com/_plugin/kibana/#/discover/Steve-Slow-Train-Analysis-(2080s-and-2083s)?_g=(refreshInterval:(display:Off,section:0,value:0),time:(from:'2016-09-02 15:11:28-0600',mode:absolute,to:'2016-09-02 17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13" t="str">
            <v>N</v>
          </cell>
          <cell r="X113">
            <v>1</v>
          </cell>
          <cell r="Y113">
            <v>4.7300000000000002E-2</v>
          </cell>
          <cell r="Z113">
            <v>23.331900000000001</v>
          </cell>
          <cell r="AA113">
            <v>23.284600000000001</v>
          </cell>
          <cell r="AB113" t="e">
            <v>#N/A</v>
          </cell>
          <cell r="AC113" t="e">
            <v>#N/A</v>
          </cell>
          <cell r="AD113" t="str">
            <v>0201-02</v>
          </cell>
          <cell r="AE113" t="str">
    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    </cell>
        </row>
        <row r="114">
          <cell r="A114" t="str">
            <v>202-02</v>
          </cell>
          <cell r="B114">
            <v>4015</v>
          </cell>
          <cell r="C114" t="str">
            <v>DE.1.0.7.0</v>
          </cell>
          <cell r="D114" t="str">
            <v>204:233002</v>
          </cell>
          <cell r="E114">
            <v>42615.713425925926</v>
          </cell>
          <cell r="F114">
            <v>42615.716319444444</v>
          </cell>
          <cell r="G114">
            <v>1</v>
          </cell>
          <cell r="H114" t="str">
            <v>204:150</v>
          </cell>
          <cell r="I114">
            <v>42615.743981481479</v>
          </cell>
          <cell r="J114">
            <v>1</v>
          </cell>
          <cell r="K114" t="str">
            <v>4015/4016</v>
          </cell>
          <cell r="L114" t="str">
            <v>STEWART</v>
          </cell>
          <cell r="M114">
            <v>2.7662037035042886E-2</v>
          </cell>
          <cell r="N114">
            <v>39.833333330461755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https://search-rtdc-monitor-bjffxe2xuh6vdkpspy63sjmuny.us-east-1.es.amazonaws.com/_plugin/kibana/#/discover/Steve-Slow-Train-Analysis-(2080s-and-2083s)?_g=(refreshInterval:(display:Off,section:0,value:0),time:(from:'2016-09-02 16:07:20-0600',mode:absolute,to:'2016-09-02 18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14" t="str">
            <v>N</v>
          </cell>
          <cell r="X114">
            <v>1</v>
          </cell>
          <cell r="Y114">
            <v>23.3002</v>
          </cell>
          <cell r="Z114">
            <v>1.4999999999999999E-2</v>
          </cell>
          <cell r="AA114">
            <v>23.2852</v>
          </cell>
          <cell r="AB114" t="e">
            <v>#N/A</v>
          </cell>
          <cell r="AC114" t="e">
            <v>#N/A</v>
          </cell>
          <cell r="AD114" t="str">
            <v>0202-02</v>
          </cell>
          <cell r="AE114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115">
          <cell r="A115" t="str">
            <v>203-02</v>
          </cell>
          <cell r="B115">
            <v>4009</v>
          </cell>
          <cell r="C115" t="str">
            <v>DE.1.0.7.0</v>
          </cell>
          <cell r="D115" t="str">
            <v>204:464</v>
          </cell>
          <cell r="E115">
            <v>42615.686284722222</v>
          </cell>
          <cell r="F115">
            <v>42615.688113425924</v>
          </cell>
          <cell r="G115">
            <v>1</v>
          </cell>
          <cell r="H115" t="str">
            <v>204:233157</v>
          </cell>
          <cell r="I115">
            <v>42615.713530092595</v>
          </cell>
          <cell r="J115">
            <v>1</v>
          </cell>
          <cell r="K115" t="str">
            <v>4009/4010</v>
          </cell>
          <cell r="L115" t="str">
            <v>CLARK</v>
          </cell>
          <cell r="M115">
            <v>2.5416666670935228E-2</v>
          </cell>
          <cell r="N115">
            <v>36.600000006146729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https://search-rtdc-monitor-bjffxe2xuh6vdkpspy63sjmuny.us-east-1.es.amazonaws.com/_plugin/kibana/#/discover/Steve-Slow-Train-Analysis-(2080s-and-2083s)?_g=(refreshInterval:(display:Off,section:0,value:0),time:(from:'2016-09-02 15:28:15-0600',mode:absolute,to:'2016-09-02 18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15" t="str">
            <v>N</v>
          </cell>
          <cell r="X115">
            <v>1</v>
          </cell>
          <cell r="Y115">
            <v>4.6399999999999997E-2</v>
          </cell>
          <cell r="Z115">
            <v>23.3157</v>
          </cell>
          <cell r="AA115">
            <v>23.269300000000001</v>
          </cell>
          <cell r="AB115" t="e">
            <v>#N/A</v>
          </cell>
          <cell r="AC115" t="e">
            <v>#N/A</v>
          </cell>
          <cell r="AD115" t="str">
            <v>0203-02</v>
          </cell>
          <cell r="AE115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116">
          <cell r="A116" t="str">
            <v>204-02</v>
          </cell>
          <cell r="B116">
            <v>4010</v>
          </cell>
          <cell r="C116" t="str">
            <v>DE.1.0.7.0</v>
          </cell>
          <cell r="D116" t="str">
            <v>204:232848</v>
          </cell>
          <cell r="E116">
            <v>42615.721909722219</v>
          </cell>
          <cell r="F116">
            <v>42615.726550925923</v>
          </cell>
          <cell r="G116">
            <v>1</v>
          </cell>
          <cell r="H116" t="str">
            <v>204:150</v>
          </cell>
          <cell r="I116">
            <v>42615.759212962963</v>
          </cell>
          <cell r="J116">
            <v>1</v>
          </cell>
          <cell r="K116" t="str">
            <v>4009/4010</v>
          </cell>
          <cell r="L116" t="str">
            <v>CLARK</v>
          </cell>
          <cell r="M116">
            <v>3.2662037039699499E-2</v>
          </cell>
          <cell r="N116">
            <v>47.033333337167278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https://search-rtdc-monitor-bjffxe2xuh6vdkpspy63sjmuny.us-east-1.es.amazonaws.com/_plugin/kibana/#/discover/Steve-Slow-Train-Analysis-(2080s-and-2083s)?_g=(refreshInterval:(display:Off,section:0,value:0),time:(from:'2016-09-02 16:19:33-0600',mode:absolute,to:'2016-09-02 19:13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16" t="str">
            <v>N</v>
          </cell>
          <cell r="X116">
            <v>1</v>
          </cell>
          <cell r="Y116">
            <v>23.284800000000001</v>
          </cell>
          <cell r="Z116">
            <v>1.4999999999999999E-2</v>
          </cell>
          <cell r="AA116">
            <v>23.2698</v>
          </cell>
          <cell r="AB116">
            <v>42961</v>
          </cell>
          <cell r="AC116" t="str">
            <v>GRADE CROSSING</v>
          </cell>
          <cell r="AD116" t="str">
            <v>0204-02</v>
          </cell>
          <cell r="AE116" t="str">
    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    </cell>
        </row>
        <row r="117">
          <cell r="A117" t="str">
            <v>205-02</v>
          </cell>
          <cell r="B117">
            <v>4044</v>
          </cell>
          <cell r="C117" t="str">
            <v>DE.1.0.7.0</v>
          </cell>
          <cell r="D117" t="str">
            <v>204:435</v>
          </cell>
          <cell r="E117">
            <v>42615.693726851852</v>
          </cell>
          <cell r="F117">
            <v>42615.698125000003</v>
          </cell>
          <cell r="G117">
            <v>1</v>
          </cell>
          <cell r="H117" t="str">
            <v>204:233312</v>
          </cell>
          <cell r="I117">
            <v>42615.723981481482</v>
          </cell>
          <cell r="J117">
            <v>1</v>
          </cell>
          <cell r="K117" t="str">
            <v>4043/4044</v>
          </cell>
          <cell r="L117" t="str">
            <v>BONDS</v>
          </cell>
          <cell r="M117">
            <v>2.5856481479422655E-2</v>
          </cell>
          <cell r="N117">
            <v>37.233333330368623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https://search-rtdc-monitor-bjffxe2xuh6vdkpspy63sjmuny.us-east-1.es.amazonaws.com/_plugin/kibana/#/discover/Steve-Slow-Train-Analysis-(2080s-and-2083s)?_g=(refreshInterval:(display:Off,section:0,value:0),time:(from:'2016-09-02 15:38:58-0600',mode:absolute,to:'2016-09-02 18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17" t="str">
            <v>N</v>
          </cell>
          <cell r="X117">
            <v>1</v>
          </cell>
          <cell r="Y117">
            <v>4.3499999999999997E-2</v>
          </cell>
          <cell r="Z117">
            <v>23.331199999999999</v>
          </cell>
          <cell r="AA117">
            <v>23.287699999999997</v>
          </cell>
          <cell r="AB117" t="e">
            <v>#N/A</v>
          </cell>
          <cell r="AC117" t="e">
            <v>#N/A</v>
          </cell>
          <cell r="AD117" t="str">
            <v>0205-02</v>
          </cell>
          <cell r="AE117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118">
          <cell r="A118" t="str">
            <v>206-02</v>
          </cell>
          <cell r="B118">
            <v>4043</v>
          </cell>
          <cell r="C118" t="str">
            <v>DE.1.0.7.0</v>
          </cell>
          <cell r="D118" t="str">
            <v>204:233008</v>
          </cell>
          <cell r="E118">
            <v>42615.725752314815</v>
          </cell>
          <cell r="F118">
            <v>42615.736967592595</v>
          </cell>
          <cell r="G118">
            <v>10</v>
          </cell>
          <cell r="H118" t="str">
            <v>204:145</v>
          </cell>
          <cell r="I118">
            <v>42615.770428240743</v>
          </cell>
          <cell r="J118">
            <v>1</v>
          </cell>
          <cell r="K118" t="str">
            <v>4043/4044</v>
          </cell>
          <cell r="L118" t="str">
            <v>BONDS</v>
          </cell>
          <cell r="M118">
            <v>3.3460648148320615E-2</v>
          </cell>
          <cell r="N118">
            <v>48.183333333581686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https://search-rtdc-monitor-bjffxe2xuh6vdkpspy63sjmuny.us-east-1.es.amazonaws.com/_plugin/kibana/#/discover/Steve-Slow-Train-Analysis-(2080s-and-2083s)?_g=(refreshInterval:(display:Off,section:0,value:0),time:(from:'2016-09-02 16:25:05-0600',mode:absolute,to:'2016-09-02 19:29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18" t="str">
            <v>N</v>
          </cell>
          <cell r="X118">
            <v>1</v>
          </cell>
          <cell r="Y118">
            <v>23.300799999999999</v>
          </cell>
          <cell r="Z118">
            <v>1.4500000000000001E-2</v>
          </cell>
          <cell r="AA118">
            <v>23.286299999999997</v>
          </cell>
          <cell r="AB118" t="e">
            <v>#N/A</v>
          </cell>
          <cell r="AC118" t="e">
            <v>#N/A</v>
          </cell>
          <cell r="AD118" t="str">
            <v>0206-02</v>
          </cell>
          <cell r="AE118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119">
          <cell r="A119" t="str">
            <v>207-02</v>
          </cell>
          <cell r="B119">
            <v>4031</v>
          </cell>
          <cell r="C119" t="str">
            <v>DE.1.0.7.0</v>
          </cell>
          <cell r="D119" t="str">
            <v>204:453</v>
          </cell>
          <cell r="E119">
            <v>42615.704745370371</v>
          </cell>
          <cell r="F119">
            <v>42615.708622685182</v>
          </cell>
          <cell r="G119">
            <v>2</v>
          </cell>
          <cell r="H119" t="str">
            <v>204:233312</v>
          </cell>
          <cell r="I119">
            <v>42615.734236111108</v>
          </cell>
          <cell r="J119">
            <v>1</v>
          </cell>
          <cell r="K119" t="str">
            <v>4031/4032</v>
          </cell>
          <cell r="L119" t="str">
            <v>MOSES</v>
          </cell>
          <cell r="M119">
            <v>2.5613425925257616E-2</v>
          </cell>
          <cell r="N119">
            <v>36.883333332370967</v>
          </cell>
          <cell r="S119">
            <v>1</v>
          </cell>
          <cell r="T119" t="str">
            <v>NorthBound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https://search-rtdc-monitor-bjffxe2xuh6vdkpspy63sjmuny.us-east-1.es.amazonaws.com/_plugin/kibana/#/discover/Steve-Slow-Train-Analysis-(2080s-and-2083s)?_g=(refreshInterval:(display:Off,section:0,value:0),time:(from:'2016-09-02 15:54:50-0600',mode:absolute,to:'2016-09-02 18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19" t="str">
            <v>N</v>
          </cell>
          <cell r="X119">
            <v>1</v>
          </cell>
          <cell r="Y119">
            <v>4.53E-2</v>
          </cell>
          <cell r="Z119">
            <v>23.331199999999999</v>
          </cell>
          <cell r="AA119">
            <v>23.285899999999998</v>
          </cell>
          <cell r="AB119" t="e">
            <v>#N/A</v>
          </cell>
          <cell r="AC119" t="e">
            <v>#N/A</v>
          </cell>
          <cell r="AD119" t="str">
            <v>0207-02</v>
          </cell>
          <cell r="AE119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120">
          <cell r="A120" t="str">
            <v>208-02</v>
          </cell>
          <cell r="B120">
            <v>4032</v>
          </cell>
          <cell r="C120" t="str">
            <v>DE.1.0.7.0</v>
          </cell>
          <cell r="D120" t="str">
            <v>204:233009</v>
          </cell>
          <cell r="E120">
            <v>42615.745879629627</v>
          </cell>
          <cell r="F120">
            <v>42615.748113425929</v>
          </cell>
          <cell r="G120">
            <v>2</v>
          </cell>
          <cell r="H120" t="str">
            <v>204:149</v>
          </cell>
          <cell r="I120">
            <v>42615.778877314813</v>
          </cell>
          <cell r="J120">
            <v>1</v>
          </cell>
          <cell r="K120" t="str">
            <v>4031/4032</v>
          </cell>
          <cell r="L120" t="str">
            <v>MOSES</v>
          </cell>
          <cell r="M120">
            <v>3.0763888884393964E-2</v>
          </cell>
          <cell r="N120">
            <v>44.299999993527308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https://search-rtdc-monitor-bjffxe2xuh6vdkpspy63sjmuny.us-east-1.es.amazonaws.com/_plugin/kibana/#/discover/Steve-Slow-Train-Analysis-(2080s-and-2083s)?_g=(refreshInterval:(display:Off,section:0,value:0),time:(from:'2016-09-02 16:54:04-0600',mode:absolute,to:'2016-09-02 19:41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20" t="str">
            <v>N</v>
          </cell>
          <cell r="X120">
            <v>1</v>
          </cell>
          <cell r="Y120">
            <v>23.300899999999999</v>
          </cell>
          <cell r="Z120">
            <v>1.49E-2</v>
          </cell>
          <cell r="AA120">
            <v>23.285999999999998</v>
          </cell>
          <cell r="AB120" t="e">
            <v>#N/A</v>
          </cell>
          <cell r="AC120" t="e">
            <v>#N/A</v>
          </cell>
          <cell r="AD120" t="str">
            <v>0208-02</v>
          </cell>
          <cell r="AE120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121">
          <cell r="A121" t="str">
            <v>209-02</v>
          </cell>
          <cell r="B121">
            <v>4053</v>
          </cell>
          <cell r="C121" t="str">
            <v>DE.1.0.7.0</v>
          </cell>
          <cell r="D121" t="str">
            <v>204:449</v>
          </cell>
          <cell r="E121">
            <v>42615.715046296296</v>
          </cell>
          <cell r="F121">
            <v>42615.718900462962</v>
          </cell>
          <cell r="G121">
            <v>1</v>
          </cell>
          <cell r="H121" t="str">
            <v>204:233312</v>
          </cell>
          <cell r="I121">
            <v>42615.744016203702</v>
          </cell>
          <cell r="J121">
            <v>1</v>
          </cell>
          <cell r="K121" t="str">
            <v>4053/4054</v>
          </cell>
          <cell r="L121" t="str">
            <v>ISHMAEL</v>
          </cell>
          <cell r="M121">
            <v>2.5115740740147885E-2</v>
          </cell>
          <cell r="N121">
            <v>36.166666665812954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https://search-rtdc-monitor-bjffxe2xuh6vdkpspy63sjmuny.us-east-1.es.amazonaws.com/_plugin/kibana/#/discover/Steve-Slow-Train-Analysis-(2080s-and-2083s)?_g=(refreshInterval:(display:Off,section:0,value:0),time:(from:'2016-09-02 16:09:40-0600',mode:absolute,to:'2016-09-02 18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    </cell>
          <cell r="W121" t="str">
            <v>N</v>
          </cell>
          <cell r="X121">
            <v>1</v>
          </cell>
          <cell r="Y121">
            <v>4.4900000000000002E-2</v>
          </cell>
          <cell r="Z121">
            <v>23.331199999999999</v>
          </cell>
          <cell r="AA121">
            <v>23.286300000000001</v>
          </cell>
          <cell r="AB121" t="e">
            <v>#N/A</v>
          </cell>
          <cell r="AC121" t="e">
            <v>#N/A</v>
          </cell>
          <cell r="AD121" t="str">
            <v>0209-02</v>
          </cell>
          <cell r="AE121" t="str">
    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    </cell>
        </row>
        <row r="122">
          <cell r="A122" t="str">
            <v>210-02</v>
          </cell>
          <cell r="B122">
            <v>4054</v>
          </cell>
          <cell r="C122" t="str">
            <v>DE.1.0.7.0</v>
          </cell>
          <cell r="D122" t="str">
            <v>204:233000</v>
          </cell>
          <cell r="E122">
            <v>42615.751875000002</v>
          </cell>
          <cell r="F122">
            <v>42615.758229166669</v>
          </cell>
          <cell r="G122">
            <v>1</v>
          </cell>
          <cell r="H122" t="str">
            <v>204:150</v>
          </cell>
          <cell r="I122">
            <v>42615.789363425924</v>
          </cell>
          <cell r="J122">
            <v>1</v>
          </cell>
          <cell r="K122" t="str">
            <v>4053/4054</v>
          </cell>
          <cell r="L122" t="str">
            <v>ISHMAEL</v>
          </cell>
          <cell r="M122">
            <v>3.1134259254031349E-2</v>
          </cell>
          <cell r="N122">
            <v>44.833333325805143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https://search-rtdc-monitor-bjffxe2xuh6vdkpspy63sjmuny.us-east-1.es.amazonaws.com/_plugin/kibana/#/discover/Steve-Slow-Train-Analysis-(2080s-and-2083s)?_g=(refreshInterval:(display:Off,section:0,value:0),time:(from:'2016-09-02 17:02:42-0600',mode:absolute,to:'2016-09-02 19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    </cell>
          <cell r="W122" t="str">
            <v>N</v>
          </cell>
          <cell r="X122">
            <v>1</v>
          </cell>
          <cell r="Y122">
            <v>23.3</v>
          </cell>
          <cell r="Z122">
            <v>1.4999999999999999E-2</v>
          </cell>
          <cell r="AA122">
            <v>23.285</v>
          </cell>
          <cell r="AB122">
            <v>190834</v>
          </cell>
          <cell r="AC122" t="str">
            <v>PERMANENT SPEED RESTRICTION</v>
          </cell>
          <cell r="AD122" t="str">
            <v>0210-02</v>
          </cell>
          <cell r="AE122" t="str">
    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    </cell>
        </row>
        <row r="123">
          <cell r="A123" t="str">
            <v>211-02</v>
          </cell>
          <cell r="B123">
            <v>4029</v>
          </cell>
          <cell r="C123" t="str">
            <v>DE.1.0.7.0</v>
          </cell>
          <cell r="D123" t="str">
            <v>204:469</v>
          </cell>
          <cell r="E123">
            <v>42615.723969907405</v>
          </cell>
          <cell r="F123">
            <v>42615.729444444441</v>
          </cell>
          <cell r="G123">
            <v>1</v>
          </cell>
          <cell r="H123" t="str">
            <v>204:233314</v>
          </cell>
          <cell r="I123">
            <v>42615.762152777781</v>
          </cell>
          <cell r="J123">
            <v>1</v>
          </cell>
          <cell r="K123" t="str">
            <v>4029/4030</v>
          </cell>
          <cell r="L123" t="str">
            <v>SHOOK</v>
          </cell>
          <cell r="M123">
            <v>3.270833333954215E-2</v>
          </cell>
          <cell r="N123">
            <v>47.100000008940697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https://search-rtdc-monitor-bjffxe2xuh6vdkpspy63sjmuny.us-east-1.es.amazonaws.com/_plugin/kibana/#/discover/Steve-Slow-Train-Analysis-(2080s-and-2083s)?_g=(refreshInterval:(display:Off,section:0,value:0),time:(from:'2016-09-02 16:22:31-0600',mode:absolute,to:'2016-09-02 19:17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23" t="str">
            <v>N</v>
          </cell>
          <cell r="X123">
            <v>1</v>
          </cell>
          <cell r="Y123">
            <v>4.6899999999999997E-2</v>
          </cell>
          <cell r="Z123">
            <v>23.331399999999999</v>
          </cell>
          <cell r="AA123">
            <v>23.284499999999998</v>
          </cell>
          <cell r="AB123" t="e">
            <v>#N/A</v>
          </cell>
          <cell r="AC123" t="e">
            <v>#N/A</v>
          </cell>
          <cell r="AD123" t="str">
            <v>0211-02</v>
          </cell>
          <cell r="AE123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124">
          <cell r="A124" t="str">
            <v>212-02</v>
          </cell>
          <cell r="B124">
            <v>4030</v>
          </cell>
          <cell r="C124" t="str">
            <v>DE.1.0.7.0</v>
          </cell>
          <cell r="D124" t="str">
            <v>204:232998</v>
          </cell>
          <cell r="E124">
            <v>42615.765104166669</v>
          </cell>
          <cell r="F124">
            <v>42615.768206018518</v>
          </cell>
          <cell r="G124">
            <v>1</v>
          </cell>
          <cell r="H124" t="str">
            <v>204:1326</v>
          </cell>
          <cell r="I124">
            <v>42615.799791666665</v>
          </cell>
          <cell r="J124">
            <v>0</v>
          </cell>
          <cell r="K124" t="str">
            <v>4029/4030</v>
          </cell>
          <cell r="L124" t="str">
            <v>SHOOK</v>
          </cell>
          <cell r="M124">
            <v>3.1585648146574385E-2</v>
          </cell>
          <cell r="N124">
            <v>45.483333331067115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https://search-rtdc-monitor-bjffxe2xuh6vdkpspy63sjmuny.us-east-1.es.amazonaws.com/_plugin/kibana/#/discover/Steve-Slow-Train-Analysis-(2080s-and-2083s)?_g=(refreshInterval:(display:Off,section:0,value:0),time:(from:'2016-09-02 17:21:45-0600',mode:absolute,to:'2016-09-02 20:11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24" t="str">
            <v>N</v>
          </cell>
          <cell r="X124">
            <v>1</v>
          </cell>
          <cell r="Y124">
            <v>23.299800000000001</v>
          </cell>
          <cell r="Z124">
            <v>0.1326</v>
          </cell>
          <cell r="AA124">
            <v>23.167200000000001</v>
          </cell>
          <cell r="AB124" t="e">
            <v>#N/A</v>
          </cell>
          <cell r="AC124" t="e">
            <v>#N/A</v>
          </cell>
          <cell r="AD124" t="str">
            <v>0212-02</v>
          </cell>
          <cell r="AE124" t="str">
    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    </cell>
        </row>
        <row r="125">
          <cell r="A125" t="str">
            <v>213-02</v>
          </cell>
          <cell r="B125">
            <v>4046</v>
          </cell>
          <cell r="C125" t="str">
            <v>DE.1.0.7.0</v>
          </cell>
          <cell r="D125" t="str">
            <v>204:471</v>
          </cell>
          <cell r="E125">
            <v>42615.735578703701</v>
          </cell>
          <cell r="F125">
            <v>42615.74009259259</v>
          </cell>
          <cell r="G125">
            <v>1</v>
          </cell>
          <cell r="H125" t="str">
            <v>204:233291</v>
          </cell>
          <cell r="I125">
            <v>42615.766377314816</v>
          </cell>
          <cell r="J125">
            <v>1</v>
          </cell>
          <cell r="K125" t="str">
            <v>4045/4046</v>
          </cell>
          <cell r="L125" t="str">
            <v>YANAI</v>
          </cell>
          <cell r="M125">
            <v>2.6284722225682344E-2</v>
          </cell>
          <cell r="N125">
            <v>37.850000004982576</v>
          </cell>
          <cell r="S125">
            <v>1</v>
          </cell>
          <cell r="T125" t="str">
            <v>NorthBound</v>
          </cell>
          <cell r="U125">
            <v>12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https://search-rtdc-monitor-bjffxe2xuh6vdkpspy63sjmuny.us-east-1.es.amazonaws.com/_plugin/kibana/#/discover/Steve-Slow-Train-Analysis-(2080s-and-2083s)?_g=(refreshInterval:(display:Off,section:0,value:0),time:(from:'2016-09-02 16:39:14-0600',mode:absolute,to:'2016-09-02 19:23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25" t="str">
            <v>N</v>
          </cell>
          <cell r="X125">
            <v>1</v>
          </cell>
          <cell r="Y125">
            <v>4.7100000000000003E-2</v>
          </cell>
          <cell r="Z125">
            <v>23.3291</v>
          </cell>
          <cell r="AA125">
            <v>23.282</v>
          </cell>
          <cell r="AB125" t="e">
            <v>#N/A</v>
          </cell>
          <cell r="AC125" t="e">
            <v>#N/A</v>
          </cell>
          <cell r="AD125" t="str">
            <v>0213-02</v>
          </cell>
          <cell r="AE125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126">
          <cell r="A126" t="str">
            <v>214-02</v>
          </cell>
          <cell r="B126">
            <v>4045</v>
          </cell>
          <cell r="C126" t="str">
            <v>DE.1.0.7.0</v>
          </cell>
          <cell r="D126" t="str">
            <v>204:232989</v>
          </cell>
          <cell r="E126">
            <v>42615.773865740739</v>
          </cell>
          <cell r="F126">
            <v>42615.778865740744</v>
          </cell>
          <cell r="G126">
            <v>6</v>
          </cell>
          <cell r="H126" t="str">
            <v>204:152</v>
          </cell>
          <cell r="I126">
            <v>42615.805902777778</v>
          </cell>
          <cell r="J126">
            <v>1</v>
          </cell>
          <cell r="K126" t="str">
            <v>4045/4046</v>
          </cell>
          <cell r="L126" t="str">
            <v>YANAI</v>
          </cell>
          <cell r="M126">
            <v>2.7037037034460809E-2</v>
          </cell>
          <cell r="N126">
            <v>38.933333329623565</v>
          </cell>
          <cell r="S126">
            <v>1</v>
          </cell>
          <cell r="T126" t="str">
            <v>Southbound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https://search-rtdc-monitor-bjffxe2xuh6vdkpspy63sjmuny.us-east-1.es.amazonaws.com/_plugin/kibana/#/discover/Steve-Slow-Train-Analysis-(2080s-and-2083s)?_g=(refreshInterval:(display:Off,section:0,value:0),time:(from:'2016-09-02 17:34:22-0600',mode:absolute,to:'2016-09-02 20:20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26" t="str">
            <v>N</v>
          </cell>
          <cell r="X126">
            <v>1</v>
          </cell>
          <cell r="Y126">
            <v>23.2989</v>
          </cell>
          <cell r="Z126">
            <v>1.52E-2</v>
          </cell>
          <cell r="AA126">
            <v>23.2837</v>
          </cell>
          <cell r="AB126" t="e">
            <v>#N/A</v>
          </cell>
          <cell r="AC126" t="e">
            <v>#N/A</v>
          </cell>
          <cell r="AD126" t="str">
            <v>0214-02</v>
          </cell>
          <cell r="AE126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127">
          <cell r="A127" t="str">
            <v>215-02</v>
          </cell>
          <cell r="B127">
            <v>4016</v>
          </cell>
          <cell r="C127" t="str">
            <v>DE.1.0.7.0</v>
          </cell>
          <cell r="D127" t="str">
            <v>204:475</v>
          </cell>
          <cell r="E127">
            <v>42615.746620370373</v>
          </cell>
          <cell r="F127">
            <v>42615.75037037037</v>
          </cell>
          <cell r="G127">
            <v>2</v>
          </cell>
          <cell r="H127" t="str">
            <v>204:233272</v>
          </cell>
          <cell r="I127">
            <v>42615.776979166665</v>
          </cell>
          <cell r="J127">
            <v>1</v>
          </cell>
          <cell r="K127" t="str">
            <v>4015/4016</v>
          </cell>
          <cell r="L127" t="str">
            <v>WEBSTER</v>
          </cell>
          <cell r="M127">
            <v>2.6608796295477077E-2</v>
          </cell>
          <cell r="N127">
            <v>38.316666665486991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https://search-rtdc-monitor-bjffxe2xuh6vdkpspy63sjmuny.us-east-1.es.amazonaws.com/_plugin/kibana/#/discover/Steve-Slow-Train-Analysis-(2080s-and-2083s)?_g=(refreshInterval:(display:Off,section:0,value:0),time:(from:'2016-09-02 16:55:08-0600',mode:absolute,to:'2016-09-02 19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27" t="str">
            <v>N</v>
          </cell>
          <cell r="X127">
            <v>1</v>
          </cell>
          <cell r="Y127">
            <v>4.7500000000000001E-2</v>
          </cell>
          <cell r="Z127">
            <v>23.327200000000001</v>
          </cell>
          <cell r="AA127">
            <v>23.279700000000002</v>
          </cell>
          <cell r="AB127">
            <v>1692</v>
          </cell>
          <cell r="AC127" t="str">
            <v>SWITCH UNKNOWN</v>
          </cell>
          <cell r="AD127" t="str">
            <v>0215-02</v>
          </cell>
          <cell r="AE127" t="str">
    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    </cell>
        </row>
        <row r="128">
          <cell r="A128" t="str">
            <v>216-02</v>
          </cell>
          <cell r="B128">
            <v>4015</v>
          </cell>
          <cell r="C128" t="str">
            <v>DE.1.0.7.0</v>
          </cell>
          <cell r="D128" t="str">
            <v>204:232986</v>
          </cell>
          <cell r="E128">
            <v>42615.786666666667</v>
          </cell>
          <cell r="F128">
            <v>42615.789351851854</v>
          </cell>
          <cell r="G128">
            <v>1</v>
          </cell>
          <cell r="H128" t="str">
            <v>204:960</v>
          </cell>
          <cell r="I128">
            <v>42615.818414351852</v>
          </cell>
          <cell r="J128">
            <v>1</v>
          </cell>
          <cell r="K128" t="str">
            <v>4015/4016</v>
          </cell>
          <cell r="L128" t="str">
            <v>WEBSTER</v>
          </cell>
          <cell r="M128">
            <v>2.9062499997962732E-2</v>
          </cell>
          <cell r="N128">
            <v>41.849999997066334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https://search-rtdc-monitor-bjffxe2xuh6vdkpspy63sjmuny.us-east-1.es.amazonaws.com/_plugin/kibana/#/discover/Steve-Slow-Train-Analysis-(2080s-and-2083s)?_g=(refreshInterval:(display:Off,section:0,value:0),time:(from:'2016-09-02 17:52:48-0600',mode:absolute,to:'2016-09-02 20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28" t="str">
            <v>N</v>
          </cell>
          <cell r="X128">
            <v>1</v>
          </cell>
          <cell r="Y128">
            <v>23.2986</v>
          </cell>
          <cell r="Z128">
            <v>9.6000000000000002E-2</v>
          </cell>
          <cell r="AA128">
            <v>23.2026</v>
          </cell>
          <cell r="AB128" t="e">
            <v>#N/A</v>
          </cell>
          <cell r="AC128" t="e">
            <v>#N/A</v>
          </cell>
          <cell r="AD128" t="str">
            <v>0216-02</v>
          </cell>
          <cell r="AE128" t="str">
    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    </cell>
        </row>
        <row r="129">
          <cell r="A129" t="str">
            <v>217-02</v>
          </cell>
          <cell r="B129">
            <v>4009</v>
          </cell>
          <cell r="C129" t="str">
            <v>DE.1.0.7.0</v>
          </cell>
          <cell r="D129" t="str">
            <v>204:526</v>
          </cell>
          <cell r="E129">
            <v>42615.764606481483</v>
          </cell>
          <cell r="F129">
            <v>42615.767199074071</v>
          </cell>
          <cell r="G129">
            <v>3</v>
          </cell>
          <cell r="H129" t="str">
            <v>204:233288</v>
          </cell>
          <cell r="I129">
            <v>42615.794351851851</v>
          </cell>
          <cell r="J129">
            <v>1</v>
          </cell>
          <cell r="K129" t="str">
            <v>4009/4010</v>
          </cell>
          <cell r="L129" t="str">
            <v>CHANDLER</v>
          </cell>
          <cell r="M129">
            <v>2.715277778042946E-2</v>
          </cell>
          <cell r="N129">
            <v>39.100000003818423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https://search-rtdc-monitor-bjffxe2xuh6vdkpspy63sjmuny.us-east-1.es.amazonaws.com/_plugin/kibana/#/discover/Steve-Slow-Train-Analysis-(2080s-and-2083s)?_g=(refreshInterval:(display:Off,section:0,value:0),time:(from:'2016-09-02 17:21:02-0600',mode:absolute,to:'2016-09-02 20:03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29" t="str">
            <v>N</v>
          </cell>
          <cell r="X129">
            <v>1</v>
          </cell>
          <cell r="Y129">
            <v>5.2600000000000001E-2</v>
          </cell>
          <cell r="Z129">
            <v>23.328800000000001</v>
          </cell>
          <cell r="AA129">
            <v>23.276199999999999</v>
          </cell>
          <cell r="AB129" t="e">
            <v>#N/A</v>
          </cell>
          <cell r="AC129" t="e">
            <v>#N/A</v>
          </cell>
          <cell r="AD129" t="str">
            <v>0217-02</v>
          </cell>
          <cell r="AE129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130">
          <cell r="A130" t="str">
            <v>218-02</v>
          </cell>
          <cell r="B130">
            <v>4010</v>
          </cell>
          <cell r="C130" t="str">
            <v>DE.1.0.7.0</v>
          </cell>
          <cell r="D130" t="str">
            <v>204:526</v>
          </cell>
          <cell r="E130">
            <v>42615.764606481483</v>
          </cell>
          <cell r="F130">
            <v>42615.799131944441</v>
          </cell>
          <cell r="G130">
            <v>3</v>
          </cell>
          <cell r="H130" t="str">
            <v>204:233288</v>
          </cell>
          <cell r="I130">
            <v>42615.800821759258</v>
          </cell>
          <cell r="J130">
            <v>1</v>
          </cell>
          <cell r="K130" t="str">
            <v>4009/4010</v>
          </cell>
          <cell r="L130" t="str">
            <v>CHANDLER</v>
          </cell>
          <cell r="M130">
            <v>1.6898148169275373E-3</v>
          </cell>
          <cell r="P130">
            <v>2.4333333363756537</v>
          </cell>
          <cell r="R130" t="str">
            <v>Onboard in-route failure</v>
          </cell>
          <cell r="S130">
            <v>0</v>
          </cell>
          <cell r="T130" t="str">
            <v>Southbound</v>
          </cell>
          <cell r="U130">
            <v>0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https://search-rtdc-monitor-bjffxe2xuh6vdkpspy63sjmuny.us-east-1.es.amazonaws.com/_plugin/kibana/#/discover/Steve-Slow-Train-Analysis-(2080s-and-2083s)?_g=(refreshInterval:(display:Off,section:0,value:0),time:(from:'2016-09-02 17:21:02-0600',mode:absolute,to:'2016-09-02 20:13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30" t="str">
            <v>N</v>
          </cell>
          <cell r="X130">
            <v>1</v>
          </cell>
          <cell r="Y130">
            <v>5.2600000000000001E-2</v>
          </cell>
          <cell r="Z130">
            <v>23.328800000000001</v>
          </cell>
          <cell r="AA130">
            <v>23.276199999999999</v>
          </cell>
          <cell r="AB130" t="e">
            <v>#N/A</v>
          </cell>
          <cell r="AC130" t="e">
            <v>#N/A</v>
          </cell>
          <cell r="AD130" t="str">
            <v>0218-02</v>
          </cell>
          <cell r="AE130" t="str">
    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    </cell>
        </row>
        <row r="131">
          <cell r="A131" t="str">
            <v>219-02</v>
          </cell>
          <cell r="B131">
            <v>4044</v>
          </cell>
          <cell r="C131" t="str">
            <v>DE.1.0.7.0</v>
          </cell>
          <cell r="D131" t="str">
            <v>204:427</v>
          </cell>
          <cell r="E131">
            <v>42615.77853009259</v>
          </cell>
          <cell r="F131">
            <v>42615.780324074076</v>
          </cell>
          <cell r="G131">
            <v>1</v>
          </cell>
          <cell r="H131" t="str">
            <v>204:233297</v>
          </cell>
          <cell r="I131">
            <v>42615.809398148151</v>
          </cell>
          <cell r="J131">
            <v>1</v>
          </cell>
          <cell r="K131" t="str">
            <v>4043/4044</v>
          </cell>
          <cell r="L131" t="str">
            <v>HILLS</v>
          </cell>
          <cell r="M131">
            <v>2.9074074074742384E-2</v>
          </cell>
          <cell r="N131">
            <v>41.866666667629033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https://search-rtdc-monitor-bjffxe2xuh6vdkpspy63sjmuny.us-east-1.es.amazonaws.com/_plugin/kibana/#/discover/Steve-Slow-Train-Analysis-(2080s-and-2083s)?_g=(refreshInterval:(display:Off,section:0,value:0),time:(from:'2016-09-02 17:41:05-0600',mode:absolute,to:'2016-09-02 20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31" t="str">
            <v>N</v>
          </cell>
          <cell r="X131">
            <v>1</v>
          </cell>
          <cell r="Y131">
            <v>4.2700000000000002E-2</v>
          </cell>
          <cell r="Z131">
            <v>23.329699999999999</v>
          </cell>
          <cell r="AA131">
            <v>23.286999999999999</v>
          </cell>
          <cell r="AB131" t="e">
            <v>#N/A</v>
          </cell>
          <cell r="AC131" t="e">
            <v>#N/A</v>
          </cell>
          <cell r="AD131" t="str">
            <v>0219-02</v>
          </cell>
          <cell r="AE131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132">
          <cell r="A132" t="str">
            <v>220-02</v>
          </cell>
          <cell r="B132">
            <v>4043</v>
          </cell>
          <cell r="C132" t="str">
            <v>DE.1.0.7.0</v>
          </cell>
          <cell r="D132" t="str">
            <v>204:232988</v>
          </cell>
          <cell r="E132">
            <v>42615.811018518521</v>
          </cell>
          <cell r="F132">
            <v>42615.818645833337</v>
          </cell>
          <cell r="G132">
            <v>1</v>
          </cell>
          <cell r="H132" t="str">
            <v>204:147</v>
          </cell>
          <cell r="I132">
            <v>42615.847673611112</v>
          </cell>
          <cell r="J132">
            <v>1</v>
          </cell>
          <cell r="K132" t="str">
            <v>4043/4044</v>
          </cell>
          <cell r="L132" t="str">
            <v>HILLS</v>
          </cell>
          <cell r="M132">
            <v>2.9027777774899732E-2</v>
          </cell>
          <cell r="N132">
            <v>41.799999995855615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https://search-rtdc-monitor-bjffxe2xuh6vdkpspy63sjmuny.us-east-1.es.amazonaws.com/_plugin/kibana/#/discover/Steve-Slow-Train-Analysis-(2080s-and-2083s)?_g=(refreshInterval:(display:Off,section:0,value:0),time:(from:'2016-09-02 18:27:52-0600',mode:absolute,to:'2016-09-02 21:20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32" t="str">
            <v>N</v>
          </cell>
          <cell r="X132">
            <v>1</v>
          </cell>
          <cell r="Y132">
            <v>23.2988</v>
          </cell>
          <cell r="Z132">
            <v>1.47E-2</v>
          </cell>
          <cell r="AA132">
            <v>23.284099999999999</v>
          </cell>
          <cell r="AB132" t="e">
            <v>#N/A</v>
          </cell>
          <cell r="AC132" t="e">
            <v>#N/A</v>
          </cell>
          <cell r="AD132" t="str">
            <v>0220-02</v>
          </cell>
          <cell r="AE132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133">
          <cell r="A133" t="str">
            <v>221-02</v>
          </cell>
          <cell r="B133">
            <v>4031</v>
          </cell>
          <cell r="C133" t="str">
            <v>DE.1.0.7.0</v>
          </cell>
          <cell r="D133" t="str">
            <v>204:466</v>
          </cell>
          <cell r="E133">
            <v>42615.787152777775</v>
          </cell>
          <cell r="F133">
            <v>42615.79278935185</v>
          </cell>
          <cell r="G133">
            <v>1</v>
          </cell>
          <cell r="H133" t="str">
            <v>204:233314</v>
          </cell>
          <cell r="I133">
            <v>42615.823425925926</v>
          </cell>
          <cell r="J133">
            <v>1</v>
          </cell>
          <cell r="K133" t="str">
            <v>4031/4032</v>
          </cell>
          <cell r="L133" t="str">
            <v>HAITHCOX</v>
          </cell>
          <cell r="M133">
            <v>3.0636574076197576E-2</v>
          </cell>
          <cell r="N133">
            <v>44.116666669724509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https://search-rtdc-monitor-bjffxe2xuh6vdkpspy63sjmuny.us-east-1.es.amazonaws.com/_plugin/kibana/#/discover/Steve-Slow-Train-Analysis-(2080s-and-2083s)?_g=(refreshInterval:(display:Off,section:0,value:0),time:(from:'2016-09-02 17:53:30-0600',mode:absolute,to:'2016-09-02 20:45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33" t="str">
            <v>N</v>
          </cell>
          <cell r="X133">
            <v>1</v>
          </cell>
          <cell r="Y133">
            <v>4.6600000000000003E-2</v>
          </cell>
          <cell r="Z133">
            <v>23.331399999999999</v>
          </cell>
          <cell r="AA133">
            <v>23.284799999999997</v>
          </cell>
          <cell r="AB133" t="e">
            <v>#N/A</v>
          </cell>
          <cell r="AC133" t="e">
            <v>#N/A</v>
          </cell>
          <cell r="AD133" t="str">
            <v>0221-02</v>
          </cell>
          <cell r="AE133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134">
          <cell r="A134" t="str">
            <v>222-02</v>
          </cell>
          <cell r="B134">
            <v>4032</v>
          </cell>
          <cell r="C134" t="str">
            <v>DE.1.0.7.0</v>
          </cell>
          <cell r="D134" t="str">
            <v>204:232998</v>
          </cell>
          <cell r="E134">
            <v>42615.828472222223</v>
          </cell>
          <cell r="F134">
            <v>42615.83090277778</v>
          </cell>
          <cell r="G134">
            <v>1</v>
          </cell>
          <cell r="H134" t="str">
            <v>204:147</v>
          </cell>
          <cell r="I134">
            <v>42615.8596875</v>
          </cell>
          <cell r="J134">
            <v>1</v>
          </cell>
          <cell r="K134" t="str">
            <v>4031/4032</v>
          </cell>
          <cell r="L134" t="str">
            <v>HAITHCOX</v>
          </cell>
          <cell r="M134">
            <v>2.8784722220734693E-2</v>
          </cell>
          <cell r="N134">
            <v>41.449999997857958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https://search-rtdc-monitor-bjffxe2xuh6vdkpspy63sjmuny.us-east-1.es.amazonaws.com/_plugin/kibana/#/discover/Steve-Slow-Train-Analysis-(2080s-and-2083s)?_g=(refreshInterval:(display:Off,section:0,value:0),time:(from:'2016-09-02 18:53:00-0600',mode:absolute,to:'2016-09-02 21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34" t="str">
            <v>N</v>
          </cell>
          <cell r="X134">
            <v>1</v>
          </cell>
          <cell r="Y134">
            <v>23.299800000000001</v>
          </cell>
          <cell r="Z134">
            <v>1.47E-2</v>
          </cell>
          <cell r="AA134">
            <v>23.2851</v>
          </cell>
          <cell r="AB134" t="e">
            <v>#N/A</v>
          </cell>
          <cell r="AC134" t="e">
            <v>#N/A</v>
          </cell>
          <cell r="AD134" t="str">
            <v>0222-02</v>
          </cell>
          <cell r="AE134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135">
          <cell r="A135" t="str">
            <v>223-02</v>
          </cell>
          <cell r="B135">
            <v>4046</v>
          </cell>
          <cell r="C135" t="str">
            <v>DE.1.0.7.0</v>
          </cell>
          <cell r="D135" t="str">
            <v>204:444</v>
          </cell>
          <cell r="E135">
            <v>42615.808749999997</v>
          </cell>
          <cell r="F135">
            <v>42615.813067129631</v>
          </cell>
          <cell r="G135">
            <v>2</v>
          </cell>
          <cell r="H135" t="str">
            <v>204:233357</v>
          </cell>
          <cell r="I135">
            <v>42615.837962962964</v>
          </cell>
          <cell r="J135">
            <v>1</v>
          </cell>
          <cell r="K135" t="str">
            <v>4045/4046</v>
          </cell>
          <cell r="L135" t="str">
            <v>YANAI</v>
          </cell>
          <cell r="M135">
            <v>2.4895833332266193E-2</v>
          </cell>
          <cell r="N135">
            <v>35.849999998463318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https://search-rtdc-monitor-bjffxe2xuh6vdkpspy63sjmuny.us-east-1.es.amazonaws.com/_plugin/kibana/#/discover/Steve-Slow-Train-Analysis-(2080s-and-2083s)?_g=(refreshInterval:(display:Off,section:0,value:0),time:(from:'2016-09-02 18:24:36-0600',mode:absolute,to:'2016-09-02 21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35" t="str">
            <v>N</v>
          </cell>
          <cell r="X135">
            <v>1</v>
          </cell>
          <cell r="Y135">
            <v>4.4400000000000002E-2</v>
          </cell>
          <cell r="Z135">
            <v>23.335699999999999</v>
          </cell>
          <cell r="AA135">
            <v>23.2913</v>
          </cell>
          <cell r="AB135" t="e">
            <v>#N/A</v>
          </cell>
          <cell r="AC135" t="e">
            <v>#N/A</v>
          </cell>
          <cell r="AD135" t="str">
            <v>0223-02</v>
          </cell>
          <cell r="AE135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136">
          <cell r="A136" t="str">
            <v>224-02</v>
          </cell>
          <cell r="B136">
            <v>4045</v>
          </cell>
          <cell r="C136" t="str">
            <v>DE.1.0.7.0</v>
          </cell>
          <cell r="D136" t="str">
            <v>204:232963</v>
          </cell>
          <cell r="E136">
            <v>42615.848796296297</v>
          </cell>
          <cell r="F136">
            <v>42615.8515625</v>
          </cell>
          <cell r="G136">
            <v>1</v>
          </cell>
          <cell r="H136" t="str">
            <v>204:165</v>
          </cell>
          <cell r="I136">
            <v>42615.877870370372</v>
          </cell>
          <cell r="J136">
            <v>1</v>
          </cell>
          <cell r="K136" t="str">
            <v>4045/4046</v>
          </cell>
          <cell r="L136" t="str">
            <v>YANAI</v>
          </cell>
          <cell r="M136">
            <v>2.6307870371965691E-2</v>
          </cell>
          <cell r="N136">
            <v>37.883333335630596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https://search-rtdc-monitor-bjffxe2xuh6vdkpspy63sjmuny.us-east-1.es.amazonaws.com/_plugin/kibana/#/discover/Steve-Slow-Train-Analysis-(2080s-and-2083s)?_g=(refreshInterval:(display:Off,section:0,value:0),time:(from:'2016-09-02 19:22:16-0600',mode:absolute,to:'2016-09-02 22:04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36" t="str">
            <v>N</v>
          </cell>
          <cell r="X136">
            <v>1</v>
          </cell>
          <cell r="Y136">
            <v>23.296299999999999</v>
          </cell>
          <cell r="Z136">
            <v>1.6500000000000001E-2</v>
          </cell>
          <cell r="AA136">
            <v>23.279799999999998</v>
          </cell>
          <cell r="AB136" t="e">
            <v>#N/A</v>
          </cell>
          <cell r="AC136" t="e">
            <v>#N/A</v>
          </cell>
          <cell r="AD136" t="str">
            <v>0224-02</v>
          </cell>
          <cell r="AE136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137">
          <cell r="A137" t="str">
            <v>225-02</v>
          </cell>
          <cell r="B137">
            <v>4038</v>
          </cell>
          <cell r="C137" t="str">
            <v>DE.1.0.7.0</v>
          </cell>
          <cell r="D137" t="str">
            <v>204:455</v>
          </cell>
          <cell r="E137">
            <v>42615.824062500003</v>
          </cell>
          <cell r="F137">
            <v>42615.833738425928</v>
          </cell>
          <cell r="G137">
            <v>1</v>
          </cell>
          <cell r="H137" t="str">
            <v>204:233315</v>
          </cell>
          <cell r="I137">
            <v>42615.858749999999</v>
          </cell>
          <cell r="J137">
            <v>1</v>
          </cell>
          <cell r="K137" t="str">
            <v>4037/4038</v>
          </cell>
          <cell r="L137" t="str">
            <v>OUN</v>
          </cell>
          <cell r="M137">
            <v>2.5011574070958886E-2</v>
          </cell>
          <cell r="N137">
            <v>36.016666662180796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https://search-rtdc-monitor-bjffxe2xuh6vdkpspy63sjmuny.us-east-1.es.amazonaws.com/_plugin/kibana/#/discover/Steve-Slow-Train-Analysis-(2080s-and-2083s)?_g=(refreshInterval:(display:Off,section:0,value:0),time:(from:'2016-09-02 18:46:39-0600',mode:absolute,to:'2016-09-02 21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37" t="str">
            <v>N</v>
          </cell>
          <cell r="X137">
            <v>1</v>
          </cell>
          <cell r="Y137">
            <v>4.5499999999999999E-2</v>
          </cell>
          <cell r="Z137">
            <v>23.331499999999998</v>
          </cell>
          <cell r="AA137">
            <v>23.285999999999998</v>
          </cell>
          <cell r="AB137" t="e">
            <v>#N/A</v>
          </cell>
          <cell r="AC137" t="e">
            <v>#N/A</v>
          </cell>
          <cell r="AD137" t="str">
            <v>0225-02</v>
          </cell>
          <cell r="AE137" t="str">
            <v>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 &amp; aws s3 cp s3://rtdc.mdm.uploadarchive/RTDC4038/2016-09-03/ "%USERPROFILE%\AppData\Local\Temp\OnboardLogs"\RTDC4038\2016-09-03 --recursive &amp; "%USERPROFILE%\Documents\GitHub\mrs-test-scripts\Headless Mode &amp; Sideloading\WalkAndUnGZ.bat" "%USERPROFILE%\AppData\Local\Temp\OnboardLogs"\RTDC4038\2016-09-03</v>
          </cell>
        </row>
        <row r="138">
          <cell r="A138" t="str">
            <v>226-02</v>
          </cell>
          <cell r="B138">
            <v>4037</v>
          </cell>
          <cell r="C138" t="str">
            <v>DE.1.0.7.0</v>
          </cell>
          <cell r="D138" t="str">
            <v>204:232989</v>
          </cell>
          <cell r="E138">
            <v>42615.867384259262</v>
          </cell>
          <cell r="F138">
            <v>42615.872662037036</v>
          </cell>
          <cell r="G138">
            <v>1</v>
          </cell>
          <cell r="H138" t="str">
            <v>204:933</v>
          </cell>
          <cell r="I138">
            <v>42615.899756944447</v>
          </cell>
          <cell r="J138">
            <v>1</v>
          </cell>
          <cell r="K138" t="str">
            <v>4037/4038</v>
          </cell>
          <cell r="L138" t="str">
            <v>OUN</v>
          </cell>
          <cell r="M138">
            <v>2.7094907411083113E-2</v>
          </cell>
          <cell r="N138">
            <v>39.016666671959683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https://search-rtdc-monitor-bjffxe2xuh6vdkpspy63sjmuny.us-east-1.es.amazonaws.com/_plugin/kibana/#/discover/Steve-Slow-Train-Analysis-(2080s-and-2083s)?_g=(refreshInterval:(display:Off,section:0,value:0),time:(from:'2016-09-02 19:49:02-0600',mode:absolute,to:'2016-09-02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38" t="str">
            <v>N</v>
          </cell>
          <cell r="X138">
            <v>1</v>
          </cell>
          <cell r="Y138">
            <v>23.2989</v>
          </cell>
          <cell r="Z138">
            <v>9.3299999999999994E-2</v>
          </cell>
          <cell r="AA138">
            <v>23.2056</v>
          </cell>
          <cell r="AB138" t="e">
            <v>#N/A</v>
          </cell>
          <cell r="AC138" t="e">
            <v>#N/A</v>
          </cell>
          <cell r="AD138" t="str">
            <v>0226-02</v>
          </cell>
          <cell r="AE138" t="str">
            <v>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 &amp; aws s3 cp s3://rtdc.mdm.uploadarchive/RTDC4037/2016-09-03/ "%USERPROFILE%\AppData\Local\Temp\OnboardLogs"\RTDC4037\2016-09-03 --recursive &amp; "%USERPROFILE%\Documents\GitHub\mrs-test-scripts\Headless Mode &amp; Sideloading\WalkAndUnGZ.bat" "%USERPROFILE%\AppData\Local\Temp\OnboardLogs"\RTDC4037\2016-09-03</v>
          </cell>
        </row>
        <row r="139">
          <cell r="A139" t="str">
            <v>227-02</v>
          </cell>
          <cell r="B139">
            <v>4044</v>
          </cell>
          <cell r="C139" t="str">
            <v>DE.1.0.7.0</v>
          </cell>
          <cell r="D139" t="str">
            <v>204:449</v>
          </cell>
          <cell r="E139">
            <v>42615.850243055553</v>
          </cell>
          <cell r="F139">
            <v>42615.854467592595</v>
          </cell>
          <cell r="G139">
            <v>1</v>
          </cell>
          <cell r="H139" t="str">
            <v>204:233308</v>
          </cell>
          <cell r="I139">
            <v>42615.880069444444</v>
          </cell>
          <cell r="J139">
            <v>1</v>
          </cell>
          <cell r="K139" t="str">
            <v>4043/4044</v>
          </cell>
          <cell r="L139" t="str">
            <v>HILLS</v>
          </cell>
          <cell r="M139">
            <v>2.5601851848477963E-2</v>
          </cell>
          <cell r="N139">
            <v>36.866666661808267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https://search-rtdc-monitor-bjffxe2xuh6vdkpspy63sjmuny.us-east-1.es.amazonaws.com/_plugin/kibana/#/discover/Steve-Slow-Train-Analysis-(2080s-and-2083s)?_g=(refreshInterval:(display:Off,section:0,value:0),time:(from:'2016-09-02 19:24:21-0600',mode:absolute,to:'2016-09-02 22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39" t="str">
            <v>N</v>
          </cell>
          <cell r="X139">
            <v>1</v>
          </cell>
          <cell r="Y139">
            <v>4.4900000000000002E-2</v>
          </cell>
          <cell r="Z139">
            <v>23.3308</v>
          </cell>
          <cell r="AA139">
            <v>23.285900000000002</v>
          </cell>
          <cell r="AB139" t="e">
            <v>#N/A</v>
          </cell>
          <cell r="AC139" t="e">
            <v>#N/A</v>
          </cell>
          <cell r="AD139" t="str">
            <v>0227-02</v>
          </cell>
          <cell r="AE139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140">
          <cell r="A140" t="str">
            <v>228-02</v>
          </cell>
          <cell r="B140">
            <v>4043</v>
          </cell>
          <cell r="C140" t="str">
            <v>DE.1.0.7.0</v>
          </cell>
          <cell r="D140" t="str">
            <v>204:232996</v>
          </cell>
          <cell r="E140">
            <v>42615.88863425926</v>
          </cell>
          <cell r="F140">
            <v>42615.893495370372</v>
          </cell>
          <cell r="G140">
            <v>1</v>
          </cell>
          <cell r="H140" t="str">
            <v>204:167</v>
          </cell>
          <cell r="I140">
            <v>42615.922650462962</v>
          </cell>
          <cell r="J140">
            <v>1</v>
          </cell>
          <cell r="K140" t="str">
            <v>4043/4044</v>
          </cell>
          <cell r="L140" t="str">
            <v>HILLS</v>
          </cell>
          <cell r="M140">
            <v>2.9155092590372078E-2</v>
          </cell>
          <cell r="N140">
            <v>41.983333330135792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https://search-rtdc-monitor-bjffxe2xuh6vdkpspy63sjmuny.us-east-1.es.amazonaws.com/_plugin/kibana/#/discover/Steve-Slow-Train-Analysis-(2080s-and-2083s)?_g=(refreshInterval:(display:Off,section:0,value:0),time:(from:'2016-09-02 20:19:38-0600',mode:absolute,to:'2016-09-02 23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40" t="str">
            <v>N</v>
          </cell>
          <cell r="X140">
            <v>1</v>
          </cell>
          <cell r="Y140">
            <v>23.299600000000002</v>
          </cell>
          <cell r="Z140">
            <v>1.67E-2</v>
          </cell>
          <cell r="AA140">
            <v>23.282900000000001</v>
          </cell>
          <cell r="AB140" t="e">
            <v>#N/A</v>
          </cell>
          <cell r="AC140" t="e">
            <v>#N/A</v>
          </cell>
          <cell r="AD140" t="str">
            <v>0228-02</v>
          </cell>
          <cell r="AE140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141">
          <cell r="A141" t="str">
            <v>229-02</v>
          </cell>
          <cell r="B141">
            <v>4031</v>
          </cell>
          <cell r="C141" t="str">
            <v>DE.1.0.7.0</v>
          </cell>
          <cell r="D141" t="str">
            <v>204:460</v>
          </cell>
          <cell r="E141">
            <v>42615.870520833334</v>
          </cell>
          <cell r="F141">
            <v>42615.875324074077</v>
          </cell>
          <cell r="G141">
            <v>6</v>
          </cell>
          <cell r="H141" t="str">
            <v>204:233317</v>
          </cell>
          <cell r="I141">
            <v>42615.90116898148</v>
          </cell>
          <cell r="J141">
            <v>1</v>
          </cell>
          <cell r="K141" t="str">
            <v>4031/4032</v>
          </cell>
          <cell r="L141" t="str">
            <v>HAITHCOX</v>
          </cell>
          <cell r="M141">
            <v>2.5844907402643003E-2</v>
          </cell>
          <cell r="N141">
            <v>37.216666659805924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https://search-rtdc-monitor-bjffxe2xuh6vdkpspy63sjmuny.us-east-1.es.amazonaws.com/_plugin/kibana/#/discover/Steve-Slow-Train-Analysis-(2080s-and-2083s)?_g=(refreshInterval:(display:Off,section:0,value:0),time:(from:'2016-09-02 19:53:33-0600',mode:absolute,to:'2016-09-02 22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41" t="str">
            <v>N</v>
          </cell>
          <cell r="X141">
            <v>1</v>
          </cell>
          <cell r="Y141">
            <v>4.5999999999999999E-2</v>
          </cell>
          <cell r="Z141">
            <v>23.331700000000001</v>
          </cell>
          <cell r="AA141">
            <v>23.285700000000002</v>
          </cell>
          <cell r="AB141" t="e">
            <v>#N/A</v>
          </cell>
          <cell r="AC141" t="e">
            <v>#N/A</v>
          </cell>
          <cell r="AD141" t="str">
            <v>0229-02</v>
          </cell>
          <cell r="AE141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142">
          <cell r="A142" t="str">
            <v>230-02</v>
          </cell>
          <cell r="B142">
            <v>4032</v>
          </cell>
          <cell r="C142" t="str">
            <v>DE.1.0.7.0</v>
          </cell>
          <cell r="D142" t="str">
            <v>204:232989</v>
          </cell>
          <cell r="E142">
            <v>42615.909953703704</v>
          </cell>
          <cell r="F142">
            <v>42615.9141087963</v>
          </cell>
          <cell r="G142">
            <v>4</v>
          </cell>
          <cell r="H142" t="str">
            <v>204:147</v>
          </cell>
          <cell r="I142">
            <v>42615.941655092596</v>
          </cell>
          <cell r="J142">
            <v>1</v>
          </cell>
          <cell r="K142" t="str">
            <v>4031/4032</v>
          </cell>
          <cell r="L142" t="str">
            <v>HAITHCOX</v>
          </cell>
          <cell r="M142">
            <v>2.7546296296350192E-2</v>
          </cell>
          <cell r="N142">
            <v>39.666666666744277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https://search-rtdc-monitor-bjffxe2xuh6vdkpspy63sjmuny.us-east-1.es.amazonaws.com/_plugin/kibana/#/discover/Steve-Slow-Train-Analysis-(2080s-and-2083s)?_g=(refreshInterval:(display:Off,section:0,value:0),time:(from:'2016-09-02 20:50:20-0600',mode:absolute,to:'2016-09-02 23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42" t="str">
            <v>N</v>
          </cell>
          <cell r="X142">
            <v>1</v>
          </cell>
          <cell r="Y142">
            <v>23.2989</v>
          </cell>
          <cell r="Z142">
            <v>1.47E-2</v>
          </cell>
          <cell r="AA142">
            <v>23.284199999999998</v>
          </cell>
          <cell r="AB142" t="e">
            <v>#N/A</v>
          </cell>
          <cell r="AC142" t="e">
            <v>#N/A</v>
          </cell>
          <cell r="AD142" t="str">
            <v>0230-02</v>
          </cell>
          <cell r="AE142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143">
          <cell r="A143" t="str">
            <v>231-02</v>
          </cell>
          <cell r="B143">
            <v>4046</v>
          </cell>
          <cell r="C143" t="str">
            <v>DE.1.0.7.0</v>
          </cell>
          <cell r="D143" t="str">
            <v>204:446</v>
          </cell>
          <cell r="E143">
            <v>42615.892997685187</v>
          </cell>
          <cell r="F143">
            <v>42615.896099537036</v>
          </cell>
          <cell r="G143">
            <v>1</v>
          </cell>
          <cell r="H143" t="str">
            <v>204:233298</v>
          </cell>
          <cell r="I143">
            <v>42615.921377314815</v>
          </cell>
          <cell r="J143">
            <v>1</v>
          </cell>
          <cell r="K143" t="str">
            <v>4045/4046</v>
          </cell>
          <cell r="L143" t="str">
            <v>YANAI</v>
          </cell>
          <cell r="M143">
            <v>2.527777777868323E-2</v>
          </cell>
          <cell r="N143">
            <v>36.400000001303852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https://search-rtdc-monitor-bjffxe2xuh6vdkpspy63sjmuny.us-east-1.es.amazonaws.com/_plugin/kibana/#/discover/Steve-Slow-Train-Analysis-(2080s-and-2083s)?_g=(refreshInterval:(display:Off,section:0,value:0),time:(from:'2016-09-02 20:25:55-0600',mode:absolute,to:'2016-09-02 23:06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43" t="str">
            <v>N</v>
          </cell>
          <cell r="X143">
            <v>1</v>
          </cell>
          <cell r="Y143">
            <v>4.4600000000000001E-2</v>
          </cell>
          <cell r="Z143">
            <v>23.329799999999999</v>
          </cell>
          <cell r="AA143">
            <v>23.2852</v>
          </cell>
          <cell r="AB143" t="e">
            <v>#N/A</v>
          </cell>
          <cell r="AC143" t="e">
            <v>#N/A</v>
          </cell>
          <cell r="AD143" t="str">
            <v>0231-02</v>
          </cell>
          <cell r="AE143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144">
          <cell r="A144" t="str">
            <v>232-02</v>
          </cell>
          <cell r="B144">
            <v>4045</v>
          </cell>
          <cell r="C144" t="str">
            <v>DE.1.0.7.0</v>
          </cell>
          <cell r="D144" t="str">
            <v>204:232968</v>
          </cell>
          <cell r="E144">
            <v>42615.931238425925</v>
          </cell>
          <cell r="F144">
            <v>42615.934918981482</v>
          </cell>
          <cell r="G144">
            <v>1</v>
          </cell>
          <cell r="H144" t="str">
            <v>204:143</v>
          </cell>
          <cell r="I144">
            <v>42615.961921296293</v>
          </cell>
          <cell r="J144">
            <v>1</v>
          </cell>
          <cell r="K144" t="str">
            <v>4045/4046</v>
          </cell>
          <cell r="L144" t="str">
            <v>YANAI</v>
          </cell>
          <cell r="M144">
            <v>2.700231481139781E-2</v>
          </cell>
          <cell r="N144">
            <v>38.883333328412846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https://search-rtdc-monitor-bjffxe2xuh6vdkpspy63sjmuny.us-east-1.es.amazonaws.com/_plugin/kibana/#/discover/Steve-Slow-Train-Analysis-(2080s-and-2083s)?_g=(refreshInterval:(display:Off,section:0,value:0),time:(from:'2016-09-02 21:20:59-0600',mode:absolute,to:'2016-09-03 00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44" t="str">
            <v>N</v>
          </cell>
          <cell r="X144">
            <v>1</v>
          </cell>
          <cell r="Y144">
            <v>23.296800000000001</v>
          </cell>
          <cell r="Z144">
            <v>1.43E-2</v>
          </cell>
          <cell r="AA144">
            <v>23.282500000000002</v>
          </cell>
          <cell r="AB144" t="e">
            <v>#N/A</v>
          </cell>
          <cell r="AC144" t="e">
            <v>#N/A</v>
          </cell>
          <cell r="AD144" t="str">
            <v>0232-02</v>
          </cell>
          <cell r="AE144" t="str">
            <v>aws s3 cp s3://rtdc.mdm.uploadarchive/RTDC4045/2016-09-02/ "%USERPROFILE%\AppData\Local\Temp\OnboardLogs"\RTDC4045\2016-09-02 --recursive &amp; "%USERPROFILE%\Documents\GitHub\mrs-test-scripts\Headless Mode &amp; Sideloading\WalkAndUnGZ.bat" "%USERPROFILE%\AppData\Local\Temp\OnboardLogs"\RTDC4045\2016-09-02 &amp; 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</v>
          </cell>
        </row>
        <row r="145">
          <cell r="A145" t="str">
            <v>233-02</v>
          </cell>
          <cell r="B145">
            <v>4009</v>
          </cell>
          <cell r="C145" t="str">
            <v>DE.1.0.7.0</v>
          </cell>
          <cell r="D145" t="str">
            <v>204:493</v>
          </cell>
          <cell r="E145">
            <v>42615.912141203706</v>
          </cell>
          <cell r="F145">
            <v>42615.916967592595</v>
          </cell>
          <cell r="G145">
            <v>1</v>
          </cell>
          <cell r="H145" t="str">
            <v>204:233261</v>
          </cell>
          <cell r="I145">
            <v>42615.943576388891</v>
          </cell>
          <cell r="J145">
            <v>1</v>
          </cell>
          <cell r="K145" t="str">
            <v>4009/4010</v>
          </cell>
          <cell r="L145" t="str">
            <v>CHANDLER</v>
          </cell>
          <cell r="M145">
            <v>2.6608796295477077E-2</v>
          </cell>
          <cell r="N145">
            <v>38.316666665486991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https://search-rtdc-monitor-bjffxe2xuh6vdkpspy63sjmuny.us-east-1.es.amazonaws.com/_plugin/kibana/#/discover/Steve-Slow-Train-Analysis-(2080s-and-2083s)?_g=(refreshInterval:(display:Off,section:0,value:0),time:(from:'2016-09-02 20:53:29-0600',mode:absolute,to:'2016-09-02 23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45" t="str">
            <v>N</v>
          </cell>
          <cell r="X145">
            <v>1</v>
          </cell>
          <cell r="Y145">
            <v>4.9299999999999997E-2</v>
          </cell>
          <cell r="Z145">
            <v>23.3261</v>
          </cell>
          <cell r="AA145">
            <v>23.276800000000001</v>
          </cell>
          <cell r="AB145" t="e">
            <v>#N/A</v>
          </cell>
          <cell r="AC145" t="e">
            <v>#N/A</v>
          </cell>
          <cell r="AD145" t="str">
            <v>0233-02</v>
          </cell>
          <cell r="AE145" t="str">
    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    </cell>
        </row>
        <row r="146">
          <cell r="A146" t="str">
            <v>234-02</v>
          </cell>
          <cell r="B146">
            <v>4010</v>
          </cell>
          <cell r="C146" t="str">
            <v>DE.1.0.7.0</v>
          </cell>
          <cell r="D146" t="str">
            <v>204:232959</v>
          </cell>
          <cell r="E146">
            <v>42615.955011574071</v>
          </cell>
          <cell r="F146">
            <v>42615.95616898148</v>
          </cell>
          <cell r="G146">
            <v>1</v>
          </cell>
          <cell r="H146" t="str">
            <v>204:161</v>
          </cell>
          <cell r="I146">
            <v>42615.984976851854</v>
          </cell>
          <cell r="J146">
            <v>1</v>
          </cell>
          <cell r="K146" t="str">
            <v>4009/4010</v>
          </cell>
          <cell r="L146" t="str">
            <v>CHANDLER</v>
          </cell>
          <cell r="M146">
            <v>2.8807870374293998E-2</v>
          </cell>
          <cell r="N146">
            <v>41.483333338983357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https://search-rtdc-monitor-bjffxe2xuh6vdkpspy63sjmuny.us-east-1.es.amazonaws.com/_plugin/kibana/#/discover/Steve-Slow-Train-Analysis-(2080s-and-2083s)?_g=(refreshInterval:(display:Off,section:0,value:0),time:(from:'2016-09-02 21:55:13-0600',mode:absolute,to:'2016-09-03 00:38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46" t="str">
            <v>N</v>
          </cell>
          <cell r="X146">
            <v>1</v>
          </cell>
          <cell r="Y146">
            <v>23.2959</v>
          </cell>
          <cell r="Z146">
            <v>1.61E-2</v>
          </cell>
          <cell r="AA146">
            <v>23.279799999999998</v>
          </cell>
          <cell r="AB146" t="e">
            <v>#N/A</v>
          </cell>
          <cell r="AC146" t="e">
            <v>#N/A</v>
          </cell>
          <cell r="AD146" t="str">
            <v>0234-02</v>
          </cell>
          <cell r="AE146" t="str">
    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    </cell>
        </row>
        <row r="147">
          <cell r="A147" t="str">
            <v>235-02</v>
          </cell>
          <cell r="B147">
            <v>4044</v>
          </cell>
          <cell r="C147" t="str">
            <v>DE.1.0.7.0</v>
          </cell>
          <cell r="D147" t="str">
            <v>204:466</v>
          </cell>
          <cell r="E147">
            <v>42615.931215277778</v>
          </cell>
          <cell r="F147">
            <v>42615.937719907408</v>
          </cell>
          <cell r="G147">
            <v>5</v>
          </cell>
          <cell r="H147" t="str">
            <v>204:233282</v>
          </cell>
          <cell r="I147">
            <v>42615.964317129627</v>
          </cell>
          <cell r="J147">
            <v>1</v>
          </cell>
          <cell r="K147" t="str">
            <v>4043/4044</v>
          </cell>
          <cell r="L147" t="str">
            <v>HILLS</v>
          </cell>
          <cell r="M147">
            <v>2.6597222218697425E-2</v>
          </cell>
          <cell r="N147">
            <v>38.299999994924292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https://search-rtdc-monitor-bjffxe2xuh6vdkpspy63sjmuny.us-east-1.es.amazonaws.com/_plugin/kibana/#/discover/Steve-Slow-Train-Analysis-(2080s-and-2083s)?_g=(refreshInterval:(display:Off,section:0,value:0),time:(from:'2016-09-02 21:20:57-0600',mode:absolute,to:'2016-09-03 00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47" t="str">
            <v>N</v>
          </cell>
          <cell r="X147">
            <v>1</v>
          </cell>
          <cell r="Y147">
            <v>4.6600000000000003E-2</v>
          </cell>
          <cell r="Z147">
            <v>23.328199999999999</v>
          </cell>
          <cell r="AA147">
            <v>23.281599999999997</v>
          </cell>
          <cell r="AB147" t="e">
            <v>#N/A</v>
          </cell>
          <cell r="AC147" t="e">
            <v>#N/A</v>
          </cell>
          <cell r="AD147" t="str">
            <v>0235-02</v>
          </cell>
          <cell r="AE147" t="str">
    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    </cell>
        </row>
        <row r="148">
          <cell r="A148" t="str">
            <v>236-02</v>
          </cell>
          <cell r="B148">
            <v>4043</v>
          </cell>
          <cell r="C148" t="str">
            <v>DE.1.0.7.0</v>
          </cell>
          <cell r="D148" t="str">
            <v>204:232969</v>
          </cell>
          <cell r="E148">
            <v>42615.971898148149</v>
          </cell>
          <cell r="F148">
            <v>42615.976689814815</v>
          </cell>
          <cell r="G148">
            <v>1</v>
          </cell>
          <cell r="H148" t="str">
            <v>204:170</v>
          </cell>
          <cell r="I148">
            <v>42616.004699074074</v>
          </cell>
          <cell r="J148">
            <v>1</v>
          </cell>
          <cell r="K148" t="str">
            <v>4043/4044</v>
          </cell>
          <cell r="L148" t="str">
            <v>HILLS</v>
          </cell>
          <cell r="M148">
            <v>2.8009259258396924E-2</v>
          </cell>
          <cell r="N148">
            <v>40.33333333209157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https://search-rtdc-monitor-bjffxe2xuh6vdkpspy63sjmuny.us-east-1.es.amazonaws.com/_plugin/kibana/#/discover/Steve-Slow-Train-Analysis-(2080s-and-2083s)?_g=(refreshInterval:(display:Off,section:0,value:0),time:(from:'2016-09-02 22:19:32-0600',mode:absolute,to:'2016-09-03 01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48" t="str">
            <v>N</v>
          </cell>
          <cell r="X148">
            <v>1</v>
          </cell>
          <cell r="Y148">
            <v>23.296900000000001</v>
          </cell>
          <cell r="Z148">
            <v>1.7000000000000001E-2</v>
          </cell>
          <cell r="AA148">
            <v>23.279900000000001</v>
          </cell>
          <cell r="AB148" t="e">
            <v>#N/A</v>
          </cell>
          <cell r="AC148" t="e">
            <v>#N/A</v>
          </cell>
          <cell r="AD148" t="str">
            <v>0236-02</v>
          </cell>
          <cell r="AE148" t="str">
            <v>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 &amp; 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</v>
          </cell>
        </row>
        <row r="149">
          <cell r="A149" t="str">
            <v>237-02</v>
          </cell>
          <cell r="B149">
            <v>4031</v>
          </cell>
          <cell r="C149" t="str">
            <v>DE.1.0.7.0</v>
          </cell>
          <cell r="D149" t="str">
            <v>204:431</v>
          </cell>
          <cell r="E149">
            <v>42615.95585648148</v>
          </cell>
          <cell r="F149">
            <v>42615.958761574075</v>
          </cell>
          <cell r="G149">
            <v>1</v>
          </cell>
          <cell r="H149" t="str">
            <v>204:233307</v>
          </cell>
          <cell r="I149">
            <v>42615.984675925924</v>
          </cell>
          <cell r="J149">
            <v>1</v>
          </cell>
          <cell r="K149" t="str">
            <v>4031/4032</v>
          </cell>
          <cell r="L149" t="str">
            <v>HAITHCOX</v>
          </cell>
          <cell r="M149">
            <v>2.5914351848769002E-2</v>
          </cell>
          <cell r="N149">
            <v>37.316666662227362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https://search-rtdc-monitor-bjffxe2xuh6vdkpspy63sjmuny.us-east-1.es.amazonaws.com/_plugin/kibana/#/discover/Steve-Slow-Train-Analysis-(2080s-and-2083s)?_g=(refreshInterval:(display:Off,section:0,value:0),time:(from:'2016-09-02 21:56:26-0600',mode:absolute,to:'2016-09-03 00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49" t="str">
            <v>N</v>
          </cell>
          <cell r="X149">
            <v>1</v>
          </cell>
          <cell r="Y149">
            <v>4.3099999999999999E-2</v>
          </cell>
          <cell r="Z149">
            <v>23.3307</v>
          </cell>
          <cell r="AA149">
            <v>23.287600000000001</v>
          </cell>
          <cell r="AB149" t="e">
            <v>#N/A</v>
          </cell>
          <cell r="AC149" t="e">
            <v>#N/A</v>
          </cell>
          <cell r="AD149" t="str">
            <v>0237-02</v>
          </cell>
          <cell r="AE149" t="str">
    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    </cell>
        </row>
        <row r="150">
          <cell r="A150" t="str">
            <v>238-02</v>
          </cell>
          <cell r="B150">
            <v>4032</v>
          </cell>
          <cell r="C150" t="str">
            <v>DE.1.0.7.0</v>
          </cell>
          <cell r="D150" t="str">
            <v>204:232984</v>
          </cell>
          <cell r="E150">
            <v>42615.993645833332</v>
          </cell>
          <cell r="F150">
            <v>42615.997557870367</v>
          </cell>
          <cell r="G150">
            <v>1</v>
          </cell>
          <cell r="H150" t="str">
            <v>204:147</v>
          </cell>
          <cell r="I150">
            <v>42616.027719907404</v>
          </cell>
          <cell r="J150">
            <v>1</v>
          </cell>
          <cell r="K150" t="str">
            <v>4031/4032</v>
          </cell>
          <cell r="L150" t="str">
            <v>HAITHCOX</v>
          </cell>
          <cell r="M150">
            <v>3.0162037037371192E-2</v>
          </cell>
          <cell r="N150">
            <v>43.433333333814517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https://search-rtdc-monitor-bjffxe2xuh6vdkpspy63sjmuny.us-east-1.es.amazonaws.com/_plugin/kibana/#/discover/Steve-Slow-Train-Analysis-(2080s-and-2083s)?_g=(refreshInterval:(display:Off,section:0,value:0),time:(from:'2016-09-02 22:50:51-0600',mode:absolute,to:'2016-09-03 01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50" t="str">
            <v>N</v>
          </cell>
          <cell r="X150">
            <v>1</v>
          </cell>
          <cell r="Y150">
            <v>23.298400000000001</v>
          </cell>
          <cell r="Z150">
            <v>1.47E-2</v>
          </cell>
          <cell r="AA150">
            <v>23.2837</v>
          </cell>
          <cell r="AB150" t="e">
            <v>#N/A</v>
          </cell>
          <cell r="AC150" t="e">
            <v>#N/A</v>
          </cell>
          <cell r="AD150" t="str">
            <v>0238-02</v>
          </cell>
          <cell r="AE150" t="str">
    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    </cell>
        </row>
        <row r="151">
          <cell r="A151" t="str">
            <v>239-02</v>
          </cell>
          <cell r="B151">
            <v>4046</v>
          </cell>
          <cell r="C151" t="str">
            <v>DE.1.0.7.0</v>
          </cell>
          <cell r="D151" t="str">
            <v>204:457</v>
          </cell>
          <cell r="E151">
            <v>42615.973923611113</v>
          </cell>
          <cell r="F151">
            <v>42615.979328703703</v>
          </cell>
          <cell r="G151">
            <v>1</v>
          </cell>
          <cell r="H151" t="str">
            <v>204:233305</v>
          </cell>
          <cell r="I151">
            <v>42616.005543981482</v>
          </cell>
          <cell r="J151">
            <v>1</v>
          </cell>
          <cell r="K151" t="str">
            <v>4045/4046</v>
          </cell>
          <cell r="L151" t="str">
            <v>YANAI</v>
          </cell>
          <cell r="M151">
            <v>2.6215277779556345E-2</v>
          </cell>
          <cell r="N151">
            <v>37.750000002561137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https://search-rtdc-monitor-bjffxe2xuh6vdkpspy63sjmuny.us-east-1.es.amazonaws.com/_plugin/kibana/#/discover/Steve-Slow-Train-Analysis-(2080s-and-2083s)?_g=(refreshInterval:(display:Off,section:0,value:0),time:(from:'2016-09-02 22:22:27-0600',mode:absolute,to:'2016-09-03 01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51" t="str">
            <v>N</v>
          </cell>
          <cell r="X151">
            <v>1</v>
          </cell>
          <cell r="Y151">
            <v>4.5699999999999998E-2</v>
          </cell>
          <cell r="Z151">
            <v>23.330500000000001</v>
          </cell>
          <cell r="AA151">
            <v>23.284800000000001</v>
          </cell>
          <cell r="AB151" t="e">
            <v>#N/A</v>
          </cell>
          <cell r="AC151" t="e">
            <v>#N/A</v>
          </cell>
          <cell r="AD151" t="str">
            <v>0239-02</v>
          </cell>
          <cell r="AE151" t="str">
            <v>aws s3 cp s3://rtdc.mdm.uploadarchive/RTDC4046/2016-09-02/ "%USERPROFILE%\AppData\Local\Temp\OnboardLogs"\RTDC4046\2016-09-02 --recursive &amp; "%USERPROFILE%\Documents\GitHub\mrs-test-scripts\Headless Mode &amp; Sideloading\WalkAndUnGZ.bat" "%USERPROFILE%\AppData\Local\Temp\OnboardLogs"\RTDC4046\2016-09-02 &amp; aws s3 cp s3://rtdc.mdm.uploadarchive/RTDC4046/2016-09-03/ "%USERPROFILE%\AppData\Local\Temp\OnboardLogs"\RTDC4046\2016-09-03 --recursive &amp; "%USERPROFILE%\Documents\GitHub\mrs-test-scripts\Headless Mode &amp; Sideloading\WalkAndUnGZ.bat" "%USERPROFILE%\AppData\Local\Temp\OnboardLogs"\RTDC4046\2016-09-03</v>
          </cell>
        </row>
        <row r="152">
          <cell r="A152" t="str">
            <v>240-02</v>
          </cell>
          <cell r="B152">
            <v>4045</v>
          </cell>
          <cell r="C152" t="str">
            <v>DE.1.0.7.0</v>
          </cell>
          <cell r="D152" t="str">
            <v>204:232973</v>
          </cell>
          <cell r="E152">
            <v>42616.01458333333</v>
          </cell>
          <cell r="F152">
            <v>42616.018217592595</v>
          </cell>
          <cell r="G152">
            <v>1</v>
          </cell>
          <cell r="H152" t="str">
            <v>204:160</v>
          </cell>
          <cell r="I152">
            <v>42616.044259259259</v>
          </cell>
          <cell r="J152">
            <v>1</v>
          </cell>
          <cell r="K152" t="str">
            <v>4045/4046</v>
          </cell>
          <cell r="L152" t="str">
            <v>YANAI</v>
          </cell>
          <cell r="M152">
            <v>2.6041666664241347E-2</v>
          </cell>
          <cell r="N152">
            <v>37.49999999650754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https://search-rtdc-monitor-bjffxe2xuh6vdkpspy63sjmuny.us-east-1.es.amazonaws.com/_plugin/kibana/#/discover/Steve-Slow-Train-Analysis-(2080s-and-2083s)?_g=(refreshInterval:(display:Off,section:0,value:0),time:(from:'2016-09-02 23:21:00-0600',mode:absolute,to:'2016-09-03 02:03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52" t="str">
            <v>N</v>
          </cell>
          <cell r="X152">
            <v>1</v>
          </cell>
          <cell r="Y152">
            <v>23.2973</v>
          </cell>
          <cell r="Z152">
            <v>1.6E-2</v>
          </cell>
          <cell r="AA152">
            <v>23.281300000000002</v>
          </cell>
          <cell r="AB152" t="e">
            <v>#N/A</v>
          </cell>
          <cell r="AC152" t="e">
            <v>#N/A</v>
          </cell>
          <cell r="AD152" t="str">
            <v>0240-02</v>
          </cell>
          <cell r="AE152" t="str">
            <v>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 &amp; 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</v>
          </cell>
        </row>
        <row r="153">
          <cell r="A153" t="str">
            <v>241-02</v>
          </cell>
          <cell r="B153">
            <v>4009</v>
          </cell>
          <cell r="C153" t="str">
            <v>DE.1.0.7.0</v>
          </cell>
          <cell r="D153" t="str">
            <v>204:477</v>
          </cell>
          <cell r="E153">
            <v>42615.997916666667</v>
          </cell>
          <cell r="F153">
            <v>42616.000358796293</v>
          </cell>
          <cell r="G153">
            <v>1</v>
          </cell>
          <cell r="H153" t="str">
            <v>204:233284</v>
          </cell>
          <cell r="I153">
            <v>42616.025578703702</v>
          </cell>
          <cell r="J153">
            <v>1</v>
          </cell>
          <cell r="K153" t="str">
            <v>4009/4010</v>
          </cell>
          <cell r="L153" t="str">
            <v>CHANDLER</v>
          </cell>
          <cell r="M153">
            <v>2.5219907409336884E-2</v>
          </cell>
          <cell r="N153">
            <v>36.316666669445112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https://search-rtdc-monitor-bjffxe2xuh6vdkpspy63sjmuny.us-east-1.es.amazonaws.com/_plugin/kibana/#/discover/Steve-Slow-Train-Analysis-(2080s-and-2083s)?_g=(refreshInterval:(display:Off,section:0,value:0),time:(from:'2016-09-02 22:57:00-0600',mode:absolute,to:'2016-09-03 01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53" t="str">
            <v>N</v>
          </cell>
          <cell r="X153">
            <v>1</v>
          </cell>
          <cell r="Y153">
            <v>4.7699999999999999E-2</v>
          </cell>
          <cell r="Z153">
            <v>23.328399999999998</v>
          </cell>
          <cell r="AA153">
            <v>23.2807</v>
          </cell>
          <cell r="AB153" t="e">
            <v>#N/A</v>
          </cell>
          <cell r="AC153" t="e">
            <v>#N/A</v>
          </cell>
          <cell r="AD153" t="str">
            <v>0241-02</v>
          </cell>
          <cell r="AE153" t="str">
            <v>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 &amp; 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</v>
          </cell>
        </row>
        <row r="154">
          <cell r="A154" t="str">
            <v>242-02</v>
          </cell>
          <cell r="B154">
            <v>4010</v>
          </cell>
          <cell r="C154" t="str">
            <v>DE.1.0.7.0</v>
          </cell>
          <cell r="D154" t="str">
            <v>204:232973</v>
          </cell>
          <cell r="E154">
            <v>42616.037615740737</v>
          </cell>
          <cell r="F154">
            <v>42616.039120370369</v>
          </cell>
          <cell r="G154">
            <v>1</v>
          </cell>
          <cell r="H154" t="str">
            <v>204:221</v>
          </cell>
          <cell r="I154">
            <v>42616.066631944443</v>
          </cell>
          <cell r="J154">
            <v>1</v>
          </cell>
          <cell r="K154" t="str">
            <v>4009/4010</v>
          </cell>
          <cell r="L154" t="str">
            <v>CHANDLER</v>
          </cell>
          <cell r="M154">
            <v>2.7511574073287193E-2</v>
          </cell>
          <cell r="N154">
            <v>39.616666665533558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https://search-rtdc-monitor-bjffxe2xuh6vdkpspy63sjmuny.us-east-1.es.amazonaws.com/_plugin/kibana/#/discover/Steve-Slow-Train-Analysis-(2080s-and-2083s)?_g=(refreshInterval:(display:Off,section:0,value:0),time:(from:'2016-09-02 23:54:10-0600',mode:absolute,to:'2016-09-03 02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54" t="str">
            <v>N</v>
          </cell>
          <cell r="X154">
            <v>1</v>
          </cell>
          <cell r="Y154">
            <v>23.2973</v>
          </cell>
          <cell r="Z154">
            <v>2.2100000000000002E-2</v>
          </cell>
          <cell r="AA154">
            <v>23.275200000000002</v>
          </cell>
          <cell r="AB154" t="e">
            <v>#N/A</v>
          </cell>
          <cell r="AC154" t="e">
            <v>#N/A</v>
          </cell>
          <cell r="AD154" t="str">
            <v>0242-02</v>
          </cell>
          <cell r="AE154" t="str">
            <v>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 &amp; 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</v>
          </cell>
        </row>
        <row r="155">
          <cell r="A155" t="str">
            <v>243-02</v>
          </cell>
          <cell r="B155">
            <v>4044</v>
          </cell>
          <cell r="C155" t="str">
            <v>DE.1.0.7.0</v>
          </cell>
          <cell r="D155" t="str">
            <v>204:457</v>
          </cell>
          <cell r="E155">
            <v>42616.014791666668</v>
          </cell>
          <cell r="F155">
            <v>42616.021331018521</v>
          </cell>
          <cell r="G155">
            <v>1</v>
          </cell>
          <cell r="H155" t="str">
            <v>204:233316</v>
          </cell>
          <cell r="I155">
            <v>42616.046435185184</v>
          </cell>
          <cell r="J155">
            <v>1</v>
          </cell>
          <cell r="K155" t="str">
            <v>4043/4044</v>
          </cell>
          <cell r="L155" t="str">
            <v>HILLS</v>
          </cell>
          <cell r="M155">
            <v>2.5104166663368233E-2</v>
          </cell>
          <cell r="N155">
            <v>36.149999995250255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https://search-rtdc-monitor-bjffxe2xuh6vdkpspy63sjmuny.us-east-1.es.amazonaws.com/_plugin/kibana/#/discover/Steve-Slow-Train-Analysis-(2080s-and-2083s)?_g=(refreshInterval:(display:Off,section:0,value:0),time:(from:'2016-09-02 23:21:18-0600',mode:absolute,to:'2016-09-03 02:06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55" t="str">
            <v>N</v>
          </cell>
          <cell r="X155">
            <v>1</v>
          </cell>
          <cell r="Y155">
            <v>4.5699999999999998E-2</v>
          </cell>
          <cell r="Z155">
            <v>23.331600000000002</v>
          </cell>
          <cell r="AA155">
            <v>23.285900000000002</v>
          </cell>
          <cell r="AB155" t="e">
            <v>#N/A</v>
          </cell>
          <cell r="AC155" t="e">
            <v>#N/A</v>
          </cell>
          <cell r="AD155" t="str">
            <v>0243-02</v>
          </cell>
          <cell r="AE155" t="str">
            <v>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 &amp; aws s3 cp s3://rtdc.mdm.uploadarchive/RTDC4044/2016-09-04/ "%USERPROFILE%\AppData\Local\Temp\OnboardLogs"\RTDC4044\2016-09-04 --recursive &amp; "%USERPROFILE%\Documents\GitHub\mrs-test-scripts\Headless Mode &amp; Sideloading\WalkAndUnGZ.bat" "%USERPROFILE%\AppData\Local\Temp\OnboardLogs"\RTDC4044\2016-09-04</v>
          </cell>
        </row>
        <row r="156">
          <cell r="A156" t="str">
            <v>244-02</v>
          </cell>
          <cell r="B156">
            <v>4043</v>
          </cell>
          <cell r="C156" t="str">
            <v>DE.1.0.7.0</v>
          </cell>
          <cell r="D156" t="str">
            <v>204:232992</v>
          </cell>
          <cell r="E156">
            <v>42616.054409722223</v>
          </cell>
          <cell r="F156">
            <v>42616.059918981482</v>
          </cell>
          <cell r="G156">
            <v>1</v>
          </cell>
          <cell r="H156" t="str">
            <v>204:170</v>
          </cell>
          <cell r="I156">
            <v>42616.090937499997</v>
          </cell>
          <cell r="J156">
            <v>1</v>
          </cell>
          <cell r="K156" t="str">
            <v>4043/4044</v>
          </cell>
          <cell r="L156" t="str">
            <v>HILLS</v>
          </cell>
          <cell r="M156">
            <v>3.1018518515338656E-2</v>
          </cell>
          <cell r="N156">
            <v>44.666666662087664</v>
          </cell>
          <cell r="S156">
            <v>1</v>
          </cell>
          <cell r="T156" t="str">
            <v>Southbound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https://search-rtdc-monitor-bjffxe2xuh6vdkpspy63sjmuny.us-east-1.es.amazonaws.com/_plugin/kibana/#/discover/Steve-Slow-Train-Analysis-(2080s-and-2083s)?_g=(refreshInterval:(display:Off,section:0,value:0),time:(from:'2016-09-03 00:18:21-0600',mode:absolute,to:'2016-09-03 03:10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56" t="str">
            <v>N</v>
          </cell>
          <cell r="X156">
            <v>1</v>
          </cell>
          <cell r="Y156">
            <v>23.299199999999999</v>
          </cell>
          <cell r="Z156">
            <v>1.7000000000000001E-2</v>
          </cell>
          <cell r="AA156">
            <v>23.2822</v>
          </cell>
          <cell r="AB156" t="e">
            <v>#N/A</v>
          </cell>
          <cell r="AC156" t="e">
            <v>#N/A</v>
          </cell>
          <cell r="AD156" t="str">
            <v>0244-02</v>
          </cell>
          <cell r="AE156" t="str">
            <v>aws s3 cp s3://rtdc.mdm.uploadarchive/RTDC4043/2016-09-03/ "%USERPROFILE%\AppData\Local\Temp\OnboardLogs"\RTDC4043\2016-09-03 --recursive &amp; "%USERPROFILE%\Documents\GitHub\mrs-test-scripts\Headless Mode &amp; Sideloading\WalkAndUnGZ.bat" "%USERPROFILE%\AppData\Local\Temp\OnboardLogs"\RTDC4043\2016-09-03 &amp; aws s3 cp s3://rtdc.mdm.uploadarchive/RTDC4043/2016-09-04/ "%USERPROFILE%\AppData\Local\Temp\OnboardLogs"\RTDC4043\2016-09-04 --recursive &amp; "%USERPROFILE%\Documents\GitHub\mrs-test-scripts\Headless Mode &amp; Sideloading\WalkAndUnGZ.bat" "%USERPROFILE%\AppData\Local\Temp\OnboardLogs"\RTDC4043\2016-09-04</v>
          </cell>
        </row>
        <row r="157">
          <cell r="A157" t="str">
            <v>245-02</v>
          </cell>
          <cell r="B157">
            <v>4031</v>
          </cell>
          <cell r="C157" t="str">
            <v>DE.1.0.7.0</v>
          </cell>
          <cell r="D157" t="str">
            <v>204:469</v>
          </cell>
          <cell r="E157">
            <v>42616.038321759261</v>
          </cell>
          <cell r="F157">
            <v>42616.042037037034</v>
          </cell>
          <cell r="G157">
            <v>1</v>
          </cell>
          <cell r="H157" t="str">
            <v>204:66385</v>
          </cell>
          <cell r="I157">
            <v>42616.052754629629</v>
          </cell>
          <cell r="J157">
            <v>1</v>
          </cell>
          <cell r="K157" t="str">
            <v>4031/4032</v>
          </cell>
          <cell r="L157" t="str">
            <v>HAITHCOX</v>
          </cell>
          <cell r="M157">
            <v>1.0717592595028691E-2</v>
          </cell>
          <cell r="P157">
            <v>15.433333336841315</v>
          </cell>
          <cell r="R157" t="str">
            <v>Track maintenance?</v>
          </cell>
          <cell r="S157">
            <v>0.75</v>
          </cell>
          <cell r="T157" t="str">
            <v>NorthBound</v>
          </cell>
          <cell r="U157">
            <v>9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https://search-rtdc-monitor-bjffxe2xuh6vdkpspy63sjmuny.us-east-1.es.amazonaws.com/_plugin/kibana/#/discover/Steve-Slow-Train-Analysis-(2080s-and-2083s)?_g=(refreshInterval:(display:Off,section:0,value:0),time:(from:'2016-09-02 23:55:11-0600',mode:absolute,to:'2016-09-03 02:15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57" t="str">
            <v>Y</v>
          </cell>
          <cell r="X157">
            <v>1</v>
          </cell>
          <cell r="Y157">
            <v>4.6899999999999997E-2</v>
          </cell>
          <cell r="Z157">
            <v>6.6384999999999996</v>
          </cell>
          <cell r="AA157">
            <v>6.5915999999999997</v>
          </cell>
          <cell r="AB157" t="e">
            <v>#N/A</v>
          </cell>
          <cell r="AC157" t="e">
            <v>#N/A</v>
          </cell>
          <cell r="AD157" t="str">
            <v>0245-02</v>
          </cell>
          <cell r="AE157" t="str">
            <v>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 &amp; 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</v>
          </cell>
        </row>
        <row r="158">
          <cell r="A158" t="str">
            <v>246-02</v>
          </cell>
          <cell r="B158">
            <v>4032</v>
          </cell>
          <cell r="C158" t="str">
            <v>DE.1.0.7.0</v>
          </cell>
          <cell r="D158" t="str">
            <v>204:232988</v>
          </cell>
          <cell r="E158">
            <v>42616.076284722221</v>
          </cell>
          <cell r="F158">
            <v>42616.08090277778</v>
          </cell>
          <cell r="G158">
            <v>1</v>
          </cell>
          <cell r="H158" t="str">
            <v>204:160</v>
          </cell>
          <cell r="I158">
            <v>42616.11105324074</v>
          </cell>
          <cell r="J158">
            <v>1</v>
          </cell>
          <cell r="K158" t="str">
            <v>4031/4032</v>
          </cell>
          <cell r="L158" t="str">
            <v>HAITHCOX</v>
          </cell>
          <cell r="M158">
            <v>3.015046296059154E-2</v>
          </cell>
          <cell r="N158">
            <v>43.416666663251817</v>
          </cell>
          <cell r="S158">
            <v>1</v>
          </cell>
          <cell r="T158" t="str">
            <v>Southbound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https://search-rtdc-monitor-bjffxe2xuh6vdkpspy63sjmuny.us-east-1.es.amazonaws.com/_plugin/kibana/#/discover/Steve-Slow-Train-Analysis-(2080s-and-2083s)?_g=(refreshInterval:(display:Off,section:0,value:0),time:(from:'2016-09-03 00:49:51-0600',mode:absolute,to:'2016-09-03 03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58" t="str">
            <v>N</v>
          </cell>
          <cell r="X158">
            <v>1</v>
          </cell>
          <cell r="Y158">
            <v>23.2988</v>
          </cell>
          <cell r="Z158">
            <v>1.6E-2</v>
          </cell>
          <cell r="AA158">
            <v>23.282800000000002</v>
          </cell>
          <cell r="AB158" t="e">
            <v>#N/A</v>
          </cell>
          <cell r="AC158" t="e">
            <v>#N/A</v>
          </cell>
          <cell r="AD158" t="str">
            <v>0246-02</v>
          </cell>
          <cell r="AE158" t="str">
            <v>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 &amp; 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</v>
          </cell>
        </row>
        <row r="159">
          <cell r="A159" t="str">
            <v>800-02</v>
          </cell>
          <cell r="B159">
            <v>4008</v>
          </cell>
          <cell r="C159" t="str">
            <v>DE.1.0.7.0</v>
          </cell>
          <cell r="D159" t="str">
            <v>300:58624</v>
          </cell>
          <cell r="E159">
            <v>42615.203506944446</v>
          </cell>
          <cell r="F159">
            <v>42615.205462962964</v>
          </cell>
          <cell r="G159">
            <v>1</v>
          </cell>
          <cell r="H159" t="str">
            <v>204:691</v>
          </cell>
          <cell r="I159">
            <v>42615.22693287037</v>
          </cell>
          <cell r="J159">
            <v>1</v>
          </cell>
          <cell r="K159" t="str">
            <v>4007/4008</v>
          </cell>
          <cell r="L159" t="str">
            <v>STRICKLAND</v>
          </cell>
          <cell r="M159">
            <v>2.1469907405844424E-2</v>
          </cell>
          <cell r="N159">
            <v>30.91666666441597</v>
          </cell>
          <cell r="S159">
            <v>1</v>
          </cell>
          <cell r="T159" t="str">
            <v>Southbound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https://search-rtdc-monitor-bjffxe2xuh6vdkpspy63sjmuny.us-east-1.es.amazonaws.com/_plugin/kibana/#/discover/Steve-Slow-Train-Analysis-(2080s-and-2083s)?_g=(refreshInterval:(display:Off,section:0,value:0),time:(from:'2016-09-02 03:53:03-0600',mode:absolute,to:'2016-09-02 06:26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59" t="str">
            <v>N</v>
          </cell>
          <cell r="X159">
            <v>554</v>
          </cell>
          <cell r="Y159">
            <v>5.8624000000000001</v>
          </cell>
          <cell r="Z159">
            <v>6.9099999999999995E-2</v>
          </cell>
          <cell r="AA159">
            <v>5.7933000000000003</v>
          </cell>
          <cell r="AB159" t="e">
            <v>#N/A</v>
          </cell>
          <cell r="AC159" t="e">
            <v>#N/A</v>
          </cell>
          <cell r="AD159" t="str">
            <v>0800-02</v>
          </cell>
          <cell r="AE159" t="str">
    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    </cell>
        </row>
        <row r="160">
          <cell r="A160" t="str">
            <v>801-02</v>
          </cell>
          <cell r="B160">
            <v>4007</v>
          </cell>
          <cell r="C160" t="str">
            <v>DE.1.0.7.0</v>
          </cell>
          <cell r="D160" t="str">
            <v>204:976</v>
          </cell>
          <cell r="E160">
            <v>42615.237650462965</v>
          </cell>
          <cell r="F160">
            <v>42615.243946759256</v>
          </cell>
          <cell r="G160">
            <v>3</v>
          </cell>
          <cell r="H160" t="str">
            <v>300:58502</v>
          </cell>
          <cell r="I160">
            <v>42615.253738425927</v>
          </cell>
          <cell r="J160">
            <v>1</v>
          </cell>
          <cell r="K160" t="str">
            <v>4007/4008</v>
          </cell>
          <cell r="L160" t="str">
            <v>STRICKLAND</v>
          </cell>
          <cell r="M160">
            <v>9.7916666709352285E-3</v>
          </cell>
          <cell r="N160">
            <v>14.100000006146729</v>
          </cell>
          <cell r="S160">
            <v>1</v>
          </cell>
          <cell r="T160" t="str">
            <v>NorthBound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https://search-rtdc-monitor-bjffxe2xuh6vdkpspy63sjmuny.us-east-1.es.amazonaws.com/_plugin/kibana/#/discover/Steve-Slow-Train-Analysis-(2080s-and-2083s)?_g=(refreshInterval:(display:Off,section:0,value:0),time:(from:'2016-09-02 04:42:13-0600',mode:absolute,to:'2016-09-02 07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0" t="str">
            <v>N</v>
          </cell>
          <cell r="X160">
            <v>1</v>
          </cell>
          <cell r="Y160">
            <v>9.7600000000000006E-2</v>
          </cell>
          <cell r="Z160">
            <v>5.8502000000000001</v>
          </cell>
          <cell r="AA160">
            <v>5.7526000000000002</v>
          </cell>
          <cell r="AB160" t="e">
            <v>#N/A</v>
          </cell>
          <cell r="AC160" t="e">
            <v>#N/A</v>
          </cell>
          <cell r="AD160" t="str">
            <v>0801-02</v>
          </cell>
          <cell r="AE160" t="str">
    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    </cell>
        </row>
        <row r="161">
          <cell r="A161" t="str">
            <v>802-02</v>
          </cell>
          <cell r="B161">
            <v>4008</v>
          </cell>
          <cell r="C161" t="str">
            <v>DE.1.0.7.0</v>
          </cell>
          <cell r="D161" t="str">
            <v>300:58628</v>
          </cell>
          <cell r="E161">
            <v>42615.255543981482</v>
          </cell>
          <cell r="F161">
            <v>42615.257604166669</v>
          </cell>
          <cell r="G161">
            <v>1</v>
          </cell>
          <cell r="H161" t="str">
            <v>204:694</v>
          </cell>
          <cell r="I161">
            <v>42615.270474537036</v>
          </cell>
          <cell r="J161">
            <v>1</v>
          </cell>
          <cell r="K161" t="str">
            <v>4007/4008</v>
          </cell>
          <cell r="L161" t="str">
            <v>STRICKLAND</v>
          </cell>
          <cell r="M161">
            <v>1.2870370366727002E-2</v>
          </cell>
          <cell r="N161">
            <v>18.533333328086883</v>
          </cell>
          <cell r="S161">
            <v>1</v>
          </cell>
          <cell r="T161" t="str">
            <v>Southbound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https://search-rtdc-monitor-bjffxe2xuh6vdkpspy63sjmuny.us-east-1.es.amazonaws.com/_plugin/kibana/#/discover/Steve-Slow-Train-Analysis-(2080s-and-2083s)?_g=(refreshInterval:(display:Off,section:0,value:0),time:(from:'2016-09-02 05:07:59-0600',mode:absolute,to:'2016-09-02 07:29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1" t="str">
            <v>N</v>
          </cell>
          <cell r="X161">
            <v>1</v>
          </cell>
          <cell r="Y161">
            <v>5.8628</v>
          </cell>
          <cell r="Z161">
            <v>6.9400000000000003E-2</v>
          </cell>
          <cell r="AA161">
            <v>5.7934000000000001</v>
          </cell>
          <cell r="AB161" t="e">
            <v>#N/A</v>
          </cell>
          <cell r="AC161" t="e">
            <v>#N/A</v>
          </cell>
          <cell r="AD161" t="str">
            <v>0802-02</v>
          </cell>
          <cell r="AE161" t="str">
    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    </cell>
        </row>
        <row r="162">
          <cell r="A162" t="str">
            <v>803-02</v>
          </cell>
          <cell r="B162">
            <v>4025</v>
          </cell>
          <cell r="C162" t="str">
            <v>DE.1.0.7.0</v>
          </cell>
          <cell r="D162" t="str">
            <v>204:1114</v>
          </cell>
          <cell r="E162">
            <v>42615.254432870373</v>
          </cell>
          <cell r="F162">
            <v>42615.265081018515</v>
          </cell>
          <cell r="G162">
            <v>1</v>
          </cell>
          <cell r="H162" t="str">
            <v>300:58954</v>
          </cell>
          <cell r="I162">
            <v>42615.274027777778</v>
          </cell>
          <cell r="J162">
            <v>1</v>
          </cell>
          <cell r="K162" t="str">
            <v>4025/4026</v>
          </cell>
          <cell r="L162" t="str">
            <v>YORK</v>
          </cell>
          <cell r="M162">
            <v>8.9467592624714598E-3</v>
          </cell>
          <cell r="N162">
            <v>12.883333337958902</v>
          </cell>
          <cell r="S162">
            <v>1</v>
          </cell>
          <cell r="T162" t="str">
            <v>NorthBound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https://search-rtdc-monitor-bjffxe2xuh6vdkpspy63sjmuny.us-east-1.es.amazonaws.com/_plugin/kibana/#/discover/Steve-Slow-Train-Analysis-(2080s-and-2083s)?_g=(refreshInterval:(display:Off,section:0,value:0),time:(from:'2016-09-02 05:06:23-0600',mode:absolute,to:'2016-09-02 07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62" t="str">
            <v>N</v>
          </cell>
          <cell r="X162">
            <v>1</v>
          </cell>
          <cell r="Y162">
            <v>0.1114</v>
          </cell>
          <cell r="Z162">
            <v>5.8954000000000004</v>
          </cell>
          <cell r="AA162">
            <v>5.7840000000000007</v>
          </cell>
          <cell r="AB162" t="e">
            <v>#N/A</v>
          </cell>
          <cell r="AC162" t="e">
            <v>#N/A</v>
          </cell>
          <cell r="AD162" t="str">
            <v>0803-02</v>
          </cell>
          <cell r="AE162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63">
          <cell r="A163" t="str">
            <v>804-02</v>
          </cell>
          <cell r="B163">
            <v>4026</v>
          </cell>
          <cell r="C163" t="str">
            <v>DE.1.0.7.0</v>
          </cell>
          <cell r="D163" t="str">
            <v>300:58623</v>
          </cell>
          <cell r="E163">
            <v>42615.274965277778</v>
          </cell>
          <cell r="F163">
            <v>42615.278587962966</v>
          </cell>
          <cell r="G163">
            <v>1</v>
          </cell>
          <cell r="H163" t="str">
            <v>204:827</v>
          </cell>
          <cell r="I163">
            <v>42615.28837962963</v>
          </cell>
          <cell r="J163">
            <v>1</v>
          </cell>
          <cell r="K163" t="str">
            <v>4025/4026</v>
          </cell>
          <cell r="L163" t="str">
            <v>YORK</v>
          </cell>
          <cell r="M163">
            <v>9.7916666636592709E-3</v>
          </cell>
          <cell r="N163">
            <v>14.09999999566935</v>
          </cell>
          <cell r="S163">
            <v>1</v>
          </cell>
          <cell r="T163" t="str">
            <v>Southbound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https://search-rtdc-monitor-bjffxe2xuh6vdkpspy63sjmuny.us-east-1.es.amazonaws.com/_plugin/kibana/#/discover/Steve-Slow-Train-Analysis-(2080s-and-2083s)?_g=(refreshInterval:(display:Off,section:0,value:0),time:(from:'2016-09-02 05:35:57-0600',mode:absolute,to:'2016-09-02 07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63" t="str">
            <v>N</v>
          </cell>
          <cell r="X163">
            <v>1</v>
          </cell>
          <cell r="Y163">
            <v>5.8623000000000003</v>
          </cell>
          <cell r="Z163">
            <v>8.2699999999999996E-2</v>
          </cell>
          <cell r="AA163">
            <v>5.7796000000000003</v>
          </cell>
          <cell r="AB163" t="e">
            <v>#N/A</v>
          </cell>
          <cell r="AC163" t="e">
            <v>#N/A</v>
          </cell>
          <cell r="AD163" t="str">
            <v>0804-02</v>
          </cell>
          <cell r="AE163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64">
          <cell r="A164" t="str">
            <v>805-02</v>
          </cell>
          <cell r="B164">
            <v>4007</v>
          </cell>
          <cell r="C164" t="str">
            <v>DE.1.0.7.0</v>
          </cell>
          <cell r="D164" t="str">
            <v>204:981</v>
          </cell>
          <cell r="E164">
            <v>42615.278969907406</v>
          </cell>
          <cell r="F164">
            <v>42615.285636574074</v>
          </cell>
          <cell r="G164">
            <v>1</v>
          </cell>
          <cell r="H164" t="str">
            <v>300:58877</v>
          </cell>
          <cell r="I164">
            <v>42615.29550925926</v>
          </cell>
          <cell r="J164">
            <v>1</v>
          </cell>
          <cell r="K164" t="str">
            <v>4007/4008</v>
          </cell>
          <cell r="L164" t="str">
            <v>STRICKLAND</v>
          </cell>
          <cell r="M164">
            <v>9.8726851865649223E-3</v>
          </cell>
          <cell r="N164">
            <v>14.216666668653488</v>
          </cell>
          <cell r="S164">
            <v>1</v>
          </cell>
          <cell r="T164" t="str">
            <v>NorthBound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https://search-rtdc-monitor-bjffxe2xuh6vdkpspy63sjmuny.us-east-1.es.amazonaws.com/_plugin/kibana/#/discover/Steve-Slow-Train-Analysis-(2080s-and-2083s)?_g=(refreshInterval:(display:Off,section:0,value:0),time:(from:'2016-09-02 05:41:43-0600',mode:absolute,to:'2016-09-02 08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4" t="str">
            <v>N</v>
          </cell>
          <cell r="X164">
            <v>1</v>
          </cell>
          <cell r="Y164">
            <v>9.8100000000000007E-2</v>
          </cell>
          <cell r="Z164">
            <v>5.8876999999999997</v>
          </cell>
          <cell r="AA164">
            <v>5.7896000000000001</v>
          </cell>
          <cell r="AB164" t="e">
            <v>#N/A</v>
          </cell>
          <cell r="AC164" t="e">
            <v>#N/A</v>
          </cell>
          <cell r="AD164" t="str">
            <v>0805-02</v>
          </cell>
          <cell r="AE164" t="str">
    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    </cell>
        </row>
        <row r="165">
          <cell r="A165" t="str">
            <v>806-02</v>
          </cell>
          <cell r="B165">
            <v>4008</v>
          </cell>
          <cell r="C165" t="str">
            <v>DE.1.0.7.0</v>
          </cell>
          <cell r="D165" t="str">
            <v>300:58611</v>
          </cell>
          <cell r="E165">
            <v>42615.296701388892</v>
          </cell>
          <cell r="F165">
            <v>42615.300034722219</v>
          </cell>
          <cell r="G165">
            <v>1</v>
          </cell>
          <cell r="H165" t="str">
            <v>300:57346</v>
          </cell>
          <cell r="I165">
            <v>42615.301354166666</v>
          </cell>
          <cell r="J165">
            <v>1</v>
          </cell>
          <cell r="K165" t="str">
            <v>4007/4008</v>
          </cell>
          <cell r="L165" t="str">
            <v>STRICKLAND</v>
          </cell>
          <cell r="M165">
            <v>1.3194444472901523E-3</v>
          </cell>
          <cell r="P165">
            <v>1.9000000040978193</v>
          </cell>
          <cell r="R165" t="str">
            <v>Onboard in-route failure</v>
          </cell>
          <cell r="S165">
            <v>0</v>
          </cell>
          <cell r="T165" t="str">
            <v>Southbound</v>
          </cell>
          <cell r="U165">
            <v>0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https://search-rtdc-monitor-bjffxe2xuh6vdkpspy63sjmuny.us-east-1.es.amazonaws.com/_plugin/kibana/#/discover/Steve-Slow-Train-Analysis-(2080s-and-2083s)?_g=(refreshInterval:(display:Off,section:0,value:0),time:(from:'2016-09-02 06:07:15-0600',mode:absolute,to:'2016-09-02 08:13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5" t="str">
            <v>Y</v>
          </cell>
          <cell r="X165">
            <v>1</v>
          </cell>
          <cell r="Y165">
            <v>5.8611000000000004</v>
          </cell>
          <cell r="Z165">
            <v>5.7346000000000004</v>
          </cell>
          <cell r="AA165">
            <v>0.12650000000000006</v>
          </cell>
          <cell r="AB165" t="e">
            <v>#N/A</v>
          </cell>
          <cell r="AC165" t="e">
            <v>#N/A</v>
          </cell>
          <cell r="AD165" t="str">
            <v>0806-02</v>
          </cell>
          <cell r="AE165" t="str">
    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    </cell>
        </row>
        <row r="166">
          <cell r="A166" t="str">
            <v>807-02</v>
          </cell>
          <cell r="B166">
            <v>4025</v>
          </cell>
          <cell r="C166" t="str">
            <v>DE.1.0.7.0</v>
          </cell>
          <cell r="D166" t="str">
            <v>204:1114</v>
          </cell>
          <cell r="E166">
            <v>42615.303900462961</v>
          </cell>
          <cell r="F166">
            <v>42615.306423611109</v>
          </cell>
          <cell r="G166">
            <v>1</v>
          </cell>
          <cell r="H166" t="str">
            <v>300:58935</v>
          </cell>
          <cell r="I166">
            <v>42615.315208333333</v>
          </cell>
          <cell r="J166">
            <v>1</v>
          </cell>
          <cell r="K166" t="str">
            <v>4025/4026</v>
          </cell>
          <cell r="L166" t="str">
            <v>YORK</v>
          </cell>
          <cell r="M166">
            <v>8.7847222239361145E-3</v>
          </cell>
          <cell r="N166">
            <v>12.650000002468005</v>
          </cell>
          <cell r="S166">
            <v>1</v>
          </cell>
          <cell r="T166" t="str">
            <v>NorthBound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https://search-rtdc-monitor-bjffxe2xuh6vdkpspy63sjmuny.us-east-1.es.amazonaws.com/_plugin/kibana/#/discover/Steve-Slow-Train-Analysis-(2080s-and-2083s)?_g=(refreshInterval:(display:Off,section:0,value:0),time:(from:'2016-09-02 06:17:37-0600',mode:absolute,to:'2016-09-02 08:33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66" t="str">
            <v>N</v>
          </cell>
          <cell r="X166">
            <v>1</v>
          </cell>
          <cell r="Y166">
            <v>0.1114</v>
          </cell>
          <cell r="Z166">
            <v>5.8935000000000004</v>
          </cell>
          <cell r="AA166">
            <v>5.7821000000000007</v>
          </cell>
          <cell r="AB166" t="e">
            <v>#N/A</v>
          </cell>
          <cell r="AC166" t="e">
            <v>#N/A</v>
          </cell>
          <cell r="AD166" t="str">
            <v>0807-02</v>
          </cell>
          <cell r="AE166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67">
          <cell r="A167" t="str">
            <v>808-02</v>
          </cell>
          <cell r="B167">
            <v>4026</v>
          </cell>
          <cell r="C167" t="str">
            <v>DE.1.0.7.0</v>
          </cell>
          <cell r="D167" t="str">
            <v>300:58621</v>
          </cell>
          <cell r="E167">
            <v>42615.31659722222</v>
          </cell>
          <cell r="F167">
            <v>42615.318113425928</v>
          </cell>
          <cell r="G167">
            <v>1</v>
          </cell>
          <cell r="H167" t="str">
            <v>204:789</v>
          </cell>
          <cell r="I167">
            <v>42615.330081018517</v>
          </cell>
          <cell r="J167">
            <v>1</v>
          </cell>
          <cell r="K167" t="str">
            <v>4025/4026</v>
          </cell>
          <cell r="L167" t="str">
            <v>YORK</v>
          </cell>
          <cell r="M167">
            <v>1.1967592588916887E-2</v>
          </cell>
          <cell r="N167">
            <v>17.233333328040317</v>
          </cell>
          <cell r="S167">
            <v>1</v>
          </cell>
          <cell r="T167" t="str">
            <v>Southbound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https://search-rtdc-monitor-bjffxe2xuh6vdkpspy63sjmuny.us-east-1.es.amazonaws.com/_plugin/kibana/#/discover/Steve-Slow-Train-Analysis-(2080s-and-2083s)?_g=(refreshInterval:(display:Off,section:0,value:0),time:(from:'2016-09-02 06:35:54-0600',mode:absolute,to:'2016-09-02 08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67" t="str">
            <v>N</v>
          </cell>
          <cell r="X167">
            <v>1</v>
          </cell>
          <cell r="Y167">
            <v>5.8620999999999999</v>
          </cell>
          <cell r="Z167">
            <v>7.8899999999999998E-2</v>
          </cell>
          <cell r="AA167">
            <v>5.7831999999999999</v>
          </cell>
          <cell r="AB167" t="e">
            <v>#N/A</v>
          </cell>
          <cell r="AC167" t="e">
            <v>#N/A</v>
          </cell>
          <cell r="AD167" t="str">
            <v>0808-02</v>
          </cell>
          <cell r="AE167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68">
          <cell r="A168" t="str">
            <v>809-02</v>
          </cell>
          <cell r="B168">
            <v>4007</v>
          </cell>
          <cell r="C168" t="str">
            <v>DE.1.0.7.0</v>
          </cell>
          <cell r="D168" t="str">
            <v>204:1056</v>
          </cell>
          <cell r="E168">
            <v>42615.322118055556</v>
          </cell>
          <cell r="F168">
            <v>42615.327453703707</v>
          </cell>
          <cell r="G168">
            <v>1</v>
          </cell>
          <cell r="H168" t="str">
            <v>300:58961</v>
          </cell>
          <cell r="I168">
            <v>42615.339050925926</v>
          </cell>
          <cell r="J168">
            <v>1</v>
          </cell>
          <cell r="K168" t="str">
            <v>4007/4008</v>
          </cell>
          <cell r="L168" t="str">
            <v>STRICKLAND</v>
          </cell>
          <cell r="M168">
            <v>1.1597222219279502E-2</v>
          </cell>
          <cell r="N168">
            <v>16.699999995762482</v>
          </cell>
          <cell r="S168">
            <v>1</v>
          </cell>
          <cell r="T168" t="str">
            <v>NorthBound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https://search-rtdc-monitor-bjffxe2xuh6vdkpspy63sjmuny.us-east-1.es.amazonaws.com/_plugin/kibana/#/discover/Steve-Slow-Train-Analysis-(2080s-and-2083s)?_g=(refreshInterval:(display:Off,section:0,value:0),time:(from:'2016-09-02 06:43:51-0600',mode:absolute,to:'2016-09-02 09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68" t="str">
            <v>N</v>
          </cell>
          <cell r="X168">
            <v>1</v>
          </cell>
          <cell r="Y168">
            <v>0.1056</v>
          </cell>
          <cell r="Z168">
            <v>5.8960999999999997</v>
          </cell>
          <cell r="AA168">
            <v>5.7904999999999998</v>
          </cell>
          <cell r="AB168" t="e">
            <v>#N/A</v>
          </cell>
          <cell r="AC168" t="e">
            <v>#N/A</v>
          </cell>
          <cell r="AD168" t="str">
            <v>0809-02</v>
          </cell>
          <cell r="AE168" t="str">
    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    </cell>
        </row>
        <row r="169">
          <cell r="A169" t="str">
            <v>810-02</v>
          </cell>
          <cell r="B169">
            <v>4008</v>
          </cell>
          <cell r="C169" t="str">
            <v>DE.1.0.7.0</v>
          </cell>
          <cell r="D169" t="str">
            <v>300:58641</v>
          </cell>
          <cell r="E169">
            <v>42615.340358796297</v>
          </cell>
          <cell r="F169">
            <v>42615.341481481482</v>
          </cell>
          <cell r="G169">
            <v>1</v>
          </cell>
          <cell r="H169" t="str">
            <v>204:699</v>
          </cell>
          <cell r="I169">
            <v>42615.3518287037</v>
          </cell>
          <cell r="J169">
            <v>1</v>
          </cell>
          <cell r="K169" t="str">
            <v>4007/4008</v>
          </cell>
          <cell r="L169" t="str">
            <v>STRICKLAND</v>
          </cell>
          <cell r="M169">
            <v>1.0347222218115348E-2</v>
          </cell>
          <cell r="N169">
            <v>14.899999994086102</v>
          </cell>
          <cell r="S169">
            <v>1</v>
          </cell>
          <cell r="T169" t="str">
            <v>Southbound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https://search-rtdc-monitor-bjffxe2xuh6vdkpspy63sjmuny.us-east-1.es.amazonaws.com/_plugin/kibana/#/discover/Steve-Slow-Train-Analysis-(2080s-and-2083s)?_g=(refreshInterval:(display:Off,section:0,value:0),time:(from:'2016-09-02 07:10:07-0600',mode:absolute,to:'2016-09-02 09:26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69" t="str">
            <v>N</v>
          </cell>
          <cell r="X169">
            <v>1</v>
          </cell>
          <cell r="Y169">
            <v>5.8640999999999996</v>
          </cell>
          <cell r="Z169">
            <v>6.9900000000000004E-2</v>
          </cell>
          <cell r="AA169">
            <v>5.7942</v>
          </cell>
          <cell r="AB169" t="e">
            <v>#N/A</v>
          </cell>
          <cell r="AC169" t="e">
            <v>#N/A</v>
          </cell>
          <cell r="AD169" t="str">
            <v>0810-02</v>
          </cell>
          <cell r="AE169" t="str">
    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    </cell>
        </row>
        <row r="170">
          <cell r="A170" t="str">
            <v>811-02</v>
          </cell>
          <cell r="B170">
            <v>4025</v>
          </cell>
          <cell r="C170" t="str">
            <v>DE.1.0.7.0</v>
          </cell>
          <cell r="D170" t="str">
            <v>204:1077</v>
          </cell>
          <cell r="E170">
            <v>42615.331331018519</v>
          </cell>
          <cell r="F170">
            <v>42615.348645833335</v>
          </cell>
          <cell r="G170">
            <v>1</v>
          </cell>
          <cell r="H170" t="str">
            <v>300:58956</v>
          </cell>
          <cell r="I170">
            <v>42615.357604166667</v>
          </cell>
          <cell r="J170">
            <v>1</v>
          </cell>
          <cell r="K170" t="str">
            <v>4025/4026</v>
          </cell>
          <cell r="L170" t="str">
            <v>YORK</v>
          </cell>
          <cell r="M170">
            <v>8.9583333319751546E-3</v>
          </cell>
          <cell r="N170">
            <v>12.899999998044223</v>
          </cell>
          <cell r="S170">
            <v>1</v>
          </cell>
          <cell r="T170" t="str">
            <v>NorthBound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https://search-rtdc-monitor-bjffxe2xuh6vdkpspy63sjmuny.us-east-1.es.amazonaws.com/_plugin/kibana/#/discover/Steve-Slow-Train-Analysis-(2080s-and-2083s)?_g=(refreshInterval:(display:Off,section:0,value:0),time:(from:'2016-09-02 06:57:07-0600',mode:absolute,to:'2016-09-02 09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70" t="str">
            <v>N</v>
          </cell>
          <cell r="X170">
            <v>1</v>
          </cell>
          <cell r="Y170">
            <v>0.1077</v>
          </cell>
          <cell r="Z170">
            <v>5.8956</v>
          </cell>
          <cell r="AA170">
            <v>5.7878999999999996</v>
          </cell>
          <cell r="AB170" t="e">
            <v>#N/A</v>
          </cell>
          <cell r="AC170" t="e">
            <v>#N/A</v>
          </cell>
          <cell r="AD170" t="str">
            <v>0811-02</v>
          </cell>
          <cell r="AE170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71">
          <cell r="A171" t="str">
            <v>812-02</v>
          </cell>
          <cell r="B171">
            <v>4026</v>
          </cell>
          <cell r="C171" t="str">
            <v>DE.1.0.7.0</v>
          </cell>
          <cell r="D171" t="str">
            <v>300:58634</v>
          </cell>
          <cell r="E171">
            <v>42615.360590277778</v>
          </cell>
          <cell r="F171">
            <v>42615.361666666664</v>
          </cell>
          <cell r="G171">
            <v>1</v>
          </cell>
          <cell r="H171" t="str">
            <v>204:815</v>
          </cell>
          <cell r="I171">
            <v>42615.370879629627</v>
          </cell>
          <cell r="J171">
            <v>1</v>
          </cell>
          <cell r="K171" t="str">
            <v>4025/4026</v>
          </cell>
          <cell r="L171" t="str">
            <v>YORK</v>
          </cell>
          <cell r="M171">
            <v>9.2129629629198462E-3</v>
          </cell>
          <cell r="N171">
            <v>13.266666666604578</v>
          </cell>
          <cell r="S171">
            <v>1</v>
          </cell>
          <cell r="T171" t="str">
            <v>Southbound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https://search-rtdc-monitor-bjffxe2xuh6vdkpspy63sjmuny.us-east-1.es.amazonaws.com/_plugin/kibana/#/discover/Steve-Slow-Train-Analysis-(2080s-and-2083s)?_g=(refreshInterval:(display:Off,section:0,value:0),time:(from:'2016-09-02 07:39:15-0600',mode:absolute,to:'2016-09-02 09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71" t="str">
            <v>N</v>
          </cell>
          <cell r="X171">
            <v>1</v>
          </cell>
          <cell r="Y171">
            <v>5.8634000000000004</v>
          </cell>
          <cell r="Z171">
            <v>8.1500000000000003E-2</v>
          </cell>
          <cell r="AA171">
            <v>5.7819000000000003</v>
          </cell>
          <cell r="AB171" t="e">
            <v>#N/A</v>
          </cell>
          <cell r="AC171" t="e">
            <v>#N/A</v>
          </cell>
          <cell r="AD171" t="str">
            <v>0812-02</v>
          </cell>
          <cell r="AE171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72">
          <cell r="A172" t="str">
            <v>813-02</v>
          </cell>
          <cell r="B172">
            <v>4025</v>
          </cell>
          <cell r="C172" t="str">
            <v>DE.1.0.7.0</v>
          </cell>
          <cell r="D172" t="str">
            <v>204:1112</v>
          </cell>
          <cell r="E172">
            <v>42615.373217592591</v>
          </cell>
          <cell r="F172">
            <v>42615.38994212963</v>
          </cell>
          <cell r="G172">
            <v>1</v>
          </cell>
          <cell r="H172" t="str">
            <v>300:58937</v>
          </cell>
          <cell r="I172">
            <v>42615.398865740739</v>
          </cell>
          <cell r="J172">
            <v>1</v>
          </cell>
          <cell r="K172" t="str">
            <v>4025/4026</v>
          </cell>
          <cell r="L172" t="str">
            <v>YORK</v>
          </cell>
          <cell r="M172">
            <v>8.923611108912155E-3</v>
          </cell>
          <cell r="N172">
            <v>12.849999996833503</v>
          </cell>
          <cell r="S172">
            <v>1</v>
          </cell>
          <cell r="T172" t="str">
            <v>NorthBound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https://search-rtdc-monitor-bjffxe2xuh6vdkpspy63sjmuny.us-east-1.es.amazonaws.com/_plugin/kibana/#/discover/Steve-Slow-Train-Analysis-(2080s-and-2083s)?_g=(refreshInterval:(display:Off,section:0,value:0),time:(from:'2016-09-02 07:57:26-0600',mode:absolute,to:'2016-09-02 10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72" t="str">
            <v>N</v>
          </cell>
          <cell r="X172">
            <v>1</v>
          </cell>
          <cell r="Y172">
            <v>0.11119999999999999</v>
          </cell>
          <cell r="Z172">
            <v>5.8936999999999999</v>
          </cell>
          <cell r="AA172">
            <v>5.7824999999999998</v>
          </cell>
          <cell r="AB172" t="e">
            <v>#N/A</v>
          </cell>
          <cell r="AC172" t="e">
            <v>#N/A</v>
          </cell>
          <cell r="AD172" t="str">
            <v>0813-02</v>
          </cell>
          <cell r="AE172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73">
          <cell r="A173" t="str">
            <v>814-02</v>
          </cell>
          <cell r="B173">
            <v>4026</v>
          </cell>
          <cell r="C173" t="str">
            <v>DE.1.0.7.0</v>
          </cell>
          <cell r="D173" t="str">
            <v>300:58623</v>
          </cell>
          <cell r="E173">
            <v>42615.400127314817</v>
          </cell>
          <cell r="F173">
            <v>42615.401458333334</v>
          </cell>
          <cell r="G173">
            <v>1</v>
          </cell>
          <cell r="H173" t="str">
            <v>204:815</v>
          </cell>
          <cell r="I173">
            <v>42615.412430555552</v>
          </cell>
          <cell r="J173">
            <v>1</v>
          </cell>
          <cell r="K173" t="str">
            <v>4025/4026</v>
          </cell>
          <cell r="L173" t="str">
            <v>YORK</v>
          </cell>
          <cell r="M173">
            <v>1.0972222218697425E-2</v>
          </cell>
          <cell r="N173">
            <v>15.799999994924292</v>
          </cell>
          <cell r="S173">
            <v>1</v>
          </cell>
          <cell r="T173" t="str">
            <v>Southbound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https://search-rtdc-monitor-bjffxe2xuh6vdkpspy63sjmuny.us-east-1.es.amazonaws.com/_plugin/kibana/#/discover/Steve-Slow-Train-Analysis-(2080s-and-2083s)?_g=(refreshInterval:(display:Off,section:0,value:0),time:(from:'2016-09-02 08:36:11-0600',mode:absolute,to:'2016-09-02 10:53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73" t="str">
            <v>N</v>
          </cell>
          <cell r="X173">
            <v>1</v>
          </cell>
          <cell r="Y173">
            <v>5.8623000000000003</v>
          </cell>
          <cell r="Z173">
            <v>8.1500000000000003E-2</v>
          </cell>
          <cell r="AA173">
            <v>5.7808000000000002</v>
          </cell>
          <cell r="AB173" t="e">
            <v>#N/A</v>
          </cell>
          <cell r="AC173" t="e">
            <v>#N/A</v>
          </cell>
          <cell r="AD173" t="str">
            <v>0814-02</v>
          </cell>
          <cell r="AE173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74">
          <cell r="A174" t="str">
            <v>815-02</v>
          </cell>
          <cell r="B174">
            <v>4025</v>
          </cell>
          <cell r="C174" t="str">
            <v>DE.1.0.7.0</v>
          </cell>
          <cell r="D174" t="str">
            <v>204:1097</v>
          </cell>
          <cell r="E174">
            <v>42615.420497685183</v>
          </cell>
          <cell r="F174">
            <v>42615.431516203702</v>
          </cell>
          <cell r="G174">
            <v>1</v>
          </cell>
          <cell r="H174" t="str">
            <v>300:58944</v>
          </cell>
          <cell r="I174">
            <v>42615.440115740741</v>
          </cell>
          <cell r="J174">
            <v>1</v>
          </cell>
          <cell r="K174" t="str">
            <v>4025/4026</v>
          </cell>
          <cell r="L174" t="str">
            <v>YORK</v>
          </cell>
          <cell r="M174">
            <v>8.599537039117422E-3</v>
          </cell>
          <cell r="N174">
            <v>12.383333336329088</v>
          </cell>
          <cell r="S174">
            <v>1</v>
          </cell>
          <cell r="T174" t="str">
            <v>NorthBound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https://search-rtdc-monitor-bjffxe2xuh6vdkpspy63sjmuny.us-east-1.es.amazonaws.com/_plugin/kibana/#/discover/Steve-Slow-Train-Analysis-(2080s-and-2083s)?_g=(refreshInterval:(display:Off,section:0,value:0),time:(from:'2016-09-02 09:05:31-0600',mode:absolute,to:'2016-09-02 11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74" t="str">
            <v>N</v>
          </cell>
          <cell r="X174">
            <v>1</v>
          </cell>
          <cell r="Y174">
            <v>0.10970000000000001</v>
          </cell>
          <cell r="Z174">
            <v>5.8944000000000001</v>
          </cell>
          <cell r="AA174">
            <v>5.7847</v>
          </cell>
          <cell r="AB174" t="e">
            <v>#N/A</v>
          </cell>
          <cell r="AC174" t="e">
            <v>#N/A</v>
          </cell>
          <cell r="AD174" t="str">
            <v>0815-02</v>
          </cell>
          <cell r="AE174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75">
          <cell r="A175" t="str">
            <v>816-02</v>
          </cell>
          <cell r="B175">
            <v>4026</v>
          </cell>
          <cell r="C175" t="str">
            <v>DE.1.0.7.0</v>
          </cell>
          <cell r="D175" t="str">
            <v>300:58632</v>
          </cell>
          <cell r="E175">
            <v>42615.441319444442</v>
          </cell>
          <cell r="F175">
            <v>42615.443020833336</v>
          </cell>
          <cell r="G175">
            <v>1</v>
          </cell>
          <cell r="H175" t="str">
            <v>204:824</v>
          </cell>
          <cell r="I175">
            <v>42615.454143518517</v>
          </cell>
          <cell r="J175">
            <v>1</v>
          </cell>
          <cell r="K175" t="str">
            <v>4025/4026</v>
          </cell>
          <cell r="L175" t="str">
            <v>YORK</v>
          </cell>
          <cell r="M175">
            <v>1.1122685180453118E-2</v>
          </cell>
          <cell r="N175">
            <v>16.01666665985249</v>
          </cell>
          <cell r="S175">
            <v>1</v>
          </cell>
          <cell r="T175" t="str">
            <v>Southbound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https://search-rtdc-monitor-bjffxe2xuh6vdkpspy63sjmuny.us-east-1.es.amazonaws.com/_plugin/kibana/#/discover/Steve-Slow-Train-Analysis-(2080s-and-2083s)?_g=(refreshInterval:(display:Off,section:0,value:0),time:(from:'2016-09-02 09:35:30-0600',mode:absolute,to:'2016-09-02 11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75" t="str">
            <v>N</v>
          </cell>
          <cell r="X175">
            <v>1</v>
          </cell>
          <cell r="Y175">
            <v>5.8632</v>
          </cell>
          <cell r="Z175">
            <v>8.2400000000000001E-2</v>
          </cell>
          <cell r="AA175">
            <v>5.7808000000000002</v>
          </cell>
          <cell r="AB175" t="e">
            <v>#N/A</v>
          </cell>
          <cell r="AC175" t="e">
            <v>#N/A</v>
          </cell>
          <cell r="AD175" t="str">
            <v>0816-02</v>
          </cell>
          <cell r="AE175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76">
          <cell r="A176" t="str">
            <v>817-02</v>
          </cell>
          <cell r="B176">
            <v>4025</v>
          </cell>
          <cell r="C176" t="str">
            <v>DE.1.0.7.0</v>
          </cell>
          <cell r="D176" t="str">
            <v>204:1123</v>
          </cell>
          <cell r="E176">
            <v>42615.472083333334</v>
          </cell>
          <cell r="F176">
            <v>42615.474224537036</v>
          </cell>
          <cell r="G176">
            <v>2</v>
          </cell>
          <cell r="H176" t="str">
            <v>300:58924</v>
          </cell>
          <cell r="I176">
            <v>42615.483634259261</v>
          </cell>
          <cell r="J176">
            <v>1</v>
          </cell>
          <cell r="K176" t="str">
            <v>4025/4026</v>
          </cell>
          <cell r="L176" t="str">
            <v>ROBINSON</v>
          </cell>
          <cell r="M176">
            <v>9.4097222245181911E-3</v>
          </cell>
          <cell r="N176">
            <v>13.550000003306195</v>
          </cell>
          <cell r="S176">
            <v>1</v>
          </cell>
          <cell r="T176" t="str">
            <v>NorthBound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https://search-rtdc-monitor-bjffxe2xuh6vdkpspy63sjmuny.us-east-1.es.amazonaws.com/_plugin/kibana/#/discover/Steve-Slow-Train-Analysis-(2080s-and-2083s)?_g=(refreshInterval:(display:Off,section:0,value:0),time:(from:'2016-09-02 10:19:48-0600',mode:absolute,to:'2016-09-02 12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76" t="str">
            <v>N</v>
          </cell>
          <cell r="X176">
            <v>1</v>
          </cell>
          <cell r="Y176">
            <v>0.1123</v>
          </cell>
          <cell r="Z176">
            <v>5.8924000000000003</v>
          </cell>
          <cell r="AA176">
            <v>5.7801</v>
          </cell>
          <cell r="AB176" t="e">
            <v>#N/A</v>
          </cell>
          <cell r="AC176" t="e">
            <v>#N/A</v>
          </cell>
          <cell r="AD176" t="str">
            <v>0817-02</v>
          </cell>
          <cell r="AE176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77">
          <cell r="A177" t="str">
            <v>818-02</v>
          </cell>
          <cell r="B177">
            <v>4026</v>
          </cell>
          <cell r="C177" t="str">
            <v>DE.1.0.7.0</v>
          </cell>
          <cell r="D177" t="str">
            <v>300:58617</v>
          </cell>
          <cell r="E177">
            <v>42615.48541666667</v>
          </cell>
          <cell r="F177">
            <v>42615.486701388887</v>
          </cell>
          <cell r="G177">
            <v>1</v>
          </cell>
          <cell r="H177" t="str">
            <v>204:797</v>
          </cell>
          <cell r="I177">
            <v>42615.496828703705</v>
          </cell>
          <cell r="J177">
            <v>1</v>
          </cell>
          <cell r="K177" t="str">
            <v>4025/4026</v>
          </cell>
          <cell r="L177" t="str">
            <v>YORK</v>
          </cell>
          <cell r="M177">
            <v>1.0127314817509614E-2</v>
          </cell>
          <cell r="N177">
            <v>14.583333337213844</v>
          </cell>
          <cell r="S177">
            <v>1</v>
          </cell>
          <cell r="T177" t="str">
            <v>Southbound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https://search-rtdc-monitor-bjffxe2xuh6vdkpspy63sjmuny.us-east-1.es.amazonaws.com/_plugin/kibana/#/discover/Steve-Slow-Train-Analysis-(2080s-and-2083s)?_g=(refreshInterval:(display:Off,section:0,value:0),time:(from:'2016-09-02 10:39:00-0600',mode:absolute,to:'2016-09-02 12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77" t="str">
            <v>N</v>
          </cell>
          <cell r="X177">
            <v>1</v>
          </cell>
          <cell r="Y177">
            <v>5.8616999999999999</v>
          </cell>
          <cell r="Z177">
            <v>7.9699999999999993E-2</v>
          </cell>
          <cell r="AA177">
            <v>5.782</v>
          </cell>
          <cell r="AB177" t="e">
            <v>#N/A</v>
          </cell>
          <cell r="AC177" t="e">
            <v>#N/A</v>
          </cell>
          <cell r="AD177" t="str">
            <v>0818-02</v>
          </cell>
          <cell r="AE177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78">
          <cell r="A178" t="str">
            <v>819-02</v>
          </cell>
          <cell r="B178">
            <v>4025</v>
          </cell>
          <cell r="C178" t="str">
            <v>DE.1.0.7.0</v>
          </cell>
          <cell r="D178" t="str">
            <v>204:1105</v>
          </cell>
          <cell r="E178">
            <v>42615.500833333332</v>
          </cell>
          <cell r="F178">
            <v>42615.514756944445</v>
          </cell>
          <cell r="G178">
            <v>1</v>
          </cell>
          <cell r="H178" t="str">
            <v>300:58929</v>
          </cell>
          <cell r="I178">
            <v>42615.523495370369</v>
          </cell>
          <cell r="J178">
            <v>1</v>
          </cell>
          <cell r="K178" t="str">
            <v>4025/4026</v>
          </cell>
          <cell r="L178" t="str">
            <v>YORK</v>
          </cell>
          <cell r="M178">
            <v>8.7384259240934625E-3</v>
          </cell>
          <cell r="N178">
            <v>12.583333330694586</v>
          </cell>
          <cell r="S178">
            <v>1</v>
          </cell>
          <cell r="T178" t="str">
            <v>NorthBound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https://search-rtdc-monitor-bjffxe2xuh6vdkpspy63sjmuny.us-east-1.es.amazonaws.com/_plugin/kibana/#/discover/Steve-Slow-Train-Analysis-(2080s-and-2083s)?_g=(refreshInterval:(display:Off,section:0,value:0),time:(from:'2016-09-02 11:01:12-0600',mode:absolute,to:'2016-09-02 13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78" t="str">
            <v>N</v>
          </cell>
          <cell r="X178">
            <v>1</v>
          </cell>
          <cell r="Y178">
            <v>0.1105</v>
          </cell>
          <cell r="Z178">
            <v>5.8929</v>
          </cell>
          <cell r="AA178">
            <v>5.7824</v>
          </cell>
          <cell r="AB178" t="e">
            <v>#N/A</v>
          </cell>
          <cell r="AC178" t="e">
            <v>#N/A</v>
          </cell>
          <cell r="AD178" t="str">
            <v>0819-02</v>
          </cell>
          <cell r="AE178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79">
          <cell r="A179" t="str">
            <v>820-02</v>
          </cell>
          <cell r="B179">
            <v>4026</v>
          </cell>
          <cell r="C179" t="str">
            <v>DE.1.0.7.0</v>
          </cell>
          <cell r="D179" t="str">
            <v>300:58626</v>
          </cell>
          <cell r="E179">
            <v>42615.524375000001</v>
          </cell>
          <cell r="F179">
            <v>42615.526562500003</v>
          </cell>
          <cell r="G179">
            <v>1</v>
          </cell>
          <cell r="H179" t="str">
            <v>204:836</v>
          </cell>
          <cell r="I179">
            <v>42615.537349537037</v>
          </cell>
          <cell r="J179">
            <v>1</v>
          </cell>
          <cell r="K179" t="str">
            <v>4025/4026</v>
          </cell>
          <cell r="L179" t="str">
            <v>YORK</v>
          </cell>
          <cell r="M179">
            <v>1.0787037033878732E-2</v>
          </cell>
          <cell r="N179">
            <v>15.533333328785375</v>
          </cell>
          <cell r="S179">
            <v>1</v>
          </cell>
          <cell r="T179" t="str">
            <v>Southbound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https://search-rtdc-monitor-bjffxe2xuh6vdkpspy63sjmuny.us-east-1.es.amazonaws.com/_plugin/kibana/#/discover/Steve-Slow-Train-Analysis-(2080s-and-2083s)?_g=(refreshInterval:(display:Off,section:0,value:0),time:(from:'2016-09-02 11:35:06-0600',mode:absolute,to:'2016-09-02 13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79" t="str">
            <v>N</v>
          </cell>
          <cell r="X179">
            <v>1</v>
          </cell>
          <cell r="Y179">
            <v>5.8625999999999996</v>
          </cell>
          <cell r="Z179">
            <v>8.3599999999999994E-2</v>
          </cell>
          <cell r="AA179">
            <v>5.7789999999999999</v>
          </cell>
          <cell r="AB179" t="e">
            <v>#N/A</v>
          </cell>
          <cell r="AC179" t="e">
            <v>#N/A</v>
          </cell>
          <cell r="AD179" t="str">
            <v>0820-02</v>
          </cell>
          <cell r="AE179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80">
          <cell r="A180" t="str">
            <v>821-02</v>
          </cell>
          <cell r="B180">
            <v>4025</v>
          </cell>
          <cell r="C180" t="str">
            <v>DE.1.0.7.0</v>
          </cell>
          <cell r="D180" t="str">
            <v>204:1126</v>
          </cell>
          <cell r="E180">
            <v>42615.553495370368</v>
          </cell>
          <cell r="F180">
            <v>42615.556550925925</v>
          </cell>
          <cell r="G180">
            <v>1</v>
          </cell>
          <cell r="H180" t="str">
            <v>300:58931</v>
          </cell>
          <cell r="I180">
            <v>42615.566874999997</v>
          </cell>
          <cell r="J180">
            <v>1</v>
          </cell>
          <cell r="K180" t="str">
            <v>4025/4026</v>
          </cell>
          <cell r="L180" t="str">
            <v>MAHAN</v>
          </cell>
          <cell r="M180">
            <v>1.0324074071832001E-2</v>
          </cell>
          <cell r="N180">
            <v>14.866666663438082</v>
          </cell>
          <cell r="S180">
            <v>1</v>
          </cell>
          <cell r="T180" t="str">
            <v>NorthBound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https://search-rtdc-monitor-bjffxe2xuh6vdkpspy63sjmuny.us-east-1.es.amazonaws.com/_plugin/kibana/#/discover/Steve-Slow-Train-Analysis-(2080s-and-2083s)?_g=(refreshInterval:(display:Off,section:0,value:0),time:(from:'2016-09-02 12:17:02-0600',mode:absolute,to:'2016-09-02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80" t="str">
            <v>N</v>
          </cell>
          <cell r="X180">
            <v>1</v>
          </cell>
          <cell r="Y180">
            <v>0.11260000000000001</v>
          </cell>
          <cell r="Z180">
            <v>5.8930999999999996</v>
          </cell>
          <cell r="AA180">
            <v>5.7805</v>
          </cell>
          <cell r="AB180" t="e">
            <v>#N/A</v>
          </cell>
          <cell r="AC180" t="e">
            <v>#N/A</v>
          </cell>
          <cell r="AD180" t="str">
            <v>0821-02</v>
          </cell>
          <cell r="AE180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81">
          <cell r="A181" t="str">
            <v>822-02</v>
          </cell>
          <cell r="B181">
            <v>4026</v>
          </cell>
          <cell r="C181" t="str">
            <v>DE.1.0.7.0</v>
          </cell>
          <cell r="D181" t="str">
            <v>300:58615</v>
          </cell>
          <cell r="E181">
            <v>42615.568611111114</v>
          </cell>
          <cell r="F181">
            <v>42615.570486111108</v>
          </cell>
          <cell r="G181">
            <v>1</v>
          </cell>
          <cell r="H181" t="str">
            <v>204:743</v>
          </cell>
          <cell r="I181">
            <v>42615.580937500003</v>
          </cell>
          <cell r="J181">
            <v>1</v>
          </cell>
          <cell r="K181" t="str">
            <v>4025/4026</v>
          </cell>
          <cell r="L181" t="str">
            <v>MAHAN</v>
          </cell>
          <cell r="M181">
            <v>1.0451388894580305E-2</v>
          </cell>
          <cell r="N181">
            <v>15.050000008195639</v>
          </cell>
          <cell r="S181">
            <v>1</v>
          </cell>
          <cell r="T181" t="str">
            <v>Southbound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https://search-rtdc-monitor-bjffxe2xuh6vdkpspy63sjmuny.us-east-1.es.amazonaws.com/_plugin/kibana/#/discover/Steve-Slow-Train-Analysis-(2080s-and-2083s)?_g=(refreshInterval:(display:Off,section:0,value:0),time:(from:'2016-09-02 12:38:48-0600',mode:absolute,to:'2016-09-02 14:56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81" t="str">
            <v>N</v>
          </cell>
          <cell r="X181">
            <v>1</v>
          </cell>
          <cell r="Y181">
            <v>5.8615000000000004</v>
          </cell>
          <cell r="Z181">
            <v>7.4300000000000005E-2</v>
          </cell>
          <cell r="AA181">
            <v>5.7872000000000003</v>
          </cell>
          <cell r="AB181" t="e">
            <v>#N/A</v>
          </cell>
          <cell r="AC181" t="e">
            <v>#N/A</v>
          </cell>
          <cell r="AD181" t="str">
            <v>0822-02</v>
          </cell>
          <cell r="AE181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82">
          <cell r="A182" t="str">
            <v>823-02</v>
          </cell>
          <cell r="B182">
            <v>4025</v>
          </cell>
          <cell r="C182" t="str">
            <v>DE.1.0.7.0</v>
          </cell>
          <cell r="D182" t="str">
            <v>204:1020</v>
          </cell>
          <cell r="E182">
            <v>42615.594895833332</v>
          </cell>
          <cell r="F182">
            <v>42615.598449074074</v>
          </cell>
          <cell r="G182">
            <v>1</v>
          </cell>
          <cell r="H182" t="str">
            <v>300:58935</v>
          </cell>
          <cell r="I182">
            <v>42615.608657407407</v>
          </cell>
          <cell r="J182">
            <v>1</v>
          </cell>
          <cell r="K182" t="str">
            <v>4025/4026</v>
          </cell>
          <cell r="L182" t="str">
            <v>MAHAN</v>
          </cell>
          <cell r="M182">
            <v>1.0208333333139308E-2</v>
          </cell>
          <cell r="N182">
            <v>14.699999999720603</v>
          </cell>
          <cell r="S182">
            <v>1</v>
          </cell>
          <cell r="T182" t="str">
            <v>NorthBound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https://search-rtdc-monitor-bjffxe2xuh6vdkpspy63sjmuny.us-east-1.es.amazonaws.com/_plugin/kibana/#/discover/Steve-Slow-Train-Analysis-(2080s-and-2083s)?_g=(refreshInterval:(display:Off,section:0,value:0),time:(from:'2016-09-02 13:16:39-0600',mode:absolute,to:'2016-09-02 15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82" t="str">
            <v>N</v>
          </cell>
          <cell r="X182">
            <v>1</v>
          </cell>
          <cell r="Y182">
            <v>0.10199999999999999</v>
          </cell>
          <cell r="Z182">
            <v>5.8935000000000004</v>
          </cell>
          <cell r="AA182">
            <v>5.7915000000000001</v>
          </cell>
          <cell r="AB182" t="e">
            <v>#N/A</v>
          </cell>
          <cell r="AC182" t="e">
            <v>#N/A</v>
          </cell>
          <cell r="AD182" t="str">
            <v>0823-02</v>
          </cell>
          <cell r="AE182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83">
          <cell r="A183" t="str">
            <v>824-02</v>
          </cell>
          <cell r="B183">
            <v>4026</v>
          </cell>
          <cell r="C183" t="str">
            <v>DE.1.0.7.0</v>
          </cell>
          <cell r="D183" t="str">
            <v>300:58617</v>
          </cell>
          <cell r="E183">
            <v>42615.609803240739</v>
          </cell>
          <cell r="F183">
            <v>42615.611481481479</v>
          </cell>
          <cell r="G183">
            <v>1</v>
          </cell>
          <cell r="H183" t="str">
            <v>204:733</v>
          </cell>
          <cell r="I183">
            <v>42615.621944444443</v>
          </cell>
          <cell r="J183">
            <v>1</v>
          </cell>
          <cell r="K183" t="str">
            <v>4025/4026</v>
          </cell>
          <cell r="L183" t="str">
            <v>MAHAN</v>
          </cell>
          <cell r="M183">
            <v>1.0462962964083999E-2</v>
          </cell>
          <cell r="N183">
            <v>15.066666668280959</v>
          </cell>
          <cell r="S183">
            <v>1</v>
          </cell>
          <cell r="T183" t="str">
            <v>Southbound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https://search-rtdc-monitor-bjffxe2xuh6vdkpspy63sjmuny.us-east-1.es.amazonaws.com/_plugin/kibana/#/discover/Steve-Slow-Train-Analysis-(2080s-and-2083s)?_g=(refreshInterval:(display:Off,section:0,value:0),time:(from:'2016-09-02 13:38:07-0600',mode:absolute,to:'2016-09-02 15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83" t="str">
            <v>N</v>
          </cell>
          <cell r="X183">
            <v>1</v>
          </cell>
          <cell r="Y183">
            <v>5.8616999999999999</v>
          </cell>
          <cell r="Z183">
            <v>7.3300000000000004E-2</v>
          </cell>
          <cell r="AA183">
            <v>5.7884000000000002</v>
          </cell>
          <cell r="AB183" t="e">
            <v>#N/A</v>
          </cell>
          <cell r="AC183" t="e">
            <v>#N/A</v>
          </cell>
          <cell r="AD183" t="str">
            <v>0824-02</v>
          </cell>
          <cell r="AE183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84">
          <cell r="A184" t="str">
            <v>825-02</v>
          </cell>
          <cell r="B184">
            <v>4025</v>
          </cell>
          <cell r="C184" t="str">
            <v>DE.1.0.7.0</v>
          </cell>
          <cell r="D184" t="str">
            <v>204:1014</v>
          </cell>
          <cell r="E184">
            <v>42615.635740740741</v>
          </cell>
          <cell r="F184">
            <v>42615.639745370368</v>
          </cell>
          <cell r="G184">
            <v>1</v>
          </cell>
          <cell r="H184" t="str">
            <v>300:58935</v>
          </cell>
          <cell r="I184">
            <v>42615.649560185186</v>
          </cell>
          <cell r="J184">
            <v>1</v>
          </cell>
          <cell r="K184" t="str">
            <v>4025/4026</v>
          </cell>
          <cell r="L184" t="str">
            <v>MAHAN</v>
          </cell>
          <cell r="M184">
            <v>9.8148148172185756E-3</v>
          </cell>
          <cell r="N184">
            <v>14.133333336794749</v>
          </cell>
          <cell r="S184">
            <v>1</v>
          </cell>
          <cell r="T184" t="str">
            <v>NorthBound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https://search-rtdc-monitor-bjffxe2xuh6vdkpspy63sjmuny.us-east-1.es.amazonaws.com/_plugin/kibana/#/discover/Steve-Slow-Train-Analysis-(2080s-and-2083s)?_g=(refreshInterval:(display:Off,section:0,value:0),time:(from:'2016-09-02 14:15:28-0600',mode:absolute,to:'2016-09-02 16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84" t="str">
            <v>N</v>
          </cell>
          <cell r="X184">
            <v>1</v>
          </cell>
          <cell r="Y184">
            <v>0.1014</v>
          </cell>
          <cell r="Z184">
            <v>5.8935000000000004</v>
          </cell>
          <cell r="AA184">
            <v>5.7921000000000005</v>
          </cell>
          <cell r="AB184" t="e">
            <v>#N/A</v>
          </cell>
          <cell r="AC184" t="e">
            <v>#N/A</v>
          </cell>
          <cell r="AD184" t="str">
            <v>0825-02</v>
          </cell>
          <cell r="AE184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85">
          <cell r="A185" t="str">
            <v>826-02</v>
          </cell>
          <cell r="B185">
            <v>4026</v>
          </cell>
          <cell r="C185" t="str">
            <v>DE.1.0.7.0</v>
          </cell>
          <cell r="D185" t="str">
            <v>300:58608</v>
          </cell>
          <cell r="E185">
            <v>42615.650613425925</v>
          </cell>
          <cell r="F185">
            <v>42615.651863425926</v>
          </cell>
          <cell r="G185">
            <v>1</v>
          </cell>
          <cell r="H185" t="str">
            <v>204:754</v>
          </cell>
          <cell r="I185">
            <v>42615.664004629631</v>
          </cell>
          <cell r="J185">
            <v>1</v>
          </cell>
          <cell r="K185" t="str">
            <v>4025/4026</v>
          </cell>
          <cell r="L185" t="str">
            <v>MAHAN</v>
          </cell>
          <cell r="M185">
            <v>1.2141203704231884E-2</v>
          </cell>
          <cell r="N185">
            <v>17.483333334093913</v>
          </cell>
          <cell r="S185">
            <v>1</v>
          </cell>
          <cell r="T185" t="str">
            <v>Southbound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https://search-rtdc-monitor-bjffxe2xuh6vdkpspy63sjmuny.us-east-1.es.amazonaws.com/_plugin/kibana/#/discover/Steve-Slow-Train-Analysis-(2080s-and-2083s)?_g=(refreshInterval:(display:Off,section:0,value:0),time:(from:'2016-09-02 14:36:53-0600',mode:absolute,to:'2016-09-02 16:56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85" t="str">
            <v>N</v>
          </cell>
          <cell r="X185">
            <v>1</v>
          </cell>
          <cell r="Y185">
            <v>5.8608000000000002</v>
          </cell>
          <cell r="Z185">
            <v>7.5399999999999995E-2</v>
          </cell>
          <cell r="AA185">
            <v>5.7854000000000001</v>
          </cell>
          <cell r="AB185" t="e">
            <v>#N/A</v>
          </cell>
          <cell r="AC185" t="e">
            <v>#N/A</v>
          </cell>
          <cell r="AD185" t="str">
            <v>0826-02</v>
          </cell>
          <cell r="AE185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86">
          <cell r="A186" t="str">
            <v>827-02</v>
          </cell>
          <cell r="B186">
            <v>4007</v>
          </cell>
          <cell r="C186" t="str">
            <v>DE.1.0.7.0</v>
          </cell>
          <cell r="D186" t="str">
            <v>204:913</v>
          </cell>
          <cell r="E186">
            <v>42615.657129629632</v>
          </cell>
          <cell r="F186">
            <v>42615.660601851851</v>
          </cell>
          <cell r="G186">
            <v>1</v>
          </cell>
          <cell r="H186" t="str">
            <v>300:59005</v>
          </cell>
          <cell r="I186">
            <v>42615.670659722222</v>
          </cell>
          <cell r="J186">
            <v>1</v>
          </cell>
          <cell r="K186" t="str">
            <v>4007/4008</v>
          </cell>
          <cell r="L186" t="str">
            <v>BROWN</v>
          </cell>
          <cell r="M186">
            <v>1.0057870371383615E-2</v>
          </cell>
          <cell r="N186">
            <v>14.483333334792405</v>
          </cell>
          <cell r="S186">
            <v>1</v>
          </cell>
          <cell r="T186" t="str">
            <v>NorthBound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https://search-rtdc-monitor-bjffxe2xuh6vdkpspy63sjmuny.us-east-1.es.amazonaws.com/_plugin/kibana/#/discover/Steve-Slow-Train-Analysis-(2080s-and-2083s)?_g=(refreshInterval:(display:Off,section:0,value:0),time:(from:'2016-09-02 14:46:16-0600',mode:absolute,to:'2016-09-02 17:05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86" t="str">
            <v>N</v>
          </cell>
          <cell r="X186">
            <v>1</v>
          </cell>
          <cell r="Y186">
            <v>9.1300000000000006E-2</v>
          </cell>
          <cell r="Z186">
            <v>5.9005000000000001</v>
          </cell>
          <cell r="AA186">
            <v>5.8091999999999997</v>
          </cell>
          <cell r="AB186" t="e">
            <v>#N/A</v>
          </cell>
          <cell r="AC186" t="e">
            <v>#N/A</v>
          </cell>
          <cell r="AD186" t="str">
            <v>0827-02</v>
          </cell>
          <cell r="AE186" t="str">
    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    </cell>
        </row>
        <row r="187">
          <cell r="A187" t="str">
            <v>828-02</v>
          </cell>
          <cell r="B187">
            <v>4008</v>
          </cell>
          <cell r="C187" t="str">
            <v>DE.1.0.7.0</v>
          </cell>
          <cell r="D187" t="str">
            <v>300:58687</v>
          </cell>
          <cell r="E187">
            <v>42615.671759259261</v>
          </cell>
          <cell r="F187">
            <v>42615.673125000001</v>
          </cell>
          <cell r="G187">
            <v>1</v>
          </cell>
          <cell r="H187" t="str">
            <v>204:720</v>
          </cell>
          <cell r="I187">
            <v>42615.684618055559</v>
          </cell>
          <cell r="J187">
            <v>1</v>
          </cell>
          <cell r="K187" t="str">
            <v>4007/4008</v>
          </cell>
          <cell r="L187" t="str">
            <v>BROWN</v>
          </cell>
          <cell r="M187">
            <v>1.1493055557366461E-2</v>
          </cell>
          <cell r="N187">
            <v>16.550000002607703</v>
          </cell>
          <cell r="S187">
            <v>1</v>
          </cell>
          <cell r="T187" t="str">
            <v>Southbound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https://search-rtdc-monitor-bjffxe2xuh6vdkpspy63sjmuny.us-east-1.es.amazonaws.com/_plugin/kibana/#/discover/Steve-Slow-Train-Analysis-(2080s-and-2083s)?_g=(refreshInterval:(display:Off,section:0,value:0),time:(from:'2016-09-02 15:07:20-0600',mode:absolute,to:'2016-09-02 17:25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87" t="str">
            <v>N</v>
          </cell>
          <cell r="X187">
            <v>1</v>
          </cell>
          <cell r="Y187">
            <v>5.8686999999999996</v>
          </cell>
          <cell r="Z187">
            <v>7.1999999999999995E-2</v>
          </cell>
          <cell r="AA187">
            <v>5.7966999999999995</v>
          </cell>
          <cell r="AB187" t="e">
            <v>#N/A</v>
          </cell>
          <cell r="AC187" t="e">
            <v>#N/A</v>
          </cell>
          <cell r="AD187" t="str">
            <v>0828-02</v>
          </cell>
          <cell r="AE187" t="str">
    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    </cell>
        </row>
        <row r="188">
          <cell r="A188" t="str">
            <v>829-02</v>
          </cell>
          <cell r="B188">
            <v>4025</v>
          </cell>
          <cell r="C188" t="str">
            <v>DE.1.0.7.0</v>
          </cell>
          <cell r="D188" t="str">
            <v>204:1058</v>
          </cell>
          <cell r="E188">
            <v>42615.677986111114</v>
          </cell>
          <cell r="F188">
            <v>42615.681840277779</v>
          </cell>
          <cell r="G188">
            <v>1</v>
          </cell>
          <cell r="H188" t="str">
            <v>300:58929</v>
          </cell>
          <cell r="I188">
            <v>42615.690925925926</v>
          </cell>
          <cell r="J188">
            <v>1</v>
          </cell>
          <cell r="K188" t="str">
            <v>4025/4026</v>
          </cell>
          <cell r="L188" t="str">
            <v>MAHAN</v>
          </cell>
          <cell r="M188">
            <v>9.0856481474475004E-3</v>
          </cell>
          <cell r="N188">
            <v>13.083333332324401</v>
          </cell>
          <cell r="S188">
            <v>1</v>
          </cell>
          <cell r="T188" t="str">
            <v>NorthBound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https://search-rtdc-monitor-bjffxe2xuh6vdkpspy63sjmuny.us-east-1.es.amazonaws.com/_plugin/kibana/#/discover/Steve-Slow-Train-Analysis-(2080s-and-2083s)?_g=(refreshInterval:(display:Off,section:0,value:0),time:(from:'2016-09-02 15:16:18-0600',mode:absolute,to:'2016-09-02 17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88" t="str">
            <v>N</v>
          </cell>
          <cell r="X188">
            <v>1</v>
          </cell>
          <cell r="Y188">
            <v>0.10580000000000001</v>
          </cell>
          <cell r="Z188">
            <v>5.8929</v>
          </cell>
          <cell r="AA188">
            <v>5.7870999999999997</v>
          </cell>
          <cell r="AB188" t="e">
            <v>#N/A</v>
          </cell>
          <cell r="AC188" t="e">
            <v>#N/A</v>
          </cell>
          <cell r="AD188" t="str">
            <v>0829-02</v>
          </cell>
          <cell r="AE188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89">
          <cell r="A189" t="str">
            <v>830-02</v>
          </cell>
          <cell r="B189">
            <v>4026</v>
          </cell>
          <cell r="C189" t="str">
            <v>DE.1.0.7.0</v>
          </cell>
          <cell r="D189" t="str">
            <v>300:58617</v>
          </cell>
          <cell r="E189">
            <v>42615.691712962966</v>
          </cell>
          <cell r="F189">
            <v>42615.693055555559</v>
          </cell>
          <cell r="G189">
            <v>1</v>
          </cell>
          <cell r="H189" t="str">
            <v>204:741</v>
          </cell>
          <cell r="I189">
            <v>42615.706030092595</v>
          </cell>
          <cell r="J189">
            <v>1</v>
          </cell>
          <cell r="K189" t="str">
            <v>4025/4026</v>
          </cell>
          <cell r="L189" t="str">
            <v>MAHAN</v>
          </cell>
          <cell r="M189">
            <v>1.2974537035916001E-2</v>
          </cell>
          <cell r="N189">
            <v>18.683333331719041</v>
          </cell>
          <cell r="S189">
            <v>1</v>
          </cell>
          <cell r="T189" t="str">
            <v>Southbound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https://search-rtdc-monitor-bjffxe2xuh6vdkpspy63sjmuny.us-east-1.es.amazonaws.com/_plugin/kibana/#/discover/Steve-Slow-Train-Analysis-(2080s-and-2083s)?_g=(refreshInterval:(display:Off,section:0,value:0),time:(from:'2016-09-02 15:36:04-0600',mode:absolute,to:'2016-09-02 17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89" t="str">
            <v>N</v>
          </cell>
          <cell r="X189">
            <v>1</v>
          </cell>
          <cell r="Y189">
            <v>5.8616999999999999</v>
          </cell>
          <cell r="Z189">
            <v>7.4099999999999999E-2</v>
          </cell>
          <cell r="AA189">
            <v>5.7876000000000003</v>
          </cell>
          <cell r="AB189" t="e">
            <v>#N/A</v>
          </cell>
          <cell r="AC189" t="e">
            <v>#N/A</v>
          </cell>
          <cell r="AD189" t="str">
            <v>0830-02</v>
          </cell>
          <cell r="AE189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90">
          <cell r="A190" t="str">
            <v>831-02</v>
          </cell>
          <cell r="B190">
            <v>4007</v>
          </cell>
          <cell r="C190" t="str">
            <v>DE.1.0.7.0</v>
          </cell>
          <cell r="D190" t="str">
            <v>204:1013</v>
          </cell>
          <cell r="E190">
            <v>42615.686273148145</v>
          </cell>
          <cell r="F190">
            <v>42615.702303240738</v>
          </cell>
          <cell r="G190">
            <v>1</v>
          </cell>
          <cell r="H190" t="str">
            <v>300:58939</v>
          </cell>
          <cell r="I190">
            <v>42615.712013888886</v>
          </cell>
          <cell r="J190">
            <v>1</v>
          </cell>
          <cell r="K190" t="str">
            <v>4007/4008</v>
          </cell>
          <cell r="L190" t="str">
            <v>BROWN</v>
          </cell>
          <cell r="M190">
            <v>9.710648148029577E-3</v>
          </cell>
          <cell r="N190">
            <v>13.983333333162591</v>
          </cell>
          <cell r="S190">
            <v>1</v>
          </cell>
          <cell r="T190" t="str">
            <v>NorthBound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https://search-rtdc-monitor-bjffxe2xuh6vdkpspy63sjmuny.us-east-1.es.amazonaws.com/_plugin/kibana/#/discover/Steve-Slow-Train-Analysis-(2080s-and-2083s)?_g=(refreshInterval:(display:Off,section:0,value:0),time:(from:'2016-09-02 15:28:14-0600',mode:absolute,to:'2016-09-02 18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0" t="str">
            <v>N</v>
          </cell>
          <cell r="X190">
            <v>1</v>
          </cell>
          <cell r="Y190">
            <v>0.1013</v>
          </cell>
          <cell r="Z190">
            <v>5.8939000000000004</v>
          </cell>
          <cell r="AA190">
            <v>5.7926000000000002</v>
          </cell>
          <cell r="AB190" t="e">
            <v>#N/A</v>
          </cell>
          <cell r="AC190" t="e">
            <v>#N/A</v>
          </cell>
          <cell r="AD190" t="str">
            <v>0831-02</v>
          </cell>
          <cell r="AE190" t="str">
    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    </cell>
        </row>
        <row r="191">
          <cell r="A191" t="str">
            <v>832-02</v>
          </cell>
          <cell r="B191">
            <v>4008</v>
          </cell>
          <cell r="C191" t="str">
            <v>DE.1.0.7.0</v>
          </cell>
          <cell r="D191" t="str">
            <v>300:58624</v>
          </cell>
          <cell r="E191">
            <v>42615.713125000002</v>
          </cell>
          <cell r="F191">
            <v>42615.714918981481</v>
          </cell>
          <cell r="G191">
            <v>2</v>
          </cell>
          <cell r="H191" t="str">
            <v>204:656</v>
          </cell>
          <cell r="I191">
            <v>42615.726736111108</v>
          </cell>
          <cell r="J191">
            <v>1</v>
          </cell>
          <cell r="K191" t="str">
            <v>4007/4008</v>
          </cell>
          <cell r="L191" t="str">
            <v>BROWN</v>
          </cell>
          <cell r="M191">
            <v>1.1817129627161194E-2</v>
          </cell>
          <cell r="N191">
            <v>17.016666663112119</v>
          </cell>
          <cell r="S191">
            <v>1</v>
          </cell>
          <cell r="T191" t="str">
            <v>Southbound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https://search-rtdc-monitor-bjffxe2xuh6vdkpspy63sjmuny.us-east-1.es.amazonaws.com/_plugin/kibana/#/discover/Steve-Slow-Train-Analysis-(2080s-and-2083s)?_g=(refreshInterval:(display:Off,section:0,value:0),time:(from:'2016-09-02 16:06:54-0600',mode:absolute,to:'2016-09-02 18:26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1" t="str">
            <v>N</v>
          </cell>
          <cell r="X191">
            <v>1</v>
          </cell>
          <cell r="Y191">
            <v>5.8624000000000001</v>
          </cell>
          <cell r="Z191">
            <v>6.5600000000000006E-2</v>
          </cell>
          <cell r="AA191">
            <v>5.7968000000000002</v>
          </cell>
          <cell r="AB191" t="e">
            <v>#N/A</v>
          </cell>
          <cell r="AC191" t="e">
            <v>#N/A</v>
          </cell>
          <cell r="AD191" t="str">
            <v>0832-02</v>
          </cell>
          <cell r="AE191" t="str">
    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    </cell>
        </row>
        <row r="192">
          <cell r="A192" t="str">
            <v>833-02</v>
          </cell>
          <cell r="B192">
            <v>4025</v>
          </cell>
          <cell r="C192" t="str">
            <v>DE.1.0.7.0</v>
          </cell>
          <cell r="D192" t="str">
            <v>204:1037</v>
          </cell>
          <cell r="E192">
            <v>42615.719548611109</v>
          </cell>
          <cell r="F192">
            <v>42615.723333333335</v>
          </cell>
          <cell r="G192">
            <v>1</v>
          </cell>
          <cell r="H192" t="str">
            <v>300:58967</v>
          </cell>
          <cell r="I192">
            <v>42615.732916666668</v>
          </cell>
          <cell r="J192">
            <v>1</v>
          </cell>
          <cell r="K192" t="str">
            <v>4025/4026</v>
          </cell>
          <cell r="L192" t="str">
            <v>MAHAN</v>
          </cell>
          <cell r="M192">
            <v>9.5833333325572312E-3</v>
          </cell>
          <cell r="N192">
            <v>13.799999998882413</v>
          </cell>
          <cell r="S192">
            <v>1</v>
          </cell>
          <cell r="T192" t="str">
            <v>NorthBound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https://search-rtdc-monitor-bjffxe2xuh6vdkpspy63sjmuny.us-east-1.es.amazonaws.com/_plugin/kibana/#/discover/Steve-Slow-Train-Analysis-(2080s-and-2083s)?_g=(refreshInterval:(display:Off,section:0,value:0),time:(from:'2016-09-02 16:16:09-0600',mode:absolute,to:'2016-09-02 18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92" t="str">
            <v>N</v>
          </cell>
          <cell r="X192">
            <v>1</v>
          </cell>
          <cell r="Y192">
            <v>0.1037</v>
          </cell>
          <cell r="Z192">
            <v>5.8967000000000001</v>
          </cell>
          <cell r="AA192">
            <v>5.7930000000000001</v>
          </cell>
          <cell r="AB192" t="e">
            <v>#N/A</v>
          </cell>
          <cell r="AC192" t="e">
            <v>#N/A</v>
          </cell>
          <cell r="AD192" t="str">
            <v>0833-02</v>
          </cell>
          <cell r="AE192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93">
          <cell r="A193" t="str">
            <v>834-02</v>
          </cell>
          <cell r="B193">
            <v>4026</v>
          </cell>
          <cell r="C193" t="str">
            <v>DE.1.0.7.0</v>
          </cell>
          <cell r="D193" t="str">
            <v>300:58649</v>
          </cell>
          <cell r="E193">
            <v>42615.734849537039</v>
          </cell>
          <cell r="F193">
            <v>42615.736226851855</v>
          </cell>
          <cell r="G193">
            <v>1</v>
          </cell>
          <cell r="H193" t="str">
            <v>204:745</v>
          </cell>
          <cell r="I193">
            <v>42615.748391203706</v>
          </cell>
          <cell r="J193">
            <v>1</v>
          </cell>
          <cell r="K193" t="str">
            <v>4025/4026</v>
          </cell>
          <cell r="L193" t="str">
            <v>MAHAN</v>
          </cell>
          <cell r="M193">
            <v>1.2164351850515231E-2</v>
          </cell>
          <cell r="N193">
            <v>17.516666664741933</v>
          </cell>
          <cell r="S193">
            <v>1</v>
          </cell>
          <cell r="T193" t="str">
            <v>Southbound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https://search-rtdc-monitor-bjffxe2xuh6vdkpspy63sjmuny.us-east-1.es.amazonaws.com/_plugin/kibana/#/discover/Steve-Slow-Train-Analysis-(2080s-and-2083s)?_g=(refreshInterval:(display:Off,section:0,value:0),time:(from:'2016-09-02 16:38:11-0600',mode:absolute,to:'2016-09-02 18:57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93" t="str">
            <v>N</v>
          </cell>
          <cell r="X193">
            <v>1</v>
          </cell>
          <cell r="Y193">
            <v>5.8648999999999996</v>
          </cell>
          <cell r="Z193">
            <v>7.4499999999999997E-2</v>
          </cell>
          <cell r="AA193">
            <v>5.7904</v>
          </cell>
          <cell r="AB193" t="e">
            <v>#N/A</v>
          </cell>
          <cell r="AC193" t="e">
            <v>#N/A</v>
          </cell>
          <cell r="AD193" t="str">
            <v>0834-02</v>
          </cell>
          <cell r="AE193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94">
          <cell r="A194" t="str">
            <v>835-02</v>
          </cell>
          <cell r="B194">
            <v>4007</v>
          </cell>
          <cell r="C194" t="str">
            <v>DE.1.0.7.0</v>
          </cell>
          <cell r="D194" t="str">
            <v>204:958</v>
          </cell>
          <cell r="E194">
            <v>42615.728437500002</v>
          </cell>
          <cell r="F194">
            <v>42615.744652777779</v>
          </cell>
          <cell r="G194">
            <v>1</v>
          </cell>
          <cell r="H194" t="str">
            <v>300:58999</v>
          </cell>
          <cell r="I194">
            <v>42615.75408564815</v>
          </cell>
          <cell r="J194">
            <v>1</v>
          </cell>
          <cell r="K194" t="str">
            <v>4007/4008</v>
          </cell>
          <cell r="L194" t="str">
            <v>BROWN</v>
          </cell>
          <cell r="M194">
            <v>9.4328703708015382E-3</v>
          </cell>
          <cell r="N194">
            <v>13.583333333954215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https://search-rtdc-monitor-bjffxe2xuh6vdkpspy63sjmuny.us-east-1.es.amazonaws.com/_plugin/kibana/#/discover/Steve-Slow-Train-Analysis-(2080s-and-2083s)?_g=(refreshInterval:(display:Off,section:0,value:0),time:(from:'2016-09-02 16:28:57-0600',mode:absolute,to:'2016-09-02 19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4" t="str">
            <v>N</v>
          </cell>
          <cell r="X194">
            <v>1</v>
          </cell>
          <cell r="Y194">
            <v>9.5799999999999996E-2</v>
          </cell>
          <cell r="Z194">
            <v>5.8998999999999997</v>
          </cell>
          <cell r="AA194">
            <v>5.8041</v>
          </cell>
          <cell r="AB194" t="e">
            <v>#N/A</v>
          </cell>
          <cell r="AC194" t="e">
            <v>#N/A</v>
          </cell>
          <cell r="AD194" t="str">
            <v>0835-02</v>
          </cell>
          <cell r="AE194" t="str">
    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    </cell>
        </row>
        <row r="195">
          <cell r="A195" t="str">
            <v>836-02</v>
          </cell>
          <cell r="B195">
            <v>4008</v>
          </cell>
          <cell r="C195" t="str">
            <v>DE.1.0.7.0</v>
          </cell>
          <cell r="D195" t="str">
            <v>300:58696</v>
          </cell>
          <cell r="E195">
            <v>42615.754965277774</v>
          </cell>
          <cell r="F195">
            <v>42615.756354166668</v>
          </cell>
          <cell r="G195">
            <v>1</v>
          </cell>
          <cell r="H195" t="str">
            <v>204:666</v>
          </cell>
          <cell r="I195">
            <v>42615.768368055556</v>
          </cell>
          <cell r="J195">
            <v>1</v>
          </cell>
          <cell r="K195" t="str">
            <v>4007/4008</v>
          </cell>
          <cell r="L195" t="str">
            <v>BROWN</v>
          </cell>
          <cell r="M195">
            <v>1.2013888888759539E-2</v>
          </cell>
          <cell r="N195">
            <v>17.299999999813735</v>
          </cell>
          <cell r="S195">
            <v>1</v>
          </cell>
          <cell r="T195" t="str">
            <v>Southbound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https://search-rtdc-monitor-bjffxe2xuh6vdkpspy63sjmuny.us-east-1.es.amazonaws.com/_plugin/kibana/#/discover/Steve-Slow-Train-Analysis-(2080s-and-2083s)?_g=(refreshInterval:(display:Off,section:0,value:0),time:(from:'2016-09-02 17:07:09-0600',mode:absolute,to:'2016-09-02 19:26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195" t="str">
            <v>N</v>
          </cell>
          <cell r="X195">
            <v>1</v>
          </cell>
          <cell r="Y195">
            <v>5.8696000000000002</v>
          </cell>
          <cell r="Z195">
            <v>6.6600000000000006E-2</v>
          </cell>
          <cell r="AA195">
            <v>5.8029999999999999</v>
          </cell>
          <cell r="AB195" t="e">
            <v>#N/A</v>
          </cell>
          <cell r="AC195" t="e">
            <v>#N/A</v>
          </cell>
          <cell r="AD195" t="str">
            <v>0836-02</v>
          </cell>
          <cell r="AE195" t="str">
    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    </cell>
        </row>
        <row r="196">
          <cell r="A196" t="str">
            <v>837-02</v>
          </cell>
          <cell r="B196">
            <v>4025</v>
          </cell>
          <cell r="C196" t="str">
            <v>DE.1.0.7.0</v>
          </cell>
          <cell r="D196" t="str">
            <v>204:1034</v>
          </cell>
          <cell r="E196">
            <v>42615.761446759258</v>
          </cell>
          <cell r="F196">
            <v>42615.765289351853</v>
          </cell>
          <cell r="G196">
            <v>1</v>
          </cell>
          <cell r="H196" t="str">
            <v>300:58937</v>
          </cell>
          <cell r="I196">
            <v>42615.775127314817</v>
          </cell>
          <cell r="J196">
            <v>1</v>
          </cell>
          <cell r="K196" t="str">
            <v>4025/4026</v>
          </cell>
          <cell r="L196" t="str">
            <v>MAHAN</v>
          </cell>
          <cell r="M196">
            <v>9.8379629635019228E-3</v>
          </cell>
          <cell r="N196">
            <v>14.166666667442769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https://search-rtdc-monitor-bjffxe2xuh6vdkpspy63sjmuny.us-east-1.es.amazonaws.com/_plugin/kibana/#/discover/Steve-Slow-Train-Analysis-(2080s-and-2083s)?_g=(refreshInterval:(display:Off,section:0,value:0),time:(from:'2016-09-02 17:16:29-0600',mode:absolute,to:'2016-09-02 19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96" t="str">
            <v>N</v>
          </cell>
          <cell r="X196">
            <v>1</v>
          </cell>
          <cell r="Y196">
            <v>0.10340000000000001</v>
          </cell>
          <cell r="Z196">
            <v>5.8936999999999999</v>
          </cell>
          <cell r="AA196">
            <v>5.7903000000000002</v>
          </cell>
          <cell r="AB196" t="e">
            <v>#N/A</v>
          </cell>
          <cell r="AC196" t="e">
            <v>#N/A</v>
          </cell>
          <cell r="AD196" t="str">
            <v>0837-02</v>
          </cell>
          <cell r="AE196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197">
          <cell r="A197" t="str">
            <v>838-02</v>
          </cell>
          <cell r="B197">
            <v>4026</v>
          </cell>
          <cell r="C197" t="str">
            <v>DE.1.0.7.0</v>
          </cell>
          <cell r="D197" t="str">
            <v>300:58623</v>
          </cell>
          <cell r="E197">
            <v>42615.776956018519</v>
          </cell>
          <cell r="F197">
            <v>42615.778611111113</v>
          </cell>
          <cell r="G197">
            <v>1</v>
          </cell>
          <cell r="H197" t="str">
            <v>204:727</v>
          </cell>
          <cell r="I197">
            <v>42615.7890162037</v>
          </cell>
          <cell r="J197">
            <v>1</v>
          </cell>
          <cell r="K197" t="str">
            <v>4025/4026</v>
          </cell>
          <cell r="L197" t="str">
            <v>MAHAN</v>
          </cell>
          <cell r="M197">
            <v>1.0405092587461695E-2</v>
          </cell>
          <cell r="N197">
            <v>14.983333325944841</v>
          </cell>
          <cell r="S197">
            <v>1</v>
          </cell>
          <cell r="T197" t="str">
            <v>Southbound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https://search-rtdc-monitor-bjffxe2xuh6vdkpspy63sjmuny.us-east-1.es.amazonaws.com/_plugin/kibana/#/discover/Steve-Slow-Train-Analysis-(2080s-and-2083s)?_g=(refreshInterval:(display:Off,section:0,value:0),time:(from:'2016-09-02 17:38:49-0600',mode:absolute,to:'2016-09-02 19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97" t="str">
            <v>N</v>
          </cell>
          <cell r="X197">
            <v>1</v>
          </cell>
          <cell r="Y197">
            <v>5.8623000000000003</v>
          </cell>
          <cell r="Z197">
            <v>7.2700000000000001E-2</v>
          </cell>
          <cell r="AA197">
            <v>5.7896000000000001</v>
          </cell>
          <cell r="AB197" t="e">
            <v>#N/A</v>
          </cell>
          <cell r="AC197" t="e">
            <v>#N/A</v>
          </cell>
          <cell r="AD197" t="str">
            <v>0838-02</v>
          </cell>
          <cell r="AE197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198">
          <cell r="A198" t="str">
            <v>839-02</v>
          </cell>
          <cell r="B198">
            <v>4007</v>
          </cell>
          <cell r="C198" t="str">
            <v>DE.1.0.7.0</v>
          </cell>
          <cell r="D198" t="str">
            <v>204:976</v>
          </cell>
          <cell r="E198">
            <v>42615.770613425928</v>
          </cell>
          <cell r="F198">
            <v>42615.785601851851</v>
          </cell>
          <cell r="G198">
            <v>1</v>
          </cell>
          <cell r="H198" t="str">
            <v>300:58088</v>
          </cell>
          <cell r="I198">
            <v>42615.795671296299</v>
          </cell>
          <cell r="J198">
            <v>1</v>
          </cell>
          <cell r="K198" t="str">
            <v>4007/4008</v>
          </cell>
          <cell r="L198" t="str">
            <v>BROWN</v>
          </cell>
          <cell r="M198">
            <v>1.0069444448163267E-2</v>
          </cell>
          <cell r="N198">
            <v>14.500000005355105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https://search-rtdc-monitor-bjffxe2xuh6vdkpspy63sjmuny.us-east-1.es.amazonaws.com/_plugin/kibana/#/discover/Steve-Slow-Train-Analysis-(2080s-and-2083s)?_g=(refreshInterval:(display:Off,section:0,value:0),time:(from:'2016-09-02 17:29:41-0600',mode:absolute,to:'2016-09-02 20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198" t="str">
            <v>N</v>
          </cell>
          <cell r="X198">
            <v>1</v>
          </cell>
          <cell r="Y198">
            <v>9.7600000000000006E-2</v>
          </cell>
          <cell r="Z198">
            <v>5.8087999999999997</v>
          </cell>
          <cell r="AA198">
            <v>5.7111999999999998</v>
          </cell>
          <cell r="AB198" t="e">
            <v>#N/A</v>
          </cell>
          <cell r="AC198" t="e">
            <v>#N/A</v>
          </cell>
          <cell r="AD198" t="str">
            <v>0839-02</v>
          </cell>
          <cell r="AE198" t="str">
    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    </cell>
        </row>
        <row r="199">
          <cell r="A199" t="str">
            <v>840-02</v>
          </cell>
          <cell r="B199">
            <v>4026</v>
          </cell>
          <cell r="C199" t="str">
            <v>DE.1.0.7.0</v>
          </cell>
          <cell r="D199" t="str">
            <v>300:58615</v>
          </cell>
          <cell r="E199">
            <v>42615.817743055559</v>
          </cell>
          <cell r="F199">
            <v>42615.819236111114</v>
          </cell>
          <cell r="G199">
            <v>1</v>
          </cell>
          <cell r="H199" t="str">
            <v>204:752</v>
          </cell>
          <cell r="I199">
            <v>42615.831747685188</v>
          </cell>
          <cell r="J199">
            <v>1</v>
          </cell>
          <cell r="K199" t="str">
            <v>4025/4026</v>
          </cell>
          <cell r="L199" t="str">
            <v>MAHAN</v>
          </cell>
          <cell r="M199">
            <v>1.2511574073869269E-2</v>
          </cell>
          <cell r="N199">
            <v>18.016666666371748</v>
          </cell>
          <cell r="S199">
            <v>1</v>
          </cell>
          <cell r="T199" t="str">
            <v>Southbound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https://search-rtdc-monitor-bjffxe2xuh6vdkpspy63sjmuny.us-east-1.es.amazonaws.com/_plugin/kibana/#/discover/Steve-Slow-Train-Analysis-(2080s-and-2083s)?_g=(refreshInterval:(display:Off,section:0,value:0),time:(from:'2016-09-02 18:37:33-0600',mode:absolute,to:'2016-09-02 20:57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99" t="str">
            <v>N</v>
          </cell>
          <cell r="X199">
            <v>1</v>
          </cell>
          <cell r="Y199">
            <v>5.8615000000000004</v>
          </cell>
          <cell r="Z199">
            <v>7.5200000000000003E-2</v>
          </cell>
          <cell r="AA199">
            <v>5.7863000000000007</v>
          </cell>
          <cell r="AB199" t="e">
            <v>#N/A</v>
          </cell>
          <cell r="AC199" t="e">
            <v>#N/A</v>
          </cell>
          <cell r="AD199" t="str">
            <v>0840-02</v>
          </cell>
          <cell r="AE199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200">
          <cell r="A200" t="str">
            <v>841-02</v>
          </cell>
          <cell r="B200">
            <v>4025</v>
          </cell>
          <cell r="C200" t="str">
            <v>DE.1.0.7.0</v>
          </cell>
          <cell r="D200" t="str">
            <v>204:1013</v>
          </cell>
          <cell r="E200">
            <v>42615.80537037037</v>
          </cell>
          <cell r="F200">
            <v>42615.80678240741</v>
          </cell>
          <cell r="G200">
            <v>1</v>
          </cell>
          <cell r="H200" t="str">
            <v>300:58935</v>
          </cell>
          <cell r="I200">
            <v>42615.816400462965</v>
          </cell>
          <cell r="J200">
            <v>1</v>
          </cell>
          <cell r="K200" t="str">
            <v>4025/4026</v>
          </cell>
          <cell r="L200" t="str">
            <v>MAHAN</v>
          </cell>
          <cell r="M200">
            <v>9.6180555556202307E-3</v>
          </cell>
          <cell r="N200">
            <v>13.850000000093132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https://search-rtdc-monitor-bjffxe2xuh6vdkpspy63sjmuny.us-east-1.es.amazonaws.com/_plugin/kibana/#/discover/Steve-Slow-Train-Analysis-(2080s-and-2083s)?_g=(refreshInterval:(display:Off,section:0,value:0),time:(from:'2016-09-02 18:19:44-0600',mode:absolute,to:'2016-09-02 20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00" t="str">
            <v>N</v>
          </cell>
          <cell r="X200">
            <v>1</v>
          </cell>
          <cell r="Y200">
            <v>0.1013</v>
          </cell>
          <cell r="Z200">
            <v>5.8935000000000004</v>
          </cell>
          <cell r="AA200">
            <v>5.7922000000000002</v>
          </cell>
          <cell r="AB200" t="e">
            <v>#N/A</v>
          </cell>
          <cell r="AC200" t="e">
            <v>#N/A</v>
          </cell>
          <cell r="AD200" t="str">
            <v>0841-02</v>
          </cell>
          <cell r="AE200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201">
          <cell r="A201" t="str">
            <v>842-02</v>
          </cell>
          <cell r="B201">
            <v>4026</v>
          </cell>
          <cell r="C201" t="str">
            <v>DE.1.0.7.0</v>
          </cell>
          <cell r="D201" t="str">
            <v>300:58628</v>
          </cell>
          <cell r="E201">
            <v>42615.859594907408</v>
          </cell>
          <cell r="F201">
            <v>42615.861134259256</v>
          </cell>
          <cell r="G201">
            <v>1</v>
          </cell>
          <cell r="H201" t="str">
            <v>204:745</v>
          </cell>
          <cell r="I201">
            <v>42615.871979166666</v>
          </cell>
          <cell r="J201">
            <v>1</v>
          </cell>
          <cell r="K201" t="str">
            <v>4025/4026</v>
          </cell>
          <cell r="L201" t="str">
            <v>MAHAN</v>
          </cell>
          <cell r="M201">
            <v>1.0844907410501037E-2</v>
          </cell>
          <cell r="N201">
            <v>15.616666671121493</v>
          </cell>
          <cell r="S201">
            <v>1</v>
          </cell>
          <cell r="T201" t="str">
            <v>Southbound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https://search-rtdc-monitor-bjffxe2xuh6vdkpspy63sjmuny.us-east-1.es.amazonaws.com/_plugin/kibana/#/discover/Steve-Slow-Train-Analysis-(2080s-and-2083s)?_g=(refreshInterval:(display:Off,section:0,value:0),time:(from:'2016-09-02 19:37:49-0600',mode:absolute,to:'2016-09-02 21:55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201" t="str">
            <v>N</v>
          </cell>
          <cell r="X201">
            <v>1</v>
          </cell>
          <cell r="Y201">
            <v>5.8628</v>
          </cell>
          <cell r="Z201">
            <v>7.4499999999999997E-2</v>
          </cell>
          <cell r="AA201">
            <v>5.7883000000000004</v>
          </cell>
          <cell r="AB201" t="e">
            <v>#N/A</v>
          </cell>
          <cell r="AC201" t="e">
            <v>#N/A</v>
          </cell>
          <cell r="AD201" t="str">
            <v>0842-02</v>
          </cell>
          <cell r="AE201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202">
          <cell r="A202" t="str">
            <v>843-02</v>
          </cell>
          <cell r="B202">
            <v>4025</v>
          </cell>
          <cell r="C202" t="str">
            <v>DE.1.0.7.0</v>
          </cell>
          <cell r="D202" t="str">
            <v>204:1048</v>
          </cell>
          <cell r="E202">
            <v>42615.846643518518</v>
          </cell>
          <cell r="F202">
            <v>42615.848530092589</v>
          </cell>
          <cell r="G202">
            <v>1</v>
          </cell>
          <cell r="H202" t="str">
            <v>300:58956</v>
          </cell>
          <cell r="I202">
            <v>42615.858391203707</v>
          </cell>
          <cell r="J202">
            <v>1</v>
          </cell>
          <cell r="K202" t="str">
            <v>4025/4026</v>
          </cell>
          <cell r="L202" t="str">
            <v>MAHAN</v>
          </cell>
          <cell r="M202">
            <v>9.8611111170612276E-3</v>
          </cell>
          <cell r="N202">
            <v>14.200000008568168</v>
          </cell>
          <cell r="S202">
            <v>1</v>
          </cell>
          <cell r="T202" t="str">
            <v>NorthBound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https://search-rtdc-monitor-bjffxe2xuh6vdkpspy63sjmuny.us-east-1.es.amazonaws.com/_plugin/kibana/#/discover/Steve-Slow-Train-Analysis-(2080s-and-2083s)?_g=(refreshInterval:(display:Off,section:0,value:0),time:(from:'2016-09-02 19:19:10-0600',mode:absolute,to:'2016-09-02 21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02" t="str">
            <v>N</v>
          </cell>
          <cell r="X202">
            <v>1</v>
          </cell>
          <cell r="Y202">
            <v>0.1048</v>
          </cell>
          <cell r="Z202">
            <v>5.8956</v>
          </cell>
          <cell r="AA202">
            <v>5.7907999999999999</v>
          </cell>
          <cell r="AB202" t="e">
            <v>#N/A</v>
          </cell>
          <cell r="AC202" t="e">
            <v>#N/A</v>
          </cell>
          <cell r="AD202" t="str">
            <v>0843-02</v>
          </cell>
          <cell r="AE202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203">
          <cell r="A203" t="str">
            <v>844-02</v>
          </cell>
          <cell r="B203">
            <v>4026</v>
          </cell>
          <cell r="C203" t="str">
            <v>DE.1.0.7.0</v>
          </cell>
          <cell r="D203" t="str">
            <v>300:58664</v>
          </cell>
          <cell r="E203">
            <v>42615.900451388887</v>
          </cell>
          <cell r="F203">
            <v>42615.901909722219</v>
          </cell>
          <cell r="G203">
            <v>1</v>
          </cell>
          <cell r="H203" t="str">
            <v>204:636</v>
          </cell>
          <cell r="I203">
            <v>42615.913518518515</v>
          </cell>
          <cell r="J203">
            <v>1</v>
          </cell>
          <cell r="K203" t="str">
            <v>4025/4026</v>
          </cell>
          <cell r="L203" t="str">
            <v>BROWN</v>
          </cell>
          <cell r="M203">
            <v>1.1608796296059154E-2</v>
          </cell>
          <cell r="N203">
            <v>16.716666666325182</v>
          </cell>
          <cell r="S203">
            <v>1</v>
          </cell>
          <cell r="T203" t="str">
            <v>Southbound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https://search-rtdc-monitor-bjffxe2xuh6vdkpspy63sjmuny.us-east-1.es.amazonaws.com/_plugin/kibana/#/discover/Steve-Slow-Train-Analysis-(2080s-and-2083s)?_g=(refreshInterval:(display:Off,section:0,value:0),time:(from:'2016-09-02 20:36:39-0600',mode:absolute,to:'2016-09-02 22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203" t="str">
            <v>N</v>
          </cell>
          <cell r="X203">
            <v>1</v>
          </cell>
          <cell r="Y203">
            <v>5.8663999999999996</v>
          </cell>
          <cell r="Z203">
            <v>6.3600000000000004E-2</v>
          </cell>
          <cell r="AA203">
            <v>5.8027999999999995</v>
          </cell>
          <cell r="AB203" t="e">
            <v>#N/A</v>
          </cell>
          <cell r="AC203" t="e">
            <v>#N/A</v>
          </cell>
          <cell r="AD203" t="str">
            <v>0844-02</v>
          </cell>
          <cell r="AE203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204">
          <cell r="A204" t="str">
            <v>845-02</v>
          </cell>
          <cell r="B204">
            <v>4025</v>
          </cell>
          <cell r="C204" t="str">
            <v>DE.1.0.7.0</v>
          </cell>
          <cell r="D204" t="str">
            <v>204:1034</v>
          </cell>
          <cell r="E204">
            <v>42615.882800925923</v>
          </cell>
          <cell r="F204">
            <v>42615.889733796299</v>
          </cell>
          <cell r="G204">
            <v>1</v>
          </cell>
          <cell r="H204" t="str">
            <v>300:58976</v>
          </cell>
          <cell r="I204">
            <v>42615.899444444447</v>
          </cell>
          <cell r="J204">
            <v>1</v>
          </cell>
          <cell r="K204" t="str">
            <v>4025/4026</v>
          </cell>
          <cell r="L204" t="str">
            <v>BROWN</v>
          </cell>
          <cell r="M204">
            <v>9.710648148029577E-3</v>
          </cell>
          <cell r="N204">
            <v>13.983333333162591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https://search-rtdc-monitor-bjffxe2xuh6vdkpspy63sjmuny.us-east-1.es.amazonaws.com/_plugin/kibana/#/discover/Steve-Slow-Train-Analysis-(2080s-and-2083s)?_g=(refreshInterval:(display:Off,section:0,value:0),time:(from:'2016-09-02 20:11:14-0600',mode:absolute,to:'2016-09-02 22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04" t="str">
            <v>N</v>
          </cell>
          <cell r="X204">
            <v>1</v>
          </cell>
          <cell r="Y204">
            <v>0.10340000000000001</v>
          </cell>
          <cell r="Z204">
            <v>5.8975999999999997</v>
          </cell>
          <cell r="AA204">
            <v>5.7942</v>
          </cell>
          <cell r="AB204" t="e">
            <v>#N/A</v>
          </cell>
          <cell r="AC204" t="e">
            <v>#N/A</v>
          </cell>
          <cell r="AD204" t="str">
            <v>0845-02</v>
          </cell>
          <cell r="AE204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205">
          <cell r="A205" t="str">
            <v>847-02</v>
          </cell>
          <cell r="B205">
            <v>4025</v>
          </cell>
          <cell r="C205" t="str">
            <v>DE.1.0.7.0</v>
          </cell>
          <cell r="D205" t="str">
            <v>204:939</v>
          </cell>
          <cell r="E205">
            <v>42615.918344907404</v>
          </cell>
          <cell r="F205">
            <v>42615.931481481479</v>
          </cell>
          <cell r="G205">
            <v>1</v>
          </cell>
          <cell r="H205" t="str">
            <v>300:58946</v>
          </cell>
          <cell r="I205">
            <v>42615.942060185182</v>
          </cell>
          <cell r="J205">
            <v>1</v>
          </cell>
          <cell r="K205" t="str">
            <v>4025/4026</v>
          </cell>
          <cell r="L205" t="str">
            <v>BROWN</v>
          </cell>
          <cell r="M205">
            <v>1.0578703702776693E-2</v>
          </cell>
          <cell r="N205">
            <v>15.233333331998438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https://search-rtdc-monitor-bjffxe2xuh6vdkpspy63sjmuny.us-east-1.es.amazonaws.com/_plugin/kibana/#/discover/Steve-Slow-Train-Analysis-(2080s-and-2083s)?_g=(refreshInterval:(display:Off,section:0,value:0),time:(from:'2016-09-02 21:02:25-0600',mode:absolute,to:'2016-09-02 23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05" t="str">
            <v>N</v>
          </cell>
          <cell r="X205">
            <v>2</v>
          </cell>
          <cell r="Y205">
            <v>9.3899999999999997E-2</v>
          </cell>
          <cell r="Z205">
            <v>5.8945999999999996</v>
          </cell>
          <cell r="AA205">
            <v>5.8007</v>
          </cell>
          <cell r="AB205" t="e">
            <v>#N/A</v>
          </cell>
          <cell r="AC205" t="e">
            <v>#N/A</v>
          </cell>
          <cell r="AD205" t="str">
            <v>0847-02</v>
          </cell>
          <cell r="AE205" t="str">
    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    </cell>
        </row>
        <row r="206">
          <cell r="A206" t="str">
            <v>305-02</v>
          </cell>
          <cell r="B206">
            <v>4029</v>
          </cell>
          <cell r="C206" t="str">
            <v>DE.1.0.7.0</v>
          </cell>
          <cell r="D206" t="str">
            <v>204:726</v>
          </cell>
          <cell r="E206">
            <v>42615.806539351855</v>
          </cell>
          <cell r="F206">
            <v>42615.809942129628</v>
          </cell>
          <cell r="G206">
            <v>1</v>
          </cell>
          <cell r="H206" t="str">
            <v>300:23312</v>
          </cell>
          <cell r="I206">
            <v>42615.819212962961</v>
          </cell>
          <cell r="J206">
            <v>1</v>
          </cell>
          <cell r="K206" t="str">
            <v>4029/4030</v>
          </cell>
          <cell r="L206" t="str">
            <v>SHOOK</v>
          </cell>
          <cell r="M206">
            <v>9.2708333322661929E-3</v>
          </cell>
          <cell r="N206">
            <v>13.349999998463318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https://search-rtdc-monitor-bjffxe2xuh6vdkpspy63sjmuny.us-east-1.es.amazonaws.com/_plugin/kibana/#/discover/Steve-Slow-Train-Analysis-(2080s-and-2083s)?_g=(refreshInterval:(display:Off,section:0,value:0),time:(from:'2016-09-02 18:21:25-0600',mode:absolute,to:'2016-09-02 20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06" t="str">
            <v>Y</v>
          </cell>
          <cell r="X206">
            <v>-542</v>
          </cell>
          <cell r="Y206">
            <v>7.2599999999999998E-2</v>
          </cell>
          <cell r="Z206">
            <v>2.3311999999999999</v>
          </cell>
          <cell r="AA206">
            <v>2.2585999999999999</v>
          </cell>
          <cell r="AB206" t="e">
            <v>#N/A</v>
          </cell>
          <cell r="AC206" t="e">
            <v>#N/A</v>
          </cell>
          <cell r="AD206" t="str">
            <v>0305-02</v>
          </cell>
          <cell r="AE206" t="str">
            <v>aws s3 cp s3://rtdc.mdm.uploadarchive/RTDC4029/2016-09-02/ "%USERPROFILE%\AppData\Local\Temp\OnboardLogs"\RTDC4029\2016-09-02 --recursive &amp; "%USERPROFILE%\Documents\GitHub\mrs-test-scripts\Headless Mode &amp; Sideloading\WalkAndUnGZ.bat" "%USERPROFILE%\AppData\Local\Temp\OnboardLogs"\RTDC4029\2016-09-02 &amp; 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</v>
          </cell>
        </row>
        <row r="207">
          <cell r="A207" t="str">
            <v>309-02</v>
          </cell>
          <cell r="B207">
            <v>4046</v>
          </cell>
          <cell r="C207" t="str">
            <v>DE.1.0.7.0</v>
          </cell>
          <cell r="D207" t="str">
            <v>204:464</v>
          </cell>
          <cell r="E207">
            <v>42616.045902777776</v>
          </cell>
          <cell r="F207">
            <v>25568.958333333332</v>
          </cell>
          <cell r="G207">
            <v>1</v>
          </cell>
          <cell r="H207" t="str">
            <v>300:23091</v>
          </cell>
          <cell r="I207">
            <v>25568.958333333332</v>
          </cell>
          <cell r="J207">
            <v>1</v>
          </cell>
          <cell r="K207" t="str">
            <v>4045/4046</v>
          </cell>
          <cell r="L207" t="str">
            <v>YANAI</v>
          </cell>
          <cell r="M207">
            <v>0</v>
          </cell>
          <cell r="N207">
            <v>0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https://search-rtdc-monitor-bjffxe2xuh6vdkpspy63sjmuny.us-east-1.es.amazonaws.com/_plugin/kibana/#/discover/Steve-Slow-Train-Analysis-(2080s-and-2083s)?_g=(refreshInterval:(display:Off,section:0,value:0),time:(from:'2016-09-03 00:06:06-0600',mode:absolute,to:'1970-01-01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207" t="str">
            <v>Y</v>
          </cell>
          <cell r="X207">
            <v>4</v>
          </cell>
          <cell r="Y207">
            <v>4.6399999999999997E-2</v>
          </cell>
          <cell r="Z207">
            <v>2.3090999999999999</v>
          </cell>
          <cell r="AA207">
            <v>2.2626999999999997</v>
          </cell>
          <cell r="AB207" t="e">
            <v>#N/A</v>
          </cell>
          <cell r="AC207" t="e">
            <v>#N/A</v>
          </cell>
          <cell r="AD207" t="str">
            <v>0309-02</v>
          </cell>
          <cell r="AE207" t="str">
            <v>aws s3 cp s3://rtdc.mdm.uploadarchive/RTDC4046/1969-12-31/ "%USERPROFILE%\AppData\Local\Temp\OnboardLogs"\RTDC4046\1969-12-31 --recursive &amp; "%USERPROFILE%\Documents\GitHub\mrs-test-scripts\Headless Mode &amp; Sideloading\WalkAndUnGZ.bat" "%USERPROFILE%\AppData\Local\Temp\OnboardLogs"\RTDC4046\1969-12-31 &amp; aws s3 cp s3://rtdc.mdm.uploadarchive/RTDC4046/1970-01-01/ "%USERPROFILE%\AppData\Local\Temp\OnboardLogs"\RTDC4046\1970-01-01 --recursive &amp; "%USERPROFILE%\Documents\GitHub\mrs-test-scripts\Headless Mode &amp; Sideloading\WalkAndUnGZ.bat" "%USERPROFILE%\AppData\Local\Temp\OnboardLogs"\RTDC4046\1970-01-01</v>
          </cell>
        </row>
        <row r="208">
          <cell r="A208" t="str">
            <v>311-02</v>
          </cell>
          <cell r="B208">
            <v>4009</v>
          </cell>
          <cell r="C208" t="str">
            <v>DE.1.0.7.0</v>
          </cell>
          <cell r="D208" t="str">
            <v>204:526</v>
          </cell>
          <cell r="E208">
            <v>42616.070115740738</v>
          </cell>
          <cell r="F208">
            <v>42616.071574074071</v>
          </cell>
          <cell r="G208">
            <v>1</v>
          </cell>
          <cell r="H208" t="str">
            <v>300:22865</v>
          </cell>
          <cell r="I208">
            <v>42616.077407407407</v>
          </cell>
          <cell r="J208">
            <v>1</v>
          </cell>
          <cell r="K208" t="str">
            <v>4009/4010</v>
          </cell>
          <cell r="L208" t="str">
            <v>CHANDLER</v>
          </cell>
          <cell r="M208">
            <v>5.8333333363407291E-3</v>
          </cell>
          <cell r="N208">
            <v>8.40000000433065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https://search-rtdc-monitor-bjffxe2xuh6vdkpspy63sjmuny.us-east-1.es.amazonaws.com/_plugin/kibana/#/discover/Steve-Slow-Train-Analysis-(2080s-and-2083s)?_g=(refreshInterval:(display:Off,section:0,value:0),time:(from:'2016-09-03 00:40:58-0600',mode:absolute,to:'2016-09-03 02:51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208" t="str">
            <v>Y</v>
          </cell>
          <cell r="X208">
            <v>2</v>
          </cell>
          <cell r="Y208">
            <v>5.2600000000000001E-2</v>
          </cell>
          <cell r="Z208">
            <v>2.2865000000000002</v>
          </cell>
          <cell r="AA208">
            <v>2.2339000000000002</v>
          </cell>
          <cell r="AB208" t="e">
            <v>#N/A</v>
          </cell>
          <cell r="AC208" t="e">
            <v>#N/A</v>
          </cell>
          <cell r="AD208" t="str">
            <v>0311-02</v>
          </cell>
          <cell r="AE208" t="str">
            <v>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 &amp; 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</v>
          </cell>
        </row>
        <row r="209">
          <cell r="A209" t="str">
            <v>313-02</v>
          </cell>
          <cell r="B209">
            <v>4044</v>
          </cell>
          <cell r="C209" t="str">
            <v>DE.1.0.7.0</v>
          </cell>
          <cell r="D209" t="str">
            <v>204:466</v>
          </cell>
          <cell r="E209">
            <v>42616.092905092592</v>
          </cell>
          <cell r="F209">
            <v>42616.09474537037</v>
          </cell>
          <cell r="G209">
            <v>1</v>
          </cell>
          <cell r="H209" t="str">
            <v>300:23312</v>
          </cell>
          <cell r="I209">
            <v>42616.100752314815</v>
          </cell>
          <cell r="J209">
            <v>1</v>
          </cell>
          <cell r="K209" t="str">
            <v>4043/4044</v>
          </cell>
          <cell r="L209" t="str">
            <v>HILLS</v>
          </cell>
          <cell r="M209">
            <v>6.0069444443797693E-3</v>
          </cell>
          <cell r="N209">
            <v>8.6499999999068677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https://search-rtdc-monitor-bjffxe2xuh6vdkpspy63sjmuny.us-east-1.es.amazonaws.com/_plugin/kibana/#/discover/Steve-Slow-Train-Analysis-(2080s-and-2083s)?_g=(refreshInterval:(display:Off,section:0,value:0),time:(from:'2016-09-03 01:13:47-0600',mode:absolute,to:'2016-09-03 03:25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209" t="str">
            <v>Y</v>
          </cell>
          <cell r="X209">
            <v>2</v>
          </cell>
          <cell r="Y209">
            <v>4.6600000000000003E-2</v>
          </cell>
          <cell r="Z209">
            <v>2.3311999999999999</v>
          </cell>
          <cell r="AA209">
            <v>2.2845999999999997</v>
          </cell>
          <cell r="AB209" t="e">
            <v>#N/A</v>
          </cell>
          <cell r="AC209" t="e">
            <v>#N/A</v>
          </cell>
          <cell r="AD209" t="str">
            <v>0313-02</v>
          </cell>
          <cell r="AE209" t="str">
            <v>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 &amp; aws s3 cp s3://rtdc.mdm.uploadarchive/RTDC4044/2016-09-04/ "%USERPROFILE%\AppData\Local\Temp\OnboardLogs"\RTDC4044\2016-09-04 --recursive &amp; "%USERPROFILE%\Documents\GitHub\mrs-test-scripts\Headless Mode &amp; Sideloading\WalkAndUnGZ.bat" "%USERPROFILE%\AppData\Local\Temp\OnboardLogs"\RTDC4044\2016-09-04</v>
          </cell>
        </row>
        <row r="210">
          <cell r="A210" t="str">
            <v>315-01</v>
          </cell>
          <cell r="B210">
            <v>4020</v>
          </cell>
          <cell r="C210" t="str">
            <v>DE.1.0.7.0</v>
          </cell>
          <cell r="D210" t="str">
            <v>204:457</v>
          </cell>
          <cell r="E210">
            <v>42615.088495370372</v>
          </cell>
          <cell r="F210">
            <v>25568.958333333332</v>
          </cell>
          <cell r="G210">
            <v>2</v>
          </cell>
          <cell r="H210" t="str">
            <v>300:22276</v>
          </cell>
          <cell r="I210">
            <v>25568.958333333332</v>
          </cell>
          <cell r="J210">
            <v>1</v>
          </cell>
          <cell r="K210" t="str">
            <v>4019/4020</v>
          </cell>
          <cell r="L210" t="str">
            <v>OUN</v>
          </cell>
          <cell r="M210">
            <v>0</v>
          </cell>
          <cell r="N210">
            <v>0</v>
          </cell>
          <cell r="S210">
            <v>1</v>
          </cell>
          <cell r="T210" t="str">
            <v>NorthBound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https://search-rtdc-monitor-bjffxe2xuh6vdkpspy63sjmuny.us-east-1.es.amazonaws.com/_plugin/kibana/#/discover/Steve-Slow-Train-Analysis-(2080s-and-2083s)?_g=(refreshInterval:(display:Off,section:0,value:0),time:(from:'2016-09-02 01:07:26-0600',mode:absolute,to:'1970-01-01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10" t="str">
            <v>Y</v>
          </cell>
          <cell r="X210">
            <v>2</v>
          </cell>
          <cell r="Y210">
            <v>4.5699999999999998E-2</v>
          </cell>
          <cell r="Z210">
            <v>2.2275999999999998</v>
          </cell>
          <cell r="AA210">
            <v>2.1818999999999997</v>
          </cell>
          <cell r="AB210" t="e">
            <v>#N/A</v>
          </cell>
          <cell r="AC210" t="e">
            <v>#N/A</v>
          </cell>
          <cell r="AD210" t="str">
            <v>0315-01</v>
          </cell>
          <cell r="AE210" t="str">
    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    </cell>
        </row>
        <row r="211">
          <cell r="A211" t="str">
            <v>315-02</v>
          </cell>
          <cell r="B211">
            <v>4031</v>
          </cell>
          <cell r="C211" t="str">
            <v>DE.1.0.7.0</v>
          </cell>
          <cell r="D211" t="str">
            <v>204:475</v>
          </cell>
          <cell r="E211">
            <v>42616.112349537034</v>
          </cell>
          <cell r="F211">
            <v>42616.11383101852</v>
          </cell>
          <cell r="G211">
            <v>2</v>
          </cell>
          <cell r="H211" t="str">
            <v>300:23346</v>
          </cell>
          <cell r="I211">
            <v>42616.118946759256</v>
          </cell>
          <cell r="J211">
            <v>1</v>
          </cell>
          <cell r="K211" t="str">
            <v>4031/4032</v>
          </cell>
          <cell r="L211" t="str">
            <v>HAITHCOX</v>
          </cell>
          <cell r="M211">
            <v>5.1157407360733487E-3</v>
          </cell>
          <cell r="N211">
            <v>7.3666666599456221</v>
          </cell>
          <cell r="S211">
            <v>1</v>
          </cell>
          <cell r="T211" t="str">
            <v>NorthBound</v>
          </cell>
          <cell r="U211">
            <v>1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https://search-rtdc-monitor-bjffxe2xuh6vdkpspy63sjmuny.us-east-1.es.amazonaws.com/_plugin/kibana/#/discover/Steve-Slow-Train-Analysis-(2080s-and-2083s)?_g=(refreshInterval:(display:Off,section:0,value:0),time:(from:'2016-09-03 01:41:47-0600',mode:absolute,to:'2016-09-03 03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11" t="str">
            <v>Y</v>
          </cell>
          <cell r="X211">
            <v>0</v>
          </cell>
          <cell r="Y211">
            <v>4.7500000000000001E-2</v>
          </cell>
          <cell r="Z211">
            <v>2.3346</v>
          </cell>
          <cell r="AA211">
            <v>2.2871000000000001</v>
          </cell>
          <cell r="AB211" t="e">
            <v>#N/A</v>
          </cell>
          <cell r="AC211" t="e">
            <v>#N/A</v>
          </cell>
          <cell r="AD211" t="str">
            <v>0315-02</v>
          </cell>
          <cell r="AE211" t="str">
            <v>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 &amp; 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</v>
          </cell>
        </row>
        <row r="212">
          <cell r="A212" t="str">
            <v>903-02</v>
          </cell>
          <cell r="B212">
            <v>4007</v>
          </cell>
          <cell r="C212" t="str">
            <v>DE.1.0.7.0</v>
          </cell>
          <cell r="D212" t="str">
            <v>204:986</v>
          </cell>
          <cell r="E212">
            <v>42615.353518518517</v>
          </cell>
          <cell r="F212">
            <v>42615.355243055557</v>
          </cell>
          <cell r="G212">
            <v>1</v>
          </cell>
          <cell r="H212" t="str">
            <v>300:25465</v>
          </cell>
          <cell r="I212">
            <v>42615.362546296295</v>
          </cell>
          <cell r="J212">
            <v>1</v>
          </cell>
          <cell r="K212" t="str">
            <v>4007/4008</v>
          </cell>
          <cell r="L212" t="str">
            <v>STRICKLAND</v>
          </cell>
          <cell r="M212">
            <v>7.3032407381106168E-3</v>
          </cell>
          <cell r="N212">
            <v>10.516666662879288</v>
          </cell>
          <cell r="S212">
            <v>1</v>
          </cell>
          <cell r="T212" t="str">
            <v>NorthBound</v>
          </cell>
          <cell r="U212">
            <v>1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https://search-rtdc-monitor-bjffxe2xuh6vdkpspy63sjmuny.us-east-1.es.amazonaws.com/_plugin/kibana/#/discover/Steve-Slow-Train-Analysis-(2080s-and-2083s)?_g=(refreshInterval:(display:Off,section:0,value:0),time:(from:'2016-09-02 07:29:04-0600',mode:absolute,to:'2016-09-02 09:42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    </cell>
          <cell r="W212" t="str">
            <v>Y</v>
          </cell>
          <cell r="X212">
            <v>588</v>
          </cell>
          <cell r="Y212">
            <v>9.8599999999999993E-2</v>
          </cell>
          <cell r="Z212">
            <v>2.5465</v>
          </cell>
          <cell r="AA212">
            <v>2.4479000000000002</v>
          </cell>
          <cell r="AB212" t="e">
            <v>#N/A</v>
          </cell>
          <cell r="AC212" t="e">
            <v>#N/A</v>
          </cell>
          <cell r="AD212" t="str">
            <v>0903-02</v>
          </cell>
          <cell r="AE212" t="str">
    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    </cell>
        </row>
        <row r="213">
          <cell r="A213" t="str">
            <v>906-02</v>
          </cell>
          <cell r="B213">
            <v>4008</v>
          </cell>
          <cell r="C213" t="str">
            <v>DE.1.0.7.0</v>
          </cell>
          <cell r="D213" t="str">
            <v>300:58702</v>
          </cell>
          <cell r="E213">
            <v>42615.796527777777</v>
          </cell>
          <cell r="F213">
            <v>25568.958333333332</v>
          </cell>
          <cell r="G213">
            <v>1</v>
          </cell>
          <cell r="H213" t="str">
            <v>300:28765</v>
          </cell>
          <cell r="I213">
            <v>25568.958333333332</v>
          </cell>
          <cell r="J213">
            <v>1</v>
          </cell>
          <cell r="K213" t="str">
            <v>4007/4008</v>
          </cell>
          <cell r="L213" t="str">
            <v>BROWN</v>
          </cell>
          <cell r="M213">
            <v>0</v>
          </cell>
          <cell r="N213">
            <v>0</v>
          </cell>
          <cell r="S213">
            <v>0</v>
          </cell>
          <cell r="T213" t="str">
            <v>Southbound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https://search-rtdc-monitor-bjffxe2xuh6vdkpspy63sjmuny.us-east-1.es.amazonaws.com/_plugin/kibana/#/discover/Steve-Slow-Train-Analysis-(2080s-and-2083s)?_g=(refreshInterval:(display:Off,section:0,value:0),time:(from:'2016-09-02 18:07:00-0600',mode:absolute,to:'1970-01-01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    </cell>
          <cell r="W213" t="str">
            <v>Y</v>
          </cell>
          <cell r="X213">
            <v>3</v>
          </cell>
          <cell r="Y213">
            <v>5.8701999999999996</v>
          </cell>
          <cell r="Z213">
            <v>2.8765000000000001</v>
          </cell>
          <cell r="AA213">
            <v>2.9936999999999996</v>
          </cell>
          <cell r="AB213" t="e">
            <v>#N/A</v>
          </cell>
          <cell r="AC213" t="e">
            <v>#N/A</v>
          </cell>
          <cell r="AD213" t="str">
            <v>0906-02</v>
          </cell>
          <cell r="AE213" t="str">
            <v>aws s3 cp s3://rtdc.mdm.uploadarchive/RTDC4008/1969-12-31/ "%USERPROFILE%\AppData\Local\Temp\OnboardLogs"\RTDC4008\1969-12-31 --recursive &amp; "%USERPROFILE%\Documents\GitHub\mrs-test-scripts\Headless Mode &amp; Sideloading\WalkAndUnGZ.bat" "%USERPROFILE%\AppData\Local\Temp\OnboardLogs"\RTDC4008\1969-12-31 &amp; aws s3 cp s3://rtdc.mdm.uploadarchive/RTDC4008/1970-01-01/ "%USERPROFILE%\AppData\Local\Temp\OnboardLogs"\RTDC4008\1970-01-01 --recursive &amp; "%USERPROFILE%\Documents\GitHub\mrs-test-scripts\Headless Mode &amp; Sideloading\WalkAndUnGZ.bat" "%USERPROFILE%\AppData\Local\Temp\OnboardLogs"\RTDC4008\1970-01-01</v>
          </cell>
        </row>
        <row r="214">
          <cell r="A214" t="str">
            <v>908-02</v>
          </cell>
          <cell r="B214">
            <v>4026</v>
          </cell>
          <cell r="C214" t="str">
            <v>DE.1.0.7.0</v>
          </cell>
          <cell r="D214" t="str">
            <v>300:58628</v>
          </cell>
          <cell r="E214">
            <v>42615.94363425926</v>
          </cell>
          <cell r="F214">
            <v>42615.945069444446</v>
          </cell>
          <cell r="G214">
            <v>1</v>
          </cell>
          <cell r="H214" t="str">
            <v>300:21708</v>
          </cell>
          <cell r="I214">
            <v>42615.950219907405</v>
          </cell>
          <cell r="J214">
            <v>1</v>
          </cell>
          <cell r="K214" t="str">
            <v>4025/4026</v>
          </cell>
          <cell r="L214" t="str">
            <v>BROWN</v>
          </cell>
          <cell r="M214">
            <v>5.1504629591363482E-3</v>
          </cell>
          <cell r="N214">
            <v>7.4166666611563414</v>
          </cell>
          <cell r="S214">
            <v>0</v>
          </cell>
          <cell r="T214" t="str">
            <v>Southbound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https://search-rtdc-monitor-bjffxe2xuh6vdkpspy63sjmuny.us-east-1.es.amazonaws.com/_plugin/kibana/#/discover/Steve-Slow-Train-Analysis-(2080s-and-2083s)?_g=(refreshInterval:(display:Off,section:0,value:0),time:(from:'2016-09-02 21:38:50-0600',mode:absolute,to:'2016-09-02 23:48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214" t="str">
            <v>Y</v>
          </cell>
          <cell r="X214">
            <v>2</v>
          </cell>
          <cell r="Y214">
            <v>5.8628</v>
          </cell>
          <cell r="Z214">
            <v>2.1707999999999998</v>
          </cell>
          <cell r="AA214">
            <v>3.6920000000000002</v>
          </cell>
          <cell r="AB214" t="e">
            <v>#N/A</v>
          </cell>
          <cell r="AC214" t="e">
            <v>#N/A</v>
          </cell>
          <cell r="AD214" t="str">
            <v>0908-02</v>
          </cell>
          <cell r="AE214" t="str">
    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    </cell>
        </row>
        <row r="215">
          <cell r="A215" t="str">
            <v>51-02</v>
          </cell>
          <cell r="B215">
            <v>4022</v>
          </cell>
          <cell r="C215" t="str">
            <v>DE.1.0.7.0</v>
          </cell>
          <cell r="D215" t="str">
            <v>204:334</v>
          </cell>
          <cell r="E215">
            <v>42615.465196759258</v>
          </cell>
          <cell r="F215">
            <v>42615.469618055555</v>
          </cell>
          <cell r="G215">
            <v>1</v>
          </cell>
          <cell r="H215" t="str">
            <v>300:24940</v>
          </cell>
          <cell r="I215">
            <v>42615.477025462962</v>
          </cell>
          <cell r="J215">
            <v>1</v>
          </cell>
          <cell r="K215" t="str">
            <v>4021/4022</v>
          </cell>
          <cell r="L215" t="str">
            <v>DAVIS</v>
          </cell>
          <cell r="M215">
            <v>7.4074074072996154E-3</v>
          </cell>
          <cell r="N215">
            <v>10.666666666511446</v>
          </cell>
          <cell r="S215">
            <v>0</v>
          </cell>
          <cell r="T215" t="e">
            <v>#VALUE!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https://search-rtdc-monitor-bjffxe2xuh6vdkpspy63sjmuny.us-east-1.es.amazonaws.com/_plugin/kibana/#/discover/Steve-Slow-Train-Analysis-(2080s-and-2083s)?_g=(refreshInterval:(display:Off,section:0,value:0),time:(from:'2016-09-02 10:09:53-0600',mode:absolute,to:'2016-09-02 12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    </cell>
          <cell r="W215" t="str">
            <v>Y</v>
          </cell>
          <cell r="X215" t="e">
            <v>#VALUE!</v>
          </cell>
          <cell r="Y215">
            <v>3.3399999999999999E-2</v>
          </cell>
          <cell r="Z215">
            <v>2.4940000000000002</v>
          </cell>
          <cell r="AA215">
            <v>2.4606000000000003</v>
          </cell>
          <cell r="AB215" t="e">
            <v>#N/A</v>
          </cell>
          <cell r="AC215" t="e">
            <v>#N/A</v>
          </cell>
          <cell r="AD215" t="str">
            <v>51-02</v>
          </cell>
          <cell r="AE215" t="str">
            <v>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 &amp; aws s3 cp s3://rtdc.mdm.uploadarchive/RTDC4022/2016-09-03/ "%USERPROFILE%\AppData\Local\Temp\OnboardLogs"\RTDC4022\2016-09-03 --recursive &amp; "%USERPROFILE%\Documents\GitHub\mrs-test-scripts\Headless Mode &amp; Sideloading\WalkAndUnGZ.bat" "%USERPROFILE%\AppData\Local\Temp\OnboardLogs"\RTDC4022\2016-09-03</v>
          </cell>
        </row>
        <row r="216">
          <cell r="A216" t="str">
            <v>51-02</v>
          </cell>
          <cell r="B216">
            <v>4022</v>
          </cell>
          <cell r="C216" t="str">
            <v>DE.1.0.7.0</v>
          </cell>
          <cell r="D216" t="str">
            <v>300:24781</v>
          </cell>
          <cell r="E216">
            <v>42615.465196759258</v>
          </cell>
          <cell r="F216">
            <v>42615.469618055555</v>
          </cell>
          <cell r="G216">
            <v>16</v>
          </cell>
          <cell r="H216" t="str">
            <v>300:24940</v>
          </cell>
          <cell r="I216">
            <v>42615.477025462962</v>
          </cell>
          <cell r="J216">
            <v>1</v>
          </cell>
          <cell r="K216" t="str">
            <v>4021/4022</v>
          </cell>
          <cell r="L216" t="str">
            <v>DAVIS</v>
          </cell>
          <cell r="M216">
            <v>7.4074074072996154E-3</v>
          </cell>
          <cell r="N216">
            <v>10.666666666511446</v>
          </cell>
          <cell r="S216">
            <v>0</v>
          </cell>
          <cell r="T216" t="e">
            <v>#VALUE!</v>
          </cell>
          <cell r="U216">
            <v>0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https://search-rtdc-monitor-bjffxe2xuh6vdkpspy63sjmuny.us-east-1.es.amazonaws.com/_plugin/kibana/#/discover/Steve-Slow-Train-Analysis-(2080s-and-2083s)?_g=(refreshInterval:(display:Off,section:0,value:0),time:(from:'2016-09-02 10:09:53-0600',mode:absolute,to:'2016-09-02 12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    </cell>
          <cell r="W216" t="str">
            <v>Y</v>
          </cell>
          <cell r="X216" t="e">
            <v>#VALUE!</v>
          </cell>
          <cell r="Y216">
            <v>2.4781</v>
          </cell>
          <cell r="Z216">
            <v>2.4940000000000002</v>
          </cell>
          <cell r="AA216">
            <v>1.5900000000000247E-2</v>
          </cell>
          <cell r="AB216" t="e">
            <v>#N/A</v>
          </cell>
          <cell r="AC216" t="e">
            <v>#N/A</v>
          </cell>
          <cell r="AD216" t="str">
            <v>51-02</v>
          </cell>
          <cell r="AE216" t="str">
            <v>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 &amp; aws s3 cp s3://rtdc.mdm.uploadarchive/RTDC4022/2016-09-03/ "%USERPROFILE%\AppData\Local\Temp\OnboardLogs"\RTDC4022\2016-09-03 --recursive &amp; "%USERPROFILE%\Documents\GitHub\mrs-test-scripts\Headless Mode &amp; Sideloading\WalkAndUnGZ.bat" "%USERPROFILE%\AppData\Local\Temp\OnboardLogs"\RTDC4022\2016-09-03</v>
          </cell>
        </row>
        <row r="217">
          <cell r="A217" t="str">
            <v>52-02</v>
          </cell>
          <cell r="B217">
            <v>4005</v>
          </cell>
          <cell r="C217" t="str">
            <v>DE.1.0.7.0</v>
          </cell>
          <cell r="D217" t="str">
            <v>300:24641</v>
          </cell>
          <cell r="E217">
            <v>42615.458854166667</v>
          </cell>
          <cell r="F217">
            <v>42615.461585648147</v>
          </cell>
          <cell r="G217">
            <v>3</v>
          </cell>
          <cell r="H217" t="str">
            <v>300:24250</v>
          </cell>
          <cell r="I217">
            <v>42615.461724537039</v>
          </cell>
          <cell r="J217">
            <v>1</v>
          </cell>
          <cell r="K217" t="str">
            <v>4005/4006</v>
          </cell>
          <cell r="L217" t="str">
            <v>MOSES</v>
          </cell>
          <cell r="M217">
            <v>1.3888889225199819E-4</v>
          </cell>
          <cell r="N217">
            <v>0.20000000484287739</v>
          </cell>
          <cell r="S217">
            <v>0</v>
          </cell>
          <cell r="T217" t="e">
            <v>#VALUE!</v>
          </cell>
          <cell r="U217">
            <v>0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https://search-rtdc-monitor-bjffxe2xuh6vdkpspy63sjmuny.us-east-1.es.amazonaws.com/_plugin/kibana/#/discover/Steve-Slow-Train-Analysis-(2080s-and-2083s)?_g=(refreshInterval:(display:Off,section:0,value:0),time:(from:'2016-09-02 10:00:45-0600',mode:absolute,to:'2016-09-02 12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    </cell>
          <cell r="W217" t="str">
            <v>Y</v>
          </cell>
          <cell r="X217" t="e">
            <v>#VALUE!</v>
          </cell>
          <cell r="Y217">
            <v>2.4641000000000002</v>
          </cell>
          <cell r="Z217">
            <v>2.4249999999999998</v>
          </cell>
          <cell r="AA217">
            <v>3.9100000000000357E-2</v>
          </cell>
          <cell r="AB217" t="e">
            <v>#N/A</v>
          </cell>
          <cell r="AC217" t="e">
            <v>#N/A</v>
          </cell>
          <cell r="AD217" t="str">
            <v>52-02</v>
          </cell>
          <cell r="AE217" t="str">
            <v>aws s3 cp s3://rtdc.mdm.uploadarchive/RTDC4005/2016-09-02/ "%USERPROFILE%\AppData\Local\Temp\OnboardLogs"\RTDC4005\2016-09-02 --recursive &amp; "%USERPROFILE%\Documents\GitHub\mrs-test-scripts\Headless Mode &amp; Sideloading\WalkAndUnGZ.bat" "%USERPROFILE%\AppData\Local\Temp\OnboardLogs"\RTDC4005\2016-09-02 &amp; 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</v>
          </cell>
        </row>
        <row r="218">
          <cell r="A218" t="str">
            <v>53-02</v>
          </cell>
          <cell r="B218">
            <v>4006</v>
          </cell>
          <cell r="C218" t="str">
            <v>DE.1.0.7.0</v>
          </cell>
          <cell r="D218" t="str">
            <v>204:1229</v>
          </cell>
          <cell r="E218">
            <v>42615.493993055556</v>
          </cell>
          <cell r="F218">
            <v>42615.498715277776</v>
          </cell>
          <cell r="G218">
            <v>6</v>
          </cell>
          <cell r="H218" t="str">
            <v>300:24728</v>
          </cell>
          <cell r="I218">
            <v>42615.505902777775</v>
          </cell>
          <cell r="J218">
            <v>1</v>
          </cell>
          <cell r="K218" t="str">
            <v>4005/4006</v>
          </cell>
          <cell r="L218" t="str">
            <v>SMITH</v>
          </cell>
          <cell r="M218">
            <v>7.1874999994179234E-3</v>
          </cell>
          <cell r="N218">
            <v>10.34999999916181</v>
          </cell>
          <cell r="S218">
            <v>0</v>
          </cell>
          <cell r="T218" t="e">
            <v>#VALUE!</v>
          </cell>
          <cell r="U218">
            <v>0</v>
          </cell>
          <cell r="V218" t="str">
            <v>https://search-rtdc-monitor-bjffxe2xuh6vdkpspy63sjmuny.us-east-1.es.amazonaws.com/_plugin/kibana/#/discover/Steve-Slow-Train-Analysis-(2080s-and-2083s)?_g=(refreshInterval:(display:Off,section:0,value:0),time:(from:'2016-09-02 10:51:21-0600',mode:absolute,to:'2016-09-02 13:08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4006%22')),sort:!(Time,asc))</v>
          </cell>
          <cell r="W218" t="str">
            <v>Y</v>
          </cell>
          <cell r="X218" t="e">
            <v>#VALUE!</v>
          </cell>
          <cell r="Y218">
            <v>0.1229</v>
          </cell>
          <cell r="Z218">
            <v>2.4727999999999999</v>
          </cell>
          <cell r="AA218">
            <v>2.3498999999999999</v>
          </cell>
          <cell r="AB218" t="e">
            <v>#N/A</v>
          </cell>
          <cell r="AC218" t="e">
            <v>#N/A</v>
          </cell>
          <cell r="AD218" t="str">
            <v>53-02</v>
          </cell>
          <cell r="AE218" t="str">
            <v>aws s3 cp s3://rtdc.mdm.uploadarchive/RTDC4006/2016-09-02/ "%USERPROFILE%\AppData\Local\Temp\OnboardLogs"\RTDC4006\2016-09-02 --recursive &amp; "%USERPROFILE%\Documents\GitHub\mrs-test-scripts\Headless Mode &amp; Sideloading\WalkAndUnGZ.bat" "%USERPROFILE%\AppData\Local\Temp\OnboardLogs"\RTDC4006\2016-09-02 &amp; aws s3 cp s3://rtdc.mdm.uploadarchive/RTDC4006/2016-09-03/ "%USERPROFILE%\AppData\Local\Temp\OnboardLogs"\RTDC4006\2016-09-03 --recursive &amp; "%USERPROFILE%\Documents\GitHub\mrs-test-scripts\Headless Mode &amp; Sideloading\WalkAndUnGZ.bat" "%USERPROFILE%\AppData\Local\Temp\OnboardLogs"\RTDC4006\2016-09-03</v>
          </cell>
        </row>
        <row r="219">
          <cell r="A219" t="str">
            <v>57-01</v>
          </cell>
          <cell r="B219">
            <v>4051</v>
          </cell>
          <cell r="C219" t="str">
            <v>DE.1.0.8.0.ENG1</v>
          </cell>
          <cell r="D219" t="str">
            <v>204:10068</v>
          </cell>
          <cell r="E219">
            <v>42615.103703703702</v>
          </cell>
          <cell r="F219">
            <v>42615.105092592596</v>
          </cell>
          <cell r="G219">
            <v>1</v>
          </cell>
          <cell r="H219" t="str">
            <v>204:128366</v>
          </cell>
          <cell r="I219">
            <v>42615.123518518521</v>
          </cell>
          <cell r="J219">
            <v>1</v>
          </cell>
          <cell r="K219" t="str">
            <v>4051/4052</v>
          </cell>
          <cell r="L219" t="str">
            <v>GOLIGHTLY</v>
          </cell>
          <cell r="M219">
            <v>1.8425925925839692E-2</v>
          </cell>
          <cell r="N219">
            <v>26.533333333209157</v>
          </cell>
          <cell r="S219">
            <v>0</v>
          </cell>
          <cell r="T219" t="e">
            <v>#VALUE!</v>
          </cell>
          <cell r="U219">
            <v>0</v>
          </cell>
          <cell r="V219" t="str">
            <v>https://search-rtdc-monitor-bjffxe2xuh6vdkpspy63sjmuny.us-east-1.es.amazonaws.com/_plugin/kibana/#/discover/Steve-Slow-Train-Analysis-(2080s-and-2083s)?_g=(refreshInterval:(display:Off,section:0,value:0),time:(from:'2016-09-02 01:29:20-0600',mode:absolute,to:'2016-09-02 03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    </cell>
          <cell r="W219" t="str">
            <v>N</v>
          </cell>
          <cell r="X219" t="e">
            <v>#VALUE!</v>
          </cell>
          <cell r="Y219">
            <v>1.0067999999999999</v>
          </cell>
          <cell r="Z219">
            <v>12.836600000000001</v>
          </cell>
          <cell r="AA219">
            <v>11.829800000000001</v>
          </cell>
          <cell r="AB219" t="e">
            <v>#N/A</v>
          </cell>
          <cell r="AC219" t="e">
            <v>#N/A</v>
          </cell>
          <cell r="AD219" t="str">
            <v>57-01</v>
          </cell>
          <cell r="AE219" t="str">
    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    </cell>
        </row>
        <row r="220">
          <cell r="A220" t="str">
            <v>66-02</v>
          </cell>
          <cell r="B220">
            <v>4006</v>
          </cell>
          <cell r="C220" t="str">
            <v>DE.1.0.7.0</v>
          </cell>
          <cell r="D220" t="str">
            <v>204:323</v>
          </cell>
          <cell r="E220">
            <v>42615.798784722225</v>
          </cell>
          <cell r="F220">
            <v>42615.803182870368</v>
          </cell>
          <cell r="G220">
            <v>3</v>
          </cell>
          <cell r="H220" t="str">
            <v>300:25328</v>
          </cell>
          <cell r="I220">
            <v>42615.811192129629</v>
          </cell>
          <cell r="J220">
            <v>1</v>
          </cell>
          <cell r="K220" t="str">
            <v>4005/4006</v>
          </cell>
          <cell r="L220" t="str">
            <v>ISHMAEL</v>
          </cell>
          <cell r="M220">
            <v>8.0092592615983449E-3</v>
          </cell>
          <cell r="N220">
            <v>11.533333336701617</v>
          </cell>
          <cell r="S220">
            <v>0</v>
          </cell>
          <cell r="T220" t="e">
            <v>#VALUE!</v>
          </cell>
          <cell r="U220">
            <v>0</v>
          </cell>
          <cell r="V220" t="str">
            <v>https://search-rtdc-monitor-bjffxe2xuh6vdkpspy63sjmuny.us-east-1.es.amazonaws.com/_plugin/kibana/#/discover/Steve-Slow-Train-Analysis-(2080s-and-2083s)?_g=(refreshInterval:(display:Off,section:0,value:0),time:(from:'2016-09-02 18:10:15-0600',mode:absolute,to:'2016-09-02 20:28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4006%22')),sort:!(Time,asc))</v>
          </cell>
          <cell r="W220" t="str">
            <v>Y</v>
          </cell>
          <cell r="X220" t="e">
            <v>#VALUE!</v>
          </cell>
          <cell r="Y220">
            <v>3.2300000000000002E-2</v>
          </cell>
          <cell r="Z220">
            <v>2.5327999999999999</v>
          </cell>
          <cell r="AA220">
            <v>2.5004999999999997</v>
          </cell>
          <cell r="AB220" t="e">
            <v>#N/A</v>
          </cell>
          <cell r="AC220" t="e">
            <v>#N/A</v>
          </cell>
          <cell r="AD220" t="str">
            <v>66-02</v>
          </cell>
          <cell r="AE220" t="str">
            <v>aws s3 cp s3://rtdc.mdm.uploadarchive/RTDC4006/2016-09-02/ "%USERPROFILE%\AppData\Local\Temp\OnboardLogs"\RTDC4006\2016-09-02 --recursive &amp; "%USERPROFILE%\Documents\GitHub\mrs-test-scripts\Headless Mode &amp; Sideloading\WalkAndUnGZ.bat" "%USERPROFILE%\AppData\Local\Temp\OnboardLogs"\RTDC4006\2016-09-02 &amp; aws s3 cp s3://rtdc.mdm.uploadarchive/RTDC4006/2016-09-03/ "%USERPROFILE%\AppData\Local\Temp\OnboardLogs"\RTDC4006\2016-09-03 --recursive &amp; "%USERPROFILE%\Documents\GitHub\mrs-test-scripts\Headless Mode &amp; Sideloading\WalkAndUnGZ.bat" "%USERPROFILE%\AppData\Local\Temp\OnboardLogs"\RTDC4006\2016-09-03</v>
          </cell>
        </row>
        <row r="221">
          <cell r="A221" t="str">
            <v>67-01</v>
          </cell>
          <cell r="B221">
            <v>4052</v>
          </cell>
          <cell r="C221" t="str">
            <v>DE.1.0.8.0.ENG1</v>
          </cell>
          <cell r="D221" t="str">
            <v>204:128101</v>
          </cell>
          <cell r="E221">
            <v>42615.125300925924</v>
          </cell>
          <cell r="F221">
            <v>42615.129305555558</v>
          </cell>
          <cell r="G221">
            <v>1</v>
          </cell>
          <cell r="H221" t="str">
            <v>204:178</v>
          </cell>
          <cell r="I221">
            <v>42615.157650462963</v>
          </cell>
          <cell r="J221">
            <v>1</v>
          </cell>
          <cell r="K221" t="str">
            <v>4051/4052</v>
          </cell>
          <cell r="L221" t="str">
            <v>GOLIGHTLY</v>
          </cell>
          <cell r="M221">
            <v>2.8344907404971309E-2</v>
          </cell>
          <cell r="N221">
            <v>40.816666663158685</v>
          </cell>
          <cell r="S221">
            <v>0</v>
          </cell>
          <cell r="T221" t="e">
            <v>#VALUE!</v>
          </cell>
          <cell r="U221">
            <v>0</v>
          </cell>
          <cell r="V221" t="str">
            <v>https://search-rtdc-monitor-bjffxe2xuh6vdkpspy63sjmuny.us-east-1.es.amazonaws.com/_plugin/kibana/#/discover/Steve-Slow-Train-Analysis-(2080s-and-2083s)?_g=(refreshInterval:(display:Off,section:0,value:0),time:(from:'2016-09-02 02:00:26-0600',mode:absolute,to:'2016-09-02 04:47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    </cell>
          <cell r="W221" t="str">
            <v>N</v>
          </cell>
          <cell r="X221" t="e">
            <v>#VALUE!</v>
          </cell>
          <cell r="Y221">
            <v>12.8101</v>
          </cell>
          <cell r="Z221">
            <v>1.78E-2</v>
          </cell>
          <cell r="AA221">
            <v>12.792300000000001</v>
          </cell>
          <cell r="AB221" t="e">
            <v>#N/A</v>
          </cell>
          <cell r="AC221" t="e">
            <v>#N/A</v>
          </cell>
          <cell r="AD221" t="str">
            <v>67-01</v>
          </cell>
          <cell r="AE221" t="str">
            <v>aws s3 cp s3://rtdc.mdm.uploadarchive/RTDC4052/2016-09-02/ "%USERPROFILE%\AppData\Local\Temp\OnboardLogs"\RTDC4052\2016-09-02 --recursive &amp; "%USERPROFILE%\Documents\GitHub\mrs-test-scripts\Headless Mode &amp; Sideloading\WalkAndUnGZ.bat" "%USERPROFILE%\AppData\Local\Temp\OnboardLogs"\RTDC4052\2016-09-02 &amp; aws s3 cp s3://rtdc.mdm.uploadarchive/RTDC4052/2016-09-03/ "%USERPROFILE%\AppData\Local\Temp\OnboardLogs"\RTDC4052\2016-09-03 --recursive &amp; "%USERPROFILE%\Documents\GitHub\mrs-test-scripts\Headless Mode &amp; Sideloading\WalkAndUnGZ.bat" "%USERPROFILE%\AppData\Local\Temp\OnboardLogs"\RTDC4052\2016-09-03</v>
          </cell>
        </row>
        <row r="222">
          <cell r="A222" t="str">
            <v>67-01</v>
          </cell>
          <cell r="B222">
            <v>4052</v>
          </cell>
          <cell r="C222" t="str">
            <v>DE.1.0.8.0.ENG1</v>
          </cell>
          <cell r="D222" t="str">
            <v>204:157705</v>
          </cell>
          <cell r="E222">
            <v>42615.083090277774</v>
          </cell>
          <cell r="F222">
            <v>42615.084826388891</v>
          </cell>
          <cell r="G222">
            <v>1</v>
          </cell>
          <cell r="H222" t="str">
            <v>204:9810</v>
          </cell>
          <cell r="I222">
            <v>42615.101064814815</v>
          </cell>
          <cell r="J222">
            <v>1</v>
          </cell>
          <cell r="K222" t="str">
            <v>4051/4052</v>
          </cell>
          <cell r="L222" t="str">
            <v>GOLIGHTLY</v>
          </cell>
          <cell r="M222">
            <v>1.6238425923802424E-2</v>
          </cell>
          <cell r="N222">
            <v>23.383333330275491</v>
          </cell>
          <cell r="S222">
            <v>0</v>
          </cell>
          <cell r="T222" t="e">
            <v>#VALUE!</v>
          </cell>
          <cell r="U222">
            <v>0</v>
          </cell>
          <cell r="V222" t="str">
            <v>https://search-rtdc-monitor-bjffxe2xuh6vdkpspy63sjmuny.us-east-1.es.amazonaws.com/_plugin/kibana/#/discover/Steve-Slow-Train-Analysis-(2080s-and-2083s)?_g=(refreshInterval:(display:Off,section:0,value:0),time:(from:'2016-09-02 00:59:39-0600',mode:absolute,to:'2016-09-02 03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    </cell>
          <cell r="W222" t="str">
            <v>N</v>
          </cell>
          <cell r="X222" t="e">
            <v>#VALUE!</v>
          </cell>
          <cell r="Y222">
            <v>15.7705</v>
          </cell>
          <cell r="Z222">
            <v>0.98099999999999998</v>
          </cell>
          <cell r="AA222">
            <v>14.7895</v>
          </cell>
          <cell r="AB222" t="e">
            <v>#N/A</v>
          </cell>
          <cell r="AC222" t="e">
            <v>#N/A</v>
          </cell>
          <cell r="AD222" t="str">
            <v>67-01</v>
          </cell>
          <cell r="AE222" t="str">
            <v>aws s3 cp s3://rtdc.mdm.uploadarchive/RTDC4052/2016-09-02/ "%USERPROFILE%\AppData\Local\Temp\OnboardLogs"\RTDC4052\2016-09-02 --recursive &amp; "%USERPROFILE%\Documents\GitHub\mrs-test-scripts\Headless Mode &amp; Sideloading\WalkAndUnGZ.bat" "%USERPROFILE%\AppData\Local\Temp\OnboardLogs"\RTDC4052\2016-09-02 &amp; aws s3 cp s3://rtdc.mdm.uploadarchive/RTDC4052/2016-09-03/ "%USERPROFILE%\AppData\Local\Temp\OnboardLogs"\RTDC4052\2016-09-03 --recursive &amp; "%USERPROFILE%\Documents\GitHub\mrs-test-scripts\Headless Mode &amp; Sideloading\WalkAndUnGZ.bat" "%USERPROFILE%\AppData\Local\Temp\OnboardLogs"\RTDC4052\2016-09-03</v>
          </cell>
        </row>
        <row r="223">
          <cell r="A223" t="str">
            <v>68-02</v>
          </cell>
          <cell r="B223">
            <v>4037</v>
          </cell>
          <cell r="C223" t="str">
            <v>DE.1.0.7.0</v>
          </cell>
          <cell r="D223" t="str">
            <v>300:22085</v>
          </cell>
          <cell r="E223">
            <v>42615.750277777777</v>
          </cell>
          <cell r="F223">
            <v>42615.754259259258</v>
          </cell>
          <cell r="G223">
            <v>5</v>
          </cell>
          <cell r="H223" t="str">
            <v>204:906</v>
          </cell>
          <cell r="I223">
            <v>42615.761006944442</v>
          </cell>
          <cell r="J223">
            <v>1</v>
          </cell>
          <cell r="K223" t="str">
            <v>4037/4038</v>
          </cell>
          <cell r="L223" t="str">
            <v>STURGEON</v>
          </cell>
          <cell r="M223">
            <v>6.7476851836545393E-3</v>
          </cell>
          <cell r="N223">
            <v>9.7166666644625366</v>
          </cell>
          <cell r="S223">
            <v>0</v>
          </cell>
          <cell r="T223" t="e">
            <v>#VALUE!</v>
          </cell>
          <cell r="U223">
            <v>0</v>
          </cell>
          <cell r="V223" t="str">
            <v>https://search-rtdc-monitor-bjffxe2xuh6vdkpspy63sjmuny.us-east-1.es.amazonaws.com/_plugin/kibana/#/discover/Steve-Slow-Train-Analysis-(2080s-and-2083s)?_g=(refreshInterval:(display:Off,section:0,value:0),time:(from:'2016-09-02 17:00:24-0600',mode:absolute,to:'2016-09-02 19:15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223" t="str">
            <v>Y</v>
          </cell>
          <cell r="X223" t="e">
            <v>#VALUE!</v>
          </cell>
          <cell r="Y223">
            <v>2.2084999999999999</v>
          </cell>
          <cell r="Z223">
            <v>9.06E-2</v>
          </cell>
          <cell r="AA223">
            <v>2.1179000000000001</v>
          </cell>
          <cell r="AB223" t="e">
            <v>#N/A</v>
          </cell>
          <cell r="AC223" t="e">
            <v>#N/A</v>
          </cell>
          <cell r="AD223" t="str">
            <v>68-02</v>
          </cell>
          <cell r="AE223" t="str">
            <v>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 &amp; aws s3 cp s3://rtdc.mdm.uploadarchive/RTDC4037/2016-09-03/ "%USERPROFILE%\AppData\Local\Temp\OnboardLogs"\RTDC4037\2016-09-03 --recursive &amp; "%USERPROFILE%\Documents\GitHub\mrs-test-scripts\Headless Mode &amp; Sideloading\WalkAndUnGZ.bat" "%USERPROFILE%\AppData\Local\Temp\OnboardLogs"\RTDC4037\2016-09-03</v>
          </cell>
        </row>
        <row r="224">
          <cell r="A224" t="str">
            <v>70-02</v>
          </cell>
          <cell r="B224">
            <v>4005</v>
          </cell>
          <cell r="C224" t="str">
            <v>DE.1.0.7.0</v>
          </cell>
          <cell r="D224" t="str">
            <v>300:24443</v>
          </cell>
          <cell r="E224">
            <v>42615.766886574071</v>
          </cell>
          <cell r="F224">
            <v>42615.769259259258</v>
          </cell>
          <cell r="G224">
            <v>3</v>
          </cell>
          <cell r="H224" t="str">
            <v>300:24316</v>
          </cell>
          <cell r="I224">
            <v>42615.769375000003</v>
          </cell>
          <cell r="J224">
            <v>1</v>
          </cell>
          <cell r="K224" t="str">
            <v>4005/4006</v>
          </cell>
          <cell r="L224" t="str">
            <v>HAITHCOX</v>
          </cell>
          <cell r="M224">
            <v>1.1574074596865103E-4</v>
          </cell>
          <cell r="N224">
            <v>0.16666667419485748</v>
          </cell>
          <cell r="S224">
            <v>0</v>
          </cell>
          <cell r="T224" t="e">
            <v>#VALUE!</v>
          </cell>
          <cell r="U224">
            <v>0</v>
          </cell>
          <cell r="V224" t="str">
            <v>https://search-rtdc-monitor-bjffxe2xuh6vdkpspy63sjmuny.us-east-1.es.amazonaws.com/_plugin/kibana/#/discover/Steve-Slow-Train-Analysis-(2080s-and-2083s)?_g=(refreshInterval:(display:Off,section:0,value:0),time:(from:'2016-09-02 17:24:19-0600',mode:absolute,to:'2016-09-02 19:27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    </cell>
          <cell r="W224" t="str">
            <v>Y</v>
          </cell>
          <cell r="X224" t="e">
            <v>#VALUE!</v>
          </cell>
          <cell r="Y224">
            <v>2.4443000000000001</v>
          </cell>
          <cell r="Z224">
            <v>2.4316</v>
          </cell>
          <cell r="AA224">
            <v>1.2700000000000156E-2</v>
          </cell>
          <cell r="AB224" t="e">
            <v>#N/A</v>
          </cell>
          <cell r="AC224" t="e">
            <v>#N/A</v>
          </cell>
          <cell r="AD224" t="str">
            <v>70-02</v>
          </cell>
          <cell r="AE224" t="str">
            <v>aws s3 cp s3://rtdc.mdm.uploadarchive/RTDC4005/2016-09-02/ "%USERPROFILE%\AppData\Local\Temp\OnboardLogs"\RTDC4005\2016-09-02 --recursive &amp; "%USERPROFILE%\Documents\GitHub\mrs-test-scripts\Headless Mode &amp; Sideloading\WalkAndUnGZ.bat" "%USERPROFILE%\AppData\Local\Temp\OnboardLogs"\RTDC4005\2016-09-02 &amp; 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</v>
          </cell>
        </row>
      </sheetData>
      <sheetData sheetId="1" refreshError="1"/>
      <sheetData sheetId="2" refreshError="1"/>
      <sheetData sheetId="3">
        <row r="1">
          <cell r="C1" t="str">
            <v>242-01</v>
          </cell>
          <cell r="D1">
            <v>2000000</v>
          </cell>
          <cell r="E1" t="str">
            <v>STAMBAUGH</v>
          </cell>
        </row>
        <row r="2">
          <cell r="C2" t="str">
            <v>311-01</v>
          </cell>
          <cell r="D2">
            <v>1290000</v>
          </cell>
          <cell r="E2" t="str">
            <v>COOLAHAN</v>
          </cell>
        </row>
        <row r="3">
          <cell r="C3" t="str">
            <v>244-01</v>
          </cell>
          <cell r="D3">
            <v>2110000</v>
          </cell>
          <cell r="E3" t="str">
            <v>OUN</v>
          </cell>
        </row>
        <row r="4">
          <cell r="C4" t="str">
            <v>57-01</v>
          </cell>
          <cell r="D4">
            <v>1410000</v>
          </cell>
          <cell r="E4" t="str">
            <v>GOLIGHTLY</v>
          </cell>
        </row>
        <row r="5">
          <cell r="C5" t="str">
            <v>313-01</v>
          </cell>
          <cell r="D5">
            <v>2000000</v>
          </cell>
          <cell r="E5" t="str">
            <v>STAMBAUGH</v>
          </cell>
        </row>
        <row r="6">
          <cell r="C6" t="str">
            <v>57-01</v>
          </cell>
          <cell r="D6">
            <v>1410000</v>
          </cell>
          <cell r="E6" t="str">
            <v>GOLIGHTLY</v>
          </cell>
        </row>
        <row r="7">
          <cell r="C7" t="str">
            <v>67-01</v>
          </cell>
          <cell r="D7">
            <v>1410000</v>
          </cell>
          <cell r="E7" t="str">
            <v>GOLIGHTLY</v>
          </cell>
        </row>
        <row r="8">
          <cell r="C8" t="str">
            <v>315-01</v>
          </cell>
          <cell r="D8">
            <v>2110000</v>
          </cell>
          <cell r="E8" t="str">
            <v>OUN</v>
          </cell>
        </row>
        <row r="9">
          <cell r="C9" t="str">
            <v>57-01</v>
          </cell>
          <cell r="D9">
            <v>1410000</v>
          </cell>
          <cell r="E9" t="str">
            <v>GOLIGHTLY</v>
          </cell>
        </row>
        <row r="10">
          <cell r="C10" t="str">
            <v>67-01</v>
          </cell>
          <cell r="D10">
            <v>1410000</v>
          </cell>
          <cell r="E10" t="str">
            <v>GOLIGHTLY</v>
          </cell>
        </row>
        <row r="11">
          <cell r="C11" t="str">
            <v>101-02</v>
          </cell>
          <cell r="D11">
            <v>2010000</v>
          </cell>
          <cell r="E11" t="str">
            <v>MAELZER</v>
          </cell>
        </row>
        <row r="12">
          <cell r="C12" t="str">
            <v>101-02</v>
          </cell>
          <cell r="D12">
            <v>2010000</v>
          </cell>
          <cell r="E12" t="str">
            <v>MAELZER</v>
          </cell>
        </row>
        <row r="13">
          <cell r="C13" t="str">
            <v>103-02</v>
          </cell>
          <cell r="D13">
            <v>1990000</v>
          </cell>
          <cell r="E13" t="str">
            <v>DAVIS</v>
          </cell>
        </row>
        <row r="14">
          <cell r="C14" t="str">
            <v>102-02</v>
          </cell>
          <cell r="D14">
            <v>2010000</v>
          </cell>
          <cell r="E14" t="str">
            <v>MAELZER</v>
          </cell>
        </row>
        <row r="15">
          <cell r="C15" t="str">
            <v>107-02</v>
          </cell>
          <cell r="D15">
            <v>2230000</v>
          </cell>
          <cell r="E15" t="str">
            <v>SMITH</v>
          </cell>
        </row>
        <row r="16">
          <cell r="C16" t="str">
            <v>109-02</v>
          </cell>
          <cell r="D16">
            <v>1100000</v>
          </cell>
          <cell r="E16" t="str">
            <v>GEBRETEKLE</v>
          </cell>
        </row>
        <row r="17">
          <cell r="C17" t="str">
            <v>104-02</v>
          </cell>
          <cell r="D17">
            <v>1990000</v>
          </cell>
          <cell r="E17" t="str">
            <v>DAVIS</v>
          </cell>
        </row>
        <row r="18">
          <cell r="C18" t="str">
            <v>800-02</v>
          </cell>
          <cell r="D18">
            <v>1760000</v>
          </cell>
          <cell r="E18" t="str">
            <v>STRICKLAND</v>
          </cell>
        </row>
        <row r="19">
          <cell r="C19" t="str">
            <v>111-02</v>
          </cell>
          <cell r="D19">
            <v>1090000</v>
          </cell>
          <cell r="E19" t="str">
            <v>SPECTOR</v>
          </cell>
        </row>
        <row r="20">
          <cell r="C20" t="str">
            <v>106-02</v>
          </cell>
          <cell r="D20">
            <v>1310000</v>
          </cell>
          <cell r="E20" t="str">
            <v>MALAVE</v>
          </cell>
        </row>
        <row r="21">
          <cell r="C21" t="str">
            <v>106-02</v>
          </cell>
          <cell r="D21">
            <v>1310000</v>
          </cell>
          <cell r="E21" t="str">
            <v>MALAVE</v>
          </cell>
        </row>
        <row r="22">
          <cell r="C22" t="str">
            <v>113-02</v>
          </cell>
          <cell r="D22">
            <v>2010000</v>
          </cell>
          <cell r="E22" t="str">
            <v>MAELZER</v>
          </cell>
        </row>
        <row r="23">
          <cell r="C23" t="str">
            <v>113-02</v>
          </cell>
          <cell r="D23">
            <v>2010000</v>
          </cell>
          <cell r="E23" t="str">
            <v>MAELZER</v>
          </cell>
        </row>
        <row r="24">
          <cell r="C24" t="str">
            <v>108-02</v>
          </cell>
          <cell r="D24">
            <v>2230000</v>
          </cell>
          <cell r="E24" t="str">
            <v>SMITH</v>
          </cell>
        </row>
        <row r="25">
          <cell r="C25" t="str">
            <v>115-02</v>
          </cell>
          <cell r="D25">
            <v>2260000</v>
          </cell>
          <cell r="E25" t="str">
            <v>ARVIDSON</v>
          </cell>
        </row>
        <row r="26">
          <cell r="C26" t="str">
            <v>117-02</v>
          </cell>
          <cell r="D26">
            <v>1990000</v>
          </cell>
          <cell r="E26" t="str">
            <v>DAVIS</v>
          </cell>
        </row>
        <row r="27">
          <cell r="C27" t="str">
            <v>110-02</v>
          </cell>
          <cell r="D27">
            <v>1100000</v>
          </cell>
          <cell r="E27" t="str">
            <v>GEBRETEKLE</v>
          </cell>
        </row>
        <row r="28">
          <cell r="C28" t="str">
            <v>801-02</v>
          </cell>
          <cell r="D28">
            <v>1760000</v>
          </cell>
          <cell r="E28" t="str">
            <v>STRICKLAND</v>
          </cell>
        </row>
        <row r="29">
          <cell r="C29" t="str">
            <v>112-02</v>
          </cell>
          <cell r="D29">
            <v>1090000</v>
          </cell>
          <cell r="E29" t="str">
            <v>SPECTOR</v>
          </cell>
        </row>
        <row r="30">
          <cell r="C30" t="str">
            <v>119-02</v>
          </cell>
          <cell r="D30">
            <v>1310000</v>
          </cell>
          <cell r="E30" t="str">
            <v>MALAVE</v>
          </cell>
        </row>
        <row r="31">
          <cell r="C31" t="str">
            <v>114-02</v>
          </cell>
          <cell r="D31">
            <v>2010000</v>
          </cell>
          <cell r="E31" t="str">
            <v>MAELZER</v>
          </cell>
        </row>
        <row r="32">
          <cell r="C32" t="str">
            <v>803-02</v>
          </cell>
          <cell r="D32">
            <v>1830000</v>
          </cell>
          <cell r="E32" t="str">
            <v>YORK</v>
          </cell>
        </row>
        <row r="33">
          <cell r="C33" t="str">
            <v>802-02</v>
          </cell>
          <cell r="D33">
            <v>1760000</v>
          </cell>
          <cell r="E33" t="str">
            <v>STRICKLAND</v>
          </cell>
        </row>
        <row r="34">
          <cell r="C34" t="str">
            <v>121-02</v>
          </cell>
          <cell r="D34">
            <v>2230000</v>
          </cell>
          <cell r="E34" t="str">
            <v>SMITH</v>
          </cell>
        </row>
        <row r="35">
          <cell r="C35" t="str">
            <v>116-02</v>
          </cell>
          <cell r="D35">
            <v>2260000</v>
          </cell>
          <cell r="E35" t="str">
            <v>ARVIDSON</v>
          </cell>
        </row>
        <row r="36">
          <cell r="C36" t="str">
            <v>123-02</v>
          </cell>
          <cell r="D36">
            <v>1100000</v>
          </cell>
          <cell r="E36" t="str">
            <v>GEBRETEKLE</v>
          </cell>
        </row>
        <row r="37">
          <cell r="C37" t="str">
            <v>118-02</v>
          </cell>
          <cell r="D37">
            <v>1990000</v>
          </cell>
          <cell r="E37" t="str">
            <v>DAVIS</v>
          </cell>
        </row>
        <row r="38">
          <cell r="C38" t="str">
            <v>804-02</v>
          </cell>
          <cell r="D38">
            <v>1830000</v>
          </cell>
          <cell r="E38" t="str">
            <v>YORK</v>
          </cell>
        </row>
        <row r="39">
          <cell r="C39" t="str">
            <v>125-02</v>
          </cell>
          <cell r="D39">
            <v>1090000</v>
          </cell>
          <cell r="E39" t="str">
            <v>SPECTOR</v>
          </cell>
        </row>
        <row r="40">
          <cell r="C40" t="str">
            <v>805-02</v>
          </cell>
          <cell r="D40">
            <v>1760000</v>
          </cell>
          <cell r="E40" t="str">
            <v>STRICKLAND</v>
          </cell>
        </row>
        <row r="41">
          <cell r="C41" t="str">
            <v>127-02</v>
          </cell>
          <cell r="D41">
            <v>2010000</v>
          </cell>
          <cell r="E41" t="str">
            <v>MAELZER</v>
          </cell>
        </row>
        <row r="42">
          <cell r="C42" t="str">
            <v>806-02</v>
          </cell>
          <cell r="D42">
            <v>1760000</v>
          </cell>
          <cell r="E42" t="str">
            <v>STRICKLAND</v>
          </cell>
        </row>
        <row r="43">
          <cell r="C43" t="str">
            <v>122-02</v>
          </cell>
          <cell r="D43">
            <v>2230000</v>
          </cell>
          <cell r="E43" t="str">
            <v>SMITH</v>
          </cell>
        </row>
        <row r="44">
          <cell r="C44" t="str">
            <v>129-02</v>
          </cell>
          <cell r="D44">
            <v>2260000</v>
          </cell>
          <cell r="E44" t="str">
            <v>ARVIDSON</v>
          </cell>
        </row>
        <row r="45">
          <cell r="C45" t="str">
            <v>807-02</v>
          </cell>
          <cell r="D45">
            <v>1830000</v>
          </cell>
          <cell r="E45" t="str">
            <v>YORK</v>
          </cell>
        </row>
        <row r="46">
          <cell r="C46" t="str">
            <v>124-02</v>
          </cell>
          <cell r="D46">
            <v>1100000</v>
          </cell>
          <cell r="E46" t="str">
            <v>GEBRETEKLE</v>
          </cell>
        </row>
        <row r="47">
          <cell r="C47" t="str">
            <v>131-02</v>
          </cell>
          <cell r="D47">
            <v>1990000</v>
          </cell>
          <cell r="E47" t="str">
            <v>DAVIS</v>
          </cell>
        </row>
        <row r="48">
          <cell r="C48" t="str">
            <v>126-02</v>
          </cell>
          <cell r="D48">
            <v>1090000</v>
          </cell>
          <cell r="E48" t="str">
            <v>SPECTOR</v>
          </cell>
        </row>
        <row r="49">
          <cell r="C49" t="str">
            <v>808-02</v>
          </cell>
          <cell r="D49">
            <v>1830000</v>
          </cell>
          <cell r="E49" t="str">
            <v>YORK</v>
          </cell>
        </row>
        <row r="50">
          <cell r="C50" t="str">
            <v>133-02</v>
          </cell>
          <cell r="D50">
            <v>1310000</v>
          </cell>
          <cell r="E50" t="str">
            <v>MALAVE</v>
          </cell>
        </row>
        <row r="51">
          <cell r="C51" t="str">
            <v>809-02</v>
          </cell>
          <cell r="D51">
            <v>1760000</v>
          </cell>
          <cell r="E51" t="str">
            <v>STRICKLAND</v>
          </cell>
        </row>
        <row r="52">
          <cell r="C52" t="str">
            <v>128-02</v>
          </cell>
          <cell r="D52">
            <v>2010000</v>
          </cell>
          <cell r="E52" t="str">
            <v>MAELZER</v>
          </cell>
        </row>
        <row r="53">
          <cell r="C53" t="str">
            <v>135-02</v>
          </cell>
          <cell r="D53">
            <v>2230000</v>
          </cell>
          <cell r="E53" t="str">
            <v>SMITH</v>
          </cell>
        </row>
        <row r="54">
          <cell r="C54" t="str">
            <v>811-02</v>
          </cell>
          <cell r="D54">
            <v>1830000</v>
          </cell>
          <cell r="E54" t="str">
            <v>YORK</v>
          </cell>
        </row>
        <row r="55">
          <cell r="C55" t="str">
            <v>130-02</v>
          </cell>
          <cell r="D55">
            <v>2260000</v>
          </cell>
          <cell r="E55" t="str">
            <v>ARVIDSON</v>
          </cell>
        </row>
        <row r="56">
          <cell r="C56" t="str">
            <v>810-02</v>
          </cell>
          <cell r="D56">
            <v>1760000</v>
          </cell>
          <cell r="E56" t="str">
            <v>STRICKLAND</v>
          </cell>
        </row>
        <row r="57">
          <cell r="C57" t="str">
            <v>137-02</v>
          </cell>
          <cell r="D57">
            <v>1100000</v>
          </cell>
          <cell r="E57" t="str">
            <v>GEBRETEKLE</v>
          </cell>
        </row>
        <row r="58">
          <cell r="C58" t="str">
            <v>132-02</v>
          </cell>
          <cell r="D58">
            <v>1990000</v>
          </cell>
          <cell r="E58" t="str">
            <v>DAVIS</v>
          </cell>
        </row>
        <row r="59">
          <cell r="C59" t="str">
            <v>139-02</v>
          </cell>
          <cell r="D59">
            <v>1090000</v>
          </cell>
          <cell r="E59" t="str">
            <v>SPECTOR</v>
          </cell>
        </row>
        <row r="60">
          <cell r="C60" t="str">
            <v>903-02</v>
          </cell>
          <cell r="D60">
            <v>1760000</v>
          </cell>
          <cell r="E60" t="str">
            <v>STRICKLAND</v>
          </cell>
        </row>
        <row r="61">
          <cell r="C61" t="str">
            <v>812-02</v>
          </cell>
          <cell r="D61">
            <v>1830000</v>
          </cell>
          <cell r="E61" t="str">
            <v>YORK</v>
          </cell>
        </row>
        <row r="62">
          <cell r="C62" t="str">
            <v>134-02</v>
          </cell>
          <cell r="D62">
            <v>1310000</v>
          </cell>
          <cell r="E62" t="str">
            <v>MALAVE</v>
          </cell>
        </row>
        <row r="63">
          <cell r="C63" t="str">
            <v>812-02</v>
          </cell>
          <cell r="D63">
            <v>1830000</v>
          </cell>
          <cell r="E63" t="str">
            <v>YORK</v>
          </cell>
        </row>
        <row r="64">
          <cell r="C64" t="str">
            <v>141-02</v>
          </cell>
          <cell r="D64">
            <v>2010000</v>
          </cell>
          <cell r="E64" t="str">
            <v>MAELZER</v>
          </cell>
        </row>
        <row r="65">
          <cell r="C65" t="str">
            <v>136-02</v>
          </cell>
          <cell r="D65">
            <v>2230000</v>
          </cell>
          <cell r="E65" t="str">
            <v>SMITH</v>
          </cell>
        </row>
        <row r="66">
          <cell r="C66" t="str">
            <v>143-02</v>
          </cell>
          <cell r="D66">
            <v>2260000</v>
          </cell>
          <cell r="E66" t="str">
            <v>ARVIDSON</v>
          </cell>
        </row>
        <row r="67">
          <cell r="C67" t="str">
            <v>813-02</v>
          </cell>
          <cell r="D67">
            <v>1830000</v>
          </cell>
          <cell r="E67" t="str">
            <v>YORK</v>
          </cell>
        </row>
        <row r="68">
          <cell r="C68" t="str">
            <v>138-02</v>
          </cell>
          <cell r="D68">
            <v>1100000</v>
          </cell>
          <cell r="E68" t="str">
            <v>GEBRETEKLE</v>
          </cell>
        </row>
        <row r="69">
          <cell r="C69" t="str">
            <v>145-02</v>
          </cell>
          <cell r="D69">
            <v>1990000</v>
          </cell>
          <cell r="E69" t="str">
            <v>DAVIS</v>
          </cell>
        </row>
        <row r="70">
          <cell r="C70" t="str">
            <v>140-02</v>
          </cell>
          <cell r="D70">
            <v>1090000</v>
          </cell>
          <cell r="E70" t="str">
            <v>SPECTOR</v>
          </cell>
        </row>
        <row r="71">
          <cell r="C71" t="str">
            <v>147-02</v>
          </cell>
          <cell r="D71">
            <v>1310000</v>
          </cell>
          <cell r="E71" t="str">
            <v>MALAVE</v>
          </cell>
        </row>
        <row r="72">
          <cell r="C72" t="str">
            <v>147-02</v>
          </cell>
          <cell r="D72">
            <v>1310000</v>
          </cell>
          <cell r="E72" t="str">
            <v>MALAVE</v>
          </cell>
        </row>
        <row r="73">
          <cell r="C73" t="str">
            <v>142-02</v>
          </cell>
          <cell r="D73">
            <v>2010000</v>
          </cell>
          <cell r="E73" t="str">
            <v>MAELZER</v>
          </cell>
        </row>
        <row r="74">
          <cell r="C74" t="str">
            <v>814-02</v>
          </cell>
          <cell r="D74">
            <v>1830000</v>
          </cell>
          <cell r="E74" t="str">
            <v>YORK</v>
          </cell>
        </row>
        <row r="75">
          <cell r="C75" t="str">
            <v>149-02</v>
          </cell>
          <cell r="D75">
            <v>2230000</v>
          </cell>
          <cell r="E75" t="str">
            <v>SMITH</v>
          </cell>
        </row>
        <row r="76">
          <cell r="C76" t="str">
            <v>144-02</v>
          </cell>
          <cell r="D76">
            <v>2260000</v>
          </cell>
          <cell r="E76" t="str">
            <v>ARVIDSON</v>
          </cell>
        </row>
        <row r="77">
          <cell r="C77" t="str">
            <v>151-02</v>
          </cell>
          <cell r="D77">
            <v>1100000</v>
          </cell>
          <cell r="E77" t="str">
            <v>GEBRETEKLE</v>
          </cell>
        </row>
        <row r="78">
          <cell r="C78" t="str">
            <v>146-02</v>
          </cell>
          <cell r="D78">
            <v>1990000</v>
          </cell>
          <cell r="E78" t="str">
            <v>DAVIS</v>
          </cell>
        </row>
        <row r="79">
          <cell r="C79" t="str">
            <v>815-02</v>
          </cell>
          <cell r="D79">
            <v>1830000</v>
          </cell>
          <cell r="E79" t="str">
            <v>YORK</v>
          </cell>
        </row>
        <row r="80">
          <cell r="C80" t="str">
            <v>153-02</v>
          </cell>
          <cell r="D80">
            <v>1090000</v>
          </cell>
          <cell r="E80" t="str">
            <v>SPECTOR</v>
          </cell>
        </row>
        <row r="81">
          <cell r="C81" t="str">
            <v>155-02</v>
          </cell>
          <cell r="D81">
            <v>1760000</v>
          </cell>
          <cell r="E81" t="str">
            <v>STRICKLAND</v>
          </cell>
        </row>
        <row r="82">
          <cell r="C82" t="str">
            <v>148-02</v>
          </cell>
          <cell r="D82">
            <v>1310000</v>
          </cell>
          <cell r="E82" t="str">
            <v>MALAVE</v>
          </cell>
        </row>
        <row r="83">
          <cell r="C83" t="str">
            <v>159-02</v>
          </cell>
          <cell r="D83">
            <v>880000</v>
          </cell>
          <cell r="E83" t="str">
            <v>STEWART</v>
          </cell>
        </row>
        <row r="84">
          <cell r="C84" t="str">
            <v>50-02</v>
          </cell>
          <cell r="D84">
            <v>880000</v>
          </cell>
          <cell r="E84" t="str">
            <v>STEWART</v>
          </cell>
        </row>
        <row r="85">
          <cell r="C85" t="str">
            <v>150-02</v>
          </cell>
          <cell r="D85">
            <v>2230000</v>
          </cell>
          <cell r="E85" t="str">
            <v>SMITH</v>
          </cell>
        </row>
        <row r="86">
          <cell r="C86" t="str">
            <v>816-02</v>
          </cell>
          <cell r="D86">
            <v>1830000</v>
          </cell>
          <cell r="E86" t="str">
            <v>YORK</v>
          </cell>
        </row>
        <row r="87">
          <cell r="C87" t="str">
            <v>157-02</v>
          </cell>
          <cell r="D87">
            <v>2260000</v>
          </cell>
          <cell r="E87" t="str">
            <v>ARVIDSON</v>
          </cell>
        </row>
        <row r="88">
          <cell r="C88" t="str">
            <v>152-02</v>
          </cell>
          <cell r="D88">
            <v>1100000</v>
          </cell>
          <cell r="E88" t="str">
            <v>GEBRETEKLE</v>
          </cell>
        </row>
        <row r="89">
          <cell r="C89" t="str">
            <v>159-02</v>
          </cell>
          <cell r="D89">
            <v>880000</v>
          </cell>
          <cell r="E89" t="str">
            <v>STEWART</v>
          </cell>
        </row>
        <row r="90">
          <cell r="C90" t="str">
            <v>52-02</v>
          </cell>
          <cell r="D90">
            <v>2040000</v>
          </cell>
          <cell r="E90" t="str">
            <v>MOSES</v>
          </cell>
        </row>
        <row r="91">
          <cell r="C91" t="str">
            <v>154-02</v>
          </cell>
          <cell r="D91">
            <v>1090000</v>
          </cell>
          <cell r="E91" t="str">
            <v>SPECTOR</v>
          </cell>
        </row>
        <row r="92">
          <cell r="C92" t="str">
            <v>161-02</v>
          </cell>
          <cell r="D92">
            <v>930000</v>
          </cell>
          <cell r="E92" t="str">
            <v>CLARK</v>
          </cell>
        </row>
        <row r="93">
          <cell r="C93" t="str">
            <v>51-02</v>
          </cell>
          <cell r="D93">
            <v>1990000</v>
          </cell>
          <cell r="E93" t="str">
            <v>DAVIS</v>
          </cell>
        </row>
        <row r="94">
          <cell r="C94" t="str">
            <v>156-02</v>
          </cell>
          <cell r="D94">
            <v>1760000</v>
          </cell>
          <cell r="E94" t="str">
            <v>STRICKLAND</v>
          </cell>
        </row>
        <row r="95">
          <cell r="C95" t="str">
            <v>817-02</v>
          </cell>
          <cell r="D95">
            <v>2140000</v>
          </cell>
          <cell r="E95" t="str">
            <v>ROBINSON</v>
          </cell>
        </row>
        <row r="96">
          <cell r="C96" t="str">
            <v>163-02</v>
          </cell>
          <cell r="D96">
            <v>940000</v>
          </cell>
          <cell r="E96" t="str">
            <v>BONDS</v>
          </cell>
        </row>
        <row r="97">
          <cell r="C97" t="str">
            <v>158-02</v>
          </cell>
          <cell r="D97">
            <v>2260000</v>
          </cell>
          <cell r="E97" t="str">
            <v>ARVIDSON</v>
          </cell>
        </row>
        <row r="98">
          <cell r="C98" t="str">
            <v>818-02</v>
          </cell>
          <cell r="D98">
            <v>1830000</v>
          </cell>
          <cell r="E98" t="str">
            <v>YORK</v>
          </cell>
        </row>
        <row r="99">
          <cell r="C99" t="str">
            <v>165-02</v>
          </cell>
          <cell r="D99">
            <v>2040000</v>
          </cell>
          <cell r="E99" t="str">
            <v>MOSES</v>
          </cell>
        </row>
        <row r="100">
          <cell r="C100" t="str">
            <v>167-02</v>
          </cell>
          <cell r="D100">
            <v>2100000</v>
          </cell>
          <cell r="E100" t="str">
            <v>ISHMAEL</v>
          </cell>
        </row>
        <row r="101">
          <cell r="C101" t="str">
            <v>160-02</v>
          </cell>
          <cell r="D101">
            <v>880000</v>
          </cell>
          <cell r="E101" t="str">
            <v>STEWART</v>
          </cell>
        </row>
        <row r="102">
          <cell r="C102" t="str">
            <v>53-02</v>
          </cell>
          <cell r="D102">
            <v>2230000</v>
          </cell>
          <cell r="E102" t="str">
            <v>SMITH</v>
          </cell>
        </row>
        <row r="103">
          <cell r="C103" t="str">
            <v>819-02</v>
          </cell>
          <cell r="D103">
            <v>1830000</v>
          </cell>
          <cell r="E103" t="str">
            <v>YORK</v>
          </cell>
        </row>
        <row r="104">
          <cell r="C104" t="str">
            <v>162-02</v>
          </cell>
          <cell r="D104">
            <v>930000</v>
          </cell>
          <cell r="E104" t="str">
            <v>CLARK</v>
          </cell>
        </row>
        <row r="105">
          <cell r="C105" t="str">
            <v>169-02</v>
          </cell>
          <cell r="D105">
            <v>2020000</v>
          </cell>
          <cell r="E105" t="str">
            <v>SHOOK</v>
          </cell>
        </row>
        <row r="106">
          <cell r="C106" t="str">
            <v>164-02</v>
          </cell>
          <cell r="D106">
            <v>940000</v>
          </cell>
          <cell r="E106" t="str">
            <v>BONDS</v>
          </cell>
        </row>
        <row r="107">
          <cell r="C107" t="str">
            <v>171-02</v>
          </cell>
          <cell r="D107">
            <v>950000</v>
          </cell>
          <cell r="E107" t="str">
            <v>WEBSTER</v>
          </cell>
        </row>
        <row r="108">
          <cell r="C108" t="str">
            <v>166-02</v>
          </cell>
          <cell r="D108">
            <v>2040000</v>
          </cell>
          <cell r="E108" t="str">
            <v>MOSES</v>
          </cell>
        </row>
        <row r="109">
          <cell r="C109" t="str">
            <v>820-02</v>
          </cell>
          <cell r="D109">
            <v>1830000</v>
          </cell>
          <cell r="E109" t="str">
            <v>YORK</v>
          </cell>
        </row>
        <row r="110">
          <cell r="C110" t="str">
            <v>173-02</v>
          </cell>
          <cell r="D110">
            <v>880000</v>
          </cell>
          <cell r="E110" t="str">
            <v>STEWART</v>
          </cell>
        </row>
        <row r="111">
          <cell r="C111" t="str">
            <v>168-02</v>
          </cell>
          <cell r="D111">
            <v>2100000</v>
          </cell>
          <cell r="E111" t="str">
            <v>ISHMAEL</v>
          </cell>
        </row>
        <row r="112">
          <cell r="C112" t="str">
            <v>175-02</v>
          </cell>
          <cell r="D112">
            <v>930000</v>
          </cell>
          <cell r="E112" t="str">
            <v>CLARK</v>
          </cell>
        </row>
        <row r="113">
          <cell r="C113" t="str">
            <v>170-02</v>
          </cell>
          <cell r="D113">
            <v>2020000</v>
          </cell>
          <cell r="E113" t="str">
            <v>SHOOK</v>
          </cell>
        </row>
        <row r="114">
          <cell r="C114" t="str">
            <v>177-02</v>
          </cell>
          <cell r="D114">
            <v>940000</v>
          </cell>
          <cell r="E114" t="str">
            <v>BONDS</v>
          </cell>
        </row>
        <row r="115">
          <cell r="C115" t="str">
            <v>821-02</v>
          </cell>
          <cell r="D115">
            <v>2280000</v>
          </cell>
          <cell r="E115" t="str">
            <v>MAHAN</v>
          </cell>
        </row>
        <row r="116">
          <cell r="C116" t="str">
            <v>821-02</v>
          </cell>
          <cell r="D116">
            <v>2280000</v>
          </cell>
          <cell r="E116" t="str">
            <v>MAHAN</v>
          </cell>
        </row>
        <row r="117">
          <cell r="C117" t="str">
            <v>172-02</v>
          </cell>
          <cell r="D117">
            <v>950000</v>
          </cell>
          <cell r="E117" t="str">
            <v>WEBSTER</v>
          </cell>
        </row>
        <row r="118">
          <cell r="C118" t="str">
            <v>179-02</v>
          </cell>
          <cell r="D118">
            <v>2040000</v>
          </cell>
          <cell r="E118" t="str">
            <v>MOSES</v>
          </cell>
        </row>
        <row r="119">
          <cell r="C119" t="str">
            <v>174-02</v>
          </cell>
          <cell r="D119">
            <v>880000</v>
          </cell>
          <cell r="E119" t="str">
            <v>STEWART</v>
          </cell>
        </row>
        <row r="120">
          <cell r="C120" t="str">
            <v>181-02</v>
          </cell>
          <cell r="D120">
            <v>2100000</v>
          </cell>
          <cell r="E120" t="str">
            <v>ISHMAEL</v>
          </cell>
        </row>
        <row r="121">
          <cell r="C121" t="str">
            <v>822-02</v>
          </cell>
          <cell r="D121">
            <v>2280000</v>
          </cell>
          <cell r="E121" t="str">
            <v>MAHAN</v>
          </cell>
        </row>
        <row r="122">
          <cell r="C122" t="str">
            <v>176-02</v>
          </cell>
          <cell r="D122">
            <v>930000</v>
          </cell>
          <cell r="E122" t="str">
            <v>CLARK</v>
          </cell>
        </row>
        <row r="123">
          <cell r="C123" t="str">
            <v>183-02</v>
          </cell>
          <cell r="D123">
            <v>2020000</v>
          </cell>
          <cell r="E123" t="str">
            <v>SHOOK</v>
          </cell>
        </row>
        <row r="124">
          <cell r="C124" t="str">
            <v>178-02</v>
          </cell>
          <cell r="D124">
            <v>940000</v>
          </cell>
          <cell r="E124" t="str">
            <v>BONDS</v>
          </cell>
        </row>
        <row r="125">
          <cell r="C125" t="str">
            <v>185-02</v>
          </cell>
          <cell r="D125">
            <v>950000</v>
          </cell>
          <cell r="E125" t="str">
            <v>WEBSTER</v>
          </cell>
        </row>
        <row r="126">
          <cell r="C126" t="str">
            <v>823-02</v>
          </cell>
          <cell r="D126">
            <v>2280000</v>
          </cell>
          <cell r="E126" t="str">
            <v>MAHAN</v>
          </cell>
        </row>
        <row r="127">
          <cell r="C127" t="str">
            <v>180-02</v>
          </cell>
          <cell r="D127">
            <v>2040000</v>
          </cell>
          <cell r="E127" t="str">
            <v>MOSES</v>
          </cell>
        </row>
        <row r="128">
          <cell r="C128" t="str">
            <v>187-02</v>
          </cell>
          <cell r="D128">
            <v>880000</v>
          </cell>
          <cell r="E128" t="str">
            <v>STEWART</v>
          </cell>
        </row>
        <row r="129">
          <cell r="C129" t="str">
            <v>182-02</v>
          </cell>
          <cell r="D129">
            <v>2100000</v>
          </cell>
          <cell r="E129" t="str">
            <v>ISHMAEL</v>
          </cell>
        </row>
        <row r="130">
          <cell r="C130" t="str">
            <v>824-02</v>
          </cell>
          <cell r="D130">
            <v>2280000</v>
          </cell>
          <cell r="E130" t="str">
            <v>MAHAN</v>
          </cell>
        </row>
        <row r="131">
          <cell r="C131" t="str">
            <v>189-02</v>
          </cell>
          <cell r="D131">
            <v>930000</v>
          </cell>
          <cell r="E131" t="str">
            <v>CLARK</v>
          </cell>
        </row>
        <row r="132">
          <cell r="C132" t="str">
            <v>184-02</v>
          </cell>
          <cell r="D132">
            <v>2020000</v>
          </cell>
          <cell r="E132" t="str">
            <v>SHOOK</v>
          </cell>
        </row>
        <row r="133">
          <cell r="C133" t="str">
            <v>191-02</v>
          </cell>
          <cell r="D133">
            <v>940000</v>
          </cell>
          <cell r="E133" t="str">
            <v>BONDS</v>
          </cell>
        </row>
        <row r="134">
          <cell r="C134" t="str">
            <v>186-02</v>
          </cell>
          <cell r="D134">
            <v>950000</v>
          </cell>
          <cell r="E134" t="str">
            <v>WEBSTER</v>
          </cell>
        </row>
        <row r="135">
          <cell r="C135" t="str">
            <v>193-02</v>
          </cell>
          <cell r="D135">
            <v>2040000</v>
          </cell>
          <cell r="E135" t="str">
            <v>MOSES</v>
          </cell>
        </row>
        <row r="136">
          <cell r="C136" t="str">
            <v>825-02</v>
          </cell>
          <cell r="D136">
            <v>2280000</v>
          </cell>
          <cell r="E136" t="str">
            <v>MAHAN</v>
          </cell>
        </row>
        <row r="137">
          <cell r="C137" t="str">
            <v>188-02</v>
          </cell>
          <cell r="D137">
            <v>880000</v>
          </cell>
          <cell r="E137" t="str">
            <v>STEWART</v>
          </cell>
        </row>
        <row r="138">
          <cell r="C138" t="str">
            <v>195-02</v>
          </cell>
          <cell r="D138">
            <v>2100000</v>
          </cell>
          <cell r="E138" t="str">
            <v>ISHMAEL</v>
          </cell>
        </row>
        <row r="139">
          <cell r="C139" t="str">
            <v>190-02</v>
          </cell>
          <cell r="D139">
            <v>930000</v>
          </cell>
          <cell r="E139" t="str">
            <v>CLARK</v>
          </cell>
        </row>
        <row r="140">
          <cell r="C140" t="str">
            <v>826-02</v>
          </cell>
          <cell r="D140">
            <v>2280000</v>
          </cell>
          <cell r="E140" t="str">
            <v>MAHAN</v>
          </cell>
        </row>
        <row r="141">
          <cell r="C141" t="str">
            <v>197-02</v>
          </cell>
          <cell r="D141">
            <v>2020000</v>
          </cell>
          <cell r="E141" t="str">
            <v>SHOOK</v>
          </cell>
        </row>
        <row r="142">
          <cell r="C142" t="str">
            <v>192-02</v>
          </cell>
          <cell r="D142">
            <v>940000</v>
          </cell>
          <cell r="E142" t="str">
            <v>BONDS</v>
          </cell>
        </row>
        <row r="143">
          <cell r="C143" t="str">
            <v>827-02</v>
          </cell>
          <cell r="D143">
            <v>2270000</v>
          </cell>
          <cell r="E143" t="str">
            <v>BROWN</v>
          </cell>
        </row>
        <row r="144">
          <cell r="C144" t="str">
            <v>199-02</v>
          </cell>
          <cell r="D144">
            <v>950000</v>
          </cell>
          <cell r="E144" t="str">
            <v>WEBSTER</v>
          </cell>
        </row>
        <row r="145">
          <cell r="C145" t="str">
            <v>194-02</v>
          </cell>
          <cell r="D145">
            <v>2040000</v>
          </cell>
          <cell r="E145" t="str">
            <v>MOSES</v>
          </cell>
        </row>
        <row r="146">
          <cell r="C146" t="str">
            <v>828-02</v>
          </cell>
          <cell r="D146">
            <v>2270000</v>
          </cell>
          <cell r="E146" t="str">
            <v>BROWN</v>
          </cell>
        </row>
        <row r="147">
          <cell r="C147" t="str">
            <v>201-02</v>
          </cell>
          <cell r="D147">
            <v>880000</v>
          </cell>
          <cell r="E147" t="str">
            <v>STEWART</v>
          </cell>
        </row>
        <row r="148">
          <cell r="C148" t="str">
            <v>829-02</v>
          </cell>
          <cell r="D148">
            <v>2280000</v>
          </cell>
          <cell r="E148" t="str">
            <v>MAHAN</v>
          </cell>
        </row>
        <row r="149">
          <cell r="C149" t="str">
            <v>196-02</v>
          </cell>
          <cell r="D149">
            <v>2100000</v>
          </cell>
          <cell r="E149" t="str">
            <v>ISHMAEL</v>
          </cell>
        </row>
        <row r="150">
          <cell r="C150" t="str">
            <v>203-02</v>
          </cell>
          <cell r="D150">
            <v>930000</v>
          </cell>
          <cell r="E150" t="str">
            <v>CLARK</v>
          </cell>
        </row>
        <row r="151">
          <cell r="C151" t="str">
            <v>831-02</v>
          </cell>
          <cell r="D151">
            <v>2270000</v>
          </cell>
          <cell r="E151" t="str">
            <v>BROWN</v>
          </cell>
        </row>
        <row r="152">
          <cell r="C152" t="str">
            <v>198-02</v>
          </cell>
          <cell r="D152">
            <v>2020000</v>
          </cell>
          <cell r="E152" t="str">
            <v>SHOOK</v>
          </cell>
        </row>
        <row r="153">
          <cell r="C153" t="str">
            <v>830-02</v>
          </cell>
          <cell r="D153">
            <v>2280000</v>
          </cell>
          <cell r="E153" t="str">
            <v>MAHAN</v>
          </cell>
        </row>
        <row r="154">
          <cell r="C154" t="str">
            <v>205-02</v>
          </cell>
          <cell r="D154">
            <v>940000</v>
          </cell>
          <cell r="E154" t="str">
            <v>BONDS</v>
          </cell>
        </row>
        <row r="155">
          <cell r="C155" t="str">
            <v>200-02</v>
          </cell>
          <cell r="D155">
            <v>950000</v>
          </cell>
          <cell r="E155" t="str">
            <v>WEBSTER</v>
          </cell>
        </row>
        <row r="156">
          <cell r="C156" t="str">
            <v>207-02</v>
          </cell>
          <cell r="D156">
            <v>2040000</v>
          </cell>
          <cell r="E156" t="str">
            <v>MOSES</v>
          </cell>
        </row>
        <row r="157">
          <cell r="C157" t="str">
            <v>832-02</v>
          </cell>
          <cell r="D157">
            <v>2270000</v>
          </cell>
          <cell r="E157" t="str">
            <v>BROWN</v>
          </cell>
        </row>
        <row r="158">
          <cell r="C158" t="str">
            <v>202-02</v>
          </cell>
          <cell r="D158">
            <v>880000</v>
          </cell>
          <cell r="E158" t="str">
            <v>STEWART</v>
          </cell>
        </row>
        <row r="159">
          <cell r="C159" t="str">
            <v>209-02</v>
          </cell>
          <cell r="D159">
            <v>2100000</v>
          </cell>
          <cell r="E159" t="str">
            <v>ISHMAEL</v>
          </cell>
        </row>
        <row r="160">
          <cell r="C160" t="str">
            <v>833-02</v>
          </cell>
          <cell r="D160">
            <v>2280000</v>
          </cell>
          <cell r="E160" t="str">
            <v>MAHAN</v>
          </cell>
        </row>
        <row r="161">
          <cell r="C161" t="str">
            <v>204-02</v>
          </cell>
          <cell r="D161">
            <v>930000</v>
          </cell>
          <cell r="E161" t="str">
            <v>CLARK</v>
          </cell>
        </row>
        <row r="162">
          <cell r="C162" t="str">
            <v>211-02</v>
          </cell>
          <cell r="D162">
            <v>2020000</v>
          </cell>
          <cell r="E162" t="str">
            <v>SHOOK</v>
          </cell>
        </row>
        <row r="163">
          <cell r="C163" t="str">
            <v>206-02</v>
          </cell>
          <cell r="D163">
            <v>940000</v>
          </cell>
          <cell r="E163" t="str">
            <v>BONDS</v>
          </cell>
        </row>
        <row r="164">
          <cell r="C164" t="str">
            <v>835-02</v>
          </cell>
          <cell r="D164">
            <v>2270000</v>
          </cell>
          <cell r="E164" t="str">
            <v>BROWN</v>
          </cell>
        </row>
        <row r="165">
          <cell r="C165" t="str">
            <v>834-02</v>
          </cell>
          <cell r="D165">
            <v>2280000</v>
          </cell>
          <cell r="E165" t="str">
            <v>MAHAN</v>
          </cell>
        </row>
        <row r="166">
          <cell r="C166" t="str">
            <v>213-02</v>
          </cell>
          <cell r="D166">
            <v>1230000</v>
          </cell>
          <cell r="E166" t="str">
            <v>YANAI</v>
          </cell>
        </row>
        <row r="167">
          <cell r="C167" t="str">
            <v>208-02</v>
          </cell>
          <cell r="D167">
            <v>2040000</v>
          </cell>
          <cell r="E167" t="str">
            <v>MOSES</v>
          </cell>
        </row>
        <row r="168">
          <cell r="C168" t="str">
            <v>215-02</v>
          </cell>
          <cell r="D168">
            <v>950000</v>
          </cell>
          <cell r="E168" t="str">
            <v>WEBSTER</v>
          </cell>
        </row>
        <row r="169">
          <cell r="C169" t="str">
            <v>68-02</v>
          </cell>
          <cell r="D169">
            <v>1480000</v>
          </cell>
          <cell r="E169" t="str">
            <v>STURGEON</v>
          </cell>
        </row>
        <row r="170">
          <cell r="C170" t="str">
            <v>210-02</v>
          </cell>
          <cell r="D170">
            <v>2100000</v>
          </cell>
          <cell r="E170" t="str">
            <v>ISHMAEL</v>
          </cell>
        </row>
        <row r="171">
          <cell r="C171" t="str">
            <v>836-02</v>
          </cell>
          <cell r="D171">
            <v>2270000</v>
          </cell>
          <cell r="E171" t="str">
            <v>BROWN</v>
          </cell>
        </row>
        <row r="172">
          <cell r="C172" t="str">
            <v>837-02</v>
          </cell>
          <cell r="D172">
            <v>2280000</v>
          </cell>
          <cell r="E172" t="str">
            <v>MAHAN</v>
          </cell>
        </row>
        <row r="173">
          <cell r="C173" t="str">
            <v>217-02</v>
          </cell>
          <cell r="D173">
            <v>1800000</v>
          </cell>
          <cell r="E173" t="str">
            <v>CHANDLER</v>
          </cell>
        </row>
        <row r="174">
          <cell r="C174" t="str">
            <v>212-02</v>
          </cell>
          <cell r="D174">
            <v>2020000</v>
          </cell>
          <cell r="E174" t="str">
            <v>SHOOK</v>
          </cell>
        </row>
        <row r="175">
          <cell r="C175" t="str">
            <v>70-02</v>
          </cell>
          <cell r="D175">
            <v>2090000</v>
          </cell>
          <cell r="E175" t="str">
            <v>HAITHCOX</v>
          </cell>
        </row>
        <row r="176">
          <cell r="C176" t="str">
            <v>839-02</v>
          </cell>
          <cell r="D176">
            <v>2270000</v>
          </cell>
          <cell r="E176" t="str">
            <v>BROWN</v>
          </cell>
        </row>
        <row r="177">
          <cell r="C177" t="str">
            <v>214-02</v>
          </cell>
          <cell r="D177">
            <v>1230000</v>
          </cell>
          <cell r="E177" t="str">
            <v>YANAI</v>
          </cell>
        </row>
        <row r="178">
          <cell r="C178" t="str">
            <v>838-02</v>
          </cell>
          <cell r="D178">
            <v>2280000</v>
          </cell>
          <cell r="E178" t="str">
            <v>MAHAN</v>
          </cell>
        </row>
        <row r="179">
          <cell r="C179" t="str">
            <v>838-02</v>
          </cell>
          <cell r="D179">
            <v>2280000</v>
          </cell>
          <cell r="E179" t="str">
            <v>MAHAN</v>
          </cell>
        </row>
        <row r="180">
          <cell r="C180" t="str">
            <v>219-02</v>
          </cell>
          <cell r="D180">
            <v>2220000</v>
          </cell>
          <cell r="E180" t="str">
            <v>HILLS</v>
          </cell>
        </row>
        <row r="181">
          <cell r="C181" t="str">
            <v>221-02</v>
          </cell>
          <cell r="D181">
            <v>2090000</v>
          </cell>
          <cell r="E181" t="str">
            <v>HAITHCOX</v>
          </cell>
        </row>
        <row r="182">
          <cell r="C182" t="str">
            <v>216-02</v>
          </cell>
          <cell r="D182">
            <v>950000</v>
          </cell>
          <cell r="E182" t="str">
            <v>WEBSTER</v>
          </cell>
        </row>
        <row r="183">
          <cell r="C183" t="str">
            <v>221-02</v>
          </cell>
          <cell r="D183">
            <v>2090000</v>
          </cell>
          <cell r="E183" t="str">
            <v>HAITHCOX</v>
          </cell>
        </row>
        <row r="184">
          <cell r="C184" t="str">
            <v>303-02</v>
          </cell>
          <cell r="D184">
            <v>2040000</v>
          </cell>
          <cell r="E184" t="str">
            <v>MOSES</v>
          </cell>
        </row>
        <row r="185">
          <cell r="C185" t="str">
            <v>303-02</v>
          </cell>
          <cell r="D185">
            <v>2040000</v>
          </cell>
          <cell r="E185" t="str">
            <v>MOSES</v>
          </cell>
        </row>
        <row r="186">
          <cell r="C186" t="str">
            <v>906-02</v>
          </cell>
          <cell r="D186">
            <v>2270000</v>
          </cell>
          <cell r="E186" t="str">
            <v>BROWN</v>
          </cell>
        </row>
        <row r="187">
          <cell r="C187" t="str">
            <v>218-02</v>
          </cell>
          <cell r="D187">
            <v>1800000</v>
          </cell>
          <cell r="E187" t="str">
            <v>CHANDLER</v>
          </cell>
        </row>
        <row r="188">
          <cell r="C188" t="str">
            <v>66-02</v>
          </cell>
          <cell r="D188">
            <v>2100000</v>
          </cell>
          <cell r="E188" t="str">
            <v>ISHMAEL</v>
          </cell>
        </row>
        <row r="189">
          <cell r="C189" t="str">
            <v>212-02</v>
          </cell>
          <cell r="D189">
            <v>0</v>
          </cell>
          <cell r="E189" t="str">
            <v>HAUSER</v>
          </cell>
        </row>
        <row r="190">
          <cell r="C190" t="str">
            <v>841-02</v>
          </cell>
          <cell r="D190">
            <v>2280000</v>
          </cell>
          <cell r="E190" t="str">
            <v>MAHAN</v>
          </cell>
        </row>
        <row r="191">
          <cell r="C191" t="str">
            <v>841-02</v>
          </cell>
          <cell r="D191">
            <v>2280000</v>
          </cell>
          <cell r="E191" t="str">
            <v>MAHAN</v>
          </cell>
        </row>
        <row r="192">
          <cell r="C192" t="str">
            <v>305-02</v>
          </cell>
          <cell r="D192">
            <v>2020000</v>
          </cell>
          <cell r="E192" t="str">
            <v>SHOOK</v>
          </cell>
        </row>
        <row r="193">
          <cell r="C193" t="str">
            <v>223-02</v>
          </cell>
          <cell r="D193">
            <v>1230000</v>
          </cell>
          <cell r="E193" t="str">
            <v>YANAI</v>
          </cell>
        </row>
        <row r="194">
          <cell r="C194" t="str">
            <v>220-02</v>
          </cell>
          <cell r="D194">
            <v>2220000</v>
          </cell>
          <cell r="E194" t="str">
            <v>HILLS</v>
          </cell>
        </row>
        <row r="195">
          <cell r="C195" t="str">
            <v>840-02</v>
          </cell>
          <cell r="D195">
            <v>2280000</v>
          </cell>
          <cell r="E195" t="str">
            <v>MAHAN</v>
          </cell>
        </row>
        <row r="196">
          <cell r="C196" t="str">
            <v>307-02</v>
          </cell>
          <cell r="D196">
            <v>950000</v>
          </cell>
          <cell r="E196" t="str">
            <v>WEBSTER</v>
          </cell>
        </row>
        <row r="197">
          <cell r="C197" t="str">
            <v>225-02</v>
          </cell>
          <cell r="D197">
            <v>2110000</v>
          </cell>
          <cell r="E197" t="str">
            <v>OUN</v>
          </cell>
        </row>
        <row r="198">
          <cell r="C198" t="str">
            <v>222-02</v>
          </cell>
          <cell r="D198">
            <v>2090000</v>
          </cell>
          <cell r="E198" t="str">
            <v>HAITHCOX</v>
          </cell>
        </row>
        <row r="199">
          <cell r="C199" t="str">
            <v>843-02</v>
          </cell>
          <cell r="D199">
            <v>2280000</v>
          </cell>
          <cell r="E199" t="str">
            <v>MAHAN</v>
          </cell>
        </row>
        <row r="200">
          <cell r="C200" t="str">
            <v>224-02</v>
          </cell>
          <cell r="D200">
            <v>1230000</v>
          </cell>
          <cell r="E200" t="str">
            <v>YANAI</v>
          </cell>
        </row>
        <row r="201">
          <cell r="C201" t="str">
            <v>227-02</v>
          </cell>
          <cell r="D201">
            <v>2220000</v>
          </cell>
          <cell r="E201" t="str">
            <v>HILLS</v>
          </cell>
        </row>
        <row r="202">
          <cell r="C202" t="str">
            <v>842-02</v>
          </cell>
          <cell r="D202">
            <v>2280000</v>
          </cell>
          <cell r="E202" t="str">
            <v>MAHAN</v>
          </cell>
        </row>
        <row r="203">
          <cell r="C203" t="str">
            <v>226-02</v>
          </cell>
          <cell r="D203">
            <v>2110000</v>
          </cell>
          <cell r="E203" t="str">
            <v>OUN</v>
          </cell>
        </row>
        <row r="204">
          <cell r="C204" t="str">
            <v>229-02</v>
          </cell>
          <cell r="D204">
            <v>2090000</v>
          </cell>
          <cell r="E204" t="str">
            <v>HAITHCOX</v>
          </cell>
        </row>
        <row r="205">
          <cell r="C205" t="str">
            <v>845-02</v>
          </cell>
          <cell r="D205">
            <v>2270000</v>
          </cell>
          <cell r="E205" t="str">
            <v>BROWN</v>
          </cell>
        </row>
        <row r="206">
          <cell r="C206" t="str">
            <v>228-02</v>
          </cell>
          <cell r="D206">
            <v>2220000</v>
          </cell>
          <cell r="E206" t="str">
            <v>HILLS</v>
          </cell>
        </row>
        <row r="207">
          <cell r="C207" t="str">
            <v>233-02</v>
          </cell>
          <cell r="D207">
            <v>1800000</v>
          </cell>
          <cell r="E207" t="str">
            <v>CHANDLER</v>
          </cell>
        </row>
        <row r="208">
          <cell r="C208" t="str">
            <v>231-02</v>
          </cell>
          <cell r="D208">
            <v>1230000</v>
          </cell>
          <cell r="E208" t="str">
            <v>YANAI</v>
          </cell>
        </row>
        <row r="209">
          <cell r="C209" t="str">
            <v>844-02</v>
          </cell>
          <cell r="D209">
            <v>2270000</v>
          </cell>
          <cell r="E209" t="str">
            <v>BROWN</v>
          </cell>
        </row>
        <row r="210">
          <cell r="C210" t="str">
            <v>230-02</v>
          </cell>
          <cell r="D210">
            <v>2090000</v>
          </cell>
          <cell r="E210" t="str">
            <v>HAITHCOX</v>
          </cell>
        </row>
        <row r="211">
          <cell r="C211" t="str">
            <v>233-02</v>
          </cell>
          <cell r="D211">
            <v>1800000</v>
          </cell>
          <cell r="E211" t="str">
            <v>CHANDLER</v>
          </cell>
        </row>
        <row r="212">
          <cell r="C212" t="str">
            <v>847-02</v>
          </cell>
          <cell r="D212">
            <v>2270000</v>
          </cell>
          <cell r="E212" t="str">
            <v>BROWN</v>
          </cell>
        </row>
        <row r="213">
          <cell r="C213" t="str">
            <v>235-02</v>
          </cell>
          <cell r="D213">
            <v>2220000</v>
          </cell>
          <cell r="E213" t="str">
            <v>HILLS</v>
          </cell>
        </row>
        <row r="214">
          <cell r="C214" t="str">
            <v>232-02</v>
          </cell>
          <cell r="D214">
            <v>1230000</v>
          </cell>
          <cell r="E214" t="str">
            <v>YANAI</v>
          </cell>
        </row>
        <row r="215">
          <cell r="C215" t="str">
            <v>908-02</v>
          </cell>
          <cell r="D215">
            <v>2270000</v>
          </cell>
          <cell r="E215" t="str">
            <v>BROWN</v>
          </cell>
        </row>
        <row r="216">
          <cell r="C216" t="str">
            <v>234-02</v>
          </cell>
          <cell r="D216">
            <v>1800000</v>
          </cell>
          <cell r="E216" t="str">
            <v>CHANDLER</v>
          </cell>
        </row>
        <row r="217">
          <cell r="C217" t="str">
            <v>237-02</v>
          </cell>
          <cell r="D217">
            <v>2090000</v>
          </cell>
          <cell r="E217" t="str">
            <v>HAITHCOX</v>
          </cell>
        </row>
        <row r="218">
          <cell r="C218" t="str">
            <v>236-02</v>
          </cell>
          <cell r="D218">
            <v>2220000</v>
          </cell>
          <cell r="E218" t="str">
            <v>HILLS</v>
          </cell>
        </row>
        <row r="219">
          <cell r="C219" t="str">
            <v>239-02</v>
          </cell>
          <cell r="D219">
            <v>1230000</v>
          </cell>
          <cell r="E219" t="str">
            <v>YANAI</v>
          </cell>
        </row>
        <row r="220">
          <cell r="C220" t="str">
            <v>238-02</v>
          </cell>
          <cell r="D220">
            <v>2090000</v>
          </cell>
          <cell r="E220" t="str">
            <v>HAITHCOX</v>
          </cell>
        </row>
        <row r="221">
          <cell r="C221" t="str">
            <v>241-02</v>
          </cell>
          <cell r="D221">
            <v>1800000</v>
          </cell>
          <cell r="E221" t="str">
            <v>CHANDLER</v>
          </cell>
        </row>
        <row r="222">
          <cell r="C222" t="str">
            <v>240-02</v>
          </cell>
          <cell r="D222">
            <v>1230000</v>
          </cell>
          <cell r="E222" t="str">
            <v>YANAI</v>
          </cell>
        </row>
        <row r="223">
          <cell r="C223" t="str">
            <v>243-02</v>
          </cell>
          <cell r="D223">
            <v>2220000</v>
          </cell>
          <cell r="E223" t="str">
            <v>HILLS</v>
          </cell>
        </row>
        <row r="224">
          <cell r="C224" t="str">
            <v>242-02</v>
          </cell>
          <cell r="D224">
            <v>1800000</v>
          </cell>
          <cell r="E224" t="str">
            <v>CHANDLER</v>
          </cell>
        </row>
        <row r="225">
          <cell r="C225" t="str">
            <v>245-02</v>
          </cell>
          <cell r="D225">
            <v>2090000</v>
          </cell>
          <cell r="E225" t="str">
            <v>HAITHCOX</v>
          </cell>
        </row>
        <row r="226">
          <cell r="C226" t="str">
            <v>309-02</v>
          </cell>
          <cell r="D226">
            <v>1230000</v>
          </cell>
          <cell r="E226" t="str">
            <v>YANAI</v>
          </cell>
        </row>
        <row r="227">
          <cell r="C227" t="str">
            <v>244-02</v>
          </cell>
          <cell r="D227">
            <v>2220000</v>
          </cell>
          <cell r="E227" t="str">
            <v>HILLS</v>
          </cell>
        </row>
        <row r="228">
          <cell r="C228" t="str">
            <v>311-02</v>
          </cell>
          <cell r="D228">
            <v>1800000</v>
          </cell>
          <cell r="E228" t="str">
            <v>CHANDLER</v>
          </cell>
        </row>
        <row r="229">
          <cell r="C229" t="str">
            <v>246-02</v>
          </cell>
          <cell r="D229">
            <v>2090000</v>
          </cell>
          <cell r="E229" t="str">
            <v>HAITHCOX</v>
          </cell>
        </row>
        <row r="230">
          <cell r="C230" t="str">
            <v>313-02</v>
          </cell>
          <cell r="D230">
            <v>2220000</v>
          </cell>
          <cell r="E230" t="str">
            <v>HILLS</v>
          </cell>
        </row>
        <row r="231">
          <cell r="C231" t="str">
            <v>315-02</v>
          </cell>
          <cell r="D231">
            <v>2090000</v>
          </cell>
          <cell r="E231" t="str">
            <v>HAITHCOX</v>
          </cell>
        </row>
        <row r="233">
          <cell r="C233" t="str">
            <v>309-26</v>
          </cell>
          <cell r="D233">
            <v>1230000</v>
          </cell>
          <cell r="E233" t="str">
            <v>YANAI</v>
          </cell>
        </row>
        <row r="234">
          <cell r="C234" t="str">
            <v>244-26</v>
          </cell>
          <cell r="D234">
            <v>2260000</v>
          </cell>
          <cell r="E234" t="str">
            <v>ARVIDSON</v>
          </cell>
        </row>
        <row r="235">
          <cell r="C235" t="str">
            <v>311-26</v>
          </cell>
          <cell r="D235">
            <v>1800000</v>
          </cell>
          <cell r="E235" t="str">
            <v>CHANDLER</v>
          </cell>
        </row>
        <row r="236">
          <cell r="C236" t="str">
            <v>246-26</v>
          </cell>
          <cell r="D236">
            <v>2090000</v>
          </cell>
          <cell r="E236" t="str">
            <v>HAITHCOX</v>
          </cell>
        </row>
        <row r="237">
          <cell r="C237" t="str">
            <v>313-26</v>
          </cell>
          <cell r="D237">
            <v>2260000</v>
          </cell>
          <cell r="E237" t="str">
            <v>ARVIDSON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  <sheetData sheetId="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  <sheetName val="Redmine List Values"/>
    </sheetNames>
    <sheetDataSet>
      <sheetData sheetId="0">
        <row r="13">
          <cell r="A13" t="str">
            <v>101-03</v>
          </cell>
          <cell r="B13">
            <v>4020</v>
          </cell>
          <cell r="C13" t="str">
            <v>DE.1.0.7.0</v>
          </cell>
          <cell r="D13" t="str">
            <v>204:723</v>
          </cell>
          <cell r="E13">
            <v>42616.132222222222</v>
          </cell>
          <cell r="F13">
            <v>42616.135625000003</v>
          </cell>
          <cell r="G13">
            <v>1</v>
          </cell>
          <cell r="H13" t="str">
            <v>204:233320</v>
          </cell>
          <cell r="I13">
            <v>42616.161111111112</v>
          </cell>
          <cell r="J13">
            <v>0</v>
          </cell>
          <cell r="K13" t="str">
            <v>4019/4020</v>
          </cell>
          <cell r="L13" t="str">
            <v>MAELZER</v>
          </cell>
          <cell r="M13">
            <v>2.548611110978527E-2</v>
          </cell>
          <cell r="N13">
            <v>36.699999998090789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https://search-rtdc-monitor-bjffxe2xuh6vdkpspy63sjmuny.us-east-1.es.amazonaws.com/_plugin/kibana/#/discover/Steve-Slow-Train-Analysis-(2080s-and-2083s)?_g=(refreshInterval:(display:Off,section:0,value:0),time:(from:'2016-09-03 02:10:24-0600',mode:absolute,to:'2016-09-03 04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3" t="str">
            <v>N</v>
          </cell>
          <cell r="X13" t="e">
            <v>#VALUE!</v>
          </cell>
          <cell r="Y13">
            <v>7.2300000000000003E-2</v>
          </cell>
          <cell r="Z13">
            <v>23.332000000000001</v>
          </cell>
          <cell r="AA13">
            <v>23.259700000000002</v>
          </cell>
          <cell r="AB13" t="e">
            <v>#N/A</v>
          </cell>
          <cell r="AC13" t="e">
            <v>#N/A</v>
          </cell>
          <cell r="AD13" t="str">
            <v>0101-03</v>
          </cell>
          <cell r="AE13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14">
          <cell r="A14" t="str">
            <v>102-03</v>
          </cell>
          <cell r="B14">
            <v>4017</v>
          </cell>
          <cell r="C14" t="str">
            <v>DE.1.0.7.0</v>
          </cell>
          <cell r="D14" t="str">
            <v>204:232669</v>
          </cell>
          <cell r="E14">
            <v>42616.167766203704</v>
          </cell>
          <cell r="F14">
            <v>42616.17454861111</v>
          </cell>
          <cell r="G14">
            <v>1</v>
          </cell>
          <cell r="H14" t="str">
            <v>204:138</v>
          </cell>
          <cell r="I14">
            <v>42616.201655092591</v>
          </cell>
          <cell r="J14">
            <v>0</v>
          </cell>
          <cell r="K14" t="str">
            <v>4017/4018</v>
          </cell>
          <cell r="L14" t="str">
            <v>MAELZER</v>
          </cell>
          <cell r="M14">
            <v>2.7106481480586808E-2</v>
          </cell>
          <cell r="N14">
            <v>39.033333332045004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https://search-rtdc-monitor-bjffxe2xuh6vdkpspy63sjmuny.us-east-1.es.amazonaws.com/_plugin/kibana/#/discover/Steve-Slow-Train-Analysis-(2080s-and-2083s)?_g=(refreshInterval:(display:Off,section:0,value:0),time:(from:'2016-09-03 03:01:35-0600',mode:absolute,to:'2016-09-03 05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4" t="str">
            <v>N</v>
          </cell>
          <cell r="X14">
            <v>1</v>
          </cell>
          <cell r="Y14">
            <v>23.2669</v>
          </cell>
          <cell r="Z14">
            <v>1.38E-2</v>
          </cell>
          <cell r="AA14">
            <v>23.2531</v>
          </cell>
          <cell r="AB14" t="e">
            <v>#N/A</v>
          </cell>
          <cell r="AC14" t="e">
            <v>#N/A</v>
          </cell>
          <cell r="AD14" t="str">
            <v>0102-03</v>
          </cell>
          <cell r="AE14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15">
          <cell r="A15" t="str">
            <v>103-03</v>
          </cell>
          <cell r="B15">
            <v>4014</v>
          </cell>
          <cell r="C15" t="str">
            <v>DE.1.0.7.0</v>
          </cell>
          <cell r="D15" t="str">
            <v>204:715</v>
          </cell>
          <cell r="E15">
            <v>42616.155335648145</v>
          </cell>
          <cell r="F15">
            <v>42616.156597222223</v>
          </cell>
          <cell r="G15">
            <v>1</v>
          </cell>
          <cell r="H15" t="str">
            <v>204:233314</v>
          </cell>
          <cell r="I15">
            <v>42616.181979166664</v>
          </cell>
          <cell r="J15">
            <v>0</v>
          </cell>
          <cell r="K15" t="str">
            <v>4013/4014</v>
          </cell>
          <cell r="L15" t="str">
            <v>MALAVE</v>
          </cell>
          <cell r="M15">
            <v>2.5381944440596271E-2</v>
          </cell>
          <cell r="N15">
            <v>36.549999994458631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https://search-rtdc-monitor-bjffxe2xuh6vdkpspy63sjmuny.us-east-1.es.amazonaws.com/_plugin/kibana/#/discover/Steve-Slow-Train-Analysis-(2080s-and-2083s)?_g=(refreshInterval:(display:Off,section:0,value:0),time:(from:'2016-09-03 02:43:41-0600',mode:absolute,to:'2016-09-03 05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5" t="str">
            <v>N</v>
          </cell>
          <cell r="X15">
            <v>1</v>
          </cell>
          <cell r="Y15">
            <v>7.1499999999999994E-2</v>
          </cell>
          <cell r="Z15">
            <v>23.331399999999999</v>
          </cell>
          <cell r="AA15">
            <v>23.259899999999998</v>
          </cell>
          <cell r="AB15" t="e">
            <v>#N/A</v>
          </cell>
          <cell r="AC15" t="e">
            <v>#N/A</v>
          </cell>
          <cell r="AD15" t="str">
            <v>0103-03</v>
          </cell>
          <cell r="AE15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16">
          <cell r="A16" t="str">
            <v>104-03</v>
          </cell>
          <cell r="B16">
            <v>4001</v>
          </cell>
          <cell r="C16" t="str">
            <v>DE.1.0.7.0</v>
          </cell>
          <cell r="D16" t="str">
            <v>204:232648</v>
          </cell>
          <cell r="E16">
            <v>42616.193541666667</v>
          </cell>
          <cell r="F16">
            <v>42616.195335648146</v>
          </cell>
          <cell r="G16">
            <v>1</v>
          </cell>
          <cell r="H16" t="str">
            <v>204:156</v>
          </cell>
          <cell r="I16">
            <v>42616.224502314813</v>
          </cell>
          <cell r="J16">
            <v>0</v>
          </cell>
          <cell r="K16" t="str">
            <v>4001/4002</v>
          </cell>
          <cell r="L16" t="str">
            <v>MALAVE</v>
          </cell>
          <cell r="M16">
            <v>2.9166666667151731E-2</v>
          </cell>
          <cell r="N16">
            <v>42.000000000698492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https://search-rtdc-monitor-bjffxe2xuh6vdkpspy63sjmuny.us-east-1.es.amazonaws.com/_plugin/kibana/#/discover/Steve-Slow-Train-Analysis-(2080s-and-2083s)?_g=(refreshInterval:(display:Off,section:0,value:0),time:(from:'2016-09-03 03:38:42-0600',mode:absolute,to:'2016-09-03 06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6" t="str">
            <v>N</v>
          </cell>
          <cell r="X16">
            <v>1</v>
          </cell>
          <cell r="Y16">
            <v>23.264800000000001</v>
          </cell>
          <cell r="Z16">
            <v>1.5599999999999999E-2</v>
          </cell>
          <cell r="AA16">
            <v>23.249200000000002</v>
          </cell>
          <cell r="AB16">
            <v>27350</v>
          </cell>
          <cell r="AC16" t="str">
            <v>GRADE CROSSING</v>
          </cell>
          <cell r="AD16" t="str">
            <v>0104-03</v>
          </cell>
          <cell r="AE16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17">
          <cell r="A17" t="str">
            <v>105-03</v>
          </cell>
          <cell r="B17">
            <v>4040</v>
          </cell>
          <cell r="C17" t="str">
            <v>DE.1.0.7.0</v>
          </cell>
          <cell r="D17" t="str">
            <v>204:690</v>
          </cell>
          <cell r="E17">
            <v>42616.171574074076</v>
          </cell>
          <cell r="F17">
            <v>42616.177337962959</v>
          </cell>
          <cell r="G17">
            <v>2</v>
          </cell>
          <cell r="H17" t="str">
            <v>204:233372</v>
          </cell>
          <cell r="I17">
            <v>42616.202719907407</v>
          </cell>
          <cell r="J17">
            <v>0</v>
          </cell>
          <cell r="K17" t="str">
            <v>4039/4040</v>
          </cell>
          <cell r="L17" t="str">
            <v>ACKERMAN</v>
          </cell>
          <cell r="M17">
            <v>2.5381944447872229E-2</v>
          </cell>
          <cell r="N17">
            <v>36.55000000493601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https://search-rtdc-monitor-bjffxe2xuh6vdkpspy63sjmuny.us-east-1.es.amazonaws.com/_plugin/kibana/#/discover/Steve-Slow-Train-Analysis-(2080s-and-2083s)?_g=(refreshInterval:(display:Off,section:0,value:0),time:(from:'2016-09-03 03:07:04-0600',mode:absolute,to:'2016-09-03 05:51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17" t="str">
            <v>N</v>
          </cell>
          <cell r="X17">
            <v>1</v>
          </cell>
          <cell r="Y17">
            <v>6.9000000000000006E-2</v>
          </cell>
          <cell r="Z17">
            <v>23.337199999999999</v>
          </cell>
          <cell r="AA17">
            <v>23.2682</v>
          </cell>
          <cell r="AB17" t="e">
            <v>#N/A</v>
          </cell>
          <cell r="AC17" t="e">
            <v>#N/A</v>
          </cell>
          <cell r="AD17" t="str">
            <v>0105-03</v>
          </cell>
          <cell r="AE17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18">
          <cell r="A18" t="str">
            <v>106-03</v>
          </cell>
          <cell r="B18">
            <v>4041</v>
          </cell>
          <cell r="C18" t="str">
            <v>DE.1.0.7.0</v>
          </cell>
          <cell r="D18" t="str">
            <v>204:232706</v>
          </cell>
          <cell r="E18">
            <v>42616.212719907409</v>
          </cell>
          <cell r="F18">
            <v>42616.216203703705</v>
          </cell>
          <cell r="G18">
            <v>1</v>
          </cell>
          <cell r="H18" t="str">
            <v>204:145</v>
          </cell>
          <cell r="I18">
            <v>42616.243206018517</v>
          </cell>
          <cell r="J18">
            <v>0</v>
          </cell>
          <cell r="K18" t="str">
            <v>4041/4042</v>
          </cell>
          <cell r="L18" t="str">
            <v>ACKERMAN</v>
          </cell>
          <cell r="M18">
            <v>2.700231481139781E-2</v>
          </cell>
          <cell r="N18">
            <v>38.883333328412846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https://search-rtdc-monitor-bjffxe2xuh6vdkpspy63sjmuny.us-east-1.es.amazonaws.com/_plugin/kibana/#/discover/Steve-Slow-Train-Analysis-(2080s-and-2083s)?_g=(refreshInterval:(display:Off,section:0,value:0),time:(from:'2016-09-03 04:06:19-0600',mode:absolute,to:'2016-09-03 06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8" t="str">
            <v>N</v>
          </cell>
          <cell r="X18">
            <v>1</v>
          </cell>
          <cell r="Y18">
            <v>23.270600000000002</v>
          </cell>
          <cell r="Z18">
            <v>1.4500000000000001E-2</v>
          </cell>
          <cell r="AA18">
            <v>23.2561</v>
          </cell>
          <cell r="AB18" t="e">
            <v>#N/A</v>
          </cell>
          <cell r="AC18" t="e">
            <v>#N/A</v>
          </cell>
          <cell r="AD18" t="str">
            <v>0106-03</v>
          </cell>
          <cell r="AE18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9">
          <cell r="A19" t="str">
            <v>107-03</v>
          </cell>
          <cell r="B19">
            <v>4027</v>
          </cell>
          <cell r="C19" t="str">
            <v>DE.1.0.7.0</v>
          </cell>
          <cell r="D19" t="str">
            <v>204:19133</v>
          </cell>
          <cell r="E19">
            <v>42616.191643518519</v>
          </cell>
          <cell r="F19">
            <v>42616.192685185182</v>
          </cell>
          <cell r="G19">
            <v>1</v>
          </cell>
          <cell r="H19" t="str">
            <v>204:233340</v>
          </cell>
          <cell r="I19">
            <v>42616.215150462966</v>
          </cell>
          <cell r="J19">
            <v>0</v>
          </cell>
          <cell r="K19" t="str">
            <v>4027/4028</v>
          </cell>
          <cell r="L19" t="str">
            <v>SANTIZO</v>
          </cell>
          <cell r="M19">
            <v>2.2465277783339843E-2</v>
          </cell>
          <cell r="P19">
            <v>32.350000008009374</v>
          </cell>
          <cell r="R19" t="str">
            <v>DUS 2N didn't clear because 20N wasn't clear either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https://search-rtdc-monitor-bjffxe2xuh6vdkpspy63sjmuny.us-east-1.es.amazonaws.com/_plugin/kibana/#/discover/Steve-Slow-Train-Analysis-(2080s-and-2083s)?_g=(refreshInterval:(display:Off,section:0,value:0),time:(from:'2016-09-03 03:35:58-0600',mode:absolute,to:'2016-09-03 06:09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9" t="str">
            <v>Y</v>
          </cell>
          <cell r="X19">
            <v>1</v>
          </cell>
          <cell r="Y19">
            <v>1.9133</v>
          </cell>
          <cell r="Z19">
            <v>23.334</v>
          </cell>
          <cell r="AA19">
            <v>21.4207</v>
          </cell>
          <cell r="AB19" t="e">
            <v>#N/A</v>
          </cell>
          <cell r="AC19" t="e">
            <v>#N/A</v>
          </cell>
          <cell r="AD19" t="str">
            <v>0107-03</v>
          </cell>
          <cell r="AE19" t="str">
    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    </cell>
        </row>
        <row r="20">
          <cell r="A20" t="str">
            <v>107-03</v>
          </cell>
          <cell r="B20">
            <v>4027</v>
          </cell>
          <cell r="C20" t="str">
            <v>DE.1.0.7.0</v>
          </cell>
          <cell r="D20" t="str">
            <v>204:373</v>
          </cell>
          <cell r="E20">
            <v>42616.176886574074</v>
          </cell>
          <cell r="F20">
            <v>42616.192685185182</v>
          </cell>
          <cell r="G20">
            <v>1</v>
          </cell>
          <cell r="H20" t="str">
            <v>204:990</v>
          </cell>
          <cell r="I20">
            <v>42616.215150462966</v>
          </cell>
          <cell r="J20">
            <v>0</v>
          </cell>
          <cell r="K20" t="str">
            <v>4027/4028</v>
          </cell>
          <cell r="L20" t="str">
            <v>SANTIZO</v>
          </cell>
          <cell r="M20">
            <v>2.2465277783339843E-2</v>
          </cell>
          <cell r="S20">
            <v>0</v>
          </cell>
          <cell r="T20" t="str">
            <v>NorthBound</v>
          </cell>
          <cell r="U20">
            <v>0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https://search-rtdc-monitor-bjffxe2xuh6vdkpspy63sjmuny.us-east-1.es.amazonaws.com/_plugin/kibana/#/discover/Steve-Slow-Train-Analysis-(2080s-and-2083s)?_g=(refreshInterval:(display:Off,section:0,value:0),time:(from:'2016-09-03 03:14:43-0600',mode:absolute,to:'2016-09-03 06:09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20" t="str">
            <v>Y</v>
          </cell>
          <cell r="X20">
            <v>0</v>
          </cell>
          <cell r="Y20">
            <v>3.73E-2</v>
          </cell>
          <cell r="Z20">
            <v>9.9000000000000005E-2</v>
          </cell>
          <cell r="AA20">
            <v>6.1700000000000005E-2</v>
          </cell>
          <cell r="AB20" t="e">
            <v>#N/A</v>
          </cell>
          <cell r="AC20" t="e">
            <v>#N/A</v>
          </cell>
          <cell r="AD20" t="str">
            <v>0107-03</v>
          </cell>
          <cell r="AE20" t="str">
    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    </cell>
        </row>
        <row r="21">
          <cell r="A21" t="str">
            <v>108-03</v>
          </cell>
          <cell r="B21">
            <v>4028</v>
          </cell>
          <cell r="C21" t="str">
            <v>DE.1.0.7.0</v>
          </cell>
          <cell r="D21" t="str">
            <v>204:233025</v>
          </cell>
          <cell r="E21">
            <v>42616.216446759259</v>
          </cell>
          <cell r="F21">
            <v>42616.226840277777</v>
          </cell>
          <cell r="G21">
            <v>1</v>
          </cell>
          <cell r="H21" t="str">
            <v>204:130</v>
          </cell>
          <cell r="I21">
            <v>42616.253321759257</v>
          </cell>
          <cell r="J21">
            <v>0</v>
          </cell>
          <cell r="K21" t="str">
            <v>4027/4028</v>
          </cell>
          <cell r="L21" t="str">
            <v>SANTIZO</v>
          </cell>
          <cell r="M21">
            <v>2.6481481480004732E-2</v>
          </cell>
          <cell r="N21">
            <v>38.133333331206813</v>
          </cell>
          <cell r="S21">
            <v>1</v>
          </cell>
          <cell r="T21" t="str">
            <v>Southbound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https://search-rtdc-monitor-bjffxe2xuh6vdkpspy63sjmuny.us-east-1.es.amazonaws.com/_plugin/kibana/#/discover/Steve-Slow-Train-Analysis-(2080s-and-2083s)?_g=(refreshInterval:(display:Off,section:0,value:0),time:(from:'2016-09-03 04:11:41-0600',mode:absolute,to:'2016-09-03 07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21" t="str">
            <v>N</v>
          </cell>
          <cell r="X21">
            <v>1</v>
          </cell>
          <cell r="Y21">
            <v>23.302499999999998</v>
          </cell>
          <cell r="Z21">
            <v>1.2999999999999999E-2</v>
          </cell>
          <cell r="AA21">
            <v>23.289499999999997</v>
          </cell>
          <cell r="AB21" t="e">
            <v>#N/A</v>
          </cell>
          <cell r="AC21" t="e">
            <v>#N/A</v>
          </cell>
          <cell r="AD21" t="str">
            <v>0108-03</v>
          </cell>
          <cell r="AE21" t="str">
    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    </cell>
        </row>
        <row r="22">
          <cell r="A22" t="str">
            <v>109-03</v>
          </cell>
          <cell r="B22">
            <v>4029</v>
          </cell>
          <cell r="C22" t="str">
            <v>DE.1.0.7.0</v>
          </cell>
          <cell r="D22" t="str">
            <v>204:466</v>
          </cell>
          <cell r="E22">
            <v>42616.187743055554</v>
          </cell>
          <cell r="F22">
            <v>42616.198148148149</v>
          </cell>
          <cell r="G22">
            <v>1</v>
          </cell>
          <cell r="H22" t="str">
            <v>204:233293</v>
          </cell>
          <cell r="I22">
            <v>42616.222986111112</v>
          </cell>
          <cell r="J22">
            <v>0</v>
          </cell>
          <cell r="K22" t="str">
            <v>4029/4030</v>
          </cell>
          <cell r="L22" t="str">
            <v>KILLION</v>
          </cell>
          <cell r="M22">
            <v>2.4837962962919846E-2</v>
          </cell>
          <cell r="N22">
            <v>35.766666666604578</v>
          </cell>
          <cell r="S22">
            <v>1</v>
          </cell>
          <cell r="T22" t="str">
            <v>NorthBound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https://search-rtdc-monitor-bjffxe2xuh6vdkpspy63sjmuny.us-east-1.es.amazonaws.com/_plugin/kibana/#/discover/Steve-Slow-Train-Analysis-(2080s-and-2083s)?_g=(refreshInterval:(display:Off,section:0,value:0),time:(from:'2016-09-03 03:30:21-0600',mode:absolute,to:'2016-09-03 06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2" t="str">
            <v>N</v>
          </cell>
          <cell r="X22">
            <v>1</v>
          </cell>
          <cell r="Y22">
            <v>4.6600000000000003E-2</v>
          </cell>
          <cell r="Z22">
            <v>23.3293</v>
          </cell>
          <cell r="AA22">
            <v>23.282699999999998</v>
          </cell>
          <cell r="AB22" t="e">
            <v>#N/A</v>
          </cell>
          <cell r="AC22" t="e">
            <v>#N/A</v>
          </cell>
          <cell r="AD22" t="str">
            <v>0109-03</v>
          </cell>
          <cell r="AE22" t="str">
    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    </cell>
        </row>
        <row r="23">
          <cell r="A23" t="str">
            <v>110-03</v>
          </cell>
          <cell r="B23">
            <v>4030</v>
          </cell>
          <cell r="C23" t="str">
            <v>DE.1.0.7.0</v>
          </cell>
          <cell r="D23" t="str">
            <v>204:232980</v>
          </cell>
          <cell r="E23">
            <v>42616.228981481479</v>
          </cell>
          <cell r="F23">
            <v>42616.236979166664</v>
          </cell>
          <cell r="G23">
            <v>1</v>
          </cell>
          <cell r="H23" t="str">
            <v>204:145</v>
          </cell>
          <cell r="I23">
            <v>42616.264479166668</v>
          </cell>
          <cell r="J23">
            <v>0</v>
          </cell>
          <cell r="K23" t="str">
            <v>4029/4030</v>
          </cell>
          <cell r="L23" t="str">
            <v>KILLION</v>
          </cell>
          <cell r="M23">
            <v>2.7500000003783498E-2</v>
          </cell>
          <cell r="N23">
            <v>39.600000005448237</v>
          </cell>
          <cell r="S23">
            <v>1</v>
          </cell>
          <cell r="T23" t="str">
            <v>Southbound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https://search-rtdc-monitor-bjffxe2xuh6vdkpspy63sjmuny.us-east-1.es.amazonaws.com/_plugin/kibana/#/discover/Steve-Slow-Train-Analysis-(2080s-and-2083s)?_g=(refreshInterval:(display:Off,section:0,value:0),time:(from:'2016-09-03 04:29:44-0600',mode:absolute,to:'2016-09-03 07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23" t="str">
            <v>N</v>
          </cell>
          <cell r="X23">
            <v>1</v>
          </cell>
          <cell r="Y23">
            <v>23.297999999999998</v>
          </cell>
          <cell r="Z23">
            <v>1.4500000000000001E-2</v>
          </cell>
          <cell r="AA23">
            <v>23.283499999999997</v>
          </cell>
          <cell r="AB23" t="e">
            <v>#N/A</v>
          </cell>
          <cell r="AC23" t="e">
            <v>#N/A</v>
          </cell>
          <cell r="AD23" t="str">
            <v>0110-03</v>
          </cell>
          <cell r="AE23" t="str">
    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    </cell>
        </row>
        <row r="24">
          <cell r="A24" t="str">
            <v>111-03</v>
          </cell>
          <cell r="B24">
            <v>4020</v>
          </cell>
          <cell r="C24" t="str">
            <v>DE.1.0.7.0</v>
          </cell>
          <cell r="D24" t="str">
            <v>204:752</v>
          </cell>
          <cell r="E24">
            <v>42616.205879629626</v>
          </cell>
          <cell r="F24">
            <v>42616.208506944444</v>
          </cell>
          <cell r="G24">
            <v>1</v>
          </cell>
          <cell r="H24" t="str">
            <v>204:233315</v>
          </cell>
          <cell r="I24">
            <v>42616.233773148146</v>
          </cell>
          <cell r="J24">
            <v>0</v>
          </cell>
          <cell r="K24" t="str">
            <v>4019/4020</v>
          </cell>
          <cell r="L24" t="str">
            <v>SMITH</v>
          </cell>
          <cell r="M24">
            <v>2.5266203701903578E-2</v>
          </cell>
          <cell r="N24">
            <v>36.383333330741152</v>
          </cell>
          <cell r="S24">
            <v>1</v>
          </cell>
          <cell r="T24" t="str">
            <v>NorthBound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https://search-rtdc-monitor-bjffxe2xuh6vdkpspy63sjmuny.us-east-1.es.amazonaws.com/_plugin/kibana/#/discover/Steve-Slow-Train-Analysis-(2080s-and-2083s)?_g=(refreshInterval:(display:Off,section:0,value:0),time:(from:'2016-09-03 03:56:28-0600',mode:absolute,to:'2016-09-03 06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4" t="str">
            <v>N</v>
          </cell>
          <cell r="X24">
            <v>1</v>
          </cell>
          <cell r="Y24">
            <v>7.5200000000000003E-2</v>
          </cell>
          <cell r="Z24">
            <v>23.331499999999998</v>
          </cell>
          <cell r="AA24">
            <v>23.2563</v>
          </cell>
          <cell r="AB24" t="e">
            <v>#N/A</v>
          </cell>
          <cell r="AC24" t="e">
            <v>#N/A</v>
          </cell>
          <cell r="AD24" t="str">
            <v>0111-03</v>
          </cell>
          <cell r="AE24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25">
          <cell r="A25" t="str">
            <v>112-03</v>
          </cell>
          <cell r="B25">
            <v>4019</v>
          </cell>
          <cell r="C25" t="str">
            <v>DE.1.0.7.0</v>
          </cell>
          <cell r="D25" t="str">
            <v>204:232993</v>
          </cell>
          <cell r="E25">
            <v>42616.24050925926</v>
          </cell>
          <cell r="F25">
            <v>42616.247395833336</v>
          </cell>
          <cell r="G25">
            <v>1</v>
          </cell>
          <cell r="H25" t="str">
            <v>204:161</v>
          </cell>
          <cell r="I25">
            <v>42616.277094907404</v>
          </cell>
          <cell r="J25">
            <v>0</v>
          </cell>
          <cell r="K25" t="str">
            <v>4019/4020</v>
          </cell>
          <cell r="L25" t="str">
            <v>SMITH</v>
          </cell>
          <cell r="M25">
            <v>2.9699074068048503E-2</v>
          </cell>
          <cell r="N25">
            <v>42.766666657989845</v>
          </cell>
          <cell r="S25">
            <v>1</v>
          </cell>
          <cell r="T25" t="str">
            <v>Southbound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https://search-rtdc-monitor-bjffxe2xuh6vdkpspy63sjmuny.us-east-1.es.amazonaws.com/_plugin/kibana/#/discover/Steve-Slow-Train-Analysis-(2080s-and-2083s)?_g=(refreshInterval:(display:Off,section:0,value:0),time:(from:'2016-09-03 04:46:20-0600',mode:absolute,to:'2016-09-03 07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25" t="str">
            <v>N</v>
          </cell>
          <cell r="X25">
            <v>1</v>
          </cell>
          <cell r="Y25">
            <v>23.299299999999999</v>
          </cell>
          <cell r="Z25">
            <v>1.61E-2</v>
          </cell>
          <cell r="AA25">
            <v>23.283199999999997</v>
          </cell>
          <cell r="AB25" t="e">
            <v>#N/A</v>
          </cell>
          <cell r="AC25" t="e">
            <v>#N/A</v>
          </cell>
          <cell r="AD25" t="str">
            <v>0112-03</v>
          </cell>
          <cell r="AE25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26">
          <cell r="A26" t="str">
            <v>113-03</v>
          </cell>
          <cell r="B26">
            <v>4018</v>
          </cell>
          <cell r="C26" t="str">
            <v>DE.1.0.7.0</v>
          </cell>
          <cell r="D26" t="str">
            <v>204:444</v>
          </cell>
          <cell r="E26">
            <v>42616.206238425926</v>
          </cell>
          <cell r="F26">
            <v>42616.219421296293</v>
          </cell>
          <cell r="G26">
            <v>1</v>
          </cell>
          <cell r="H26" t="str">
            <v>204:233324</v>
          </cell>
          <cell r="I26">
            <v>42616.245729166665</v>
          </cell>
          <cell r="J26">
            <v>0</v>
          </cell>
          <cell r="K26" t="str">
            <v>4017/4018</v>
          </cell>
          <cell r="L26" t="str">
            <v>MAELZER</v>
          </cell>
          <cell r="M26">
            <v>2.6307870371965691E-2</v>
          </cell>
          <cell r="N26">
            <v>37.883333335630596</v>
          </cell>
          <cell r="S26">
            <v>1</v>
          </cell>
          <cell r="T26" t="str">
            <v>NorthBound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https://search-rtdc-monitor-bjffxe2xuh6vdkpspy63sjmuny.us-east-1.es.amazonaws.com/_plugin/kibana/#/discover/Steve-Slow-Train-Analysis-(2080s-and-2083s)?_g=(refreshInterval:(display:Off,section:0,value:0),time:(from:'2016-09-03 03:56:59-0600',mode:absolute,to:'2016-09-03 06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26" t="str">
            <v>N</v>
          </cell>
          <cell r="X26">
            <v>1</v>
          </cell>
          <cell r="Y26">
            <v>4.4400000000000002E-2</v>
          </cell>
          <cell r="Z26">
            <v>23.3324</v>
          </cell>
          <cell r="AA26">
            <v>23.288</v>
          </cell>
          <cell r="AB26" t="e">
            <v>#N/A</v>
          </cell>
          <cell r="AC26" t="e">
            <v>#N/A</v>
          </cell>
          <cell r="AD26" t="str">
            <v>0113-03</v>
          </cell>
          <cell r="AE26" t="str">
    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    </cell>
        </row>
        <row r="27">
          <cell r="A27" t="str">
            <v>114-03</v>
          </cell>
          <cell r="B27">
            <v>4017</v>
          </cell>
          <cell r="C27" t="str">
            <v>DE.1.0.7.0</v>
          </cell>
          <cell r="D27" t="str">
            <v>204:232980</v>
          </cell>
          <cell r="E27">
            <v>42616.254733796297</v>
          </cell>
          <cell r="F27">
            <v>42616.257893518516</v>
          </cell>
          <cell r="G27">
            <v>1</v>
          </cell>
          <cell r="H27" t="str">
            <v>204:149</v>
          </cell>
          <cell r="I27">
            <v>42616.285879629628</v>
          </cell>
          <cell r="J27">
            <v>0</v>
          </cell>
          <cell r="K27" t="str">
            <v>4017/4018</v>
          </cell>
          <cell r="L27" t="str">
            <v>MAELZER</v>
          </cell>
          <cell r="M27">
            <v>2.7986111112113576E-2</v>
          </cell>
          <cell r="N27">
            <v>40.30000000144355</v>
          </cell>
          <cell r="S27">
            <v>1</v>
          </cell>
          <cell r="T27" t="str">
            <v>Southbound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https://search-rtdc-monitor-bjffxe2xuh6vdkpspy63sjmuny.us-east-1.es.amazonaws.com/_plugin/kibana/#/discover/Steve-Slow-Train-Analysis-(2080s-and-2083s)?_g=(refreshInterval:(display:Off,section:0,value:0),time:(from:'2016-09-03 05:06:49-0600',mode:absolute,to:'2016-09-03 07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27" t="str">
            <v>N</v>
          </cell>
          <cell r="X27">
            <v>1</v>
          </cell>
          <cell r="Y27">
            <v>23.297999999999998</v>
          </cell>
          <cell r="Z27">
            <v>1.49E-2</v>
          </cell>
          <cell r="AA27">
            <v>23.283099999999997</v>
          </cell>
          <cell r="AB27" t="e">
            <v>#N/A</v>
          </cell>
          <cell r="AC27" t="e">
            <v>#N/A</v>
          </cell>
          <cell r="AD27" t="str">
            <v>0114-03</v>
          </cell>
          <cell r="AE27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28">
          <cell r="A28" t="str">
            <v>115-03</v>
          </cell>
          <cell r="B28">
            <v>4014</v>
          </cell>
          <cell r="C28" t="str">
            <v>DE.1.0.7.0</v>
          </cell>
          <cell r="D28" t="str">
            <v>204:752</v>
          </cell>
          <cell r="E28">
            <v>42616.229224537034</v>
          </cell>
          <cell r="F28">
            <v>42616.231041666666</v>
          </cell>
          <cell r="G28">
            <v>1</v>
          </cell>
          <cell r="H28" t="str">
            <v>204:233263</v>
          </cell>
          <cell r="I28">
            <v>42616.256689814814</v>
          </cell>
          <cell r="J28">
            <v>0</v>
          </cell>
          <cell r="K28" t="str">
            <v>4013/4014</v>
          </cell>
          <cell r="L28" t="str">
            <v>STRICKLAND</v>
          </cell>
          <cell r="M28">
            <v>2.5648148148320615E-2</v>
          </cell>
          <cell r="N28">
            <v>36.933333333581686</v>
          </cell>
          <cell r="S28">
            <v>1</v>
          </cell>
          <cell r="T28" t="str">
            <v>NorthBound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https://search-rtdc-monitor-bjffxe2xuh6vdkpspy63sjmuny.us-east-1.es.amazonaws.com/_plugin/kibana/#/discover/Steve-Slow-Train-Analysis-(2080s-and-2083s)?_g=(refreshInterval:(display:Off,section:0,value:0),time:(from:'2016-09-03 04:30:05-0600',mode:absolute,to:'2016-09-03 07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8" t="str">
            <v>N</v>
          </cell>
          <cell r="X28">
            <v>1</v>
          </cell>
          <cell r="Y28">
            <v>7.5200000000000003E-2</v>
          </cell>
          <cell r="Z28">
            <v>23.3263</v>
          </cell>
          <cell r="AA28">
            <v>23.251100000000001</v>
          </cell>
          <cell r="AB28" t="e">
            <v>#N/A</v>
          </cell>
          <cell r="AC28" t="e">
            <v>#N/A</v>
          </cell>
          <cell r="AD28" t="str">
            <v>0115-03</v>
          </cell>
          <cell r="AE28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29">
          <cell r="A29" t="str">
            <v>116-03</v>
          </cell>
          <cell r="B29">
            <v>4013</v>
          </cell>
          <cell r="C29" t="str">
            <v>DE.1.0.7.0</v>
          </cell>
          <cell r="D29" t="str">
            <v>204:232998</v>
          </cell>
          <cell r="E29">
            <v>42616.266724537039</v>
          </cell>
          <cell r="F29">
            <v>42616.26866898148</v>
          </cell>
          <cell r="G29">
            <v>1</v>
          </cell>
          <cell r="H29" t="str">
            <v>204:158</v>
          </cell>
          <cell r="I29">
            <v>42616.295277777775</v>
          </cell>
          <cell r="J29">
            <v>0</v>
          </cell>
          <cell r="K29" t="str">
            <v>4013/4014</v>
          </cell>
          <cell r="L29" t="str">
            <v>STRICKLAND</v>
          </cell>
          <cell r="M29">
            <v>2.6608796295477077E-2</v>
          </cell>
          <cell r="N29">
            <v>38.316666665486991</v>
          </cell>
          <cell r="S29">
            <v>1</v>
          </cell>
          <cell r="T29" t="str">
            <v>Southbound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https://search-rtdc-monitor-bjffxe2xuh6vdkpspy63sjmuny.us-east-1.es.amazonaws.com/_plugin/kibana/#/discover/Steve-Slow-Train-Analysis-(2080s-and-2083s)?_g=(refreshInterval:(display:Off,section:0,value:0),time:(from:'2016-09-03 05:24:05-0600',mode:absolute,to:'2016-09-03 08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9" t="str">
            <v>N</v>
          </cell>
          <cell r="X29">
            <v>1</v>
          </cell>
          <cell r="Y29">
            <v>23.299800000000001</v>
          </cell>
          <cell r="Z29">
            <v>1.5800000000000002E-2</v>
          </cell>
          <cell r="AA29">
            <v>23.284000000000002</v>
          </cell>
          <cell r="AB29" t="e">
            <v>#N/A</v>
          </cell>
          <cell r="AC29" t="e">
            <v>#N/A</v>
          </cell>
          <cell r="AD29" t="str">
            <v>0116-03</v>
          </cell>
          <cell r="AE29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30">
          <cell r="A30" t="str">
            <v>117-03</v>
          </cell>
          <cell r="B30">
            <v>4002</v>
          </cell>
          <cell r="C30" t="str">
            <v>DE.1.0.7.0</v>
          </cell>
          <cell r="D30" t="str">
            <v>204:451</v>
          </cell>
          <cell r="E30">
            <v>42616.24013888889</v>
          </cell>
          <cell r="F30">
            <v>42616.241006944445</v>
          </cell>
          <cell r="G30">
            <v>0</v>
          </cell>
          <cell r="H30" t="str">
            <v>204:233278</v>
          </cell>
          <cell r="I30">
            <v>42616.266400462962</v>
          </cell>
          <cell r="J30">
            <v>0</v>
          </cell>
          <cell r="K30" t="str">
            <v>4001/4002</v>
          </cell>
          <cell r="L30" t="str">
            <v>MALAVE</v>
          </cell>
          <cell r="M30">
            <v>2.5393518517375924E-2</v>
          </cell>
          <cell r="N30">
            <v>36.56666666502133</v>
          </cell>
          <cell r="S30">
            <v>1</v>
          </cell>
          <cell r="T30" t="str">
            <v>NorthBound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https://search-rtdc-monitor-bjffxe2xuh6vdkpspy63sjmuny.us-east-1.es.amazonaws.com/_plugin/kibana/#/discover/Steve-Slow-Train-Analysis-(2080s-and-2083s)?_g=(refreshInterval:(display:Off,section:0,value:0),time:(from:'2016-09-03 04:45:48-0600',mode:absolute,to:'2016-09-03 07:23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30" t="str">
            <v>N</v>
          </cell>
          <cell r="X30">
            <v>1</v>
          </cell>
          <cell r="Y30">
            <v>4.5100000000000001E-2</v>
          </cell>
          <cell r="Z30">
            <v>23.3278</v>
          </cell>
          <cell r="AA30">
            <v>23.282699999999998</v>
          </cell>
          <cell r="AB30" t="e">
            <v>#N/A</v>
          </cell>
          <cell r="AC30" t="e">
            <v>#N/A</v>
          </cell>
          <cell r="AD30" t="str">
            <v>0117-03</v>
          </cell>
          <cell r="AE30" t="str">
    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    </cell>
        </row>
        <row r="31">
          <cell r="A31" t="str">
            <v>118-03</v>
          </cell>
          <cell r="B31">
            <v>4001</v>
          </cell>
          <cell r="C31" t="str">
            <v>DE.1.0.7.0</v>
          </cell>
          <cell r="D31" t="str">
            <v>204:232955</v>
          </cell>
          <cell r="E31">
            <v>42616.274826388886</v>
          </cell>
          <cell r="F31">
            <v>42616.278692129628</v>
          </cell>
          <cell r="G31">
            <v>1</v>
          </cell>
          <cell r="H31" t="str">
            <v>204:158</v>
          </cell>
          <cell r="I31">
            <v>42616.305694444447</v>
          </cell>
          <cell r="J31">
            <v>0</v>
          </cell>
          <cell r="K31" t="str">
            <v>4001/4002</v>
          </cell>
          <cell r="L31" t="str">
            <v>MALAVE</v>
          </cell>
          <cell r="M31">
            <v>2.7002314818673767E-2</v>
          </cell>
          <cell r="N31">
            <v>38.883333338890225</v>
          </cell>
          <cell r="S31">
            <v>1</v>
          </cell>
          <cell r="T31" t="str">
            <v>Southbound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https://search-rtdc-monitor-bjffxe2xuh6vdkpspy63sjmuny.us-east-1.es.amazonaws.com/_plugin/kibana/#/discover/Steve-Slow-Train-Analysis-(2080s-and-2083s)?_g=(refreshInterval:(display:Off,section:0,value:0),time:(from:'2016-09-03 05:35:45-0600',mode:absolute,to:'2016-09-03 08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31" t="str">
            <v>N</v>
          </cell>
          <cell r="X31">
            <v>1</v>
          </cell>
          <cell r="Y31">
            <v>23.295500000000001</v>
          </cell>
          <cell r="Z31">
            <v>1.5800000000000002E-2</v>
          </cell>
          <cell r="AA31">
            <v>23.279700000000002</v>
          </cell>
          <cell r="AB31" t="e">
            <v>#N/A</v>
          </cell>
          <cell r="AC31" t="e">
            <v>#N/A</v>
          </cell>
          <cell r="AD31" t="str">
            <v>0118-03</v>
          </cell>
          <cell r="AE31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32">
          <cell r="A32" t="str">
            <v>119-03</v>
          </cell>
          <cell r="B32">
            <v>4040</v>
          </cell>
          <cell r="C32" t="str">
            <v>DE.1.0.7.0</v>
          </cell>
          <cell r="D32" t="str">
            <v>204:721</v>
          </cell>
          <cell r="E32">
            <v>42616.246192129627</v>
          </cell>
          <cell r="F32">
            <v>42616.250231481485</v>
          </cell>
          <cell r="G32">
            <v>1</v>
          </cell>
          <cell r="H32" t="str">
            <v>204:233312</v>
          </cell>
          <cell r="I32">
            <v>42616.275023148148</v>
          </cell>
          <cell r="J32">
            <v>0</v>
          </cell>
          <cell r="K32" t="str">
            <v>4039/4040</v>
          </cell>
          <cell r="L32" t="str">
            <v>ACKERMAN</v>
          </cell>
          <cell r="M32">
            <v>2.4791666663077194E-2</v>
          </cell>
          <cell r="N32">
            <v>35.69999999483116</v>
          </cell>
          <cell r="S32">
            <v>1</v>
          </cell>
          <cell r="T32" t="str">
            <v>NorthBound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https://search-rtdc-monitor-bjffxe2xuh6vdkpspy63sjmuny.us-east-1.es.amazonaws.com/_plugin/kibana/#/discover/Steve-Slow-Train-Analysis-(2080s-and-2083s)?_g=(refreshInterval:(display:Off,section:0,value:0),time:(from:'2016-09-03 04:54:31-0600',mode:absolute,to:'2016-09-03 07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32" t="str">
            <v>N</v>
          </cell>
          <cell r="X32">
            <v>1</v>
          </cell>
          <cell r="Y32">
            <v>7.2099999999999997E-2</v>
          </cell>
          <cell r="Z32">
            <v>23.331199999999999</v>
          </cell>
          <cell r="AA32">
            <v>23.2591</v>
          </cell>
          <cell r="AB32" t="e">
            <v>#N/A</v>
          </cell>
          <cell r="AC32" t="e">
            <v>#N/A</v>
          </cell>
          <cell r="AD32" t="str">
            <v>0119-03</v>
          </cell>
          <cell r="AE32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33">
          <cell r="A33" t="str">
            <v>120-03</v>
          </cell>
          <cell r="B33">
            <v>4039</v>
          </cell>
          <cell r="C33" t="str">
            <v>DE.1.0.7.0</v>
          </cell>
          <cell r="D33" t="str">
            <v>204:233002</v>
          </cell>
          <cell r="E33">
            <v>42616.283321759256</v>
          </cell>
          <cell r="F33">
            <v>42616.289131944446</v>
          </cell>
          <cell r="G33">
            <v>1</v>
          </cell>
          <cell r="H33" t="str">
            <v>204:145</v>
          </cell>
          <cell r="I33">
            <v>42616.317118055558</v>
          </cell>
          <cell r="J33">
            <v>0</v>
          </cell>
          <cell r="K33" t="str">
            <v>4039/4040</v>
          </cell>
          <cell r="L33" t="str">
            <v>ACKERMAN</v>
          </cell>
          <cell r="M33">
            <v>2.7986111112113576E-2</v>
          </cell>
          <cell r="N33">
            <v>40.30000000144355</v>
          </cell>
          <cell r="S33">
            <v>1</v>
          </cell>
          <cell r="T33" t="str">
            <v>Southbound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https://search-rtdc-monitor-bjffxe2xuh6vdkpspy63sjmuny.us-east-1.es.amazonaws.com/_plugin/kibana/#/discover/Steve-Slow-Train-Analysis-(2080s-and-2083s)?_g=(refreshInterval:(display:Off,section:0,value:0),time:(from:'2016-09-03 05:47:59-0600',mode:absolute,to:'2016-09-03 08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33" t="str">
            <v>N</v>
          </cell>
          <cell r="X33">
            <v>1</v>
          </cell>
          <cell r="Y33">
            <v>23.3002</v>
          </cell>
          <cell r="Z33">
            <v>1.4500000000000001E-2</v>
          </cell>
          <cell r="AA33">
            <v>23.285699999999999</v>
          </cell>
          <cell r="AB33" t="e">
            <v>#N/A</v>
          </cell>
          <cell r="AC33" t="e">
            <v>#N/A</v>
          </cell>
          <cell r="AD33" t="str">
            <v>0120-03</v>
          </cell>
          <cell r="AE33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34">
          <cell r="A34" t="str">
            <v>121-03</v>
          </cell>
          <cell r="B34">
            <v>4027</v>
          </cell>
          <cell r="C34" t="str">
            <v>DE.1.0.7.0</v>
          </cell>
          <cell r="D34" t="str">
            <v>204:431</v>
          </cell>
          <cell r="E34">
            <v>42616.257719907408</v>
          </cell>
          <cell r="F34">
            <v>42616.260706018518</v>
          </cell>
          <cell r="G34">
            <v>1</v>
          </cell>
          <cell r="H34" t="str">
            <v>204:233284</v>
          </cell>
          <cell r="I34">
            <v>42616.28634259259</v>
          </cell>
          <cell r="J34">
            <v>0</v>
          </cell>
          <cell r="K34" t="str">
            <v>4027/4028</v>
          </cell>
          <cell r="L34" t="str">
            <v>SANTIZO</v>
          </cell>
          <cell r="M34">
            <v>2.5636574071540963E-2</v>
          </cell>
          <cell r="N34">
            <v>36.916666663018987</v>
          </cell>
          <cell r="S34">
            <v>1</v>
          </cell>
          <cell r="T34" t="str">
            <v>NorthBound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https://search-rtdc-monitor-bjffxe2xuh6vdkpspy63sjmuny.us-east-1.es.amazonaws.com/_plugin/kibana/#/discover/Steve-Slow-Train-Analysis-(2080s-and-2083s)?_g=(refreshInterval:(display:Off,section:0,value:0),time:(from:'2016-09-03 05:11:07-0600',mode:absolute,to:'2016-09-03 07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34" t="str">
            <v>N</v>
          </cell>
          <cell r="X34">
            <v>1</v>
          </cell>
          <cell r="Y34">
            <v>4.3099999999999999E-2</v>
          </cell>
          <cell r="Z34">
            <v>23.328399999999998</v>
          </cell>
          <cell r="AA34">
            <v>23.285299999999999</v>
          </cell>
          <cell r="AB34">
            <v>81738</v>
          </cell>
          <cell r="AC34" t="str">
            <v>SIGNAL</v>
          </cell>
          <cell r="AD34" t="str">
            <v>0121-03</v>
          </cell>
          <cell r="AE34" t="str">
    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    </cell>
        </row>
        <row r="35">
          <cell r="A35" t="str">
            <v>122-03</v>
          </cell>
          <cell r="B35">
            <v>4028</v>
          </cell>
          <cell r="C35" t="str">
            <v>DE.1.0.7.0</v>
          </cell>
          <cell r="D35" t="str">
            <v>204:232975</v>
          </cell>
          <cell r="E35">
            <v>42616.287743055553</v>
          </cell>
          <cell r="F35">
            <v>42616.299641203703</v>
          </cell>
          <cell r="G35">
            <v>1</v>
          </cell>
          <cell r="H35" t="str">
            <v>204:152</v>
          </cell>
          <cell r="I35">
            <v>42616.325104166666</v>
          </cell>
          <cell r="J35">
            <v>0</v>
          </cell>
          <cell r="K35" t="str">
            <v>4027/4028</v>
          </cell>
          <cell r="L35" t="str">
            <v>SANTIZO</v>
          </cell>
          <cell r="M35">
            <v>2.5462962963501923E-2</v>
          </cell>
          <cell r="N35">
            <v>36.666666667442769</v>
          </cell>
          <cell r="S35">
            <v>1</v>
          </cell>
          <cell r="T35" t="str">
            <v>Southbound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https://search-rtdc-monitor-bjffxe2xuh6vdkpspy63sjmuny.us-east-1.es.amazonaws.com/_plugin/kibana/#/discover/Steve-Slow-Train-Analysis-(2080s-and-2083s)?_g=(refreshInterval:(display:Off,section:0,value:0),time:(from:'2016-09-03 05:54:21-0600',mode:absolute,to:'2016-09-03 08:48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35" t="str">
            <v>N</v>
          </cell>
          <cell r="X35">
            <v>1</v>
          </cell>
          <cell r="Y35">
            <v>23.297499999999999</v>
          </cell>
          <cell r="Z35">
            <v>1.52E-2</v>
          </cell>
          <cell r="AA35">
            <v>23.282299999999999</v>
          </cell>
          <cell r="AB35" t="e">
            <v>#N/A</v>
          </cell>
          <cell r="AC35" t="e">
            <v>#N/A</v>
          </cell>
          <cell r="AD35" t="str">
            <v>0122-03</v>
          </cell>
          <cell r="AE35" t="str">
    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    </cell>
        </row>
        <row r="36">
          <cell r="A36" t="str">
            <v>123-03</v>
          </cell>
          <cell r="B36">
            <v>4029</v>
          </cell>
          <cell r="C36" t="str">
            <v>DE.1.0.7.0</v>
          </cell>
          <cell r="D36" t="str">
            <v>204:447</v>
          </cell>
          <cell r="E36">
            <v>42616.267129629632</v>
          </cell>
          <cell r="F36">
            <v>42616.271018518521</v>
          </cell>
          <cell r="G36">
            <v>1</v>
          </cell>
          <cell r="H36" t="str">
            <v>204:233298</v>
          </cell>
          <cell r="I36">
            <v>42616.29791666667</v>
          </cell>
          <cell r="J36">
            <v>0</v>
          </cell>
          <cell r="K36" t="str">
            <v>4029/4030</v>
          </cell>
          <cell r="L36" t="str">
            <v>KILLION</v>
          </cell>
          <cell r="M36">
            <v>2.6898148149484769E-2</v>
          </cell>
          <cell r="N36">
            <v>38.733333335258067</v>
          </cell>
          <cell r="S36">
            <v>1</v>
          </cell>
          <cell r="T36" t="str">
            <v>NorthBound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https://search-rtdc-monitor-bjffxe2xuh6vdkpspy63sjmuny.us-east-1.es.amazonaws.com/_plugin/kibana/#/discover/Steve-Slow-Train-Analysis-(2080s-and-2083s)?_g=(refreshInterval:(display:Off,section:0,value:0),time:(from:'2016-09-03 05:24:40-0600',mode:absolute,to:'2016-09-03 08:09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36" t="str">
            <v>N</v>
          </cell>
          <cell r="X36">
            <v>1</v>
          </cell>
          <cell r="Y36">
            <v>4.4699999999999997E-2</v>
          </cell>
          <cell r="Z36">
            <v>23.329799999999999</v>
          </cell>
          <cell r="AA36">
            <v>23.2851</v>
          </cell>
          <cell r="AB36" t="e">
            <v>#N/A</v>
          </cell>
          <cell r="AC36" t="e">
            <v>#N/A</v>
          </cell>
          <cell r="AD36" t="str">
            <v>0123-03</v>
          </cell>
          <cell r="AE36" t="str">
    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    </cell>
        </row>
        <row r="37">
          <cell r="A37" t="str">
            <v>124-03</v>
          </cell>
          <cell r="B37">
            <v>4030</v>
          </cell>
          <cell r="C37" t="str">
            <v>DE.1.0.7.0</v>
          </cell>
          <cell r="D37" t="str">
            <v>204:232985</v>
          </cell>
          <cell r="E37">
            <v>42616.304236111115</v>
          </cell>
          <cell r="F37">
            <v>42616.309965277775</v>
          </cell>
          <cell r="G37">
            <v>1</v>
          </cell>
          <cell r="H37" t="str">
            <v>204:156</v>
          </cell>
          <cell r="I37">
            <v>42616.336006944446</v>
          </cell>
          <cell r="J37">
            <v>0</v>
          </cell>
          <cell r="K37" t="str">
            <v>4029/4030</v>
          </cell>
          <cell r="L37" t="str">
            <v>KILLION</v>
          </cell>
          <cell r="M37">
            <v>2.6041666671517305E-2</v>
          </cell>
          <cell r="N37">
            <v>37.500000006984919</v>
          </cell>
          <cell r="S37">
            <v>1</v>
          </cell>
          <cell r="T37" t="str">
            <v>Southbound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https://search-rtdc-monitor-bjffxe2xuh6vdkpspy63sjmuny.us-east-1.es.amazonaws.com/_plugin/kibana/#/discover/Steve-Slow-Train-Analysis-(2080s-and-2083s)?_g=(refreshInterval:(display:Off,section:0,value:0),time:(from:'2016-09-03 06:18:06-0600',mode:absolute,to:'2016-09-03 09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37" t="str">
            <v>N</v>
          </cell>
          <cell r="X37">
            <v>1</v>
          </cell>
          <cell r="Y37">
            <v>23.298500000000001</v>
          </cell>
          <cell r="Z37">
            <v>1.5599999999999999E-2</v>
          </cell>
          <cell r="AA37">
            <v>23.282900000000001</v>
          </cell>
          <cell r="AB37" t="e">
            <v>#N/A</v>
          </cell>
          <cell r="AC37" t="e">
            <v>#N/A</v>
          </cell>
          <cell r="AD37" t="str">
            <v>0124-03</v>
          </cell>
          <cell r="AE37" t="str">
    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    </cell>
        </row>
        <row r="38">
          <cell r="A38" t="str">
            <v>125-03</v>
          </cell>
          <cell r="B38">
            <v>4020</v>
          </cell>
          <cell r="C38" t="str">
            <v>DE.1.0.7.0</v>
          </cell>
          <cell r="D38" t="str">
            <v>204:480</v>
          </cell>
          <cell r="E38">
            <v>42616.278182870374</v>
          </cell>
          <cell r="F38">
            <v>42616.2815625</v>
          </cell>
          <cell r="G38">
            <v>1</v>
          </cell>
          <cell r="H38" t="str">
            <v>204:233314</v>
          </cell>
          <cell r="I38">
            <v>42616.306423611109</v>
          </cell>
          <cell r="J38">
            <v>0</v>
          </cell>
          <cell r="K38" t="str">
            <v>4019/4020</v>
          </cell>
          <cell r="L38" t="str">
            <v>SMITH</v>
          </cell>
          <cell r="M38">
            <v>2.4861111109203193E-2</v>
          </cell>
          <cell r="N38">
            <v>35.799999997252598</v>
          </cell>
          <cell r="S38">
            <v>1</v>
          </cell>
          <cell r="T38" t="str">
            <v>NorthBound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https://search-rtdc-monitor-bjffxe2xuh6vdkpspy63sjmuny.us-east-1.es.amazonaws.com/_plugin/kibana/#/discover/Steve-Slow-Train-Analysis-(2080s-and-2083s)?_g=(refreshInterval:(display:Off,section:0,value:0),time:(from:'2016-09-03 05:40:35-0600',mode:absolute,to:'2016-09-03 08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38" t="str">
            <v>N</v>
          </cell>
          <cell r="X38">
            <v>1</v>
          </cell>
          <cell r="Y38">
            <v>4.8000000000000001E-2</v>
          </cell>
          <cell r="Z38">
            <v>23.331399999999999</v>
          </cell>
          <cell r="AA38">
            <v>23.2834</v>
          </cell>
          <cell r="AB38" t="e">
            <v>#N/A</v>
          </cell>
          <cell r="AC38" t="e">
            <v>#N/A</v>
          </cell>
          <cell r="AD38" t="str">
            <v>0125-03</v>
          </cell>
          <cell r="AE38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39">
          <cell r="A39" t="str">
            <v>126-03</v>
          </cell>
          <cell r="B39">
            <v>4019</v>
          </cell>
          <cell r="C39" t="str">
            <v>DE.1.0.7.0</v>
          </cell>
          <cell r="D39" t="str">
            <v>204:232992</v>
          </cell>
          <cell r="E39">
            <v>42616.308796296296</v>
          </cell>
          <cell r="F39">
            <v>42616.3203125</v>
          </cell>
          <cell r="G39">
            <v>1</v>
          </cell>
          <cell r="H39" t="str">
            <v>204:156</v>
          </cell>
          <cell r="I39">
            <v>42616.348240740743</v>
          </cell>
          <cell r="J39">
            <v>0</v>
          </cell>
          <cell r="K39" t="str">
            <v>4019/4020</v>
          </cell>
          <cell r="L39" t="str">
            <v>SMITH</v>
          </cell>
          <cell r="M39">
            <v>2.792824074276723E-2</v>
          </cell>
          <cell r="N39">
            <v>40.216666669584811</v>
          </cell>
          <cell r="S39">
            <v>1</v>
          </cell>
          <cell r="T39" t="str">
            <v>Southbound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https://search-rtdc-monitor-bjffxe2xuh6vdkpspy63sjmuny.us-east-1.es.amazonaws.com/_plugin/kibana/#/discover/Steve-Slow-Train-Analysis-(2080s-and-2083s)?_g=(refreshInterval:(display:Off,section:0,value:0),time:(from:'2016-09-03 06:24:40-0600',mode:absolute,to:'2016-09-03 09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39" t="str">
            <v>N</v>
          </cell>
          <cell r="X39">
            <v>1</v>
          </cell>
          <cell r="Y39">
            <v>23.299199999999999</v>
          </cell>
          <cell r="Z39">
            <v>1.5599999999999999E-2</v>
          </cell>
          <cell r="AA39">
            <v>23.2836</v>
          </cell>
          <cell r="AB39" t="e">
            <v>#N/A</v>
          </cell>
          <cell r="AC39" t="e">
            <v>#N/A</v>
          </cell>
          <cell r="AD39" t="str">
            <v>0126-03</v>
          </cell>
          <cell r="AE39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40">
          <cell r="A40" t="str">
            <v>127-03</v>
          </cell>
          <cell r="B40">
            <v>4018</v>
          </cell>
          <cell r="C40" t="str">
            <v>DE.1.0.7.0</v>
          </cell>
          <cell r="D40" t="str">
            <v>204:469</v>
          </cell>
          <cell r="E40">
            <v>42616.288113425922</v>
          </cell>
          <cell r="F40">
            <v>42616.291921296295</v>
          </cell>
          <cell r="G40">
            <v>1</v>
          </cell>
          <cell r="H40" t="str">
            <v>204:233315</v>
          </cell>
          <cell r="I40">
            <v>42616.316990740743</v>
          </cell>
          <cell r="J40">
            <v>0</v>
          </cell>
          <cell r="K40" t="str">
            <v>4017/4018</v>
          </cell>
          <cell r="L40" t="str">
            <v>MAELZER</v>
          </cell>
          <cell r="M40">
            <v>2.5069444447581191E-2</v>
          </cell>
          <cell r="N40">
            <v>36.100000004516914</v>
          </cell>
          <cell r="S40">
            <v>1</v>
          </cell>
          <cell r="T40" t="str">
            <v>NorthBound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https://search-rtdc-monitor-bjffxe2xuh6vdkpspy63sjmuny.us-east-1.es.amazonaws.com/_plugin/kibana/#/discover/Steve-Slow-Train-Analysis-(2080s-and-2083s)?_g=(refreshInterval:(display:Off,section:0,value:0),time:(from:'2016-09-03 05:54:53-0600',mode:absolute,to:'2016-09-03 08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40" t="str">
            <v>N</v>
          </cell>
          <cell r="X40">
            <v>1</v>
          </cell>
          <cell r="Y40">
            <v>4.6899999999999997E-2</v>
          </cell>
          <cell r="Z40">
            <v>23.331499999999998</v>
          </cell>
          <cell r="AA40">
            <v>23.284599999999998</v>
          </cell>
          <cell r="AB40" t="e">
            <v>#N/A</v>
          </cell>
          <cell r="AC40" t="e">
            <v>#N/A</v>
          </cell>
          <cell r="AD40" t="str">
            <v>0127-03</v>
          </cell>
          <cell r="AE40" t="str">
    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    </cell>
        </row>
        <row r="41">
          <cell r="A41" t="str">
            <v>128-03</v>
          </cell>
          <cell r="B41">
            <v>4017</v>
          </cell>
          <cell r="C41" t="str">
            <v>DE.1.0.7.0</v>
          </cell>
          <cell r="D41" t="str">
            <v>204:232994</v>
          </cell>
          <cell r="E41">
            <v>42616.324583333335</v>
          </cell>
          <cell r="F41">
            <v>42616.331145833334</v>
          </cell>
          <cell r="G41">
            <v>1</v>
          </cell>
          <cell r="H41" t="str">
            <v>204:130</v>
          </cell>
          <cell r="I41">
            <v>42616.357997685183</v>
          </cell>
          <cell r="J41">
            <v>0</v>
          </cell>
          <cell r="K41" t="str">
            <v>4017/4018</v>
          </cell>
          <cell r="L41" t="str">
            <v>MAELZER</v>
          </cell>
          <cell r="M41">
            <v>2.6851851849642117E-2</v>
          </cell>
          <cell r="N41">
            <v>38.666666663484648</v>
          </cell>
          <cell r="S41">
            <v>1</v>
          </cell>
          <cell r="T41" t="str">
            <v>Southbound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https://search-rtdc-monitor-bjffxe2xuh6vdkpspy63sjmuny.us-east-1.es.amazonaws.com/_plugin/kibana/#/discover/Steve-Slow-Train-Analysis-(2080s-and-2083s)?_g=(refreshInterval:(display:Off,section:0,value:0),time:(from:'2016-09-03 06:47:24-0600',mode:absolute,to:'2016-09-03 09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41" t="str">
            <v>N</v>
          </cell>
          <cell r="X41">
            <v>1</v>
          </cell>
          <cell r="Y41">
            <v>23.299399999999999</v>
          </cell>
          <cell r="Z41">
            <v>1.2999999999999999E-2</v>
          </cell>
          <cell r="AA41">
            <v>23.286399999999997</v>
          </cell>
          <cell r="AB41" t="e">
            <v>#N/A</v>
          </cell>
          <cell r="AC41" t="e">
            <v>#N/A</v>
          </cell>
          <cell r="AD41" t="str">
            <v>0128-03</v>
          </cell>
          <cell r="AE41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42">
          <cell r="A42" t="str">
            <v>129-03</v>
          </cell>
          <cell r="B42">
            <v>4014</v>
          </cell>
          <cell r="C42" t="str">
            <v>DE.1.0.7.0</v>
          </cell>
          <cell r="D42" t="str">
            <v>204:442</v>
          </cell>
          <cell r="E42">
            <v>42616.297372685185</v>
          </cell>
          <cell r="F42">
            <v>42616.302361111113</v>
          </cell>
          <cell r="G42">
            <v>2</v>
          </cell>
          <cell r="H42" t="str">
            <v>204:233301</v>
          </cell>
          <cell r="I42">
            <v>42616.329375000001</v>
          </cell>
          <cell r="J42">
            <v>0</v>
          </cell>
          <cell r="K42" t="str">
            <v>4013/4014</v>
          </cell>
          <cell r="L42" t="str">
            <v>STRICKLAND</v>
          </cell>
          <cell r="M42">
            <v>2.7013888888177462E-2</v>
          </cell>
          <cell r="N42">
            <v>38.899999998975545</v>
          </cell>
          <cell r="S42">
            <v>1</v>
          </cell>
          <cell r="T42" t="str">
            <v>NorthBound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https://search-rtdc-monitor-bjffxe2xuh6vdkpspy63sjmuny.us-east-1.es.amazonaws.com/_plugin/kibana/#/discover/Steve-Slow-Train-Analysis-(2080s-and-2083s)?_g=(refreshInterval:(display:Off,section:0,value:0),time:(from:'2016-09-03 06:08:13-0600',mode:absolute,to:'2016-09-03 08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42" t="str">
            <v>N</v>
          </cell>
          <cell r="X42">
            <v>1</v>
          </cell>
          <cell r="Y42">
            <v>4.4200000000000003E-2</v>
          </cell>
          <cell r="Z42">
            <v>23.330100000000002</v>
          </cell>
          <cell r="AA42">
            <v>23.285900000000002</v>
          </cell>
          <cell r="AB42">
            <v>222090</v>
          </cell>
          <cell r="AC42" t="str">
            <v>PERMANENT SPEED RESTRICTION</v>
          </cell>
          <cell r="AD42" t="str">
            <v>0129-03</v>
          </cell>
          <cell r="AE42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43">
          <cell r="A43" t="str">
            <v>130-03</v>
          </cell>
          <cell r="B43">
            <v>4013</v>
          </cell>
          <cell r="C43" t="str">
            <v>DE.1.0.7.0</v>
          </cell>
          <cell r="D43" t="str">
            <v>204:232973</v>
          </cell>
          <cell r="E43">
            <v>42616.336296296293</v>
          </cell>
          <cell r="F43">
            <v>42616.341226851851</v>
          </cell>
          <cell r="G43">
            <v>1</v>
          </cell>
          <cell r="H43" t="str">
            <v>204:163</v>
          </cell>
          <cell r="I43">
            <v>42616.368078703701</v>
          </cell>
          <cell r="J43">
            <v>0</v>
          </cell>
          <cell r="K43" t="str">
            <v>4013/4014</v>
          </cell>
          <cell r="L43" t="str">
            <v>STRICKLAND</v>
          </cell>
          <cell r="M43">
            <v>2.6851851849642117E-2</v>
          </cell>
          <cell r="N43">
            <v>38.666666663484648</v>
          </cell>
          <cell r="S43">
            <v>1</v>
          </cell>
          <cell r="T43" t="str">
            <v>Southbound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https://search-rtdc-monitor-bjffxe2xuh6vdkpspy63sjmuny.us-east-1.es.amazonaws.com/_plugin/kibana/#/discover/Steve-Slow-Train-Analysis-(2080s-and-2083s)?_g=(refreshInterval:(display:Off,section:0,value:0),time:(from:'2016-09-03 07:04:16-0600',mode:absolute,to:'2016-09-03 09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43" t="str">
            <v>N</v>
          </cell>
          <cell r="X43">
            <v>1</v>
          </cell>
          <cell r="Y43">
            <v>23.2973</v>
          </cell>
          <cell r="Z43">
            <v>1.6299999999999999E-2</v>
          </cell>
          <cell r="AA43">
            <v>23.280999999999999</v>
          </cell>
          <cell r="AB43" t="e">
            <v>#N/A</v>
          </cell>
          <cell r="AC43" t="e">
            <v>#N/A</v>
          </cell>
          <cell r="AD43" t="str">
            <v>0130-03</v>
          </cell>
          <cell r="AE43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44">
          <cell r="A44" t="str">
            <v>131-03</v>
          </cell>
          <cell r="B44">
            <v>4002</v>
          </cell>
          <cell r="C44" t="str">
            <v>DE.1.0.7.0</v>
          </cell>
          <cell r="D44" t="str">
            <v>204:460</v>
          </cell>
          <cell r="E44">
            <v>42616.311782407407</v>
          </cell>
          <cell r="F44">
            <v>42616.312800925924</v>
          </cell>
          <cell r="G44">
            <v>1</v>
          </cell>
          <cell r="H44" t="str">
            <v>204:233295</v>
          </cell>
          <cell r="I44">
            <v>42616.33871527778</v>
          </cell>
          <cell r="J44">
            <v>0</v>
          </cell>
          <cell r="K44" t="str">
            <v>4001/4002</v>
          </cell>
          <cell r="L44" t="str">
            <v>MALAVE</v>
          </cell>
          <cell r="M44">
            <v>2.5914351856044959E-2</v>
          </cell>
          <cell r="N44">
            <v>37.316666672704741</v>
          </cell>
          <cell r="S44">
            <v>1</v>
          </cell>
          <cell r="T44" t="str">
            <v>NorthBound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https://search-rtdc-monitor-bjffxe2xuh6vdkpspy63sjmuny.us-east-1.es.amazonaws.com/_plugin/kibana/#/discover/Steve-Slow-Train-Analysis-(2080s-and-2083s)?_g=(refreshInterval:(display:Off,section:0,value:0),time:(from:'2016-09-03 06:28:58-0600',mode:absolute,to:'2016-09-03 09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44" t="str">
            <v>N</v>
          </cell>
          <cell r="X44">
            <v>1</v>
          </cell>
          <cell r="Y44">
            <v>4.5999999999999999E-2</v>
          </cell>
          <cell r="Z44">
            <v>23.329499999999999</v>
          </cell>
          <cell r="AA44">
            <v>23.2835</v>
          </cell>
          <cell r="AB44" t="e">
            <v>#N/A</v>
          </cell>
          <cell r="AC44" t="e">
            <v>#N/A</v>
          </cell>
          <cell r="AD44" t="str">
            <v>0131-03</v>
          </cell>
          <cell r="AE44" t="str">
    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    </cell>
        </row>
        <row r="45">
          <cell r="A45" t="str">
            <v>132-03</v>
          </cell>
          <cell r="B45">
            <v>4001</v>
          </cell>
          <cell r="C45" t="str">
            <v>DE.1.0.7.0</v>
          </cell>
          <cell r="D45" t="str">
            <v>204:232972</v>
          </cell>
          <cell r="E45">
            <v>42616.348263888889</v>
          </cell>
          <cell r="F45">
            <v>42616.351643518516</v>
          </cell>
          <cell r="G45">
            <v>4</v>
          </cell>
          <cell r="H45" t="str">
            <v>204:156</v>
          </cell>
          <cell r="I45">
            <v>42616.378506944442</v>
          </cell>
          <cell r="J45">
            <v>0</v>
          </cell>
          <cell r="K45" t="str">
            <v>4001/4002</v>
          </cell>
          <cell r="L45" t="str">
            <v>MALAVE</v>
          </cell>
          <cell r="M45">
            <v>2.6863425926421769E-2</v>
          </cell>
          <cell r="N45">
            <v>38.683333334047347</v>
          </cell>
          <cell r="S45">
            <v>1</v>
          </cell>
          <cell r="T45" t="str">
            <v>Southbound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https://search-rtdc-monitor-bjffxe2xuh6vdkpspy63sjmuny.us-east-1.es.amazonaws.com/_plugin/kibana/#/discover/Steve-Slow-Train-Analysis-(2080s-and-2083s)?_g=(refreshInterval:(display:Off,section:0,value:0),time:(from:'2016-09-03 07:21:30-0600',mode:absolute,to:'2016-09-03 10:05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45" t="str">
            <v>N</v>
          </cell>
          <cell r="X45">
            <v>1</v>
          </cell>
          <cell r="Y45">
            <v>23.2972</v>
          </cell>
          <cell r="Z45">
            <v>1.5599999999999999E-2</v>
          </cell>
          <cell r="AA45">
            <v>23.281600000000001</v>
          </cell>
          <cell r="AB45" t="e">
            <v>#N/A</v>
          </cell>
          <cell r="AC45" t="e">
            <v>#N/A</v>
          </cell>
          <cell r="AD45" t="str">
            <v>0132-03</v>
          </cell>
          <cell r="AE45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46">
          <cell r="A46" t="str">
            <v>133-03</v>
          </cell>
          <cell r="B46">
            <v>4040</v>
          </cell>
          <cell r="C46" t="str">
            <v>DE.1.0.7.0</v>
          </cell>
          <cell r="D46" t="str">
            <v>204:442</v>
          </cell>
          <cell r="E46">
            <v>42616.318888888891</v>
          </cell>
          <cell r="F46">
            <v>42616.323101851849</v>
          </cell>
          <cell r="G46">
            <v>1</v>
          </cell>
          <cell r="H46" t="str">
            <v>204:233305</v>
          </cell>
          <cell r="I46">
            <v>42616.347581018519</v>
          </cell>
          <cell r="J46">
            <v>0</v>
          </cell>
          <cell r="K46" t="str">
            <v>4039/4040</v>
          </cell>
          <cell r="L46" t="str">
            <v>ACKERMAN</v>
          </cell>
          <cell r="M46">
            <v>2.4479166670062114E-2</v>
          </cell>
          <cell r="N46">
            <v>35.250000004889444</v>
          </cell>
          <cell r="S46">
            <v>1</v>
          </cell>
          <cell r="T46" t="str">
            <v>NorthBound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https://search-rtdc-monitor-bjffxe2xuh6vdkpspy63sjmuny.us-east-1.es.amazonaws.com/_plugin/kibana/#/discover/Steve-Slow-Train-Analysis-(2080s-and-2083s)?_g=(refreshInterval:(display:Off,section:0,value:0),time:(from:'2016-09-03 06:39:12-0600',mode:absolute,to:'2016-09-03 09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46" t="str">
            <v>N</v>
          </cell>
          <cell r="X46">
            <v>1</v>
          </cell>
          <cell r="Y46">
            <v>4.4200000000000003E-2</v>
          </cell>
          <cell r="Z46">
            <v>23.330500000000001</v>
          </cell>
          <cell r="AA46">
            <v>23.286300000000001</v>
          </cell>
          <cell r="AB46" t="e">
            <v>#N/A</v>
          </cell>
          <cell r="AC46" t="e">
            <v>#N/A</v>
          </cell>
          <cell r="AD46" t="str">
            <v>0133-03</v>
          </cell>
          <cell r="AE46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47">
          <cell r="A47" t="str">
            <v>134-03</v>
          </cell>
          <cell r="B47">
            <v>4039</v>
          </cell>
          <cell r="C47" t="str">
            <v>DE.1.0.7.0</v>
          </cell>
          <cell r="D47" t="str">
            <v>204:232986</v>
          </cell>
          <cell r="E47">
            <v>42616.356041666666</v>
          </cell>
          <cell r="F47">
            <v>42616.36204861111</v>
          </cell>
          <cell r="G47">
            <v>1</v>
          </cell>
          <cell r="H47" t="str">
            <v>204:138</v>
          </cell>
          <cell r="I47">
            <v>42616.388796296298</v>
          </cell>
          <cell r="J47">
            <v>0</v>
          </cell>
          <cell r="K47" t="str">
            <v>4039/4040</v>
          </cell>
          <cell r="L47" t="str">
            <v>ACKERMAN</v>
          </cell>
          <cell r="M47">
            <v>2.6747685187729076E-2</v>
          </cell>
          <cell r="N47">
            <v>38.516666670329869</v>
          </cell>
          <cell r="S47">
            <v>1</v>
          </cell>
          <cell r="T47" t="str">
            <v>Southbound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https://search-rtdc-monitor-bjffxe2xuh6vdkpspy63sjmuny.us-east-1.es.amazonaws.com/_plugin/kibana/#/discover/Steve-Slow-Train-Analysis-(2080s-and-2083s)?_g=(refreshInterval:(display:Off,section:0,value:0),time:(from:'2016-09-03 07:32:42-0600',mode:absolute,to:'2016-09-03 10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47" t="str">
            <v>N</v>
          </cell>
          <cell r="X47">
            <v>1</v>
          </cell>
          <cell r="Y47">
            <v>23.2986</v>
          </cell>
          <cell r="Z47">
            <v>1.38E-2</v>
          </cell>
          <cell r="AA47">
            <v>23.284800000000001</v>
          </cell>
          <cell r="AB47" t="e">
            <v>#N/A</v>
          </cell>
          <cell r="AC47" t="e">
            <v>#N/A</v>
          </cell>
          <cell r="AD47" t="str">
            <v>0134-03</v>
          </cell>
          <cell r="AE47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48">
          <cell r="A48" t="str">
            <v>135-03</v>
          </cell>
          <cell r="B48">
            <v>4027</v>
          </cell>
          <cell r="C48" t="str">
            <v>DE.1.0.7.0</v>
          </cell>
          <cell r="D48" t="str">
            <v>204:467</v>
          </cell>
          <cell r="E48">
            <v>42616.326018518521</v>
          </cell>
          <cell r="F48">
            <v>42616.333645833336</v>
          </cell>
          <cell r="G48">
            <v>1</v>
          </cell>
          <cell r="H48" t="str">
            <v>204:233312</v>
          </cell>
          <cell r="I48">
            <v>42616.358148148145</v>
          </cell>
          <cell r="J48">
            <v>0</v>
          </cell>
          <cell r="K48" t="str">
            <v>4027/4028</v>
          </cell>
          <cell r="L48" t="str">
            <v>SANTIZO</v>
          </cell>
          <cell r="M48">
            <v>2.4502314809069503E-2</v>
          </cell>
          <cell r="N48">
            <v>35.283333325060084</v>
          </cell>
          <cell r="S48">
            <v>1</v>
          </cell>
          <cell r="T48" t="str">
            <v>NorthBound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https://search-rtdc-monitor-bjffxe2xuh6vdkpspy63sjmuny.us-east-1.es.amazonaws.com/_plugin/kibana/#/discover/Steve-Slow-Train-Analysis-(2080s-and-2083s)?_g=(refreshInterval:(display:Off,section:0,value:0),time:(from:'2016-09-03 06:49:28-0600',mode:absolute,to:'2016-09-03 09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48" t="str">
            <v>N</v>
          </cell>
          <cell r="X48">
            <v>1</v>
          </cell>
          <cell r="Y48">
            <v>4.6699999999999998E-2</v>
          </cell>
          <cell r="Z48">
            <v>23.331199999999999</v>
          </cell>
          <cell r="AA48">
            <v>23.284499999999998</v>
          </cell>
          <cell r="AB48" t="e">
            <v>#N/A</v>
          </cell>
          <cell r="AC48" t="e">
            <v>#N/A</v>
          </cell>
          <cell r="AD48" t="str">
            <v>0135-03</v>
          </cell>
          <cell r="AE48" t="str">
    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    </cell>
        </row>
        <row r="49">
          <cell r="A49" t="str">
            <v>136-03</v>
          </cell>
          <cell r="B49">
            <v>4028</v>
          </cell>
          <cell r="C49" t="str">
            <v>DE.1.0.7.0</v>
          </cell>
          <cell r="D49" t="str">
            <v>204:233000</v>
          </cell>
          <cell r="E49">
            <v>42616.359537037039</v>
          </cell>
          <cell r="F49">
            <v>42616.372546296298</v>
          </cell>
          <cell r="G49">
            <v>1</v>
          </cell>
          <cell r="H49" t="str">
            <v>204:150</v>
          </cell>
          <cell r="I49">
            <v>42616.398263888892</v>
          </cell>
          <cell r="J49">
            <v>0</v>
          </cell>
          <cell r="K49" t="str">
            <v>4027/4028</v>
          </cell>
          <cell r="L49" t="str">
            <v>SANTIZO</v>
          </cell>
          <cell r="M49">
            <v>2.5717592594446614E-2</v>
          </cell>
          <cell r="N49">
            <v>37.033333336003125</v>
          </cell>
          <cell r="S49">
            <v>1</v>
          </cell>
          <cell r="T49" t="str">
            <v>Southbound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https://search-rtdc-monitor-bjffxe2xuh6vdkpspy63sjmuny.us-east-1.es.amazonaws.com/_plugin/kibana/#/discover/Steve-Slow-Train-Analysis-(2080s-and-2083s)?_g=(refreshInterval:(display:Off,section:0,value:0),time:(from:'2016-09-03 07:37:44-0600',mode:absolute,to:'2016-09-03 10:33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49" t="str">
            <v>N</v>
          </cell>
          <cell r="X49">
            <v>1</v>
          </cell>
          <cell r="Y49">
            <v>23.3</v>
          </cell>
          <cell r="Z49">
            <v>1.4999999999999999E-2</v>
          </cell>
          <cell r="AA49">
            <v>23.285</v>
          </cell>
          <cell r="AB49" t="e">
            <v>#N/A</v>
          </cell>
          <cell r="AC49" t="e">
            <v>#N/A</v>
          </cell>
          <cell r="AD49" t="str">
            <v>0136-03</v>
          </cell>
          <cell r="AE49" t="str">
    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    </cell>
        </row>
        <row r="50">
          <cell r="A50" t="str">
            <v>137-03</v>
          </cell>
          <cell r="B50">
            <v>4029</v>
          </cell>
          <cell r="C50" t="str">
            <v>DE.1.0.7.0</v>
          </cell>
          <cell r="D50" t="str">
            <v>204:433</v>
          </cell>
          <cell r="E50">
            <v>42616.339548611111</v>
          </cell>
          <cell r="F50">
            <v>42616.344097222223</v>
          </cell>
          <cell r="G50">
            <v>1</v>
          </cell>
          <cell r="H50" t="str">
            <v>204:233295</v>
          </cell>
          <cell r="I50">
            <v>42616.368622685186</v>
          </cell>
          <cell r="J50">
            <v>0</v>
          </cell>
          <cell r="K50" t="str">
            <v>4029/4030</v>
          </cell>
          <cell r="L50" t="str">
            <v>KILLION</v>
          </cell>
          <cell r="M50">
            <v>2.4525462962628808E-2</v>
          </cell>
          <cell r="N50">
            <v>35.316666666185483</v>
          </cell>
          <cell r="S50">
            <v>1</v>
          </cell>
          <cell r="T50" t="str">
            <v>NorthBound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https://search-rtdc-monitor-bjffxe2xuh6vdkpspy63sjmuny.us-east-1.es.amazonaws.com/_plugin/kibana/#/discover/Steve-Slow-Train-Analysis-(2080s-and-2083s)?_g=(refreshInterval:(display:Off,section:0,value:0),time:(from:'2016-09-03 07:08:57-0600',mode:absolute,to:'2016-09-03 09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50" t="str">
            <v>N</v>
          </cell>
          <cell r="X50">
            <v>1</v>
          </cell>
          <cell r="Y50">
            <v>4.3299999999999998E-2</v>
          </cell>
          <cell r="Z50">
            <v>23.329499999999999</v>
          </cell>
          <cell r="AA50">
            <v>23.286200000000001</v>
          </cell>
          <cell r="AB50" t="e">
            <v>#N/A</v>
          </cell>
          <cell r="AC50" t="e">
            <v>#N/A</v>
          </cell>
          <cell r="AD50" t="str">
            <v>0137-03</v>
          </cell>
          <cell r="AE50" t="str">
    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    </cell>
        </row>
        <row r="51">
          <cell r="A51" t="str">
            <v>138-03</v>
          </cell>
          <cell r="B51">
            <v>4030</v>
          </cell>
          <cell r="C51" t="str">
            <v>DE.1.0.7.0</v>
          </cell>
          <cell r="D51" t="str">
            <v>204:232963</v>
          </cell>
          <cell r="E51">
            <v>42616.374560185184</v>
          </cell>
          <cell r="F51">
            <v>42616.383055555554</v>
          </cell>
          <cell r="G51">
            <v>1</v>
          </cell>
          <cell r="H51" t="str">
            <v>204:152</v>
          </cell>
          <cell r="I51">
            <v>42616.409791666665</v>
          </cell>
          <cell r="J51">
            <v>0</v>
          </cell>
          <cell r="K51" t="str">
            <v>4029/4030</v>
          </cell>
          <cell r="L51" t="str">
            <v>KILLION</v>
          </cell>
          <cell r="M51">
            <v>2.6736111110949423E-2</v>
          </cell>
          <cell r="N51">
            <v>38.499999999767169</v>
          </cell>
          <cell r="S51">
            <v>1</v>
          </cell>
          <cell r="T51" t="str">
            <v>Southbound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https://search-rtdc-monitor-bjffxe2xuh6vdkpspy63sjmuny.us-east-1.es.amazonaws.com/_plugin/kibana/#/discover/Steve-Slow-Train-Analysis-(2080s-and-2083s)?_g=(refreshInterval:(display:Off,section:0,value:0),time:(from:'2016-09-03 07:59:22-0600',mode:absolute,to:'2016-09-03 10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51" t="str">
            <v>N</v>
          </cell>
          <cell r="X51">
            <v>1</v>
          </cell>
          <cell r="Y51">
            <v>23.296299999999999</v>
          </cell>
          <cell r="Z51">
            <v>1.52E-2</v>
          </cell>
          <cell r="AA51">
            <v>23.281099999999999</v>
          </cell>
          <cell r="AB51" t="e">
            <v>#N/A</v>
          </cell>
          <cell r="AC51" t="e">
            <v>#N/A</v>
          </cell>
          <cell r="AD51" t="str">
            <v>0138-03</v>
          </cell>
          <cell r="AE51" t="str">
    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    </cell>
        </row>
        <row r="52">
          <cell r="A52" t="str">
            <v>139-03</v>
          </cell>
          <cell r="B52">
            <v>4020</v>
          </cell>
          <cell r="C52" t="str">
            <v>DE.1.0.7.0</v>
          </cell>
          <cell r="D52" t="str">
            <v>204:460</v>
          </cell>
          <cell r="E52">
            <v>42616.349930555552</v>
          </cell>
          <cell r="F52">
            <v>42616.354317129626</v>
          </cell>
          <cell r="G52">
            <v>6</v>
          </cell>
          <cell r="H52" t="str">
            <v>204:233263</v>
          </cell>
          <cell r="I52">
            <v>42616.380300925928</v>
          </cell>
          <cell r="J52">
            <v>0</v>
          </cell>
          <cell r="K52" t="str">
            <v>4019/4020</v>
          </cell>
          <cell r="L52" t="str">
            <v>SMITH</v>
          </cell>
          <cell r="M52">
            <v>2.5983796302170958E-2</v>
          </cell>
          <cell r="N52">
            <v>37.41666667512618</v>
          </cell>
          <cell r="S52">
            <v>1</v>
          </cell>
          <cell r="T52" t="str">
            <v>NorthBound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https://search-rtdc-monitor-bjffxe2xuh6vdkpspy63sjmuny.us-east-1.es.amazonaws.com/_plugin/kibana/#/discover/Steve-Slow-Train-Analysis-(2080s-and-2083s)?_g=(refreshInterval:(display:Off,section:0,value:0),time:(from:'2016-09-03 07:23:54-0600',mode:absolute,to:'2016-09-03 10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52" t="str">
            <v>N</v>
          </cell>
          <cell r="X52">
            <v>1</v>
          </cell>
          <cell r="Y52">
            <v>4.5999999999999999E-2</v>
          </cell>
          <cell r="Z52">
            <v>23.3263</v>
          </cell>
          <cell r="AA52">
            <v>23.2803</v>
          </cell>
          <cell r="AB52" t="e">
            <v>#N/A</v>
          </cell>
          <cell r="AC52" t="e">
            <v>#N/A</v>
          </cell>
          <cell r="AD52" t="str">
            <v>0139-03</v>
          </cell>
          <cell r="AE52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53">
          <cell r="A53" t="str">
            <v>140-03</v>
          </cell>
          <cell r="B53">
            <v>4019</v>
          </cell>
          <cell r="C53" t="str">
            <v>DE.1.0.7.0</v>
          </cell>
          <cell r="D53" t="str">
            <v>204:232964</v>
          </cell>
          <cell r="E53">
            <v>42616.382291666669</v>
          </cell>
          <cell r="F53">
            <v>42616.393217592595</v>
          </cell>
          <cell r="G53">
            <v>1</v>
          </cell>
          <cell r="H53" t="str">
            <v>204:136</v>
          </cell>
          <cell r="I53">
            <v>42616.422175925924</v>
          </cell>
          <cell r="J53">
            <v>0</v>
          </cell>
          <cell r="K53" t="str">
            <v>4019/4020</v>
          </cell>
          <cell r="L53" t="str">
            <v>SMITH</v>
          </cell>
          <cell r="M53">
            <v>2.8958333328773733E-2</v>
          </cell>
          <cell r="N53">
            <v>41.699999993434176</v>
          </cell>
          <cell r="S53">
            <v>1</v>
          </cell>
          <cell r="T53" t="str">
            <v>Southbound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https://search-rtdc-monitor-bjffxe2xuh6vdkpspy63sjmuny.us-east-1.es.amazonaws.com/_plugin/kibana/#/discover/Steve-Slow-Train-Analysis-(2080s-and-2083s)?_g=(refreshInterval:(display:Off,section:0,value:0),time:(from:'2016-09-03 08:10:30-0600',mode:absolute,to:'2016-09-03 11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53" t="str">
            <v>N</v>
          </cell>
          <cell r="X53">
            <v>1</v>
          </cell>
          <cell r="Y53">
            <v>23.296399999999998</v>
          </cell>
          <cell r="Z53">
            <v>1.3599999999999999E-2</v>
          </cell>
          <cell r="AA53">
            <v>23.282799999999998</v>
          </cell>
          <cell r="AB53" t="e">
            <v>#N/A</v>
          </cell>
          <cell r="AC53" t="e">
            <v>#N/A</v>
          </cell>
          <cell r="AD53" t="str">
            <v>0140-03</v>
          </cell>
          <cell r="AE53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54">
          <cell r="A54" t="str">
            <v>141-03</v>
          </cell>
          <cell r="B54">
            <v>4018</v>
          </cell>
          <cell r="C54" t="str">
            <v>DE.1.0.7.0</v>
          </cell>
          <cell r="D54" t="str">
            <v>204:453</v>
          </cell>
          <cell r="E54">
            <v>42616.360636574071</v>
          </cell>
          <cell r="F54">
            <v>42616.364837962959</v>
          </cell>
          <cell r="G54">
            <v>1</v>
          </cell>
          <cell r="H54" t="str">
            <v>204:233272</v>
          </cell>
          <cell r="I54">
            <v>42616.389641203707</v>
          </cell>
          <cell r="J54">
            <v>0</v>
          </cell>
          <cell r="K54" t="str">
            <v>4017/4018</v>
          </cell>
          <cell r="L54" t="str">
            <v>MAELZER</v>
          </cell>
          <cell r="M54">
            <v>2.4803240747132804E-2</v>
          </cell>
          <cell r="N54">
            <v>35.716666675871238</v>
          </cell>
          <cell r="S54">
            <v>1</v>
          </cell>
          <cell r="T54" t="str">
            <v>NorthBound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https://search-rtdc-monitor-bjffxe2xuh6vdkpspy63sjmuny.us-east-1.es.amazonaws.com/_plugin/kibana/#/discover/Steve-Slow-Train-Analysis-(2080s-and-2083s)?_g=(refreshInterval:(display:Off,section:0,value:0),time:(from:'2016-09-03 07:39:19-0600',mode:absolute,to:'2016-09-03 10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54" t="str">
            <v>N</v>
          </cell>
          <cell r="X54">
            <v>1</v>
          </cell>
          <cell r="Y54">
            <v>4.53E-2</v>
          </cell>
          <cell r="Z54">
            <v>23.327200000000001</v>
          </cell>
          <cell r="AA54">
            <v>23.2819</v>
          </cell>
          <cell r="AB54" t="e">
            <v>#N/A</v>
          </cell>
          <cell r="AC54" t="e">
            <v>#N/A</v>
          </cell>
          <cell r="AD54" t="str">
            <v>0141-03</v>
          </cell>
          <cell r="AE54" t="str">
    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    </cell>
        </row>
        <row r="55">
          <cell r="A55" t="str">
            <v>142-03</v>
          </cell>
          <cell r="B55">
            <v>4017</v>
          </cell>
          <cell r="C55" t="str">
            <v>DE.1.0.7.0</v>
          </cell>
          <cell r="D55" t="str">
            <v>204:232967</v>
          </cell>
          <cell r="E55">
            <v>42616.397662037038</v>
          </cell>
          <cell r="F55">
            <v>42616.403773148151</v>
          </cell>
          <cell r="G55">
            <v>1</v>
          </cell>
          <cell r="H55" t="str">
            <v>204:149</v>
          </cell>
          <cell r="I55">
            <v>42616.430543981478</v>
          </cell>
          <cell r="J55">
            <v>0</v>
          </cell>
          <cell r="K55" t="str">
            <v>4017/4018</v>
          </cell>
          <cell r="L55" t="str">
            <v>MAELZER</v>
          </cell>
          <cell r="M55">
            <v>2.6770833326736465E-2</v>
          </cell>
          <cell r="N55">
            <v>38.54999999050051</v>
          </cell>
          <cell r="S55">
            <v>1</v>
          </cell>
          <cell r="T55" t="str">
            <v>Southbound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https://search-rtdc-monitor-bjffxe2xuh6vdkpspy63sjmuny.us-east-1.es.amazonaws.com/_plugin/kibana/#/discover/Steve-Slow-Train-Analysis-(2080s-and-2083s)?_g=(refreshInterval:(display:Off,section:0,value:0),time:(from:'2016-09-03 08:32:38-0600',mode:absolute,to:'2016-09-03 11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55" t="str">
            <v>N</v>
          </cell>
          <cell r="X55">
            <v>1</v>
          </cell>
          <cell r="Y55">
            <v>23.296700000000001</v>
          </cell>
          <cell r="Z55">
            <v>1.49E-2</v>
          </cell>
          <cell r="AA55">
            <v>23.2818</v>
          </cell>
          <cell r="AB55" t="e">
            <v>#N/A</v>
          </cell>
          <cell r="AC55" t="e">
            <v>#N/A</v>
          </cell>
          <cell r="AD55" t="str">
            <v>0142-03</v>
          </cell>
          <cell r="AE55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56">
          <cell r="A56" t="str">
            <v>143-03</v>
          </cell>
          <cell r="B56">
            <v>4014</v>
          </cell>
          <cell r="C56" t="str">
            <v>DE.1.0.7.0</v>
          </cell>
          <cell r="D56" t="str">
            <v>204:471</v>
          </cell>
          <cell r="E56">
            <v>42616.370127314818</v>
          </cell>
          <cell r="F56">
            <v>42616.375416666669</v>
          </cell>
          <cell r="G56">
            <v>2</v>
          </cell>
          <cell r="H56" t="str">
            <v>204:233321</v>
          </cell>
          <cell r="I56">
            <v>42616.402337962965</v>
          </cell>
          <cell r="J56">
            <v>0</v>
          </cell>
          <cell r="K56" t="str">
            <v>4013/4014</v>
          </cell>
          <cell r="L56" t="str">
            <v>STRICKLAND</v>
          </cell>
          <cell r="M56">
            <v>2.6921296295768116E-2</v>
          </cell>
          <cell r="N56">
            <v>38.766666665906087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https://search-rtdc-monitor-bjffxe2xuh6vdkpspy63sjmuny.us-east-1.es.amazonaws.com/_plugin/kibana/#/discover/Steve-Slow-Train-Analysis-(2080s-and-2083s)?_g=(refreshInterval:(display:Off,section:0,value:0),time:(from:'2016-09-03 07:52:59-0600',mode:absolute,to:'2016-09-03 10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56" t="str">
            <v>N</v>
          </cell>
          <cell r="X56">
            <v>1</v>
          </cell>
          <cell r="Y56">
            <v>4.7100000000000003E-2</v>
          </cell>
          <cell r="Z56">
            <v>23.332100000000001</v>
          </cell>
          <cell r="AA56">
            <v>23.285</v>
          </cell>
          <cell r="AB56">
            <v>63069</v>
          </cell>
          <cell r="AC56" t="str">
            <v>GRADE CROSSING</v>
          </cell>
          <cell r="AD56" t="str">
            <v>0143-03</v>
          </cell>
          <cell r="AE56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57">
          <cell r="A57" t="str">
            <v>144-03</v>
          </cell>
          <cell r="B57">
            <v>4013</v>
          </cell>
          <cell r="C57" t="str">
            <v>DE.1.0.7.0</v>
          </cell>
          <cell r="D57" t="str">
            <v>204:232996</v>
          </cell>
          <cell r="E57">
            <v>42616.411157407405</v>
          </cell>
          <cell r="F57">
            <v>42616.414166666669</v>
          </cell>
          <cell r="G57">
            <v>1</v>
          </cell>
          <cell r="H57" t="str">
            <v>204:150</v>
          </cell>
          <cell r="I57">
            <v>42616.441770833335</v>
          </cell>
          <cell r="J57">
            <v>0</v>
          </cell>
          <cell r="K57" t="str">
            <v>4013/4014</v>
          </cell>
          <cell r="L57" t="str">
            <v>STRICKLAND</v>
          </cell>
          <cell r="M57">
            <v>2.7604166665696539E-2</v>
          </cell>
          <cell r="N57">
            <v>39.749999998603016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https://search-rtdc-monitor-bjffxe2xuh6vdkpspy63sjmuny.us-east-1.es.amazonaws.com/_plugin/kibana/#/discover/Steve-Slow-Train-Analysis-(2080s-and-2083s)?_g=(refreshInterval:(display:Off,section:0,value:0),time:(from:'2016-09-03 08:52:04-0600',mode:absolute,to:'2016-09-03 11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57" t="str">
            <v>N</v>
          </cell>
          <cell r="X57">
            <v>1</v>
          </cell>
          <cell r="Y57">
            <v>23.299600000000002</v>
          </cell>
          <cell r="Z57">
            <v>1.4999999999999999E-2</v>
          </cell>
          <cell r="AA57">
            <v>23.284600000000001</v>
          </cell>
          <cell r="AB57" t="e">
            <v>#N/A</v>
          </cell>
          <cell r="AC57" t="e">
            <v>#N/A</v>
          </cell>
          <cell r="AD57" t="str">
            <v>0144-03</v>
          </cell>
          <cell r="AE57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58">
          <cell r="A58" t="str">
            <v>145-03</v>
          </cell>
          <cell r="B58">
            <v>4002</v>
          </cell>
          <cell r="C58" t="str">
            <v>DE.1.0.7.0</v>
          </cell>
          <cell r="D58" t="str">
            <v>204:478</v>
          </cell>
          <cell r="E58">
            <v>42616.384050925924</v>
          </cell>
          <cell r="F58">
            <v>42616.385648148149</v>
          </cell>
          <cell r="G58">
            <v>1</v>
          </cell>
          <cell r="H58" t="str">
            <v>204:233307</v>
          </cell>
          <cell r="I58">
            <v>42616.410995370374</v>
          </cell>
          <cell r="J58">
            <v>0</v>
          </cell>
          <cell r="K58" t="str">
            <v>4001/4002</v>
          </cell>
          <cell r="L58" t="str">
            <v>MALAVE</v>
          </cell>
          <cell r="M58">
            <v>2.5347222224809229E-2</v>
          </cell>
          <cell r="N58">
            <v>36.50000000372529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https://search-rtdc-monitor-bjffxe2xuh6vdkpspy63sjmuny.us-east-1.es.amazonaws.com/_plugin/kibana/#/discover/Steve-Slow-Train-Analysis-(2080s-and-2083s)?_g=(refreshInterval:(display:Off,section:0,value:0),time:(from:'2016-09-03 08:13:02-0600',mode:absolute,to:'2016-09-03 10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58" t="str">
            <v>N</v>
          </cell>
          <cell r="X58">
            <v>1</v>
          </cell>
          <cell r="Y58">
            <v>4.7800000000000002E-2</v>
          </cell>
          <cell r="Z58">
            <v>23.3307</v>
          </cell>
          <cell r="AA58">
            <v>23.282900000000001</v>
          </cell>
          <cell r="AB58" t="e">
            <v>#N/A</v>
          </cell>
          <cell r="AC58" t="e">
            <v>#N/A</v>
          </cell>
          <cell r="AD58" t="str">
            <v>0145-03</v>
          </cell>
          <cell r="AE58" t="str">
    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    </cell>
        </row>
        <row r="59">
          <cell r="A59" t="str">
            <v>146-03</v>
          </cell>
          <cell r="B59">
            <v>4001</v>
          </cell>
          <cell r="C59" t="str">
            <v>DE.1.0.7.0</v>
          </cell>
          <cell r="D59" t="str">
            <v>204:232963</v>
          </cell>
          <cell r="E59">
            <v>42616.42260416667</v>
          </cell>
          <cell r="F59">
            <v>42616.424560185187</v>
          </cell>
          <cell r="G59">
            <v>1</v>
          </cell>
          <cell r="H59" t="str">
            <v>204:158</v>
          </cell>
          <cell r="I59">
            <v>42616.452256944445</v>
          </cell>
          <cell r="J59">
            <v>0</v>
          </cell>
          <cell r="K59" t="str">
            <v>4001/4002</v>
          </cell>
          <cell r="L59" t="str">
            <v>MALAVE</v>
          </cell>
          <cell r="M59">
            <v>2.7696759258105885E-2</v>
          </cell>
          <cell r="N59">
            <v>39.883333331672475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https://search-rtdc-monitor-bjffxe2xuh6vdkpspy63sjmuny.us-east-1.es.amazonaws.com/_plugin/kibana/#/discover/Steve-Slow-Train-Analysis-(2080s-and-2083s)?_g=(refreshInterval:(display:Off,section:0,value:0),time:(from:'2016-09-03 09:08:33-0600',mode:absolute,to:'2016-09-03 11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59" t="str">
            <v>N</v>
          </cell>
          <cell r="X59">
            <v>1</v>
          </cell>
          <cell r="Y59">
            <v>23.296299999999999</v>
          </cell>
          <cell r="Z59">
            <v>1.5800000000000002E-2</v>
          </cell>
          <cell r="AA59">
            <v>23.2805</v>
          </cell>
          <cell r="AB59" t="e">
            <v>#N/A</v>
          </cell>
          <cell r="AC59" t="e">
            <v>#N/A</v>
          </cell>
          <cell r="AD59" t="str">
            <v>0146-03</v>
          </cell>
          <cell r="AE59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60">
          <cell r="A60" t="str">
            <v>147-03</v>
          </cell>
          <cell r="B60">
            <v>4040</v>
          </cell>
          <cell r="C60" t="str">
            <v>DE.1.0.7.0</v>
          </cell>
          <cell r="D60" t="str">
            <v>204:442</v>
          </cell>
          <cell r="E60">
            <v>42616.390428240738</v>
          </cell>
          <cell r="F60">
            <v>42616.39607638889</v>
          </cell>
          <cell r="G60">
            <v>1</v>
          </cell>
          <cell r="H60" t="str">
            <v>204:233310</v>
          </cell>
          <cell r="I60">
            <v>42616.42083333333</v>
          </cell>
          <cell r="J60">
            <v>0</v>
          </cell>
          <cell r="K60" t="str">
            <v>4039/4040</v>
          </cell>
          <cell r="L60" t="str">
            <v>ACKERMAN</v>
          </cell>
          <cell r="M60">
            <v>2.4756944440014195E-2</v>
          </cell>
          <cell r="N60">
            <v>35.64999999362044</v>
          </cell>
          <cell r="S60">
            <v>1</v>
          </cell>
          <cell r="T60" t="str">
            <v>NorthBound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https://search-rtdc-monitor-bjffxe2xuh6vdkpspy63sjmuny.us-east-1.es.amazonaws.com/_plugin/kibana/#/discover/Steve-Slow-Train-Analysis-(2080s-and-2083s)?_g=(refreshInterval:(display:Off,section:0,value:0),time:(from:'2016-09-03 08:22:13-0600',mode:absolute,to:'2016-09-03 11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60" t="str">
            <v>N</v>
          </cell>
          <cell r="X60">
            <v>1</v>
          </cell>
          <cell r="Y60">
            <v>4.4200000000000003E-2</v>
          </cell>
          <cell r="Z60">
            <v>23.331</v>
          </cell>
          <cell r="AA60">
            <v>23.286799999999999</v>
          </cell>
          <cell r="AB60" t="e">
            <v>#N/A</v>
          </cell>
          <cell r="AC60" t="e">
            <v>#N/A</v>
          </cell>
          <cell r="AD60" t="str">
            <v>0147-03</v>
          </cell>
          <cell r="AE60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61">
          <cell r="A61" t="str">
            <v>148-03</v>
          </cell>
          <cell r="B61">
            <v>4039</v>
          </cell>
          <cell r="C61" t="str">
            <v>DE.1.0.7.0</v>
          </cell>
          <cell r="D61" t="str">
            <v>204:232989</v>
          </cell>
          <cell r="E61">
            <v>42616.427465277775</v>
          </cell>
          <cell r="F61">
            <v>42616.434953703705</v>
          </cell>
          <cell r="G61">
            <v>1</v>
          </cell>
          <cell r="H61" t="str">
            <v>204:149</v>
          </cell>
          <cell r="I61">
            <v>42616.463287037041</v>
          </cell>
          <cell r="J61">
            <v>0</v>
          </cell>
          <cell r="K61" t="str">
            <v>4039/4040</v>
          </cell>
          <cell r="L61" t="str">
            <v>ACKERMAN</v>
          </cell>
          <cell r="M61">
            <v>2.8333333335467614E-2</v>
          </cell>
          <cell r="N61">
            <v>40.800000003073364</v>
          </cell>
          <cell r="S61">
            <v>1</v>
          </cell>
          <cell r="T61" t="str">
            <v>Southbound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https://search-rtdc-monitor-bjffxe2xuh6vdkpspy63sjmuny.us-east-1.es.amazonaws.com/_plugin/kibana/#/discover/Steve-Slow-Train-Analysis-(2080s-and-2083s)?_g=(refreshInterval:(display:Off,section:0,value:0),time:(from:'2016-09-03 09:15:33-0600',mode:absolute,to:'2016-09-03 12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61" t="str">
            <v>N</v>
          </cell>
          <cell r="X61">
            <v>1</v>
          </cell>
          <cell r="Y61">
            <v>23.2989</v>
          </cell>
          <cell r="Z61">
            <v>1.49E-2</v>
          </cell>
          <cell r="AA61">
            <v>23.283999999999999</v>
          </cell>
          <cell r="AB61" t="e">
            <v>#N/A</v>
          </cell>
          <cell r="AC61" t="e">
            <v>#N/A</v>
          </cell>
          <cell r="AD61" t="str">
            <v>0148-03</v>
          </cell>
          <cell r="AE61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62">
          <cell r="A62" t="str">
            <v>149-03</v>
          </cell>
          <cell r="B62">
            <v>4027</v>
          </cell>
          <cell r="C62" t="str">
            <v>DE.1.0.7.0</v>
          </cell>
          <cell r="D62" t="str">
            <v>204:480</v>
          </cell>
          <cell r="E62">
            <v>42616.399629629632</v>
          </cell>
          <cell r="F62">
            <v>42616.406539351854</v>
          </cell>
          <cell r="G62">
            <v>1</v>
          </cell>
          <cell r="H62" t="str">
            <v>204:233353</v>
          </cell>
          <cell r="I62">
            <v>42616.431087962963</v>
          </cell>
          <cell r="J62">
            <v>0</v>
          </cell>
          <cell r="K62" t="str">
            <v>4027/4028</v>
          </cell>
          <cell r="L62" t="str">
            <v>SANTIZO</v>
          </cell>
          <cell r="M62">
            <v>2.4548611108912155E-2</v>
          </cell>
          <cell r="N62">
            <v>35.349999996833503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https://search-rtdc-monitor-bjffxe2xuh6vdkpspy63sjmuny.us-east-1.es.amazonaws.com/_plugin/kibana/#/discover/Steve-Slow-Train-Analysis-(2080s-and-2083s)?_g=(refreshInterval:(display:Off,section:0,value:0),time:(from:'2016-09-03 08:35:28-0600',mode:absolute,to:'2016-09-03 11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62" t="str">
            <v>N</v>
          </cell>
          <cell r="X62">
            <v>1</v>
          </cell>
          <cell r="Y62">
            <v>4.8000000000000001E-2</v>
          </cell>
          <cell r="Z62">
            <v>23.3353</v>
          </cell>
          <cell r="AA62">
            <v>23.287300000000002</v>
          </cell>
          <cell r="AB62" t="e">
            <v>#N/A</v>
          </cell>
          <cell r="AC62" t="e">
            <v>#N/A</v>
          </cell>
          <cell r="AD62" t="str">
            <v>0149-03</v>
          </cell>
          <cell r="AE62" t="str">
    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    </cell>
        </row>
        <row r="63">
          <cell r="A63" t="str">
            <v>150-03</v>
          </cell>
          <cell r="B63">
            <v>4028</v>
          </cell>
          <cell r="C63" t="str">
            <v>DE.1.0.7.0</v>
          </cell>
          <cell r="D63" t="str">
            <v>204:232998</v>
          </cell>
          <cell r="E63">
            <v>42616.432337962964</v>
          </cell>
          <cell r="F63">
            <v>42616.445381944446</v>
          </cell>
          <cell r="G63">
            <v>0</v>
          </cell>
          <cell r="H63" t="str">
            <v>204:141</v>
          </cell>
          <cell r="I63">
            <v>42616.471446759257</v>
          </cell>
          <cell r="J63">
            <v>0</v>
          </cell>
          <cell r="K63" t="str">
            <v>4027/4028</v>
          </cell>
          <cell r="L63" t="str">
            <v>SANTIZO</v>
          </cell>
          <cell r="M63">
            <v>2.6064814810524695E-2</v>
          </cell>
          <cell r="N63">
            <v>37.53333332715556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https://search-rtdc-monitor-bjffxe2xuh6vdkpspy63sjmuny.us-east-1.es.amazonaws.com/_plugin/kibana/#/discover/Steve-Slow-Train-Analysis-(2080s-and-2083s)?_g=(refreshInterval:(display:Off,section:0,value:0),time:(from:'2016-09-03 09:22:34-0600',mode:absolute,to:'2016-09-03 12:18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63" t="str">
            <v>N</v>
          </cell>
          <cell r="X63">
            <v>1</v>
          </cell>
          <cell r="Y63">
            <v>23.299800000000001</v>
          </cell>
          <cell r="Z63">
            <v>1.41E-2</v>
          </cell>
          <cell r="AA63">
            <v>23.285700000000002</v>
          </cell>
          <cell r="AB63" t="e">
            <v>#N/A</v>
          </cell>
          <cell r="AC63" t="e">
            <v>#N/A</v>
          </cell>
          <cell r="AD63" t="str">
            <v>0150-03</v>
          </cell>
          <cell r="AE63" t="str">
    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    </cell>
        </row>
        <row r="64">
          <cell r="A64" t="str">
            <v>151-03</v>
          </cell>
          <cell r="B64">
            <v>4029</v>
          </cell>
          <cell r="C64" t="str">
            <v>DE.1.0.7.0</v>
          </cell>
          <cell r="D64" t="str">
            <v>204:455</v>
          </cell>
          <cell r="E64">
            <v>42616.411435185182</v>
          </cell>
          <cell r="F64">
            <v>42616.417013888888</v>
          </cell>
          <cell r="G64">
            <v>1</v>
          </cell>
          <cell r="H64" t="str">
            <v>204:233332</v>
          </cell>
          <cell r="I64">
            <v>42616.443692129629</v>
          </cell>
          <cell r="J64">
            <v>0</v>
          </cell>
          <cell r="K64" t="str">
            <v>4029/4030</v>
          </cell>
          <cell r="L64" t="str">
            <v>KILLION</v>
          </cell>
          <cell r="M64">
            <v>2.6678240741603076E-2</v>
          </cell>
          <cell r="N64">
            <v>38.41666666790843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https://search-rtdc-monitor-bjffxe2xuh6vdkpspy63sjmuny.us-east-1.es.amazonaws.com/_plugin/kibana/#/discover/Steve-Slow-Train-Analysis-(2080s-and-2083s)?_g=(refreshInterval:(display:Off,section:0,value:0),time:(from:'2016-09-03 08:52:28-0600',mode:absolute,to:'2016-09-03 11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64" t="str">
            <v>N</v>
          </cell>
          <cell r="X64">
            <v>1</v>
          </cell>
          <cell r="Y64">
            <v>4.5499999999999999E-2</v>
          </cell>
          <cell r="Z64">
            <v>23.333200000000001</v>
          </cell>
          <cell r="AA64">
            <v>23.287700000000001</v>
          </cell>
          <cell r="AB64" t="e">
            <v>#N/A</v>
          </cell>
          <cell r="AC64" t="e">
            <v>#N/A</v>
          </cell>
          <cell r="AD64" t="str">
            <v>0151-03</v>
          </cell>
          <cell r="AE64" t="str">
    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    </cell>
        </row>
        <row r="65">
          <cell r="A65" t="str">
            <v>152-03</v>
          </cell>
          <cell r="B65">
            <v>4030</v>
          </cell>
          <cell r="C65" t="str">
            <v>DE.1.0.7.0</v>
          </cell>
          <cell r="D65" t="str">
            <v>204:232994</v>
          </cell>
          <cell r="E65">
            <v>42616.449317129627</v>
          </cell>
          <cell r="F65">
            <v>42616.455787037034</v>
          </cell>
          <cell r="G65">
            <v>1</v>
          </cell>
          <cell r="H65" t="str">
            <v>204:136</v>
          </cell>
          <cell r="I65">
            <v>42616.482939814814</v>
          </cell>
          <cell r="J65">
            <v>0</v>
          </cell>
          <cell r="K65" t="str">
            <v>4029/4030</v>
          </cell>
          <cell r="L65" t="str">
            <v>KILLION</v>
          </cell>
          <cell r="M65">
            <v>2.715277778042946E-2</v>
          </cell>
          <cell r="N65">
            <v>39.100000003818423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https://search-rtdc-monitor-bjffxe2xuh6vdkpspy63sjmuny.us-east-1.es.amazonaws.com/_plugin/kibana/#/discover/Steve-Slow-Train-Analysis-(2080s-and-2083s)?_g=(refreshInterval:(display:Off,section:0,value:0),time:(from:'2016-09-03 09:47:01-0600',mode:absolute,to:'2016-09-03 12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65" t="str">
            <v>N</v>
          </cell>
          <cell r="X65">
            <v>1</v>
          </cell>
          <cell r="Y65">
            <v>23.299399999999999</v>
          </cell>
          <cell r="Z65">
            <v>1.3599999999999999E-2</v>
          </cell>
          <cell r="AA65">
            <v>23.285799999999998</v>
          </cell>
          <cell r="AB65" t="e">
            <v>#N/A</v>
          </cell>
          <cell r="AC65" t="e">
            <v>#N/A</v>
          </cell>
          <cell r="AD65" t="str">
            <v>0152-03</v>
          </cell>
          <cell r="AE65" t="str">
    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    </cell>
        </row>
        <row r="66">
          <cell r="A66" t="str">
            <v>153-03</v>
          </cell>
          <cell r="B66">
            <v>4020</v>
          </cell>
          <cell r="C66" t="str">
            <v>DE.1.0.7.0</v>
          </cell>
          <cell r="D66" t="str">
            <v>204:464</v>
          </cell>
          <cell r="E66">
            <v>42616.423900462964</v>
          </cell>
          <cell r="F66">
            <v>42616.427337962959</v>
          </cell>
          <cell r="G66">
            <v>2</v>
          </cell>
          <cell r="H66" t="str">
            <v>204:233284</v>
          </cell>
          <cell r="I66">
            <v>42616.451770833337</v>
          </cell>
          <cell r="J66">
            <v>0</v>
          </cell>
          <cell r="K66" t="str">
            <v>4019/4020</v>
          </cell>
          <cell r="L66" t="str">
            <v>SMITH</v>
          </cell>
          <cell r="M66">
            <v>2.4432870377495419E-2</v>
          </cell>
          <cell r="N66">
            <v>35.183333343593404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https://search-rtdc-monitor-bjffxe2xuh6vdkpspy63sjmuny.us-east-1.es.amazonaws.com/_plugin/kibana/#/discover/Steve-Slow-Train-Analysis-(2080s-and-2083s)?_g=(refreshInterval:(display:Off,section:0,value:0),time:(from:'2016-09-03 09:10:25-0600',mode:absolute,to:'2016-09-03 11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66" t="str">
            <v>N</v>
          </cell>
          <cell r="X66">
            <v>1</v>
          </cell>
          <cell r="Y66">
            <v>4.6399999999999997E-2</v>
          </cell>
          <cell r="Z66">
            <v>23.328399999999998</v>
          </cell>
          <cell r="AA66">
            <v>23.282</v>
          </cell>
          <cell r="AB66" t="e">
            <v>#N/A</v>
          </cell>
          <cell r="AC66" t="e">
            <v>#N/A</v>
          </cell>
          <cell r="AD66" t="str">
            <v>0153-03</v>
          </cell>
          <cell r="AE66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67">
          <cell r="A67" t="str">
            <v>154-03</v>
          </cell>
          <cell r="B67">
            <v>4019</v>
          </cell>
          <cell r="C67" t="str">
            <v>DE.1.0.7.0</v>
          </cell>
          <cell r="D67" t="str">
            <v>204:232977</v>
          </cell>
          <cell r="E67">
            <v>42616.453622685185</v>
          </cell>
          <cell r="F67">
            <v>42616.466238425928</v>
          </cell>
          <cell r="G67">
            <v>1</v>
          </cell>
          <cell r="H67" t="str">
            <v>204:132</v>
          </cell>
          <cell r="I67">
            <v>42616.493217592593</v>
          </cell>
          <cell r="J67">
            <v>0</v>
          </cell>
          <cell r="K67" t="str">
            <v>4019/4020</v>
          </cell>
          <cell r="L67" t="str">
            <v>SMITH</v>
          </cell>
          <cell r="M67">
            <v>2.6979166665114462E-2</v>
          </cell>
          <cell r="N67">
            <v>38.849999997764826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https://search-rtdc-monitor-bjffxe2xuh6vdkpspy63sjmuny.us-east-1.es.amazonaws.com/_plugin/kibana/#/discover/Steve-Slow-Train-Analysis-(2080s-and-2083s)?_g=(refreshInterval:(display:Off,section:0,value:0),time:(from:'2016-09-03 09:53:13-0600',mode:absolute,to:'2016-09-03 12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67" t="str">
            <v>N</v>
          </cell>
          <cell r="X67">
            <v>1</v>
          </cell>
          <cell r="Y67">
            <v>23.297699999999999</v>
          </cell>
          <cell r="Z67">
            <v>1.32E-2</v>
          </cell>
          <cell r="AA67">
            <v>23.284499999999998</v>
          </cell>
          <cell r="AB67" t="e">
            <v>#N/A</v>
          </cell>
          <cell r="AC67" t="e">
            <v>#N/A</v>
          </cell>
          <cell r="AD67" t="str">
            <v>0154-03</v>
          </cell>
          <cell r="AE67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68">
          <cell r="A68" t="str">
            <v>155-03</v>
          </cell>
          <cell r="B68">
            <v>4018</v>
          </cell>
          <cell r="C68" t="str">
            <v>DE.1.0.7.0</v>
          </cell>
          <cell r="D68" t="str">
            <v>204:458</v>
          </cell>
          <cell r="E68">
            <v>42616.434560185182</v>
          </cell>
          <cell r="F68">
            <v>42616.437662037039</v>
          </cell>
          <cell r="G68">
            <v>1</v>
          </cell>
          <cell r="H68" t="str">
            <v>204:233389</v>
          </cell>
          <cell r="I68">
            <v>42616.464907407404</v>
          </cell>
          <cell r="J68">
            <v>0</v>
          </cell>
          <cell r="K68" t="str">
            <v>4017/4018</v>
          </cell>
          <cell r="L68" t="str">
            <v>CLARK</v>
          </cell>
          <cell r="M68">
            <v>2.7245370365562849E-2</v>
          </cell>
          <cell r="N68">
            <v>39.233333326410502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https://search-rtdc-monitor-bjffxe2xuh6vdkpspy63sjmuny.us-east-1.es.amazonaws.com/_plugin/kibana/#/discover/Steve-Slow-Train-Analysis-(2080s-and-2083s)?_g=(refreshInterval:(display:Off,section:0,value:0),time:(from:'2016-09-03 09:25:46-0600',mode:absolute,to:'2016-09-03 12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68" t="str">
            <v>N</v>
          </cell>
          <cell r="X68">
            <v>1</v>
          </cell>
          <cell r="Y68">
            <v>4.58E-2</v>
          </cell>
          <cell r="Z68">
            <v>23.338899999999999</v>
          </cell>
          <cell r="AA68">
            <v>23.293099999999999</v>
          </cell>
          <cell r="AB68" t="e">
            <v>#N/A</v>
          </cell>
          <cell r="AC68" t="e">
            <v>#N/A</v>
          </cell>
          <cell r="AD68" t="str">
            <v>0155-03</v>
          </cell>
          <cell r="AE68" t="str">
    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    </cell>
        </row>
        <row r="69">
          <cell r="A69" t="str">
            <v>156-03</v>
          </cell>
          <cell r="B69">
            <v>4017</v>
          </cell>
          <cell r="C69" t="str">
            <v>DE.1.0.7.0</v>
          </cell>
          <cell r="D69" t="str">
            <v>204:233070</v>
          </cell>
          <cell r="E69">
            <v>42616.473275462966</v>
          </cell>
          <cell r="F69">
            <v>42616.476631944446</v>
          </cell>
          <cell r="G69">
            <v>1</v>
          </cell>
          <cell r="H69" t="str">
            <v>204:147</v>
          </cell>
          <cell r="I69">
            <v>42616.504618055558</v>
          </cell>
          <cell r="J69">
            <v>0</v>
          </cell>
          <cell r="K69" t="str">
            <v>4017/4018</v>
          </cell>
          <cell r="L69" t="str">
            <v>CLARK</v>
          </cell>
          <cell r="M69">
            <v>2.7986111112113576E-2</v>
          </cell>
          <cell r="N69">
            <v>40.30000000144355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https://search-rtdc-monitor-bjffxe2xuh6vdkpspy63sjmuny.us-east-1.es.amazonaws.com/_plugin/kibana/#/discover/Steve-Slow-Train-Analysis-(2080s-and-2083s)?_g=(refreshInterval:(display:Off,section:0,value:0),time:(from:'2016-09-03 10:21:31-0600',mode:absolute,to:'2016-09-03 13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69" t="str">
            <v>N</v>
          </cell>
          <cell r="X69">
            <v>1</v>
          </cell>
          <cell r="Y69">
            <v>23.306999999999999</v>
          </cell>
          <cell r="Z69">
            <v>1.47E-2</v>
          </cell>
          <cell r="AA69">
            <v>23.292299999999997</v>
          </cell>
          <cell r="AB69">
            <v>224581</v>
          </cell>
          <cell r="AC69" t="str">
            <v>PERMANENT SPEED RESTRICTION</v>
          </cell>
          <cell r="AD69" t="str">
            <v>0156-03</v>
          </cell>
          <cell r="AE69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70">
          <cell r="A70" t="str">
            <v>157-03</v>
          </cell>
          <cell r="B70">
            <v>4014</v>
          </cell>
          <cell r="C70" t="str">
            <v>DE.1.0.7.0</v>
          </cell>
          <cell r="D70" t="str">
            <v>204:471</v>
          </cell>
          <cell r="E70">
            <v>42616.444328703707</v>
          </cell>
          <cell r="F70">
            <v>42616.448240740741</v>
          </cell>
          <cell r="G70">
            <v>1</v>
          </cell>
          <cell r="H70" t="str">
            <v>204:233359</v>
          </cell>
          <cell r="I70">
            <v>42616.475023148145</v>
          </cell>
          <cell r="J70">
            <v>0</v>
          </cell>
          <cell r="K70" t="str">
            <v>4013/4014</v>
          </cell>
          <cell r="L70" t="str">
            <v>STRICKLAND</v>
          </cell>
          <cell r="M70">
            <v>2.6782407403516117E-2</v>
          </cell>
          <cell r="N70">
            <v>38.566666661063209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https://search-rtdc-monitor-bjffxe2xuh6vdkpspy63sjmuny.us-east-1.es.amazonaws.com/_plugin/kibana/#/discover/Steve-Slow-Train-Analysis-(2080s-and-2083s)?_g=(refreshInterval:(display:Off,section:0,value:0),time:(from:'2016-09-03 09:39:50-0600',mode:absolute,to:'2016-09-03 12:24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70" t="str">
            <v>N</v>
          </cell>
          <cell r="X70">
            <v>1</v>
          </cell>
          <cell r="Y70">
            <v>4.7100000000000003E-2</v>
          </cell>
          <cell r="Z70">
            <v>23.335899999999999</v>
          </cell>
          <cell r="AA70">
            <v>23.288799999999998</v>
          </cell>
          <cell r="AB70" t="e">
            <v>#N/A</v>
          </cell>
          <cell r="AC70" t="e">
            <v>#N/A</v>
          </cell>
          <cell r="AD70" t="str">
            <v>0157-03</v>
          </cell>
          <cell r="AE70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71">
          <cell r="A71" t="str">
            <v>158-03</v>
          </cell>
          <cell r="B71">
            <v>4013</v>
          </cell>
          <cell r="C71" t="str">
            <v>DE.1.0.7.0</v>
          </cell>
          <cell r="D71" t="str">
            <v>204:233076</v>
          </cell>
          <cell r="E71">
            <v>42616.483981481484</v>
          </cell>
          <cell r="F71">
            <v>42616.487071759257</v>
          </cell>
          <cell r="G71">
            <v>1</v>
          </cell>
          <cell r="H71" t="str">
            <v>204:154</v>
          </cell>
          <cell r="I71">
            <v>42616.515324074076</v>
          </cell>
          <cell r="J71">
            <v>0</v>
          </cell>
          <cell r="K71" t="str">
            <v>4013/4014</v>
          </cell>
          <cell r="L71" t="str">
            <v>STRICKLAND</v>
          </cell>
          <cell r="M71">
            <v>2.825231481983792E-2</v>
          </cell>
          <cell r="N71">
            <v>40.683333340566605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https://search-rtdc-monitor-bjffxe2xuh6vdkpspy63sjmuny.us-east-1.es.amazonaws.com/_plugin/kibana/#/discover/Steve-Slow-Train-Analysis-(2080s-and-2083s)?_g=(refreshInterval:(display:Off,section:0,value:0),time:(from:'2016-09-03 10:36:56-0600',mode:absolute,to:'2016-09-03 13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71" t="str">
            <v>N</v>
          </cell>
          <cell r="X71">
            <v>1</v>
          </cell>
          <cell r="Y71">
            <v>23.307600000000001</v>
          </cell>
          <cell r="Z71">
            <v>1.54E-2</v>
          </cell>
          <cell r="AA71">
            <v>23.292200000000001</v>
          </cell>
          <cell r="AB71" t="e">
            <v>#N/A</v>
          </cell>
          <cell r="AC71" t="e">
            <v>#N/A</v>
          </cell>
          <cell r="AD71" t="str">
            <v>0158-03</v>
          </cell>
          <cell r="AE71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72">
          <cell r="A72" t="str">
            <v>159-03</v>
          </cell>
          <cell r="B72">
            <v>4002</v>
          </cell>
          <cell r="C72" t="str">
            <v>DE.1.0.7.0</v>
          </cell>
          <cell r="D72" t="str">
            <v>204:475</v>
          </cell>
          <cell r="E72">
            <v>42616.454745370371</v>
          </cell>
          <cell r="F72">
            <v>42616.458634259259</v>
          </cell>
          <cell r="G72">
            <v>1</v>
          </cell>
          <cell r="H72" t="str">
            <v>204:233340</v>
          </cell>
          <cell r="I72">
            <v>42616.484097222223</v>
          </cell>
          <cell r="J72">
            <v>0</v>
          </cell>
          <cell r="K72" t="str">
            <v>4001/4002</v>
          </cell>
          <cell r="L72" t="str">
            <v>STEWART</v>
          </cell>
          <cell r="M72">
            <v>2.5462962963501923E-2</v>
          </cell>
          <cell r="N72">
            <v>36.666666667442769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https://search-rtdc-monitor-bjffxe2xuh6vdkpspy63sjmuny.us-east-1.es.amazonaws.com/_plugin/kibana/#/discover/Steve-Slow-Train-Analysis-(2080s-and-2083s)?_g=(refreshInterval:(display:Off,section:0,value:0),time:(from:'2016-09-03 09:54:50-0600',mode:absolute,to:'2016-09-03 12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72" t="str">
            <v>N</v>
          </cell>
          <cell r="X72">
            <v>1</v>
          </cell>
          <cell r="Y72">
            <v>4.7500000000000001E-2</v>
          </cell>
          <cell r="Z72">
            <v>23.334</v>
          </cell>
          <cell r="AA72">
            <v>23.2865</v>
          </cell>
          <cell r="AB72" t="e">
            <v>#N/A</v>
          </cell>
          <cell r="AC72" t="e">
            <v>#N/A</v>
          </cell>
          <cell r="AD72" t="str">
            <v>0159-03</v>
          </cell>
          <cell r="AE72" t="str">
    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    </cell>
        </row>
        <row r="73">
          <cell r="A73" t="str">
            <v>160-03</v>
          </cell>
          <cell r="B73">
            <v>4001</v>
          </cell>
          <cell r="C73" t="str">
            <v>DE.1.0.7.0</v>
          </cell>
          <cell r="D73" t="str">
            <v>204:233006</v>
          </cell>
          <cell r="E73">
            <v>42616.494050925925</v>
          </cell>
          <cell r="F73">
            <v>42616.497789351852</v>
          </cell>
          <cell r="G73">
            <v>2</v>
          </cell>
          <cell r="H73" t="str">
            <v>204:158</v>
          </cell>
          <cell r="I73">
            <v>42616.524444444447</v>
          </cell>
          <cell r="J73">
            <v>0</v>
          </cell>
          <cell r="K73" t="str">
            <v>4001/4002</v>
          </cell>
          <cell r="L73" t="str">
            <v>STEWART</v>
          </cell>
          <cell r="M73">
            <v>2.6655092595319729E-2</v>
          </cell>
          <cell r="N73">
            <v>38.38333333726041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https://search-rtdc-monitor-bjffxe2xuh6vdkpspy63sjmuny.us-east-1.es.amazonaws.com/_plugin/kibana/#/discover/Steve-Slow-Train-Analysis-(2080s-and-2083s)?_g=(refreshInterval:(display:Off,section:0,value:0),time:(from:'2016-09-03 10:51:26-0600',mode:absolute,to:'2016-09-03 13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73" t="str">
            <v>N</v>
          </cell>
          <cell r="X73">
            <v>1</v>
          </cell>
          <cell r="Y73">
            <v>23.300599999999999</v>
          </cell>
          <cell r="Z73">
            <v>1.5800000000000002E-2</v>
          </cell>
          <cell r="AA73">
            <v>23.284800000000001</v>
          </cell>
          <cell r="AB73" t="e">
            <v>#N/A</v>
          </cell>
          <cell r="AC73" t="e">
            <v>#N/A</v>
          </cell>
          <cell r="AD73" t="str">
            <v>0160-03</v>
          </cell>
          <cell r="AE73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74">
          <cell r="A74" t="str">
            <v>161-03</v>
          </cell>
          <cell r="B74">
            <v>4040</v>
          </cell>
          <cell r="C74" t="str">
            <v>DE.1.0.7.0</v>
          </cell>
          <cell r="D74" t="str">
            <v>204:460</v>
          </cell>
          <cell r="E74">
            <v>42616.465613425928</v>
          </cell>
          <cell r="F74">
            <v>42616.46912037037</v>
          </cell>
          <cell r="G74">
            <v>3</v>
          </cell>
          <cell r="H74" t="str">
            <v>204:233309</v>
          </cell>
          <cell r="I74">
            <v>42616.49287037037</v>
          </cell>
          <cell r="J74">
            <v>0</v>
          </cell>
          <cell r="K74" t="str">
            <v>4039/4040</v>
          </cell>
          <cell r="L74" t="str">
            <v>STAMBAUGH</v>
          </cell>
          <cell r="M74">
            <v>2.3750000000291038E-2</v>
          </cell>
          <cell r="N74">
            <v>34.200000000419095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https://search-rtdc-monitor-bjffxe2xuh6vdkpspy63sjmuny.us-east-1.es.amazonaws.com/_plugin/kibana/#/discover/Steve-Slow-Train-Analysis-(2080s-and-2083s)?_g=(refreshInterval:(display:Off,section:0,value:0),time:(from:'2016-09-03 10:10:29-0600',mode:absolute,to:'2016-09-03 12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74" t="str">
            <v>N</v>
          </cell>
          <cell r="X74">
            <v>1</v>
          </cell>
          <cell r="Y74">
            <v>4.5999999999999999E-2</v>
          </cell>
          <cell r="Z74">
            <v>23.3309</v>
          </cell>
          <cell r="AA74">
            <v>23.2849</v>
          </cell>
          <cell r="AB74" t="e">
            <v>#N/A</v>
          </cell>
          <cell r="AC74" t="e">
            <v>#N/A</v>
          </cell>
          <cell r="AD74" t="str">
            <v>0161-03</v>
          </cell>
          <cell r="AE74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75">
          <cell r="A75" t="str">
            <v>162-03</v>
          </cell>
          <cell r="B75">
            <v>4039</v>
          </cell>
          <cell r="C75" t="str">
            <v>DE.1.0.7.0</v>
          </cell>
          <cell r="D75" t="str">
            <v>204:232986</v>
          </cell>
          <cell r="E75">
            <v>42616.501793981479</v>
          </cell>
          <cell r="F75">
            <v>42616.508240740739</v>
          </cell>
          <cell r="G75">
            <v>2</v>
          </cell>
          <cell r="H75" t="str">
            <v>204:385</v>
          </cell>
          <cell r="I75">
            <v>42616.535879629628</v>
          </cell>
          <cell r="J75">
            <v>0</v>
          </cell>
          <cell r="K75" t="str">
            <v>4039/4040</v>
          </cell>
          <cell r="L75" t="str">
            <v>STAMBAUGH</v>
          </cell>
          <cell r="M75">
            <v>2.7638888888759539E-2</v>
          </cell>
          <cell r="N75">
            <v>39.799999999813735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https://search-rtdc-monitor-bjffxe2xuh6vdkpspy63sjmuny.us-east-1.es.amazonaws.com/_plugin/kibana/#/discover/Steve-Slow-Train-Analysis-(2080s-and-2083s)?_g=(refreshInterval:(display:Off,section:0,value:0),time:(from:'2016-09-03 11:02:35-0600',mode:absolute,to:'2016-09-03 13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75" t="str">
            <v>N</v>
          </cell>
          <cell r="X75">
            <v>1</v>
          </cell>
          <cell r="Y75">
            <v>23.2986</v>
          </cell>
          <cell r="Z75">
            <v>3.85E-2</v>
          </cell>
          <cell r="AA75">
            <v>23.260100000000001</v>
          </cell>
          <cell r="AB75">
            <v>21848</v>
          </cell>
          <cell r="AC75" t="str">
            <v>PERMANENT SPEED RESTRICTION</v>
          </cell>
          <cell r="AD75" t="str">
            <v>0162-03</v>
          </cell>
          <cell r="AE75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76">
          <cell r="A76" t="str">
            <v>163-03</v>
          </cell>
          <cell r="B76">
            <v>4027</v>
          </cell>
          <cell r="C76" t="str">
            <v>DE.1.0.7.0</v>
          </cell>
          <cell r="D76" t="str">
            <v>204:464</v>
          </cell>
          <cell r="E76">
            <v>42616.474687499998</v>
          </cell>
          <cell r="F76">
            <v>42616.479363425926</v>
          </cell>
          <cell r="G76">
            <v>6</v>
          </cell>
          <cell r="H76" t="str">
            <v>204:233297</v>
          </cell>
          <cell r="I76">
            <v>42616.505231481482</v>
          </cell>
          <cell r="J76">
            <v>0</v>
          </cell>
          <cell r="K76" t="str">
            <v>4027/4028</v>
          </cell>
          <cell r="L76" t="str">
            <v>MOSES</v>
          </cell>
          <cell r="M76">
            <v>2.5868055556202307E-2</v>
          </cell>
          <cell r="N76">
            <v>37.250000000931323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https://search-rtdc-monitor-bjffxe2xuh6vdkpspy63sjmuny.us-east-1.es.amazonaws.com/_plugin/kibana/#/discover/Steve-Slow-Train-Analysis-(2080s-and-2083s)?_g=(refreshInterval:(display:Off,section:0,value:0),time:(from:'2016-09-03 10:23:33-0600',mode:absolute,to:'2016-09-03 13:07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76" t="str">
            <v>N</v>
          </cell>
          <cell r="X76">
            <v>1</v>
          </cell>
          <cell r="Y76">
            <v>4.6399999999999997E-2</v>
          </cell>
          <cell r="Z76">
            <v>23.329699999999999</v>
          </cell>
          <cell r="AA76">
            <v>23.283300000000001</v>
          </cell>
          <cell r="AB76" t="e">
            <v>#N/A</v>
          </cell>
          <cell r="AC76" t="e">
            <v>#N/A</v>
          </cell>
          <cell r="AD76" t="str">
            <v>0163-03</v>
          </cell>
          <cell r="AE76" t="str">
    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    </cell>
        </row>
        <row r="77">
          <cell r="A77" t="str">
            <v>164-03</v>
          </cell>
          <cell r="B77">
            <v>4028</v>
          </cell>
          <cell r="C77" t="str">
            <v>DE.1.0.7.0</v>
          </cell>
          <cell r="D77" t="str">
            <v>204:232996</v>
          </cell>
          <cell r="E77">
            <v>42616.514710648145</v>
          </cell>
          <cell r="F77">
            <v>42616.51835648148</v>
          </cell>
          <cell r="G77">
            <v>2</v>
          </cell>
          <cell r="H77" t="str">
            <v>204:152</v>
          </cell>
          <cell r="I77">
            <v>42616.549293981479</v>
          </cell>
          <cell r="J77">
            <v>0</v>
          </cell>
          <cell r="K77" t="str">
            <v>4027/4028</v>
          </cell>
          <cell r="L77" t="str">
            <v>MOSES</v>
          </cell>
          <cell r="M77">
            <v>3.0937499999708962E-2</v>
          </cell>
          <cell r="N77">
            <v>44.549999999580905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https://search-rtdc-monitor-bjffxe2xuh6vdkpspy63sjmuny.us-east-1.es.amazonaws.com/_plugin/kibana/#/discover/Steve-Slow-Train-Analysis-(2080s-and-2083s)?_g=(refreshInterval:(display:Off,section:0,value:0),time:(from:'2016-09-03 11:21:11-0600',mode:absolute,to:'2016-09-03 14:10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77" t="str">
            <v>N</v>
          </cell>
          <cell r="X77">
            <v>1</v>
          </cell>
          <cell r="Y77">
            <v>23.299600000000002</v>
          </cell>
          <cell r="Z77">
            <v>1.52E-2</v>
          </cell>
          <cell r="AA77">
            <v>23.284400000000002</v>
          </cell>
          <cell r="AB77" t="e">
            <v>#N/A</v>
          </cell>
          <cell r="AC77" t="e">
            <v>#N/A</v>
          </cell>
          <cell r="AD77" t="str">
            <v>0164-03</v>
          </cell>
          <cell r="AE77" t="str">
    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    </cell>
        </row>
        <row r="78">
          <cell r="A78" t="str">
            <v>165-03</v>
          </cell>
          <cell r="B78">
            <v>4029</v>
          </cell>
          <cell r="C78" t="str">
            <v>DE.1.0.7.0</v>
          </cell>
          <cell r="D78" t="str">
            <v>204:464</v>
          </cell>
          <cell r="E78">
            <v>42616.48537037037</v>
          </cell>
          <cell r="F78">
            <v>42616.489756944444</v>
          </cell>
          <cell r="G78">
            <v>1</v>
          </cell>
          <cell r="H78" t="str">
            <v>204:233353</v>
          </cell>
          <cell r="I78">
            <v>42616.515520833331</v>
          </cell>
          <cell r="J78">
            <v>0</v>
          </cell>
          <cell r="K78" t="str">
            <v>4029/4030</v>
          </cell>
          <cell r="L78" t="str">
            <v>SHOOK</v>
          </cell>
          <cell r="M78">
            <v>2.5763888887013309E-2</v>
          </cell>
          <cell r="N78">
            <v>37.099999997299165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https://search-rtdc-monitor-bjffxe2xuh6vdkpspy63sjmuny.us-east-1.es.amazonaws.com/_plugin/kibana/#/discover/Steve-Slow-Train-Analysis-(2080s-and-2083s)?_g=(refreshInterval:(display:Off,section:0,value:0),time:(from:'2016-09-03 10:38:56-0600',mode:absolute,to:'2016-09-03 13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78" t="str">
            <v>N</v>
          </cell>
          <cell r="X78">
            <v>1</v>
          </cell>
          <cell r="Y78">
            <v>4.6399999999999997E-2</v>
          </cell>
          <cell r="Z78">
            <v>23.3353</v>
          </cell>
          <cell r="AA78">
            <v>23.288900000000002</v>
          </cell>
          <cell r="AB78" t="e">
            <v>#N/A</v>
          </cell>
          <cell r="AC78" t="e">
            <v>#N/A</v>
          </cell>
          <cell r="AD78" t="str">
            <v>0165-03</v>
          </cell>
          <cell r="AE78" t="str">
    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    </cell>
        </row>
        <row r="79">
          <cell r="A79" t="str">
            <v>166-03</v>
          </cell>
          <cell r="B79">
            <v>4030</v>
          </cell>
          <cell r="C79" t="str">
            <v>DE.1.0.7.0</v>
          </cell>
          <cell r="D79" t="str">
            <v>204:233048</v>
          </cell>
          <cell r="E79">
            <v>42616.522094907406</v>
          </cell>
          <cell r="F79">
            <v>42616.528668981482</v>
          </cell>
          <cell r="G79">
            <v>1</v>
          </cell>
          <cell r="H79" t="str">
            <v>204:150</v>
          </cell>
          <cell r="I79">
            <v>42616.556863425925</v>
          </cell>
          <cell r="J79">
            <v>0</v>
          </cell>
          <cell r="K79" t="str">
            <v>4029/4030</v>
          </cell>
          <cell r="L79" t="str">
            <v>SHOOK</v>
          </cell>
          <cell r="M79">
            <v>2.8194444443215616E-2</v>
          </cell>
          <cell r="N79">
            <v>40.599999998230487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https://search-rtdc-monitor-bjffxe2xuh6vdkpspy63sjmuny.us-east-1.es.amazonaws.com/_plugin/kibana/#/discover/Steve-Slow-Train-Analysis-(2080s-and-2083s)?_g=(refreshInterval:(display:Off,section:0,value:0),time:(from:'2016-09-03 11:31:49-0600',mode:absolute,to:'2016-09-03 14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79" t="str">
            <v>N</v>
          </cell>
          <cell r="X79">
            <v>1</v>
          </cell>
          <cell r="Y79">
            <v>23.3048</v>
          </cell>
          <cell r="Z79">
            <v>1.4999999999999999E-2</v>
          </cell>
          <cell r="AA79">
            <v>23.2898</v>
          </cell>
          <cell r="AB79" t="e">
            <v>#N/A</v>
          </cell>
          <cell r="AC79" t="e">
            <v>#N/A</v>
          </cell>
          <cell r="AD79" t="str">
            <v>0166-03</v>
          </cell>
          <cell r="AE79" t="str">
    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    </cell>
        </row>
        <row r="80">
          <cell r="A80" t="str">
            <v>167-03</v>
          </cell>
          <cell r="B80">
            <v>4020</v>
          </cell>
          <cell r="C80" t="str">
            <v>DE.1.0.7.0</v>
          </cell>
          <cell r="D80" t="str">
            <v>204:449</v>
          </cell>
          <cell r="E80">
            <v>42616.496724537035</v>
          </cell>
          <cell r="F80">
            <v>42616.500196759262</v>
          </cell>
          <cell r="G80">
            <v>2</v>
          </cell>
          <cell r="H80" t="str">
            <v>204:233325</v>
          </cell>
          <cell r="I80">
            <v>42616.525671296295</v>
          </cell>
          <cell r="J80">
            <v>0</v>
          </cell>
          <cell r="K80" t="str">
            <v>4019/4020</v>
          </cell>
          <cell r="L80" t="str">
            <v>BRUDER</v>
          </cell>
          <cell r="M80">
            <v>2.5474537033005618E-2</v>
          </cell>
          <cell r="N80">
            <v>36.683333327528089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https://search-rtdc-monitor-bjffxe2xuh6vdkpspy63sjmuny.us-east-1.es.amazonaws.com/_plugin/kibana/#/discover/Steve-Slow-Train-Analysis-(2080s-and-2083s)?_g=(refreshInterval:(display:Off,section:0,value:0),time:(from:'2016-09-03 10:55:17-0600',mode:absolute,to:'2016-09-03 13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80" t="str">
            <v>N</v>
          </cell>
          <cell r="X80">
            <v>1</v>
          </cell>
          <cell r="Y80">
            <v>4.4900000000000002E-2</v>
          </cell>
          <cell r="Z80">
            <v>23.3325</v>
          </cell>
          <cell r="AA80">
            <v>23.287600000000001</v>
          </cell>
          <cell r="AB80" t="e">
            <v>#N/A</v>
          </cell>
          <cell r="AC80" t="e">
            <v>#N/A</v>
          </cell>
          <cell r="AD80" t="str">
            <v>0167-03</v>
          </cell>
          <cell r="AE80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81">
          <cell r="A81" t="str">
            <v>168-03</v>
          </cell>
          <cell r="B81">
            <v>4019</v>
          </cell>
          <cell r="C81" t="str">
            <v>DE.1.0.7.0</v>
          </cell>
          <cell r="D81" t="str">
            <v>204:232993</v>
          </cell>
          <cell r="E81">
            <v>42616.533078703702</v>
          </cell>
          <cell r="F81">
            <v>42616.539131944446</v>
          </cell>
          <cell r="G81">
            <v>1</v>
          </cell>
          <cell r="H81" t="str">
            <v>204:156</v>
          </cell>
          <cell r="I81">
            <v>42616.565555555557</v>
          </cell>
          <cell r="J81">
            <v>0</v>
          </cell>
          <cell r="K81" t="str">
            <v>4019/4020</v>
          </cell>
          <cell r="L81" t="str">
            <v>BRUDER</v>
          </cell>
          <cell r="M81">
            <v>2.6423611110658385E-2</v>
          </cell>
          <cell r="N81">
            <v>38.049999999348074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https://search-rtdc-monitor-bjffxe2xuh6vdkpspy63sjmuny.us-east-1.es.amazonaws.com/_plugin/kibana/#/discover/Steve-Slow-Train-Analysis-(2080s-and-2083s)?_g=(refreshInterval:(display:Off,section:0,value:0),time:(from:'2016-09-03 11:47:38-0600',mode:absolute,to:'2016-09-03 14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81" t="str">
            <v>N</v>
          </cell>
          <cell r="X81">
            <v>1</v>
          </cell>
          <cell r="Y81">
            <v>23.299299999999999</v>
          </cell>
          <cell r="Z81">
            <v>1.5599999999999999E-2</v>
          </cell>
          <cell r="AA81">
            <v>23.2837</v>
          </cell>
          <cell r="AB81" t="e">
            <v>#N/A</v>
          </cell>
          <cell r="AC81" t="e">
            <v>#N/A</v>
          </cell>
          <cell r="AD81" t="str">
            <v>0168-03</v>
          </cell>
          <cell r="AE81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82">
          <cell r="A82" t="str">
            <v>169-03</v>
          </cell>
          <cell r="B82">
            <v>4018</v>
          </cell>
          <cell r="C82" t="str">
            <v>DE.1.0.7.0</v>
          </cell>
          <cell r="D82" t="str">
            <v>204:464</v>
          </cell>
          <cell r="E82">
            <v>42616.506678240738</v>
          </cell>
          <cell r="F82">
            <v>42616.510578703703</v>
          </cell>
          <cell r="G82">
            <v>1</v>
          </cell>
          <cell r="H82" t="str">
            <v>204:233316</v>
          </cell>
          <cell r="I82">
            <v>42616.536817129629</v>
          </cell>
          <cell r="J82">
            <v>0</v>
          </cell>
          <cell r="K82" t="str">
            <v>4017/4018</v>
          </cell>
          <cell r="L82" t="str">
            <v>CLARK</v>
          </cell>
          <cell r="M82">
            <v>2.6238425925839692E-2</v>
          </cell>
          <cell r="N82">
            <v>37.783333333209157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https://search-rtdc-monitor-bjffxe2xuh6vdkpspy63sjmuny.us-east-1.es.amazonaws.com/_plugin/kibana/#/discover/Steve-Slow-Train-Analysis-(2080s-and-2083s)?_g=(refreshInterval:(display:Off,section:0,value:0),time:(from:'2016-09-03 11:09:37-0600',mode:absolute,to:'2016-09-03 13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82" t="str">
            <v>N</v>
          </cell>
          <cell r="X82">
            <v>1</v>
          </cell>
          <cell r="Y82">
            <v>4.6399999999999997E-2</v>
          </cell>
          <cell r="Z82">
            <v>23.331600000000002</v>
          </cell>
          <cell r="AA82">
            <v>23.285200000000003</v>
          </cell>
          <cell r="AB82" t="e">
            <v>#N/A</v>
          </cell>
          <cell r="AC82" t="e">
            <v>#N/A</v>
          </cell>
          <cell r="AD82" t="str">
            <v>0169-03</v>
          </cell>
          <cell r="AE82" t="str">
    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    </cell>
        </row>
        <row r="83">
          <cell r="A83" t="str">
            <v>170-03</v>
          </cell>
          <cell r="B83">
            <v>4017</v>
          </cell>
          <cell r="C83" t="str">
            <v>DE.1.0.7.0</v>
          </cell>
          <cell r="D83" t="str">
            <v>204:232982</v>
          </cell>
          <cell r="E83">
            <v>42616.542685185188</v>
          </cell>
          <cell r="F83">
            <v>42616.549479166664</v>
          </cell>
          <cell r="G83">
            <v>1</v>
          </cell>
          <cell r="H83" t="str">
            <v>204:121</v>
          </cell>
          <cell r="I83">
            <v>42616.577766203707</v>
          </cell>
          <cell r="J83">
            <v>0</v>
          </cell>
          <cell r="K83" t="str">
            <v>4017/4018</v>
          </cell>
          <cell r="L83" t="str">
            <v>CLARK</v>
          </cell>
          <cell r="M83">
            <v>2.828703704290092E-2</v>
          </cell>
          <cell r="N83">
            <v>40.733333341777325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https://search-rtdc-monitor-bjffxe2xuh6vdkpspy63sjmuny.us-east-1.es.amazonaws.com/_plugin/kibana/#/discover/Steve-Slow-Train-Analysis-(2080s-and-2083s)?_g=(refreshInterval:(display:Off,section:0,value:0),time:(from:'2016-09-03 12:01:28-0600',mode:absolute,to:'2016-09-03 14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83" t="str">
            <v>N</v>
          </cell>
          <cell r="X83">
            <v>1</v>
          </cell>
          <cell r="Y83">
            <v>23.298200000000001</v>
          </cell>
          <cell r="Z83">
            <v>1.21E-2</v>
          </cell>
          <cell r="AA83">
            <v>23.286100000000001</v>
          </cell>
          <cell r="AB83" t="e">
            <v>#N/A</v>
          </cell>
          <cell r="AC83" t="e">
            <v>#N/A</v>
          </cell>
          <cell r="AD83" t="str">
            <v>0170-03</v>
          </cell>
          <cell r="AE83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84">
          <cell r="A84" t="str">
            <v>171-03</v>
          </cell>
          <cell r="B84">
            <v>4011</v>
          </cell>
          <cell r="C84" t="str">
            <v>DE.1.0.7.0</v>
          </cell>
          <cell r="D84" t="str">
            <v>204:1492</v>
          </cell>
          <cell r="E84">
            <v>42616.525879629633</v>
          </cell>
          <cell r="F84">
            <v>42616.527337962965</v>
          </cell>
          <cell r="G84">
            <v>1</v>
          </cell>
          <cell r="H84" t="str">
            <v>204:233302</v>
          </cell>
          <cell r="I84">
            <v>42616.553865740738</v>
          </cell>
          <cell r="J84">
            <v>0</v>
          </cell>
          <cell r="K84" t="str">
            <v>4011/4012</v>
          </cell>
          <cell r="L84" t="str">
            <v>WEBSTER</v>
          </cell>
          <cell r="M84">
            <v>2.6527777772571426E-2</v>
          </cell>
          <cell r="N84">
            <v>38.199999992502853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https://search-rtdc-monitor-bjffxe2xuh6vdkpspy63sjmuny.us-east-1.es.amazonaws.com/_plugin/kibana/#/discover/Steve-Slow-Train-Analysis-(2080s-and-2083s)?_g=(refreshInterval:(display:Off,section:0,value:0),time:(from:'2016-09-03 11:37:16-0600',mode:absolute,to:'2016-09-03 14:17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84" t="str">
            <v>N</v>
          </cell>
          <cell r="X84">
            <v>1</v>
          </cell>
          <cell r="Y84">
            <v>0.1492</v>
          </cell>
          <cell r="Z84">
            <v>23.330200000000001</v>
          </cell>
          <cell r="AA84">
            <v>23.181000000000001</v>
          </cell>
          <cell r="AB84" t="e">
            <v>#N/A</v>
          </cell>
          <cell r="AC84" t="e">
            <v>#N/A</v>
          </cell>
          <cell r="AD84" t="str">
            <v>0171-03</v>
          </cell>
          <cell r="AE84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85">
          <cell r="A85" t="str">
            <v>172-03</v>
          </cell>
          <cell r="B85">
            <v>4012</v>
          </cell>
          <cell r="C85" t="str">
            <v>DE.1.0.7.0</v>
          </cell>
          <cell r="D85" t="str">
            <v>204:232996</v>
          </cell>
          <cell r="E85">
            <v>42616.557141203702</v>
          </cell>
          <cell r="F85">
            <v>42616.560011574074</v>
          </cell>
          <cell r="G85">
            <v>1</v>
          </cell>
          <cell r="H85" t="str">
            <v>204:152</v>
          </cell>
          <cell r="I85">
            <v>42616.588495370372</v>
          </cell>
          <cell r="J85">
            <v>0</v>
          </cell>
          <cell r="K85" t="str">
            <v>4011/4012</v>
          </cell>
          <cell r="L85" t="str">
            <v>WEBSTER</v>
          </cell>
          <cell r="M85">
            <v>2.8483796297223307E-2</v>
          </cell>
          <cell r="N85">
            <v>41.016666668001562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https://search-rtdc-monitor-bjffxe2xuh6vdkpspy63sjmuny.us-east-1.es.amazonaws.com/_plugin/kibana/#/discover/Steve-Slow-Train-Analysis-(2080s-and-2083s)?_g=(refreshInterval:(display:Off,section:0,value:0),time:(from:'2016-09-03 12:22:17-0600',mode:absolute,to:'2016-09-03 15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85" t="str">
            <v>N</v>
          </cell>
          <cell r="X85">
            <v>1</v>
          </cell>
          <cell r="Y85">
            <v>23.299600000000002</v>
          </cell>
          <cell r="Z85">
            <v>1.52E-2</v>
          </cell>
          <cell r="AA85">
            <v>23.284400000000002</v>
          </cell>
          <cell r="AB85" t="e">
            <v>#N/A</v>
          </cell>
          <cell r="AC85" t="e">
            <v>#N/A</v>
          </cell>
          <cell r="AD85" t="str">
            <v>0172-03</v>
          </cell>
          <cell r="AE85" t="str">
    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    </cell>
        </row>
        <row r="86">
          <cell r="A86" t="str">
            <v>173-03</v>
          </cell>
          <cell r="B86">
            <v>4002</v>
          </cell>
          <cell r="C86" t="str">
            <v>DE.1.0.7.0</v>
          </cell>
          <cell r="D86" t="str">
            <v>204:457</v>
          </cell>
          <cell r="E86">
            <v>42616.52716435185</v>
          </cell>
          <cell r="F86">
            <v>42616.531608796293</v>
          </cell>
          <cell r="G86">
            <v>1</v>
          </cell>
          <cell r="H86" t="str">
            <v>204:233293</v>
          </cell>
          <cell r="I86">
            <v>42616.563356481478</v>
          </cell>
          <cell r="J86">
            <v>0</v>
          </cell>
          <cell r="K86" t="str">
            <v>4001/4002</v>
          </cell>
          <cell r="L86" t="str">
            <v>STEWART</v>
          </cell>
          <cell r="M86">
            <v>3.1747685185109731E-2</v>
          </cell>
          <cell r="N86">
            <v>45.716666666558012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https://search-rtdc-monitor-bjffxe2xuh6vdkpspy63sjmuny.us-east-1.es.amazonaws.com/_plugin/kibana/#/discover/Steve-Slow-Train-Analysis-(2080s-and-2083s)?_g=(refreshInterval:(display:Off,section:0,value:0),time:(from:'2016-09-03 11:39:07-0600',mode:absolute,to:'2016-09-03 14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86" t="str">
            <v>N</v>
          </cell>
          <cell r="X86">
            <v>1</v>
          </cell>
          <cell r="Y86">
            <v>4.5699999999999998E-2</v>
          </cell>
          <cell r="Z86">
            <v>23.3293</v>
          </cell>
          <cell r="AA86">
            <v>23.2836</v>
          </cell>
          <cell r="AB86" t="e">
            <v>#N/A</v>
          </cell>
          <cell r="AC86" t="e">
            <v>#N/A</v>
          </cell>
          <cell r="AD86" t="str">
            <v>0173-03</v>
          </cell>
          <cell r="AE86" t="str">
    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    </cell>
        </row>
        <row r="87">
          <cell r="A87" t="str">
            <v>174-03</v>
          </cell>
          <cell r="B87">
            <v>4001</v>
          </cell>
          <cell r="C87" t="str">
            <v>DE.1.0.7.0</v>
          </cell>
          <cell r="D87" t="str">
            <v>204:232986</v>
          </cell>
          <cell r="E87">
            <v>42616.56927083333</v>
          </cell>
          <cell r="F87">
            <v>42616.570671296293</v>
          </cell>
          <cell r="G87">
            <v>1</v>
          </cell>
          <cell r="H87" t="str">
            <v>204:150</v>
          </cell>
          <cell r="I87">
            <v>42616.599074074074</v>
          </cell>
          <cell r="J87">
            <v>0</v>
          </cell>
          <cell r="K87" t="str">
            <v>4001/4002</v>
          </cell>
          <cell r="L87" t="str">
            <v>STEWART</v>
          </cell>
          <cell r="M87">
            <v>2.8402777781593613E-2</v>
          </cell>
          <cell r="N87">
            <v>40.900000005494803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https://search-rtdc-monitor-bjffxe2xuh6vdkpspy63sjmuny.us-east-1.es.amazonaws.com/_plugin/kibana/#/discover/Steve-Slow-Train-Analysis-(2080s-and-2083s)?_g=(refreshInterval:(display:Off,section:0,value:0),time:(from:'2016-09-03 12:39:45-0600',mode:absolute,to:'2016-09-03 15:22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87" t="str">
            <v>N</v>
          </cell>
          <cell r="X87">
            <v>1</v>
          </cell>
          <cell r="Y87">
            <v>23.2986</v>
          </cell>
          <cell r="Z87">
            <v>1.4999999999999999E-2</v>
          </cell>
          <cell r="AA87">
            <v>23.2836</v>
          </cell>
          <cell r="AB87" t="e">
            <v>#N/A</v>
          </cell>
          <cell r="AC87" t="e">
            <v>#N/A</v>
          </cell>
          <cell r="AD87" t="str">
            <v>0174-03</v>
          </cell>
          <cell r="AE87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88">
          <cell r="A88" t="str">
            <v>175-03</v>
          </cell>
          <cell r="B88">
            <v>4040</v>
          </cell>
          <cell r="C88" t="str">
            <v>DE.1.0.7.0</v>
          </cell>
          <cell r="D88" t="str">
            <v>204:704</v>
          </cell>
          <cell r="E88">
            <v>42616.53733796296</v>
          </cell>
          <cell r="F88">
            <v>42616.542407407411</v>
          </cell>
          <cell r="G88">
            <v>1</v>
          </cell>
          <cell r="H88" t="str">
            <v>204:233323</v>
          </cell>
          <cell r="I88">
            <v>42616.566805555558</v>
          </cell>
          <cell r="J88">
            <v>0</v>
          </cell>
          <cell r="K88" t="str">
            <v>4039/4040</v>
          </cell>
          <cell r="L88" t="str">
            <v>STAMBAUGH</v>
          </cell>
          <cell r="M88">
            <v>2.4398148147156462E-2</v>
          </cell>
          <cell r="N88">
            <v>35.133333331905305</v>
          </cell>
          <cell r="S88">
            <v>1</v>
          </cell>
          <cell r="T88" t="str">
            <v>NorthBound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https://search-rtdc-monitor-bjffxe2xuh6vdkpspy63sjmuny.us-east-1.es.amazonaws.com/_plugin/kibana/#/discover/Steve-Slow-Train-Analysis-(2080s-and-2083s)?_g=(refreshInterval:(display:Off,section:0,value:0),time:(from:'2016-09-03 11:53:46-0600',mode:absolute,to:'2016-09-03 14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88" t="str">
            <v>N</v>
          </cell>
          <cell r="X88">
            <v>1</v>
          </cell>
          <cell r="Y88">
            <v>7.0400000000000004E-2</v>
          </cell>
          <cell r="Z88">
            <v>23.3323</v>
          </cell>
          <cell r="AA88">
            <v>23.261900000000001</v>
          </cell>
          <cell r="AB88" t="e">
            <v>#N/A</v>
          </cell>
          <cell r="AC88" t="e">
            <v>#N/A</v>
          </cell>
          <cell r="AD88" t="str">
            <v>0175-03</v>
          </cell>
          <cell r="AE88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89">
          <cell r="A89" t="str">
            <v>176-03</v>
          </cell>
          <cell r="B89">
            <v>4039</v>
          </cell>
          <cell r="C89" t="str">
            <v>DE.1.0.7.0</v>
          </cell>
          <cell r="D89" t="str">
            <v>204:233008</v>
          </cell>
          <cell r="E89">
            <v>42616.577280092592</v>
          </cell>
          <cell r="F89">
            <v>42616.580949074072</v>
          </cell>
          <cell r="G89">
            <v>1</v>
          </cell>
          <cell r="H89" t="str">
            <v>204:132</v>
          </cell>
          <cell r="I89">
            <v>42616.606759259259</v>
          </cell>
          <cell r="J89">
            <v>0</v>
          </cell>
          <cell r="K89" t="str">
            <v>4039/4040</v>
          </cell>
          <cell r="L89" t="str">
            <v>STAMBAUGH</v>
          </cell>
          <cell r="M89">
            <v>2.5810185186855961E-2</v>
          </cell>
          <cell r="N89">
            <v>37.166666669072583</v>
          </cell>
          <cell r="S89">
            <v>1</v>
          </cell>
          <cell r="T89" t="str">
            <v>Southbound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https://search-rtdc-monitor-bjffxe2xuh6vdkpspy63sjmuny.us-east-1.es.amazonaws.com/_plugin/kibana/#/discover/Steve-Slow-Train-Analysis-(2080s-and-2083s)?_g=(refreshInterval:(display:Off,section:0,value:0),time:(from:'2016-09-03 12:51:17-0600',mode:absolute,to:'2016-09-03 15:33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89" t="str">
            <v>N</v>
          </cell>
          <cell r="X89">
            <v>1</v>
          </cell>
          <cell r="Y89">
            <v>23.300799999999999</v>
          </cell>
          <cell r="Z89">
            <v>1.32E-2</v>
          </cell>
          <cell r="AA89">
            <v>23.287599999999998</v>
          </cell>
          <cell r="AB89" t="e">
            <v>#N/A</v>
          </cell>
          <cell r="AC89" t="e">
            <v>#N/A</v>
          </cell>
          <cell r="AD89" t="str">
            <v>0176-03</v>
          </cell>
          <cell r="AE89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90">
          <cell r="A90" t="str">
            <v>177-03</v>
          </cell>
          <cell r="B90">
            <v>4027</v>
          </cell>
          <cell r="C90" t="str">
            <v>DE.1.0.7.0</v>
          </cell>
          <cell r="D90" t="str">
            <v>204:429</v>
          </cell>
          <cell r="E90">
            <v>42616.551006944443</v>
          </cell>
          <cell r="F90">
            <v>42616.553020833337</v>
          </cell>
          <cell r="G90">
            <v>1</v>
          </cell>
          <cell r="H90" t="str">
            <v>204:233282</v>
          </cell>
          <cell r="I90">
            <v>42616.57980324074</v>
          </cell>
          <cell r="J90">
            <v>0</v>
          </cell>
          <cell r="K90" t="str">
            <v>4027/4028</v>
          </cell>
          <cell r="L90" t="str">
            <v>MOSES</v>
          </cell>
          <cell r="M90">
            <v>2.6782407403516117E-2</v>
          </cell>
          <cell r="N90">
            <v>38.566666661063209</v>
          </cell>
          <cell r="S90">
            <v>1</v>
          </cell>
          <cell r="T90" t="str">
            <v>NorthBound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https://search-rtdc-monitor-bjffxe2xuh6vdkpspy63sjmuny.us-east-1.es.amazonaws.com/_plugin/kibana/#/discover/Steve-Slow-Train-Analysis-(2080s-and-2083s)?_g=(refreshInterval:(display:Off,section:0,value:0),time:(from:'2016-09-03 12:13:27-0600',mode:absolute,to:'2016-09-03 14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90" t="str">
            <v>N</v>
          </cell>
          <cell r="X90">
            <v>1</v>
          </cell>
          <cell r="Y90">
            <v>4.2900000000000001E-2</v>
          </cell>
          <cell r="Z90">
            <v>23.328199999999999</v>
          </cell>
          <cell r="AA90">
            <v>23.285299999999999</v>
          </cell>
          <cell r="AB90" t="e">
            <v>#N/A</v>
          </cell>
          <cell r="AC90" t="e">
            <v>#N/A</v>
          </cell>
          <cell r="AD90" t="str">
            <v>0177-03</v>
          </cell>
          <cell r="AE90" t="str">
    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    </cell>
        </row>
        <row r="91">
          <cell r="A91" t="str">
            <v>178-03</v>
          </cell>
          <cell r="B91">
            <v>4028</v>
          </cell>
          <cell r="C91" t="str">
            <v>DE.1.0.7.0</v>
          </cell>
          <cell r="D91" t="str">
            <v>204:232965</v>
          </cell>
          <cell r="E91">
            <v>42616.588796296295</v>
          </cell>
          <cell r="F91">
            <v>42616.593217592592</v>
          </cell>
          <cell r="G91">
            <v>2</v>
          </cell>
          <cell r="H91" t="str">
            <v>204:1175</v>
          </cell>
          <cell r="I91">
            <v>42616.621238425927</v>
          </cell>
          <cell r="J91">
            <v>0</v>
          </cell>
          <cell r="K91" t="str">
            <v>4027/4028</v>
          </cell>
          <cell r="L91" t="str">
            <v>MOSES</v>
          </cell>
          <cell r="M91">
            <v>2.8020833335176576E-2</v>
          </cell>
          <cell r="N91">
            <v>40.350000002654269</v>
          </cell>
          <cell r="S91">
            <v>1</v>
          </cell>
          <cell r="T91" t="str">
            <v>Southbound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https://search-rtdc-monitor-bjffxe2xuh6vdkpspy63sjmuny.us-east-1.es.amazonaws.com/_plugin/kibana/#/discover/Steve-Slow-Train-Analysis-(2080s-and-2083s)?_g=(refreshInterval:(display:Off,section:0,value:0),time:(from:'2016-09-03 13:07:52-0600',mode:absolute,to:'2016-09-03 15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91" t="str">
            <v>N</v>
          </cell>
          <cell r="X91">
            <v>1</v>
          </cell>
          <cell r="Y91">
            <v>23.296500000000002</v>
          </cell>
          <cell r="Z91">
            <v>0.11749999999999999</v>
          </cell>
          <cell r="AA91">
            <v>23.179000000000002</v>
          </cell>
          <cell r="AB91" t="e">
            <v>#N/A</v>
          </cell>
          <cell r="AC91" t="e">
            <v>#N/A</v>
          </cell>
          <cell r="AD91" t="str">
            <v>0178-03</v>
          </cell>
          <cell r="AE91" t="str">
    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    </cell>
        </row>
        <row r="92">
          <cell r="A92" t="str">
            <v>179-03</v>
          </cell>
          <cell r="B92">
            <v>4029</v>
          </cell>
          <cell r="C92" t="str">
            <v>DE.1.0.7.0</v>
          </cell>
          <cell r="D92" t="str">
            <v>204:453</v>
          </cell>
          <cell r="E92">
            <v>42616.55841435185</v>
          </cell>
          <cell r="F92">
            <v>42616.562708333331</v>
          </cell>
          <cell r="G92">
            <v>1</v>
          </cell>
          <cell r="H92" t="str">
            <v>204:233351</v>
          </cell>
          <cell r="I92">
            <v>42616.588622685187</v>
          </cell>
          <cell r="J92">
            <v>0</v>
          </cell>
          <cell r="K92" t="str">
            <v>4029/4030</v>
          </cell>
          <cell r="L92" t="str">
            <v>SHOOK</v>
          </cell>
          <cell r="M92">
            <v>2.5914351856044959E-2</v>
          </cell>
          <cell r="N92">
            <v>37.316666672704741</v>
          </cell>
          <cell r="S92">
            <v>1</v>
          </cell>
          <cell r="T92" t="str">
            <v>NorthBound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https://search-rtdc-monitor-bjffxe2xuh6vdkpspy63sjmuny.us-east-1.es.amazonaws.com/_plugin/kibana/#/discover/Steve-Slow-Train-Analysis-(2080s-and-2083s)?_g=(refreshInterval:(display:Off,section:0,value:0),time:(from:'2016-09-03 12:24:07-0600',mode:absolute,to:'2016-09-03 15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92" t="str">
            <v>N</v>
          </cell>
          <cell r="X92">
            <v>1</v>
          </cell>
          <cell r="Y92">
            <v>4.53E-2</v>
          </cell>
          <cell r="Z92">
            <v>23.335100000000001</v>
          </cell>
          <cell r="AA92">
            <v>23.2898</v>
          </cell>
          <cell r="AB92" t="e">
            <v>#N/A</v>
          </cell>
          <cell r="AC92" t="e">
            <v>#N/A</v>
          </cell>
          <cell r="AD92" t="str">
            <v>0179-03</v>
          </cell>
          <cell r="AE92" t="str">
    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    </cell>
        </row>
        <row r="93">
          <cell r="A93" t="str">
            <v>180-03</v>
          </cell>
          <cell r="B93">
            <v>4030</v>
          </cell>
          <cell r="C93" t="str">
            <v>DE.1.0.7.0</v>
          </cell>
          <cell r="D93" t="str">
            <v>204:233057</v>
          </cell>
          <cell r="E93">
            <v>42616.596666666665</v>
          </cell>
          <cell r="F93">
            <v>42616.601666666669</v>
          </cell>
          <cell r="G93">
            <v>0</v>
          </cell>
          <cell r="H93" t="str">
            <v>204:147</v>
          </cell>
          <cell r="I93">
            <v>42616.63045138889</v>
          </cell>
          <cell r="J93">
            <v>0</v>
          </cell>
          <cell r="K93" t="str">
            <v>4029/4030</v>
          </cell>
          <cell r="L93" t="str">
            <v>SHOOK</v>
          </cell>
          <cell r="M93">
            <v>2.8784722220734693E-2</v>
          </cell>
          <cell r="N93">
            <v>41.449999997857958</v>
          </cell>
          <cell r="S93">
            <v>1</v>
          </cell>
          <cell r="T93" t="str">
            <v>Southbound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https://search-rtdc-monitor-bjffxe2xuh6vdkpspy63sjmuny.us-east-1.es.amazonaws.com/_plugin/kibana/#/discover/Steve-Slow-Train-Analysis-(2080s-and-2083s)?_g=(refreshInterval:(display:Off,section:0,value:0),time:(from:'2016-09-03 13:19:12-0600',mode:absolute,to:'2016-09-03 16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93" t="str">
            <v>N</v>
          </cell>
          <cell r="X93">
            <v>1</v>
          </cell>
          <cell r="Y93">
            <v>23.305700000000002</v>
          </cell>
          <cell r="Z93">
            <v>1.47E-2</v>
          </cell>
          <cell r="AA93">
            <v>23.291</v>
          </cell>
          <cell r="AB93" t="e">
            <v>#N/A</v>
          </cell>
          <cell r="AC93" t="e">
            <v>#N/A</v>
          </cell>
          <cell r="AD93" t="str">
            <v>0180-03</v>
          </cell>
          <cell r="AE93" t="str">
    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    </cell>
        </row>
        <row r="94">
          <cell r="A94" t="str">
            <v>181-03</v>
          </cell>
          <cell r="B94">
            <v>4020</v>
          </cell>
          <cell r="C94" t="str">
            <v>DE.1.0.7.0</v>
          </cell>
          <cell r="D94" t="str">
            <v>204:471</v>
          </cell>
          <cell r="E94">
            <v>42616.56753472222</v>
          </cell>
          <cell r="F94">
            <v>42616.57309027778</v>
          </cell>
          <cell r="G94">
            <v>1</v>
          </cell>
          <cell r="H94" t="str">
            <v>204:233305</v>
          </cell>
          <cell r="I94">
            <v>42616.597731481481</v>
          </cell>
          <cell r="J94">
            <v>0</v>
          </cell>
          <cell r="K94" t="str">
            <v>4019/4020</v>
          </cell>
          <cell r="L94" t="str">
            <v>BRUDER</v>
          </cell>
          <cell r="M94">
            <v>2.4641203701321501E-2</v>
          </cell>
          <cell r="N94">
            <v>35.483333329902962</v>
          </cell>
          <cell r="S94">
            <v>1</v>
          </cell>
          <cell r="T94" t="str">
            <v>NorthBound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https://search-rtdc-monitor-bjffxe2xuh6vdkpspy63sjmuny.us-east-1.es.amazonaws.com/_plugin/kibana/#/discover/Steve-Slow-Train-Analysis-(2080s-and-2083s)?_g=(refreshInterval:(display:Off,section:0,value:0),time:(from:'2016-09-03 12:37:15-0600',mode:absolute,to:'2016-09-03 15:20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94" t="str">
            <v>N</v>
          </cell>
          <cell r="X94">
            <v>1</v>
          </cell>
          <cell r="Y94">
            <v>4.7100000000000003E-2</v>
          </cell>
          <cell r="Z94">
            <v>23.330500000000001</v>
          </cell>
          <cell r="AA94">
            <v>23.2834</v>
          </cell>
          <cell r="AB94" t="e">
            <v>#N/A</v>
          </cell>
          <cell r="AC94" t="e">
            <v>#N/A</v>
          </cell>
          <cell r="AD94" t="str">
            <v>0181-03</v>
          </cell>
          <cell r="AE94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95">
          <cell r="A95" t="str">
            <v>182-03</v>
          </cell>
          <cell r="B95">
            <v>4019</v>
          </cell>
          <cell r="C95" t="str">
            <v>DE.1.0.7.0</v>
          </cell>
          <cell r="D95" t="str">
            <v>204:232977</v>
          </cell>
          <cell r="E95">
            <v>42616.605613425927</v>
          </cell>
          <cell r="F95">
            <v>42616.612002314818</v>
          </cell>
          <cell r="G95">
            <v>1</v>
          </cell>
          <cell r="H95" t="str">
            <v>204:139</v>
          </cell>
          <cell r="I95">
            <v>42616.639467592591</v>
          </cell>
          <cell r="J95">
            <v>0</v>
          </cell>
          <cell r="K95" t="str">
            <v>4019/4020</v>
          </cell>
          <cell r="L95" t="str">
            <v>BRUDER</v>
          </cell>
          <cell r="M95">
            <v>2.7465277773444541E-2</v>
          </cell>
          <cell r="N95">
            <v>39.549999993760139</v>
          </cell>
          <cell r="S95">
            <v>1</v>
          </cell>
          <cell r="T95" t="str">
            <v>Southbound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https://search-rtdc-monitor-bjffxe2xuh6vdkpspy63sjmuny.us-east-1.es.amazonaws.com/_plugin/kibana/#/discover/Steve-Slow-Train-Analysis-(2080s-and-2083s)?_g=(refreshInterval:(display:Off,section:0,value:0),time:(from:'2016-09-03 13:32:05-0600',mode:absolute,to:'2016-09-03 16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95" t="str">
            <v>N</v>
          </cell>
          <cell r="X95">
            <v>1</v>
          </cell>
          <cell r="Y95">
            <v>23.297699999999999</v>
          </cell>
          <cell r="Z95">
            <v>1.3899999999999999E-2</v>
          </cell>
          <cell r="AA95">
            <v>23.283799999999999</v>
          </cell>
          <cell r="AB95" t="e">
            <v>#N/A</v>
          </cell>
          <cell r="AC95" t="e">
            <v>#N/A</v>
          </cell>
          <cell r="AD95" t="str">
            <v>0182-03</v>
          </cell>
          <cell r="AE95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96">
          <cell r="A96" t="str">
            <v>183-03</v>
          </cell>
          <cell r="B96">
            <v>4018</v>
          </cell>
          <cell r="C96" t="str">
            <v>DE.1.0.7.0</v>
          </cell>
          <cell r="D96" t="str">
            <v>204:427</v>
          </cell>
          <cell r="E96">
            <v>42616.579398148147</v>
          </cell>
          <cell r="F96">
            <v>42616.583495370367</v>
          </cell>
          <cell r="G96">
            <v>1</v>
          </cell>
          <cell r="H96" t="str">
            <v>204:233244</v>
          </cell>
          <cell r="I96">
            <v>42616.611805555556</v>
          </cell>
          <cell r="J96">
            <v>0</v>
          </cell>
          <cell r="K96" t="str">
            <v>4017/4018</v>
          </cell>
          <cell r="L96" t="str">
            <v>CLARK</v>
          </cell>
          <cell r="M96">
            <v>2.8310185189184267E-2</v>
          </cell>
          <cell r="N96">
            <v>40.766666672425345</v>
          </cell>
          <cell r="S96">
            <v>1</v>
          </cell>
          <cell r="T96" t="str">
            <v>NorthBound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https://search-rtdc-monitor-bjffxe2xuh6vdkpspy63sjmuny.us-east-1.es.amazonaws.com/_plugin/kibana/#/discover/Steve-Slow-Train-Analysis-(2080s-and-2083s)?_g=(refreshInterval:(display:Off,section:0,value:0),time:(from:'2016-09-03 12:54:20-0600',mode:absolute,to:'2016-09-03 15:41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96" t="str">
            <v>N</v>
          </cell>
          <cell r="X96">
            <v>1</v>
          </cell>
          <cell r="Y96">
            <v>4.2700000000000002E-2</v>
          </cell>
          <cell r="Z96">
            <v>23.324400000000001</v>
          </cell>
          <cell r="AA96">
            <v>23.281700000000001</v>
          </cell>
          <cell r="AB96" t="e">
            <v>#N/A</v>
          </cell>
          <cell r="AC96" t="e">
            <v>#N/A</v>
          </cell>
          <cell r="AD96" t="str">
            <v>0183-03</v>
          </cell>
          <cell r="AE96" t="str">
    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    </cell>
        </row>
        <row r="97">
          <cell r="A97" t="str">
            <v>184-03</v>
          </cell>
          <cell r="B97">
            <v>4017</v>
          </cell>
          <cell r="C97" t="str">
            <v>DE.1.0.7.0</v>
          </cell>
          <cell r="D97" t="str">
            <v>204:232936</v>
          </cell>
          <cell r="E97">
            <v>42616.616481481484</v>
          </cell>
          <cell r="F97">
            <v>42616.622395833336</v>
          </cell>
          <cell r="G97">
            <v>1</v>
          </cell>
          <cell r="H97" t="str">
            <v>204:167</v>
          </cell>
          <cell r="I97">
            <v>42616.650682870371</v>
          </cell>
          <cell r="J97">
            <v>0</v>
          </cell>
          <cell r="K97" t="str">
            <v>4017/4018</v>
          </cell>
          <cell r="L97" t="str">
            <v>CLARK</v>
          </cell>
          <cell r="M97">
            <v>2.8287037035624962E-2</v>
          </cell>
          <cell r="N97">
            <v>40.733333331299946</v>
          </cell>
          <cell r="S97">
            <v>1</v>
          </cell>
          <cell r="T97" t="str">
            <v>Southbound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https://search-rtdc-monitor-bjffxe2xuh6vdkpspy63sjmuny.us-east-1.es.amazonaws.com/_plugin/kibana/#/discover/Steve-Slow-Train-Analysis-(2080s-and-2083s)?_g=(refreshInterval:(display:Off,section:0,value:0),time:(from:'2016-09-03 13:47:44-0600',mode:absolute,to:'2016-09-03 16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97" t="str">
            <v>N</v>
          </cell>
          <cell r="X97">
            <v>1</v>
          </cell>
          <cell r="Y97">
            <v>23.293600000000001</v>
          </cell>
          <cell r="Z97">
            <v>1.67E-2</v>
          </cell>
          <cell r="AA97">
            <v>23.276900000000001</v>
          </cell>
          <cell r="AB97" t="e">
            <v>#N/A</v>
          </cell>
          <cell r="AC97" t="e">
            <v>#N/A</v>
          </cell>
          <cell r="AD97" t="str">
            <v>0184-03</v>
          </cell>
          <cell r="AE97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98">
          <cell r="A98" t="str">
            <v>185-03</v>
          </cell>
          <cell r="B98">
            <v>4011</v>
          </cell>
          <cell r="C98" t="str">
            <v>DE.1.0.7.0</v>
          </cell>
          <cell r="D98" t="str">
            <v>204:458</v>
          </cell>
          <cell r="E98">
            <v>42616.59070601852</v>
          </cell>
          <cell r="F98">
            <v>42616.594212962962</v>
          </cell>
          <cell r="G98">
            <v>2</v>
          </cell>
          <cell r="H98" t="str">
            <v>204:233303</v>
          </cell>
          <cell r="I98">
            <v>42616.620057870372</v>
          </cell>
          <cell r="J98">
            <v>0</v>
          </cell>
          <cell r="K98" t="str">
            <v>4011/4012</v>
          </cell>
          <cell r="L98" t="str">
            <v>WEBSTER</v>
          </cell>
          <cell r="M98">
            <v>2.584490740991896E-2</v>
          </cell>
          <cell r="N98">
            <v>37.216666670283303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https://search-rtdc-monitor-bjffxe2xuh6vdkpspy63sjmuny.us-east-1.es.amazonaws.com/_plugin/kibana/#/discover/Steve-Slow-Train-Analysis-(2080s-and-2083s)?_g=(refreshInterval:(display:Off,section:0,value:0),time:(from:'2016-09-03 13:10:37-0600',mode:absolute,to:'2016-09-03 15:52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98" t="str">
            <v>N</v>
          </cell>
          <cell r="X98">
            <v>1</v>
          </cell>
          <cell r="Y98">
            <v>4.58E-2</v>
          </cell>
          <cell r="Z98">
            <v>23.330300000000001</v>
          </cell>
          <cell r="AA98">
            <v>23.284500000000001</v>
          </cell>
          <cell r="AB98" t="e">
            <v>#N/A</v>
          </cell>
          <cell r="AC98" t="e">
            <v>#N/A</v>
          </cell>
          <cell r="AD98" t="str">
            <v>0185-03</v>
          </cell>
          <cell r="AE98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99">
          <cell r="A99" t="str">
            <v>186-03</v>
          </cell>
          <cell r="B99">
            <v>4012</v>
          </cell>
          <cell r="C99" t="str">
            <v>DE.1.0.7.0</v>
          </cell>
          <cell r="D99" t="str">
            <v>204:232992</v>
          </cell>
          <cell r="E99">
            <v>42616.630462962959</v>
          </cell>
          <cell r="F99">
            <v>42616.633750000001</v>
          </cell>
          <cell r="G99">
            <v>1</v>
          </cell>
          <cell r="H99" t="str">
            <v>204:141</v>
          </cell>
          <cell r="I99">
            <v>42616.662662037037</v>
          </cell>
          <cell r="J99">
            <v>0</v>
          </cell>
          <cell r="K99" t="str">
            <v>4011/4012</v>
          </cell>
          <cell r="L99" t="str">
            <v>WEBSTER</v>
          </cell>
          <cell r="M99">
            <v>2.8912037036207039E-2</v>
          </cell>
          <cell r="N99">
            <v>41.633333332138136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https://search-rtdc-monitor-bjffxe2xuh6vdkpspy63sjmuny.us-east-1.es.amazonaws.com/_plugin/kibana/#/discover/Steve-Slow-Train-Analysis-(2080s-and-2083s)?_g=(refreshInterval:(display:Off,section:0,value:0),time:(from:'2016-09-03 14:07:52-0600',mode:absolute,to:'2016-09-03 16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99" t="str">
            <v>N</v>
          </cell>
          <cell r="X99">
            <v>1</v>
          </cell>
          <cell r="Y99">
            <v>23.299199999999999</v>
          </cell>
          <cell r="Z99">
            <v>1.41E-2</v>
          </cell>
          <cell r="AA99">
            <v>23.2851</v>
          </cell>
          <cell r="AB99" t="e">
            <v>#N/A</v>
          </cell>
          <cell r="AC99" t="e">
            <v>#N/A</v>
          </cell>
          <cell r="AD99" t="str">
            <v>0186-03</v>
          </cell>
          <cell r="AE99" t="str">
    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    </cell>
        </row>
        <row r="100">
          <cell r="A100" t="str">
            <v>187-03</v>
          </cell>
          <cell r="B100">
            <v>4002</v>
          </cell>
          <cell r="C100" t="str">
            <v>DE.1.0.7.0</v>
          </cell>
          <cell r="D100" t="str">
            <v>204:466</v>
          </cell>
          <cell r="E100">
            <v>42616.600925925923</v>
          </cell>
          <cell r="F100">
            <v>42616.604444444441</v>
          </cell>
          <cell r="G100">
            <v>1</v>
          </cell>
          <cell r="H100" t="str">
            <v>204:233323</v>
          </cell>
          <cell r="I100">
            <v>42616.63</v>
          </cell>
          <cell r="J100">
            <v>0</v>
          </cell>
          <cell r="K100" t="str">
            <v>4001/4002</v>
          </cell>
          <cell r="L100" t="str">
            <v>STEWART</v>
          </cell>
          <cell r="M100">
            <v>2.5555555555911269E-2</v>
          </cell>
          <cell r="N100">
            <v>36.800000000512227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https://search-rtdc-monitor-bjffxe2xuh6vdkpspy63sjmuny.us-east-1.es.amazonaws.com/_plugin/kibana/#/discover/Steve-Slow-Train-Analysis-(2080s-and-2083s)?_g=(refreshInterval:(display:Off,section:0,value:0),time:(from:'2016-09-03 13:25:20-0600',mode:absolute,to:'2016-09-03 16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00" t="str">
            <v>N</v>
          </cell>
          <cell r="X100">
            <v>1</v>
          </cell>
          <cell r="Y100">
            <v>4.6600000000000003E-2</v>
          </cell>
          <cell r="Z100">
            <v>23.3323</v>
          </cell>
          <cell r="AA100">
            <v>23.285699999999999</v>
          </cell>
          <cell r="AB100" t="e">
            <v>#N/A</v>
          </cell>
          <cell r="AC100" t="e">
            <v>#N/A</v>
          </cell>
          <cell r="AD100" t="str">
            <v>0187-03</v>
          </cell>
          <cell r="AE100" t="str">
    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    </cell>
        </row>
        <row r="101">
          <cell r="A101" t="str">
            <v>188-03</v>
          </cell>
          <cell r="B101">
            <v>4001</v>
          </cell>
          <cell r="C101" t="str">
            <v>DE.1.0.7.0</v>
          </cell>
          <cell r="D101" t="str">
            <v>204:232994</v>
          </cell>
          <cell r="E101">
            <v>42616.639953703707</v>
          </cell>
          <cell r="F101">
            <v>42616.643495370372</v>
          </cell>
          <cell r="G101">
            <v>2</v>
          </cell>
          <cell r="H101" t="str">
            <v>204:154</v>
          </cell>
          <cell r="I101">
            <v>42616.673067129632</v>
          </cell>
          <cell r="J101">
            <v>0</v>
          </cell>
          <cell r="K101" t="str">
            <v>4001/4002</v>
          </cell>
          <cell r="L101" t="str">
            <v>STEWART</v>
          </cell>
          <cell r="M101">
            <v>2.9571759259852115E-2</v>
          </cell>
          <cell r="N101">
            <v>42.583333334187046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https://search-rtdc-monitor-bjffxe2xuh6vdkpspy63sjmuny.us-east-1.es.amazonaws.com/_plugin/kibana/#/discover/Steve-Slow-Train-Analysis-(2080s-and-2083s)?_g=(refreshInterval:(display:Off,section:0,value:0),time:(from:'2016-09-03 14:21:32-0600',mode:absolute,to:'2016-09-03 17:09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01" t="str">
            <v>N</v>
          </cell>
          <cell r="X101">
            <v>1</v>
          </cell>
          <cell r="Y101">
            <v>23.299399999999999</v>
          </cell>
          <cell r="Z101">
            <v>1.54E-2</v>
          </cell>
          <cell r="AA101">
            <v>23.283999999999999</v>
          </cell>
          <cell r="AB101" t="e">
            <v>#N/A</v>
          </cell>
          <cell r="AC101" t="e">
            <v>#N/A</v>
          </cell>
          <cell r="AD101" t="str">
            <v>0188-03</v>
          </cell>
          <cell r="AE101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102">
          <cell r="A102" t="str">
            <v>189-03</v>
          </cell>
          <cell r="B102">
            <v>4040</v>
          </cell>
          <cell r="C102" t="str">
            <v>DE.1.0.7.0</v>
          </cell>
          <cell r="D102" t="str">
            <v>204:435</v>
          </cell>
          <cell r="E102">
            <v>42616.608043981483</v>
          </cell>
          <cell r="F102">
            <v>42616.615578703706</v>
          </cell>
          <cell r="G102">
            <v>1</v>
          </cell>
          <cell r="H102" t="str">
            <v>204:233299</v>
          </cell>
          <cell r="I102">
            <v>42616.640648148146</v>
          </cell>
          <cell r="J102">
            <v>0</v>
          </cell>
          <cell r="K102" t="str">
            <v>4039/4040</v>
          </cell>
          <cell r="L102" t="str">
            <v>STAMBAUGH</v>
          </cell>
          <cell r="M102">
            <v>2.5069444440305233E-2</v>
          </cell>
          <cell r="N102">
            <v>36.099999994039536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https://search-rtdc-monitor-bjffxe2xuh6vdkpspy63sjmuny.us-east-1.es.amazonaws.com/_plugin/kibana/#/discover/Steve-Slow-Train-Analysis-(2080s-and-2083s)?_g=(refreshInterval:(display:Off,section:0,value:0),time:(from:'2016-09-03 13:35:35-0600',mode:absolute,to:'2016-09-03 16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102" t="str">
            <v>N</v>
          </cell>
          <cell r="X102">
            <v>1</v>
          </cell>
          <cell r="Y102">
            <v>4.3499999999999997E-2</v>
          </cell>
          <cell r="Z102">
            <v>23.329899999999999</v>
          </cell>
          <cell r="AA102">
            <v>23.286399999999997</v>
          </cell>
          <cell r="AB102">
            <v>42779</v>
          </cell>
          <cell r="AC102" t="str">
            <v>GRADE CROSSING</v>
          </cell>
          <cell r="AD102" t="str">
            <v>0189-03</v>
          </cell>
          <cell r="AE102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103">
          <cell r="A103" t="str">
            <v>190-03</v>
          </cell>
          <cell r="B103">
            <v>4039</v>
          </cell>
          <cell r="C103" t="str">
            <v>DE.1.0.7.0</v>
          </cell>
          <cell r="D103" t="str">
            <v>204:232990</v>
          </cell>
          <cell r="E103">
            <v>42616.650648148148</v>
          </cell>
          <cell r="F103">
            <v>42616.654432870368</v>
          </cell>
          <cell r="G103">
            <v>1</v>
          </cell>
          <cell r="H103" t="str">
            <v>204:134</v>
          </cell>
          <cell r="I103">
            <v>42616.679988425924</v>
          </cell>
          <cell r="J103">
            <v>0</v>
          </cell>
          <cell r="K103" t="str">
            <v>4039/4040</v>
          </cell>
          <cell r="L103" t="str">
            <v>STAMBAUGH</v>
          </cell>
          <cell r="M103">
            <v>2.5555555555911269E-2</v>
          </cell>
          <cell r="N103">
            <v>36.800000000512227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https://search-rtdc-monitor-bjffxe2xuh6vdkpspy63sjmuny.us-east-1.es.amazonaws.com/_plugin/kibana/#/discover/Steve-Slow-Train-Analysis-(2080s-and-2083s)?_g=(refreshInterval:(display:Off,section:0,value:0),time:(from:'2016-09-03 14:36:56-0600',mode:absolute,to:'2016-09-03 17:19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103" t="str">
            <v>N</v>
          </cell>
          <cell r="X103">
            <v>1</v>
          </cell>
          <cell r="Y103">
            <v>23.298999999999999</v>
          </cell>
          <cell r="Z103">
            <v>1.34E-2</v>
          </cell>
          <cell r="AA103">
            <v>23.285599999999999</v>
          </cell>
          <cell r="AB103" t="e">
            <v>#N/A</v>
          </cell>
          <cell r="AC103" t="e">
            <v>#N/A</v>
          </cell>
          <cell r="AD103" t="str">
            <v>0190-03</v>
          </cell>
          <cell r="AE103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104">
          <cell r="A104" t="str">
            <v>191-03</v>
          </cell>
          <cell r="B104">
            <v>4014</v>
          </cell>
          <cell r="C104" t="str">
            <v>DE.1.0.7.0</v>
          </cell>
          <cell r="D104" t="str">
            <v>204:458</v>
          </cell>
          <cell r="E104">
            <v>42616.61582175926</v>
          </cell>
          <cell r="F104">
            <v>42616.627974537034</v>
          </cell>
          <cell r="G104">
            <v>10</v>
          </cell>
          <cell r="H104" t="str">
            <v>204:233304</v>
          </cell>
          <cell r="I104">
            <v>42616.654560185183</v>
          </cell>
          <cell r="J104">
            <v>0</v>
          </cell>
          <cell r="K104" t="str">
            <v>4013/4014</v>
          </cell>
          <cell r="L104" t="str">
            <v>STAMBAUGH</v>
          </cell>
          <cell r="M104">
            <v>2.658564814919373E-2</v>
          </cell>
          <cell r="N104">
            <v>38.283333334838971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https://search-rtdc-monitor-bjffxe2xuh6vdkpspy63sjmuny.us-east-1.es.amazonaws.com/_plugin/kibana/#/discover/Steve-Slow-Train-Analysis-(2080s-and-2083s)?_g=(refreshInterval:(display:Off,section:0,value:0),time:(from:'2016-09-03 13:46:47-0600',mode:absolute,to:'2016-09-03 16:42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04" t="str">
            <v>N</v>
          </cell>
          <cell r="X104">
            <v>1</v>
          </cell>
          <cell r="Y104">
            <v>4.58E-2</v>
          </cell>
          <cell r="Z104">
            <v>23.330400000000001</v>
          </cell>
          <cell r="AA104">
            <v>23.284600000000001</v>
          </cell>
          <cell r="AB104">
            <v>222090</v>
          </cell>
          <cell r="AC104" t="str">
            <v>PERMANENT SPEED RESTRICTION</v>
          </cell>
          <cell r="AD104" t="str">
            <v>0191-03</v>
          </cell>
          <cell r="AE104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105">
          <cell r="A105" t="str">
            <v>192-03</v>
          </cell>
          <cell r="B105">
            <v>4013</v>
          </cell>
          <cell r="C105" t="str">
            <v>DE.1.0.7.0</v>
          </cell>
          <cell r="D105" t="str">
            <v>204:232985</v>
          </cell>
          <cell r="E105">
            <v>42616.66065972222</v>
          </cell>
          <cell r="F105">
            <v>42616.664247685185</v>
          </cell>
          <cell r="G105">
            <v>1</v>
          </cell>
          <cell r="H105" t="str">
            <v>204:156</v>
          </cell>
          <cell r="I105">
            <v>42616.694849537038</v>
          </cell>
          <cell r="J105">
            <v>0</v>
          </cell>
          <cell r="K105" t="str">
            <v>4013/4014</v>
          </cell>
          <cell r="L105" t="str">
            <v>MOSES</v>
          </cell>
          <cell r="M105">
            <v>3.0601851853134576E-2</v>
          </cell>
          <cell r="N105">
            <v>44.06666666851379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https://search-rtdc-monitor-bjffxe2xuh6vdkpspy63sjmuny.us-east-1.es.amazonaws.com/_plugin/kibana/#/discover/Steve-Slow-Train-Analysis-(2080s-and-2083s)?_g=(refreshInterval:(display:Off,section:0,value:0),time:(from:'2016-09-03 14:51:21-0600',mode:absolute,to:'2016-09-03 17:40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05" t="str">
            <v>N</v>
          </cell>
          <cell r="X105">
            <v>1</v>
          </cell>
          <cell r="Y105">
            <v>23.298500000000001</v>
          </cell>
          <cell r="Z105">
            <v>1.5599999999999999E-2</v>
          </cell>
          <cell r="AA105">
            <v>23.282900000000001</v>
          </cell>
          <cell r="AB105" t="e">
            <v>#N/A</v>
          </cell>
          <cell r="AC105" t="e">
            <v>#N/A</v>
          </cell>
          <cell r="AD105" t="str">
            <v>0192-03</v>
          </cell>
          <cell r="AE105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106">
          <cell r="A106" t="str">
            <v>193-03</v>
          </cell>
          <cell r="B106">
            <v>4029</v>
          </cell>
          <cell r="C106" t="str">
            <v>DE.1.0.7.0</v>
          </cell>
          <cell r="D106" t="str">
            <v>204:449</v>
          </cell>
          <cell r="E106">
            <v>42616.63212962963</v>
          </cell>
          <cell r="F106">
            <v>42616.635613425926</v>
          </cell>
          <cell r="G106">
            <v>1</v>
          </cell>
          <cell r="H106" t="str">
            <v>204:233370</v>
          </cell>
          <cell r="I106">
            <v>42616.663043981483</v>
          </cell>
          <cell r="J106">
            <v>0</v>
          </cell>
          <cell r="K106" t="str">
            <v>4029/4030</v>
          </cell>
          <cell r="L106" t="str">
            <v>SHOOK</v>
          </cell>
          <cell r="M106">
            <v>2.7430555557657499E-2</v>
          </cell>
          <cell r="N106">
            <v>39.500000003026798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https://search-rtdc-monitor-bjffxe2xuh6vdkpspy63sjmuny.us-east-1.es.amazonaws.com/_plugin/kibana/#/discover/Steve-Slow-Train-Analysis-(2080s-and-2083s)?_g=(refreshInterval:(display:Off,section:0,value:0),time:(from:'2016-09-03 14:10:16-0600',mode:absolute,to:'2016-09-03 16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06" t="str">
            <v>N</v>
          </cell>
          <cell r="X106">
            <v>1</v>
          </cell>
          <cell r="Y106">
            <v>4.4900000000000002E-2</v>
          </cell>
          <cell r="Z106">
            <v>23.337</v>
          </cell>
          <cell r="AA106">
            <v>23.292100000000001</v>
          </cell>
          <cell r="AB106" t="e">
            <v>#N/A</v>
          </cell>
          <cell r="AC106" t="e">
            <v>#N/A</v>
          </cell>
          <cell r="AD106" t="str">
            <v>0193-03</v>
          </cell>
          <cell r="AE106" t="str">
    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    </cell>
        </row>
        <row r="107">
          <cell r="A107" t="str">
            <v>194-03</v>
          </cell>
          <cell r="B107">
            <v>4030</v>
          </cell>
          <cell r="C107" t="str">
            <v>DE.1.0.7.0</v>
          </cell>
          <cell r="D107" t="str">
            <v>204:233025</v>
          </cell>
          <cell r="E107">
            <v>42616.668263888889</v>
          </cell>
          <cell r="F107">
            <v>42616.67386574074</v>
          </cell>
          <cell r="G107">
            <v>1</v>
          </cell>
          <cell r="H107" t="str">
            <v>204:1190</v>
          </cell>
          <cell r="I107">
            <v>42616.708622685182</v>
          </cell>
          <cell r="J107">
            <v>0</v>
          </cell>
          <cell r="K107" t="str">
            <v>4029/4030</v>
          </cell>
          <cell r="L107" t="str">
            <v>SHOOK</v>
          </cell>
          <cell r="M107">
            <v>3.4756944442051463E-2</v>
          </cell>
          <cell r="N107">
            <v>50.049999996554106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https://search-rtdc-monitor-bjffxe2xuh6vdkpspy63sjmuny.us-east-1.es.amazonaws.com/_plugin/kibana/#/discover/Steve-Slow-Train-Analysis-(2080s-and-2083s)?_g=(refreshInterval:(display:Off,section:0,value:0),time:(from:'2016-09-03 15:02:18-0600',mode:absolute,to:'2016-09-03 18:00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07" t="str">
            <v>N</v>
          </cell>
          <cell r="X107">
            <v>1</v>
          </cell>
          <cell r="Y107">
            <v>23.302499999999998</v>
          </cell>
          <cell r="Z107">
            <v>0.11899999999999999</v>
          </cell>
          <cell r="AA107">
            <v>23.183499999999999</v>
          </cell>
          <cell r="AB107" t="e">
            <v>#N/A</v>
          </cell>
          <cell r="AC107" t="e">
            <v>#N/A</v>
          </cell>
          <cell r="AD107" t="str">
            <v>0194-03</v>
          </cell>
          <cell r="AE107" t="str">
    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    </cell>
        </row>
        <row r="108">
          <cell r="A108" t="str">
            <v>195-03</v>
          </cell>
          <cell r="B108">
            <v>4020</v>
          </cell>
          <cell r="C108" t="str">
            <v>DE.1.0.7.0</v>
          </cell>
          <cell r="D108" t="str">
            <v>204:440</v>
          </cell>
          <cell r="E108">
            <v>42616.641331018516</v>
          </cell>
          <cell r="F108">
            <v>42616.646006944444</v>
          </cell>
          <cell r="G108">
            <v>1</v>
          </cell>
          <cell r="H108" t="str">
            <v>204:233319</v>
          </cell>
          <cell r="I108">
            <v>42616.670787037037</v>
          </cell>
          <cell r="J108">
            <v>0</v>
          </cell>
          <cell r="K108" t="str">
            <v>4019/4020</v>
          </cell>
          <cell r="L108" t="str">
            <v>BRUDER</v>
          </cell>
          <cell r="M108">
            <v>2.4780092593573499E-2</v>
          </cell>
          <cell r="N108">
            <v>35.683333334745839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https://search-rtdc-monitor-bjffxe2xuh6vdkpspy63sjmuny.us-east-1.es.amazonaws.com/_plugin/kibana/#/discover/Steve-Slow-Train-Analysis-(2080s-and-2083s)?_g=(refreshInterval:(display:Off,section:0,value:0),time:(from:'2016-09-03 14:23:31-0600',mode:absolute,to:'2016-09-03 17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08" t="str">
            <v>N</v>
          </cell>
          <cell r="X108">
            <v>1</v>
          </cell>
          <cell r="Y108">
            <v>4.3999999999999997E-2</v>
          </cell>
          <cell r="Z108">
            <v>23.331900000000001</v>
          </cell>
          <cell r="AA108">
            <v>23.2879</v>
          </cell>
          <cell r="AB108" t="e">
            <v>#N/A</v>
          </cell>
          <cell r="AC108" t="e">
            <v>#N/A</v>
          </cell>
          <cell r="AD108" t="str">
            <v>0195-03</v>
          </cell>
          <cell r="AE108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109">
          <cell r="A109" t="str">
            <v>196-03</v>
          </cell>
          <cell r="B109">
            <v>4019</v>
          </cell>
          <cell r="C109" t="str">
            <v>DE.1.0.7.0</v>
          </cell>
          <cell r="D109" t="str">
            <v>204:232998</v>
          </cell>
          <cell r="E109">
            <v>42616.679432870369</v>
          </cell>
          <cell r="F109">
            <v>42616.684988425928</v>
          </cell>
          <cell r="G109">
            <v>1</v>
          </cell>
          <cell r="H109" t="str">
            <v>204:147</v>
          </cell>
          <cell r="I109">
            <v>42616.716157407405</v>
          </cell>
          <cell r="J109">
            <v>0</v>
          </cell>
          <cell r="K109" t="str">
            <v>4019/4020</v>
          </cell>
          <cell r="L109" t="str">
            <v>BRUDER</v>
          </cell>
          <cell r="M109">
            <v>3.1168981477094349E-2</v>
          </cell>
          <cell r="N109">
            <v>44.883333327015862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https://search-rtdc-monitor-bjffxe2xuh6vdkpspy63sjmuny.us-east-1.es.amazonaws.com/_plugin/kibana/#/discover/Steve-Slow-Train-Analysis-(2080s-and-2083s)?_g=(refreshInterval:(display:Off,section:0,value:0),time:(from:'2016-09-03 15:18:23-0600',mode:absolute,to:'2016-09-03 18:11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09" t="str">
            <v>N</v>
          </cell>
          <cell r="X109">
            <v>1</v>
          </cell>
          <cell r="Y109">
            <v>23.299800000000001</v>
          </cell>
          <cell r="Z109">
            <v>1.47E-2</v>
          </cell>
          <cell r="AA109">
            <v>23.2851</v>
          </cell>
          <cell r="AB109" t="e">
            <v>#N/A</v>
          </cell>
          <cell r="AC109" t="e">
            <v>#N/A</v>
          </cell>
          <cell r="AD109" t="str">
            <v>0196-03</v>
          </cell>
          <cell r="AE109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110">
          <cell r="A110" t="str">
            <v>197-03</v>
          </cell>
          <cell r="B110">
            <v>4018</v>
          </cell>
          <cell r="C110" t="str">
            <v>DE.1.0.7.0</v>
          </cell>
          <cell r="D110" t="str">
            <v>204:473</v>
          </cell>
          <cell r="E110">
            <v>42616.652268518519</v>
          </cell>
          <cell r="F110">
            <v>42616.657638888886</v>
          </cell>
          <cell r="G110">
            <v>1</v>
          </cell>
          <cell r="H110" t="str">
            <v>204:233286</v>
          </cell>
          <cell r="I110">
            <v>42616.684131944443</v>
          </cell>
          <cell r="J110">
            <v>0</v>
          </cell>
          <cell r="K110" t="str">
            <v>4017/4018</v>
          </cell>
          <cell r="L110" t="str">
            <v>CLARK</v>
          </cell>
          <cell r="M110">
            <v>2.6493055556784384E-2</v>
          </cell>
          <cell r="N110">
            <v>38.150000001769513</v>
          </cell>
          <cell r="S110">
            <v>1</v>
          </cell>
          <cell r="T110" t="str">
            <v>NorthBound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https://search-rtdc-monitor-bjffxe2xuh6vdkpspy63sjmuny.us-east-1.es.amazonaws.com/_plugin/kibana/#/discover/Steve-Slow-Train-Analysis-(2080s-and-2083s)?_g=(refreshInterval:(display:Off,section:0,value:0),time:(from:'2016-09-03 14:39:16-0600',mode:absolute,to:'2016-09-03 17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10" t="str">
            <v>N</v>
          </cell>
          <cell r="X110">
            <v>1</v>
          </cell>
          <cell r="Y110">
            <v>4.7300000000000002E-2</v>
          </cell>
          <cell r="Z110">
            <v>23.328600000000002</v>
          </cell>
          <cell r="AA110">
            <v>23.281300000000002</v>
          </cell>
          <cell r="AB110" t="e">
            <v>#N/A</v>
          </cell>
          <cell r="AC110" t="e">
            <v>#N/A</v>
          </cell>
          <cell r="AD110" t="str">
            <v>0197-03</v>
          </cell>
          <cell r="AE110" t="str">
    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    </cell>
        </row>
        <row r="111">
          <cell r="A111" t="str">
            <v>198-03</v>
          </cell>
          <cell r="B111">
            <v>4017</v>
          </cell>
          <cell r="C111" t="str">
            <v>DE.1.0.7.0</v>
          </cell>
          <cell r="D111" t="str">
            <v>204:232957</v>
          </cell>
          <cell r="E111">
            <v>42616.690810185188</v>
          </cell>
          <cell r="F111">
            <v>42616.695439814815</v>
          </cell>
          <cell r="G111">
            <v>1</v>
          </cell>
          <cell r="H111" t="str">
            <v>204:141</v>
          </cell>
          <cell r="I111">
            <v>42616.726678240739</v>
          </cell>
          <cell r="J111">
            <v>0</v>
          </cell>
          <cell r="K111" t="str">
            <v>4017/4018</v>
          </cell>
          <cell r="L111" t="str">
            <v>CLARK</v>
          </cell>
          <cell r="M111">
            <v>3.1238425923220348E-2</v>
          </cell>
          <cell r="N111">
            <v>44.983333329437301</v>
          </cell>
          <cell r="S111">
            <v>1</v>
          </cell>
          <cell r="T111" t="str">
            <v>Southbound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https://search-rtdc-monitor-bjffxe2xuh6vdkpspy63sjmuny.us-east-1.es.amazonaws.com/_plugin/kibana/#/discover/Steve-Slow-Train-Analysis-(2080s-and-2083s)?_g=(refreshInterval:(display:Off,section:0,value:0),time:(from:'2016-09-03 15:34:46-0600',mode:absolute,to:'2016-09-03 18:26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11" t="str">
            <v>N</v>
          </cell>
          <cell r="X111">
            <v>1</v>
          </cell>
          <cell r="Y111">
            <v>23.2957</v>
          </cell>
          <cell r="Z111">
            <v>1.41E-2</v>
          </cell>
          <cell r="AA111">
            <v>23.281600000000001</v>
          </cell>
          <cell r="AB111" t="e">
            <v>#N/A</v>
          </cell>
          <cell r="AC111" t="e">
            <v>#N/A</v>
          </cell>
          <cell r="AD111" t="str">
            <v>0198-03</v>
          </cell>
          <cell r="AE111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112">
          <cell r="A112" t="str">
            <v>199-03</v>
          </cell>
          <cell r="B112">
            <v>4011</v>
          </cell>
          <cell r="C112" t="str">
            <v>DE.1.0.7.0</v>
          </cell>
          <cell r="D112" t="str">
            <v>204:449</v>
          </cell>
          <cell r="E112">
            <v>42616.665567129632</v>
          </cell>
          <cell r="F112">
            <v>42616.667025462964</v>
          </cell>
          <cell r="G112">
            <v>1</v>
          </cell>
          <cell r="H112" t="str">
            <v>204:233331</v>
          </cell>
          <cell r="I112">
            <v>42616.69363425926</v>
          </cell>
          <cell r="J112">
            <v>0</v>
          </cell>
          <cell r="K112" t="str">
            <v>4011/4012</v>
          </cell>
          <cell r="L112" t="str">
            <v>WEBSTER</v>
          </cell>
          <cell r="M112">
            <v>2.6608796295477077E-2</v>
          </cell>
          <cell r="N112">
            <v>38.316666665486991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https://search-rtdc-monitor-bjffxe2xuh6vdkpspy63sjmuny.us-east-1.es.amazonaws.com/_plugin/kibana/#/discover/Steve-Slow-Train-Analysis-(2080s-and-2083s)?_g=(refreshInterval:(display:Off,section:0,value:0),time:(from:'2016-09-03 14:58:25-0600',mode:absolute,to:'2016-09-03 17:38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12" t="str">
            <v>N</v>
          </cell>
          <cell r="X112">
            <v>1</v>
          </cell>
          <cell r="Y112">
            <v>4.4900000000000002E-2</v>
          </cell>
          <cell r="Z112">
            <v>23.333100000000002</v>
          </cell>
          <cell r="AA112">
            <v>23.288200000000003</v>
          </cell>
          <cell r="AB112" t="e">
            <v>#N/A</v>
          </cell>
          <cell r="AC112" t="e">
            <v>#N/A</v>
          </cell>
          <cell r="AD112" t="str">
            <v>0199-03</v>
          </cell>
          <cell r="AE112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113">
          <cell r="A113" t="str">
            <v>200-03</v>
          </cell>
          <cell r="B113">
            <v>4012</v>
          </cell>
          <cell r="C113" t="str">
            <v>DE.1.0.7.0</v>
          </cell>
          <cell r="D113" t="str">
            <v>204:232987</v>
          </cell>
          <cell r="E113">
            <v>42616.701724537037</v>
          </cell>
          <cell r="F113">
            <v>42616.705995370372</v>
          </cell>
          <cell r="G113">
            <v>5</v>
          </cell>
          <cell r="H113" t="str">
            <v>204:160</v>
          </cell>
          <cell r="I113">
            <v>42616.73400462963</v>
          </cell>
          <cell r="J113">
            <v>0</v>
          </cell>
          <cell r="K113" t="str">
            <v>4011/4012</v>
          </cell>
          <cell r="L113" t="str">
            <v>WEBSTER</v>
          </cell>
          <cell r="M113">
            <v>2.8009259258396924E-2</v>
          </cell>
          <cell r="N113">
            <v>40.33333333209157</v>
          </cell>
          <cell r="S113">
            <v>1</v>
          </cell>
          <cell r="T113" t="str">
            <v>Southbound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https://search-rtdc-monitor-bjffxe2xuh6vdkpspy63sjmuny.us-east-1.es.amazonaws.com/_plugin/kibana/#/discover/Steve-Slow-Train-Analysis-(2080s-and-2083s)?_g=(refreshInterval:(display:Off,section:0,value:0),time:(from:'2016-09-03 15:50:29-0600',mode:absolute,to:'2016-09-03 18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13" t="str">
            <v>N</v>
          </cell>
          <cell r="X113">
            <v>1</v>
          </cell>
          <cell r="Y113">
            <v>23.2987</v>
          </cell>
          <cell r="Z113">
            <v>1.6E-2</v>
          </cell>
          <cell r="AA113">
            <v>23.282700000000002</v>
          </cell>
          <cell r="AB113" t="e">
            <v>#N/A</v>
          </cell>
          <cell r="AC113" t="e">
            <v>#N/A</v>
          </cell>
          <cell r="AD113" t="str">
            <v>0200-03</v>
          </cell>
          <cell r="AE113" t="str">
    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    </cell>
        </row>
        <row r="114">
          <cell r="A114" t="str">
            <v>201-03</v>
          </cell>
          <cell r="B114">
            <v>4002</v>
          </cell>
          <cell r="C114" t="str">
            <v>DE.1.0.7.0</v>
          </cell>
          <cell r="D114" t="str">
            <v>204:460</v>
          </cell>
          <cell r="E114">
            <v>42616.674976851849</v>
          </cell>
          <cell r="F114">
            <v>42616.677337962959</v>
          </cell>
          <cell r="G114">
            <v>1</v>
          </cell>
          <cell r="H114" t="str">
            <v>204:233282</v>
          </cell>
          <cell r="I114">
            <v>42616.702939814815</v>
          </cell>
          <cell r="J114">
            <v>0</v>
          </cell>
          <cell r="K114" t="str">
            <v>4001/4002</v>
          </cell>
          <cell r="L114" t="str">
            <v>STEWART</v>
          </cell>
          <cell r="M114">
            <v>2.5601851855753921E-2</v>
          </cell>
          <cell r="N114">
            <v>36.866666672285646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https://search-rtdc-monitor-bjffxe2xuh6vdkpspy63sjmuny.us-east-1.es.amazonaws.com/_plugin/kibana/#/discover/Steve-Slow-Train-Analysis-(2080s-and-2083s)?_g=(refreshInterval:(display:Off,section:0,value:0),time:(from:'2016-09-03 15:11:58-0600',mode:absolute,to:'2016-09-03 17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14" t="str">
            <v>N</v>
          </cell>
          <cell r="X114">
            <v>1</v>
          </cell>
          <cell r="Y114">
            <v>4.5999999999999999E-2</v>
          </cell>
          <cell r="Z114">
            <v>23.328199999999999</v>
          </cell>
          <cell r="AA114">
            <v>23.2822</v>
          </cell>
          <cell r="AB114" t="e">
            <v>#N/A</v>
          </cell>
          <cell r="AC114" t="e">
            <v>#N/A</v>
          </cell>
          <cell r="AD114" t="str">
            <v>0201-03</v>
          </cell>
          <cell r="AE114" t="str">
    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    </cell>
        </row>
        <row r="115">
          <cell r="A115" t="str">
            <v>202-03</v>
          </cell>
          <cell r="B115">
            <v>4001</v>
          </cell>
          <cell r="C115" t="str">
            <v>DE.1.0.7.0</v>
          </cell>
          <cell r="D115" t="str">
            <v>204:232963</v>
          </cell>
          <cell r="E115">
            <v>42616.712395833332</v>
          </cell>
          <cell r="F115">
            <v>42616.716249999998</v>
          </cell>
          <cell r="G115">
            <v>2</v>
          </cell>
          <cell r="H115" t="str">
            <v>204:150</v>
          </cell>
          <cell r="I115">
            <v>42616.744432870371</v>
          </cell>
          <cell r="J115">
            <v>0</v>
          </cell>
          <cell r="K115" t="str">
            <v>4001/4002</v>
          </cell>
          <cell r="L115" t="str">
            <v>STEWART</v>
          </cell>
          <cell r="M115">
            <v>2.8182870373711921E-2</v>
          </cell>
          <cell r="N115">
            <v>40.583333338145167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https://search-rtdc-monitor-bjffxe2xuh6vdkpspy63sjmuny.us-east-1.es.amazonaws.com/_plugin/kibana/#/discover/Steve-Slow-Train-Analysis-(2080s-and-2083s)?_g=(refreshInterval:(display:Off,section:0,value:0),time:(from:'2016-09-03 16:05:51-0600',mode:absolute,to:'2016-09-03 18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15" t="str">
            <v>N</v>
          </cell>
          <cell r="X115">
            <v>1</v>
          </cell>
          <cell r="Y115">
            <v>23.296299999999999</v>
          </cell>
          <cell r="Z115">
            <v>1.4999999999999999E-2</v>
          </cell>
          <cell r="AA115">
            <v>23.281299999999998</v>
          </cell>
          <cell r="AB115" t="e">
            <v>#N/A</v>
          </cell>
          <cell r="AC115" t="e">
            <v>#N/A</v>
          </cell>
          <cell r="AD115" t="str">
            <v>0202-03</v>
          </cell>
          <cell r="AE115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116">
          <cell r="A116" t="str">
            <v>203-03</v>
          </cell>
          <cell r="B116">
            <v>4040</v>
          </cell>
          <cell r="C116" t="str">
            <v>DE.1.0.7.0</v>
          </cell>
          <cell r="D116" t="str">
            <v>204:437</v>
          </cell>
          <cell r="E116">
            <v>42616.681979166664</v>
          </cell>
          <cell r="F116">
            <v>42616.688240740739</v>
          </cell>
          <cell r="G116">
            <v>2</v>
          </cell>
          <cell r="H116" t="str">
            <v>204:233340</v>
          </cell>
          <cell r="I116">
            <v>42616.712476851855</v>
          </cell>
          <cell r="J116">
            <v>0</v>
          </cell>
          <cell r="K116" t="str">
            <v>4039/4040</v>
          </cell>
          <cell r="L116" t="str">
            <v>STAMBAUGH</v>
          </cell>
          <cell r="M116">
            <v>2.4236111115897074E-2</v>
          </cell>
          <cell r="N116">
            <v>34.900000006891787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https://search-rtdc-monitor-bjffxe2xuh6vdkpspy63sjmuny.us-east-1.es.amazonaws.com/_plugin/kibana/#/discover/Steve-Slow-Train-Analysis-(2080s-and-2083s)?_g=(refreshInterval:(display:Off,section:0,value:0),time:(from:'2016-09-03 15:22:03-0600',mode:absolute,to:'2016-09-03 18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116" t="str">
            <v>N</v>
          </cell>
          <cell r="X116">
            <v>1</v>
          </cell>
          <cell r="Y116">
            <v>4.3700000000000003E-2</v>
          </cell>
          <cell r="Z116">
            <v>23.334</v>
          </cell>
          <cell r="AA116">
            <v>23.290299999999998</v>
          </cell>
          <cell r="AB116" t="e">
            <v>#N/A</v>
          </cell>
          <cell r="AC116" t="e">
            <v>#N/A</v>
          </cell>
          <cell r="AD116" t="str">
            <v>0203-03</v>
          </cell>
          <cell r="AE116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117">
          <cell r="A117" t="str">
            <v>204-03</v>
          </cell>
          <cell r="B117">
            <v>4039</v>
          </cell>
          <cell r="C117" t="str">
            <v>DE.1.0.7.0</v>
          </cell>
          <cell r="D117" t="str">
            <v>204:233019</v>
          </cell>
          <cell r="E117">
            <v>42616.721817129626</v>
          </cell>
          <cell r="F117">
            <v>42616.726770833331</v>
          </cell>
          <cell r="G117">
            <v>2</v>
          </cell>
          <cell r="H117" t="str">
            <v>204:94</v>
          </cell>
          <cell r="I117">
            <v>42616.753009259257</v>
          </cell>
          <cell r="J117">
            <v>0</v>
          </cell>
          <cell r="K117" t="str">
            <v>4039/4040</v>
          </cell>
          <cell r="L117" t="str">
            <v>STAMBAUGH</v>
          </cell>
          <cell r="M117">
            <v>2.6238425925839692E-2</v>
          </cell>
          <cell r="N117">
            <v>37.783333333209157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https://search-rtdc-monitor-bjffxe2xuh6vdkpspy63sjmuny.us-east-1.es.amazonaws.com/_plugin/kibana/#/discover/Steve-Slow-Train-Analysis-(2080s-and-2083s)?_g=(refreshInterval:(display:Off,section:0,value:0),time:(from:'2016-09-03 16:19:25-0600',mode:absolute,to:'2016-09-03 19:04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117" t="str">
            <v>N</v>
          </cell>
          <cell r="X117">
            <v>1</v>
          </cell>
          <cell r="Y117">
            <v>23.3019</v>
          </cell>
          <cell r="Z117">
            <v>9.4000000000000004E-3</v>
          </cell>
          <cell r="AA117">
            <v>23.2925</v>
          </cell>
          <cell r="AB117" t="e">
            <v>#N/A</v>
          </cell>
          <cell r="AC117" t="e">
            <v>#N/A</v>
          </cell>
          <cell r="AD117" t="str">
            <v>0204-03</v>
          </cell>
          <cell r="AE117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118">
          <cell r="A118" t="str">
            <v>205-03</v>
          </cell>
          <cell r="B118">
            <v>4014</v>
          </cell>
          <cell r="C118" t="str">
            <v>DE.1.0.7.0</v>
          </cell>
          <cell r="D118" t="str">
            <v>204:447</v>
          </cell>
          <cell r="E118">
            <v>42616.69703703704</v>
          </cell>
          <cell r="F118">
            <v>42616.69871527778</v>
          </cell>
          <cell r="G118">
            <v>1</v>
          </cell>
          <cell r="H118" t="str">
            <v>204:233286</v>
          </cell>
          <cell r="I118">
            <v>42616.730393518519</v>
          </cell>
          <cell r="J118">
            <v>0</v>
          </cell>
          <cell r="K118" t="str">
            <v>4013/4014</v>
          </cell>
          <cell r="L118" t="str">
            <v>MOSES</v>
          </cell>
          <cell r="M118">
            <v>3.1678240738983732E-2</v>
          </cell>
          <cell r="N118">
            <v>45.616666664136574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https://search-rtdc-monitor-bjffxe2xuh6vdkpspy63sjmuny.us-east-1.es.amazonaws.com/_plugin/kibana/#/discover/Steve-Slow-Train-Analysis-(2080s-and-2083s)?_g=(refreshInterval:(display:Off,section:0,value:0),time:(from:'2016-09-03 15:43:44-0600',mode:absolute,to:'2016-09-03 18:31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18" t="str">
            <v>N</v>
          </cell>
          <cell r="X118">
            <v>1</v>
          </cell>
          <cell r="Y118">
            <v>4.4699999999999997E-2</v>
          </cell>
          <cell r="Z118">
            <v>23.328600000000002</v>
          </cell>
          <cell r="AA118">
            <v>23.283900000000003</v>
          </cell>
          <cell r="AB118">
            <v>17867</v>
          </cell>
          <cell r="AC118" t="str">
            <v>PERMANENT SPEED RESTRICTION</v>
          </cell>
          <cell r="AD118" t="str">
            <v>0205-03</v>
          </cell>
          <cell r="AE118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119">
          <cell r="A119" t="str">
            <v>206-03</v>
          </cell>
          <cell r="B119">
            <v>4013</v>
          </cell>
          <cell r="C119" t="str">
            <v>DE.1.0.7.0</v>
          </cell>
          <cell r="D119" t="str">
            <v>204:232971</v>
          </cell>
          <cell r="E119">
            <v>42616.735520833332</v>
          </cell>
          <cell r="F119">
            <v>42616.737199074072</v>
          </cell>
          <cell r="G119">
            <v>1</v>
          </cell>
          <cell r="H119" t="str">
            <v>204:203</v>
          </cell>
          <cell r="I119">
            <v>42616.767280092594</v>
          </cell>
          <cell r="J119">
            <v>0</v>
          </cell>
          <cell r="K119" t="str">
            <v>4013/4014</v>
          </cell>
          <cell r="L119" t="str">
            <v>MOSES</v>
          </cell>
          <cell r="M119">
            <v>3.0081018521741498E-2</v>
          </cell>
          <cell r="N119">
            <v>43.316666671307757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https://search-rtdc-monitor-bjffxe2xuh6vdkpspy63sjmuny.us-east-1.es.amazonaws.com/_plugin/kibana/#/discover/Steve-Slow-Train-Analysis-(2080s-and-2083s)?_g=(refreshInterval:(display:Off,section:0,value:0),time:(from:'2016-09-03 16:39:09-0600',mode:absolute,to:'2016-09-03 19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19" t="str">
            <v>N</v>
          </cell>
          <cell r="X119">
            <v>1</v>
          </cell>
          <cell r="Y119">
            <v>23.2971</v>
          </cell>
          <cell r="Z119">
            <v>2.0299999999999999E-2</v>
          </cell>
          <cell r="AA119">
            <v>23.276800000000001</v>
          </cell>
          <cell r="AB119" t="e">
            <v>#N/A</v>
          </cell>
          <cell r="AC119" t="e">
            <v>#N/A</v>
          </cell>
          <cell r="AD119" t="str">
            <v>0206-03</v>
          </cell>
          <cell r="AE119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120">
          <cell r="A120" t="str">
            <v>207-03</v>
          </cell>
          <cell r="B120">
            <v>4027</v>
          </cell>
          <cell r="C120" t="str">
            <v>DE.1.0.7.0</v>
          </cell>
          <cell r="D120" t="str">
            <v>204:442</v>
          </cell>
          <cell r="E120">
            <v>42616.711458333331</v>
          </cell>
          <cell r="F120">
            <v>42616.713946759257</v>
          </cell>
          <cell r="G120">
            <v>1</v>
          </cell>
          <cell r="H120" t="str">
            <v>204:233323</v>
          </cell>
          <cell r="I120">
            <v>42616.742025462961</v>
          </cell>
          <cell r="J120">
            <v>0</v>
          </cell>
          <cell r="K120" t="str">
            <v>4027/4028</v>
          </cell>
          <cell r="L120" t="str">
            <v>SHOOK</v>
          </cell>
          <cell r="M120">
            <v>2.8078703704522923E-2</v>
          </cell>
          <cell r="N120">
            <v>40.433333334513009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https://search-rtdc-monitor-bjffxe2xuh6vdkpspy63sjmuny.us-east-1.es.amazonaws.com/_plugin/kibana/#/discover/Steve-Slow-Train-Analysis-(2080s-and-2083s)?_g=(refreshInterval:(display:Off,section:0,value:0),time:(from:'2016-09-03 16:04:30-0600',mode:absolute,to:'2016-09-03 18:48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20" t="str">
            <v>N</v>
          </cell>
          <cell r="X120">
            <v>1</v>
          </cell>
          <cell r="Y120">
            <v>4.4200000000000003E-2</v>
          </cell>
          <cell r="Z120">
            <v>23.3323</v>
          </cell>
          <cell r="AA120">
            <v>23.2881</v>
          </cell>
          <cell r="AB120" t="e">
            <v>#N/A</v>
          </cell>
          <cell r="AC120" t="e">
            <v>#N/A</v>
          </cell>
          <cell r="AD120" t="str">
            <v>0207-03</v>
          </cell>
          <cell r="AE120" t="str">
    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    </cell>
        </row>
        <row r="121">
          <cell r="A121" t="str">
            <v>208-03</v>
          </cell>
          <cell r="B121">
            <v>4028</v>
          </cell>
          <cell r="C121" t="str">
            <v>DE.1.0.7.0</v>
          </cell>
          <cell r="D121" t="str">
            <v>204:233013</v>
          </cell>
          <cell r="E121">
            <v>42616.745671296296</v>
          </cell>
          <cell r="F121">
            <v>42616.747557870367</v>
          </cell>
          <cell r="G121">
            <v>1</v>
          </cell>
          <cell r="H121" t="str">
            <v>204:72</v>
          </cell>
          <cell r="I121">
            <v>42616.778113425928</v>
          </cell>
          <cell r="J121">
            <v>0</v>
          </cell>
          <cell r="K121" t="str">
            <v>4027/4028</v>
          </cell>
          <cell r="L121" t="str">
            <v>SHOOK</v>
          </cell>
          <cell r="M121">
            <v>3.0555555560567882E-2</v>
          </cell>
          <cell r="N121">
            <v>44.00000000721775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https://search-rtdc-monitor-bjffxe2xuh6vdkpspy63sjmuny.us-east-1.es.amazonaws.com/_plugin/kibana/#/discover/Steve-Slow-Train-Analysis-(2080s-and-2083s)?_g=(refreshInterval:(display:Off,section:0,value:0),time:(from:'2016-09-03 16:53:46-0600',mode:absolute,to:'2016-09-03 19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21" t="str">
            <v>N</v>
          </cell>
          <cell r="X121">
            <v>1</v>
          </cell>
          <cell r="Y121">
            <v>23.301300000000001</v>
          </cell>
          <cell r="Z121">
            <v>7.1999999999999998E-3</v>
          </cell>
          <cell r="AA121">
            <v>23.2941</v>
          </cell>
          <cell r="AB121" t="e">
            <v>#N/A</v>
          </cell>
          <cell r="AC121" t="e">
            <v>#N/A</v>
          </cell>
          <cell r="AD121" t="str">
            <v>0208-03</v>
          </cell>
          <cell r="AE121" t="str">
    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    </cell>
        </row>
        <row r="122">
          <cell r="A122" t="str">
            <v>209-03</v>
          </cell>
          <cell r="B122">
            <v>4020</v>
          </cell>
          <cell r="C122" t="str">
            <v>DE.1.0.7.0</v>
          </cell>
          <cell r="D122" t="str">
            <v>204:444</v>
          </cell>
          <cell r="E122">
            <v>42616.717534722222</v>
          </cell>
          <cell r="F122">
            <v>42616.719247685185</v>
          </cell>
          <cell r="G122">
            <v>1</v>
          </cell>
          <cell r="H122" t="str">
            <v>204:233293</v>
          </cell>
          <cell r="I122">
            <v>42616.744895833333</v>
          </cell>
          <cell r="J122">
            <v>0</v>
          </cell>
          <cell r="K122" t="str">
            <v>4019/4020</v>
          </cell>
          <cell r="L122" t="str">
            <v>BRUDER</v>
          </cell>
          <cell r="M122">
            <v>2.5648148148320615E-2</v>
          </cell>
          <cell r="N122">
            <v>36.933333333581686</v>
          </cell>
          <cell r="S122">
            <v>1</v>
          </cell>
          <cell r="T122" t="str">
            <v>NorthBound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https://search-rtdc-monitor-bjffxe2xuh6vdkpspy63sjmuny.us-east-1.es.amazonaws.com/_plugin/kibana/#/discover/Steve-Slow-Train-Analysis-(2080s-and-2083s)?_g=(refreshInterval:(display:Off,section:0,value:0),time:(from:'2016-09-03 16:13:15-0600',mode:absolute,to:'2016-09-03 18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22" t="str">
            <v>N</v>
          </cell>
          <cell r="X122">
            <v>1</v>
          </cell>
          <cell r="Y122">
            <v>4.4400000000000002E-2</v>
          </cell>
          <cell r="Z122">
            <v>23.3293</v>
          </cell>
          <cell r="AA122">
            <v>23.2849</v>
          </cell>
          <cell r="AB122" t="e">
            <v>#N/A</v>
          </cell>
          <cell r="AC122" t="e">
            <v>#N/A</v>
          </cell>
          <cell r="AD122" t="str">
            <v>0209-03</v>
          </cell>
          <cell r="AE122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123">
          <cell r="A123" t="str">
            <v>210-03</v>
          </cell>
          <cell r="B123">
            <v>4019</v>
          </cell>
          <cell r="C123" t="str">
            <v>DE.1.0.7.0</v>
          </cell>
          <cell r="D123" t="str">
            <v>204:232969</v>
          </cell>
          <cell r="E123">
            <v>42616.751631944448</v>
          </cell>
          <cell r="F123">
            <v>42616.757881944446</v>
          </cell>
          <cell r="G123">
            <v>1</v>
          </cell>
          <cell r="H123" t="str">
            <v>204:143</v>
          </cell>
          <cell r="I123">
            <v>42616.78765046296</v>
          </cell>
          <cell r="J123">
            <v>0</v>
          </cell>
          <cell r="K123" t="str">
            <v>4019/4020</v>
          </cell>
          <cell r="L123" t="str">
            <v>BRUDER</v>
          </cell>
          <cell r="M123">
            <v>2.9768518514174502E-2</v>
          </cell>
          <cell r="N123">
            <v>42.866666660411283</v>
          </cell>
          <cell r="S123">
            <v>1</v>
          </cell>
          <cell r="T123" t="str">
            <v>Southbound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https://search-rtdc-monitor-bjffxe2xuh6vdkpspy63sjmuny.us-east-1.es.amazonaws.com/_plugin/kibana/#/discover/Steve-Slow-Train-Analysis-(2080s-and-2083s)?_g=(refreshInterval:(display:Off,section:0,value:0),time:(from:'2016-09-03 17:02:21-0600',mode:absolute,to:'2016-09-03 19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23" t="str">
            <v>N</v>
          </cell>
          <cell r="X123">
            <v>1</v>
          </cell>
          <cell r="Y123">
            <v>23.296900000000001</v>
          </cell>
          <cell r="Z123">
            <v>1.43E-2</v>
          </cell>
          <cell r="AA123">
            <v>23.282600000000002</v>
          </cell>
          <cell r="AB123">
            <v>5439</v>
          </cell>
          <cell r="AC123" t="str">
            <v>PERMANENT SPEED RESTRICTION</v>
          </cell>
          <cell r="AD123" t="str">
            <v>0210-03</v>
          </cell>
          <cell r="AE123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124">
          <cell r="A124" t="str">
            <v>211-03</v>
          </cell>
          <cell r="B124">
            <v>4018</v>
          </cell>
          <cell r="C124" t="str">
            <v>DE.1.0.7.0</v>
          </cell>
          <cell r="D124" t="str">
            <v>204:453</v>
          </cell>
          <cell r="E124">
            <v>42616.72824074074</v>
          </cell>
          <cell r="F124">
            <v>42616.730486111112</v>
          </cell>
          <cell r="G124">
            <v>2</v>
          </cell>
          <cell r="H124" t="str">
            <v>204:233295</v>
          </cell>
          <cell r="I124">
            <v>42616.75744212963</v>
          </cell>
          <cell r="J124">
            <v>0</v>
          </cell>
          <cell r="K124" t="str">
            <v>4017/4018</v>
          </cell>
          <cell r="L124" t="str">
            <v>CLARK</v>
          </cell>
          <cell r="M124">
            <v>2.6956018518831115E-2</v>
          </cell>
          <cell r="N124">
            <v>38.816666667116806</v>
          </cell>
          <cell r="S124">
            <v>1</v>
          </cell>
          <cell r="T124" t="str">
            <v>NorthBound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https://search-rtdc-monitor-bjffxe2xuh6vdkpspy63sjmuny.us-east-1.es.amazonaws.com/_plugin/kibana/#/discover/Steve-Slow-Train-Analysis-(2080s-and-2083s)?_g=(refreshInterval:(display:Off,section:0,value:0),time:(from:'2016-09-03 16:28:40-0600',mode:absolute,to:'2016-09-03 19:10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24" t="str">
            <v>N</v>
          </cell>
          <cell r="X124">
            <v>1</v>
          </cell>
          <cell r="Y124">
            <v>4.53E-2</v>
          </cell>
          <cell r="Z124">
            <v>23.329499999999999</v>
          </cell>
          <cell r="AA124">
            <v>23.284199999999998</v>
          </cell>
          <cell r="AB124" t="e">
            <v>#N/A</v>
          </cell>
          <cell r="AC124" t="e">
            <v>#N/A</v>
          </cell>
          <cell r="AD124" t="str">
            <v>0211-03</v>
          </cell>
          <cell r="AE124" t="str">
    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    </cell>
        </row>
        <row r="125">
          <cell r="A125" t="str">
            <v>212-03</v>
          </cell>
          <cell r="B125">
            <v>4017</v>
          </cell>
          <cell r="C125" t="str">
            <v>DE.1.0.7.0</v>
          </cell>
          <cell r="D125" t="str">
            <v>204:232998</v>
          </cell>
          <cell r="E125">
            <v>42616.764988425923</v>
          </cell>
          <cell r="F125">
            <v>42616.766979166663</v>
          </cell>
          <cell r="G125">
            <v>2</v>
          </cell>
          <cell r="H125" t="str">
            <v>204:232998</v>
          </cell>
          <cell r="I125">
            <v>42616.767199074071</v>
          </cell>
          <cell r="J125">
            <v>0</v>
          </cell>
          <cell r="K125" t="str">
            <v>4017/4018</v>
          </cell>
          <cell r="L125" t="str">
            <v>CLARK</v>
          </cell>
          <cell r="M125">
            <v>2.1990740788169205E-4</v>
          </cell>
          <cell r="P125">
            <v>0.31666666734963655</v>
          </cell>
          <cell r="R125" t="str">
            <v>Onboard in-route failure</v>
          </cell>
          <cell r="S125">
            <v>0</v>
          </cell>
          <cell r="T125" t="str">
            <v>Southbound</v>
          </cell>
          <cell r="U125">
            <v>0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https://search-rtdc-monitor-bjffxe2xuh6vdkpspy63sjmuny.us-east-1.es.amazonaws.com/_plugin/kibana/#/discover/Steve-Slow-Train-Analysis-(2080s-and-2083s)?_g=(refreshInterval:(display:Off,section:0,value:0),time:(from:'2016-09-03 17:21:35-0600',mode:absolute,to:'2016-09-03 19:24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25" t="str">
            <v>Y</v>
          </cell>
          <cell r="X125">
            <v>1</v>
          </cell>
          <cell r="Y125">
            <v>23.299800000000001</v>
          </cell>
          <cell r="Z125">
            <v>23.299800000000001</v>
          </cell>
          <cell r="AA125">
            <v>0</v>
          </cell>
          <cell r="AB125" t="e">
            <v>#N/A</v>
          </cell>
          <cell r="AC125" t="e">
            <v>#N/A</v>
          </cell>
          <cell r="AD125" t="str">
            <v>0212-03</v>
          </cell>
          <cell r="AE125" t="str">
    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    </cell>
        </row>
        <row r="126">
          <cell r="A126" t="str">
            <v>213-03</v>
          </cell>
          <cell r="B126">
            <v>4011</v>
          </cell>
          <cell r="C126" t="str">
            <v>DE.1.0.7.0</v>
          </cell>
          <cell r="D126" t="str">
            <v>204:498</v>
          </cell>
          <cell r="E126">
            <v>42616.737141203703</v>
          </cell>
          <cell r="F126">
            <v>42616.740057870367</v>
          </cell>
          <cell r="G126">
            <v>4</v>
          </cell>
          <cell r="H126" t="str">
            <v>204:233334</v>
          </cell>
          <cell r="I126">
            <v>42616.765914351854</v>
          </cell>
          <cell r="J126">
            <v>0</v>
          </cell>
          <cell r="K126" t="str">
            <v>4011/4012</v>
          </cell>
          <cell r="L126" t="str">
            <v>NEWELL</v>
          </cell>
          <cell r="M126">
            <v>2.5856481486698613E-2</v>
          </cell>
          <cell r="N126">
            <v>37.233333340846002</v>
          </cell>
          <cell r="S126">
            <v>1</v>
          </cell>
          <cell r="T126" t="str">
            <v>NorthBound</v>
          </cell>
          <cell r="U126">
            <v>12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https://search-rtdc-monitor-bjffxe2xuh6vdkpspy63sjmuny.us-east-1.es.amazonaws.com/_plugin/kibana/#/discover/Steve-Slow-Train-Analysis-(2080s-and-2083s)?_g=(refreshInterval:(display:Off,section:0,value:0),time:(from:'2016-09-03 16:41:29-0600',mode:absolute,to:'2016-09-03 19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26" t="str">
            <v>N</v>
          </cell>
          <cell r="X126">
            <v>1</v>
          </cell>
          <cell r="Y126">
            <v>4.9799999999999997E-2</v>
          </cell>
          <cell r="Z126">
            <v>23.333400000000001</v>
          </cell>
          <cell r="AA126">
            <v>23.2836</v>
          </cell>
          <cell r="AB126" t="e">
            <v>#N/A</v>
          </cell>
          <cell r="AC126" t="e">
            <v>#N/A</v>
          </cell>
          <cell r="AD126" t="str">
            <v>0213-03</v>
          </cell>
          <cell r="AE126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127">
          <cell r="A127" t="str">
            <v>214-03</v>
          </cell>
          <cell r="B127">
            <v>4012</v>
          </cell>
          <cell r="C127" t="str">
            <v>DE.1.0.7.0</v>
          </cell>
          <cell r="D127" t="str">
            <v>204:233003</v>
          </cell>
          <cell r="E127">
            <v>42616.772812499999</v>
          </cell>
          <cell r="F127">
            <v>42616.779074074075</v>
          </cell>
          <cell r="G127">
            <v>1</v>
          </cell>
          <cell r="H127" t="str">
            <v>204:150</v>
          </cell>
          <cell r="I127">
            <v>42616.80976851852</v>
          </cell>
          <cell r="J127">
            <v>0</v>
          </cell>
          <cell r="K127" t="str">
            <v>4011/4012</v>
          </cell>
          <cell r="L127" t="str">
            <v>NEWELL</v>
          </cell>
          <cell r="M127">
            <v>3.0694444445543922E-2</v>
          </cell>
          <cell r="N127">
            <v>44.200000001583248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https://search-rtdc-monitor-bjffxe2xuh6vdkpspy63sjmuny.us-east-1.es.amazonaws.com/_plugin/kibana/#/discover/Steve-Slow-Train-Analysis-(2080s-and-2083s)?_g=(refreshInterval:(display:Off,section:0,value:0),time:(from:'2016-09-03 17:32:51-0600',mode:absolute,to:'2016-09-03 20:26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27" t="str">
            <v>N</v>
          </cell>
          <cell r="X127">
            <v>1</v>
          </cell>
          <cell r="Y127">
            <v>23.3003</v>
          </cell>
          <cell r="Z127">
            <v>1.4999999999999999E-2</v>
          </cell>
          <cell r="AA127">
            <v>23.285299999999999</v>
          </cell>
          <cell r="AB127" t="e">
            <v>#N/A</v>
          </cell>
          <cell r="AC127" t="e">
            <v>#N/A</v>
          </cell>
          <cell r="AD127" t="str">
            <v>0214-03</v>
          </cell>
          <cell r="AE127" t="str">
    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    </cell>
        </row>
        <row r="128">
          <cell r="A128" t="str">
            <v>215-03</v>
          </cell>
          <cell r="B128">
            <v>4002</v>
          </cell>
          <cell r="C128" t="str">
            <v>DE.1.0.7.0</v>
          </cell>
          <cell r="D128" t="str">
            <v>204:475</v>
          </cell>
          <cell r="E128">
            <v>42616.74763888889</v>
          </cell>
          <cell r="F128">
            <v>42616.750405092593</v>
          </cell>
          <cell r="G128">
            <v>1</v>
          </cell>
          <cell r="H128" t="str">
            <v>204:233314</v>
          </cell>
          <cell r="I128">
            <v>42616.779016203705</v>
          </cell>
          <cell r="J128">
            <v>0</v>
          </cell>
          <cell r="K128" t="str">
            <v>4001/4002</v>
          </cell>
          <cell r="L128" t="str">
            <v>WEBSTER</v>
          </cell>
          <cell r="M128">
            <v>2.8611111112695653E-2</v>
          </cell>
          <cell r="N128">
            <v>41.20000000228174</v>
          </cell>
          <cell r="S128">
            <v>1</v>
          </cell>
          <cell r="T128" t="str">
            <v>NorthBound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https://search-rtdc-monitor-bjffxe2xuh6vdkpspy63sjmuny.us-east-1.es.amazonaws.com/_plugin/kibana/#/discover/Steve-Slow-Train-Analysis-(2080s-and-2083s)?_g=(refreshInterval:(display:Off,section:0,value:0),time:(from:'2016-09-03 16:56:36-0600',mode:absolute,to:'2016-09-03 19:41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28" t="str">
            <v>N</v>
          </cell>
          <cell r="X128">
            <v>1</v>
          </cell>
          <cell r="Y128">
            <v>4.7500000000000001E-2</v>
          </cell>
          <cell r="Z128">
            <v>23.331399999999999</v>
          </cell>
          <cell r="AA128">
            <v>23.283899999999999</v>
          </cell>
          <cell r="AB128" t="e">
            <v>#N/A</v>
          </cell>
          <cell r="AC128" t="e">
            <v>#N/A</v>
          </cell>
          <cell r="AD128" t="str">
            <v>0215-03</v>
          </cell>
          <cell r="AE128" t="str">
    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    </cell>
        </row>
        <row r="129">
          <cell r="A129" t="str">
            <v>216-03</v>
          </cell>
          <cell r="B129">
            <v>4001</v>
          </cell>
          <cell r="C129" t="str">
            <v>DE.1.0.7.0</v>
          </cell>
          <cell r="D129" t="str">
            <v>204:232996</v>
          </cell>
          <cell r="E129">
            <v>42616.787835648145</v>
          </cell>
          <cell r="F129">
            <v>42616.789571759262</v>
          </cell>
          <cell r="G129">
            <v>1</v>
          </cell>
          <cell r="H129" t="str">
            <v>204:158</v>
          </cell>
          <cell r="I129">
            <v>42616.821712962963</v>
          </cell>
          <cell r="J129">
            <v>0</v>
          </cell>
          <cell r="K129" t="str">
            <v>4001/4002</v>
          </cell>
          <cell r="L129" t="str">
            <v>WEBSTER</v>
          </cell>
          <cell r="M129">
            <v>3.2141203701030463E-2</v>
          </cell>
          <cell r="N129">
            <v>46.283333329483867</v>
          </cell>
          <cell r="S129">
            <v>1</v>
          </cell>
          <cell r="T129" t="str">
            <v>Southbound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https://search-rtdc-monitor-bjffxe2xuh6vdkpspy63sjmuny.us-east-1.es.amazonaws.com/_plugin/kibana/#/discover/Steve-Slow-Train-Analysis-(2080s-and-2083s)?_g=(refreshInterval:(display:Off,section:0,value:0),time:(from:'2016-09-03 17:54:29-0600',mode:absolute,to:'2016-09-03 20:43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29" t="str">
            <v>N</v>
          </cell>
          <cell r="X129">
            <v>1</v>
          </cell>
          <cell r="Y129">
            <v>23.299600000000002</v>
          </cell>
          <cell r="Z129">
            <v>1.5800000000000002E-2</v>
          </cell>
          <cell r="AA129">
            <v>23.283800000000003</v>
          </cell>
          <cell r="AB129" t="e">
            <v>#N/A</v>
          </cell>
          <cell r="AC129" t="e">
            <v>#N/A</v>
          </cell>
          <cell r="AD129" t="str">
            <v>0216-03</v>
          </cell>
          <cell r="AE129" t="str">
    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    </cell>
        </row>
        <row r="130">
          <cell r="A130" t="str">
            <v>217-03</v>
          </cell>
          <cell r="B130">
            <v>4040</v>
          </cell>
          <cell r="C130" t="str">
            <v>DE.1.0.7.0</v>
          </cell>
          <cell r="D130" t="str">
            <v>204:396</v>
          </cell>
          <cell r="E130">
            <v>42616.757164351853</v>
          </cell>
          <cell r="F130">
            <v>42616.760671296295</v>
          </cell>
          <cell r="G130">
            <v>4</v>
          </cell>
          <cell r="H130" t="str">
            <v>204:233312</v>
          </cell>
          <cell r="I130">
            <v>42616.789120370369</v>
          </cell>
          <cell r="J130">
            <v>0</v>
          </cell>
          <cell r="K130" t="str">
            <v>4039/4040</v>
          </cell>
          <cell r="L130" t="str">
            <v>CHANDLER</v>
          </cell>
          <cell r="M130">
            <v>2.8449074074160308E-2</v>
          </cell>
          <cell r="N130">
            <v>40.966666666790843</v>
          </cell>
          <cell r="S130">
            <v>1</v>
          </cell>
          <cell r="T130" t="str">
            <v>NorthBound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https://search-rtdc-monitor-bjffxe2xuh6vdkpspy63sjmuny.us-east-1.es.amazonaws.com/_plugin/kibana/#/discover/Steve-Slow-Train-Analysis-(2080s-and-2083s)?_g=(refreshInterval:(display:Off,section:0,value:0),time:(from:'2016-09-03 17:10:19-0600',mode:absolute,to:'2016-09-03 19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130" t="str">
            <v>N</v>
          </cell>
          <cell r="X130">
            <v>1</v>
          </cell>
          <cell r="Y130">
            <v>3.9600000000000003E-2</v>
          </cell>
          <cell r="Z130">
            <v>23.331199999999999</v>
          </cell>
          <cell r="AA130">
            <v>23.291599999999999</v>
          </cell>
          <cell r="AB130" t="e">
            <v>#N/A</v>
          </cell>
          <cell r="AC130" t="e">
            <v>#N/A</v>
          </cell>
          <cell r="AD130" t="str">
            <v>0217-03</v>
          </cell>
          <cell r="AE130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131">
          <cell r="A131" t="str">
            <v>218-03</v>
          </cell>
          <cell r="B131">
            <v>4039</v>
          </cell>
          <cell r="C131" t="str">
            <v>DE.1.0.7.0</v>
          </cell>
          <cell r="D131" t="str">
            <v>204:232977</v>
          </cell>
          <cell r="E131">
            <v>42616.796574074076</v>
          </cell>
          <cell r="F131">
            <v>42616.799629629626</v>
          </cell>
          <cell r="G131">
            <v>1</v>
          </cell>
          <cell r="H131" t="str">
            <v>204:149</v>
          </cell>
          <cell r="I131">
            <v>42616.834768518522</v>
          </cell>
          <cell r="J131">
            <v>0</v>
          </cell>
          <cell r="K131" t="str">
            <v>4039/4040</v>
          </cell>
          <cell r="L131" t="str">
            <v>CHANDLER</v>
          </cell>
          <cell r="M131">
            <v>3.5138888895744458E-2</v>
          </cell>
          <cell r="N131">
            <v>50.600000009872019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https://search-rtdc-monitor-bjffxe2xuh6vdkpspy63sjmuny.us-east-1.es.amazonaws.com/_plugin/kibana/#/discover/Steve-Slow-Train-Analysis-(2080s-and-2083s)?_g=(refreshInterval:(display:Off,section:0,value:0),time:(from:'2016-09-03 18:07:04-0600',mode:absolute,to:'2016-09-03 21:02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131" t="str">
            <v>N</v>
          </cell>
          <cell r="X131">
            <v>1</v>
          </cell>
          <cell r="Y131">
            <v>23.297699999999999</v>
          </cell>
          <cell r="Z131">
            <v>1.49E-2</v>
          </cell>
          <cell r="AA131">
            <v>23.282799999999998</v>
          </cell>
          <cell r="AB131" t="e">
            <v>#N/A</v>
          </cell>
          <cell r="AC131" t="e">
            <v>#N/A</v>
          </cell>
          <cell r="AD131" t="str">
            <v>0218-03</v>
          </cell>
          <cell r="AE131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132">
          <cell r="A132" t="str">
            <v>219-03</v>
          </cell>
          <cell r="B132">
            <v>4014</v>
          </cell>
          <cell r="C132" t="str">
            <v>DE.1.0.7.0</v>
          </cell>
          <cell r="D132" t="str">
            <v>204:498</v>
          </cell>
          <cell r="E132">
            <v>42616.769814814812</v>
          </cell>
          <cell r="F132">
            <v>42616.771666666667</v>
          </cell>
          <cell r="G132">
            <v>2</v>
          </cell>
          <cell r="H132" t="str">
            <v>204:233293</v>
          </cell>
          <cell r="I132">
            <v>42616.79965277778</v>
          </cell>
          <cell r="J132">
            <v>0</v>
          </cell>
          <cell r="K132" t="str">
            <v>4013/4014</v>
          </cell>
          <cell r="L132" t="str">
            <v>STURGEON</v>
          </cell>
          <cell r="M132">
            <v>2.7986111112113576E-2</v>
          </cell>
          <cell r="N132">
            <v>40.30000000144355</v>
          </cell>
          <cell r="S132">
            <v>1</v>
          </cell>
          <cell r="T132" t="str">
            <v>NorthBound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https://search-rtdc-monitor-bjffxe2xuh6vdkpspy63sjmuny.us-east-1.es.amazonaws.com/_plugin/kibana/#/discover/Steve-Slow-Train-Analysis-(2080s-and-2083s)?_g=(refreshInterval:(display:Off,section:0,value:0),time:(from:'2016-09-03 17:28:32-0600',mode:absolute,to:'2016-09-03 20:11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32" t="str">
            <v>N</v>
          </cell>
          <cell r="X132">
            <v>1</v>
          </cell>
          <cell r="Y132">
            <v>4.9799999999999997E-2</v>
          </cell>
          <cell r="Z132">
            <v>23.3293</v>
          </cell>
          <cell r="AA132">
            <v>23.279499999999999</v>
          </cell>
          <cell r="AB132" t="e">
            <v>#N/A</v>
          </cell>
          <cell r="AC132" t="e">
            <v>#N/A</v>
          </cell>
          <cell r="AD132" t="str">
            <v>0219-03</v>
          </cell>
          <cell r="AE132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133">
          <cell r="A133" t="str">
            <v>220-03</v>
          </cell>
          <cell r="B133">
            <v>4013</v>
          </cell>
          <cell r="C133" t="str">
            <v>DE.1.0.7.0</v>
          </cell>
          <cell r="D133" t="str">
            <v>204:232977</v>
          </cell>
          <cell r="E133">
            <v>42616.805219907408</v>
          </cell>
          <cell r="F133">
            <v>42616.810127314813</v>
          </cell>
          <cell r="G133">
            <v>1</v>
          </cell>
          <cell r="H133" t="str">
            <v>204:165</v>
          </cell>
          <cell r="I133">
            <v>42616.841006944444</v>
          </cell>
          <cell r="J133">
            <v>0</v>
          </cell>
          <cell r="K133" t="str">
            <v>4013/4014</v>
          </cell>
          <cell r="L133" t="str">
            <v>STURGEON</v>
          </cell>
          <cell r="M133">
            <v>3.0879629630362615E-2</v>
          </cell>
          <cell r="N133">
            <v>44.466666667722166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https://search-rtdc-monitor-bjffxe2xuh6vdkpspy63sjmuny.us-east-1.es.amazonaws.com/_plugin/kibana/#/discover/Steve-Slow-Train-Analysis-(2080s-and-2083s)?_g=(refreshInterval:(display:Off,section:0,value:0),time:(from:'2016-09-03 18:19:31-0600',mode:absolute,to:'2016-09-03 21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33" t="str">
            <v>N</v>
          </cell>
          <cell r="X133">
            <v>1</v>
          </cell>
          <cell r="Y133">
            <v>23.297699999999999</v>
          </cell>
          <cell r="Z133">
            <v>1.6500000000000001E-2</v>
          </cell>
          <cell r="AA133">
            <v>23.281199999999998</v>
          </cell>
          <cell r="AB133" t="e">
            <v>#N/A</v>
          </cell>
          <cell r="AC133" t="e">
            <v>#N/A</v>
          </cell>
          <cell r="AD133" t="str">
            <v>0220-03</v>
          </cell>
          <cell r="AE133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134">
          <cell r="A134" t="str">
            <v>221-03</v>
          </cell>
          <cell r="B134">
            <v>4020</v>
          </cell>
          <cell r="C134" t="str">
            <v>DE.1.0.7.0</v>
          </cell>
          <cell r="D134" t="str">
            <v>204:458</v>
          </cell>
          <cell r="E134">
            <v>42616.789421296293</v>
          </cell>
          <cell r="F134">
            <v>42616.792083333334</v>
          </cell>
          <cell r="G134">
            <v>1</v>
          </cell>
          <cell r="H134" t="str">
            <v>204:233332</v>
          </cell>
          <cell r="I134">
            <v>42616.82372685185</v>
          </cell>
          <cell r="J134">
            <v>0</v>
          </cell>
          <cell r="K134" t="str">
            <v>4019/4020</v>
          </cell>
          <cell r="L134" t="str">
            <v>HAITHCOX</v>
          </cell>
          <cell r="M134">
            <v>3.1643518515920732E-2</v>
          </cell>
          <cell r="N134">
            <v>45.566666662925854</v>
          </cell>
          <cell r="S134">
            <v>1</v>
          </cell>
          <cell r="T134" t="str">
            <v>NorthBound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https://search-rtdc-monitor-bjffxe2xuh6vdkpspy63sjmuny.us-east-1.es.amazonaws.com/_plugin/kibana/#/discover/Steve-Slow-Train-Analysis-(2080s-and-2083s)?_g=(refreshInterval:(display:Off,section:0,value:0),time:(from:'2016-09-03 17:56:46-0600',mode:absolute,to:'2016-09-03 20:46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34" t="str">
            <v>N</v>
          </cell>
          <cell r="X134">
            <v>1</v>
          </cell>
          <cell r="Y134">
            <v>4.58E-2</v>
          </cell>
          <cell r="Z134">
            <v>23.333200000000001</v>
          </cell>
          <cell r="AA134">
            <v>23.287400000000002</v>
          </cell>
          <cell r="AB134" t="e">
            <v>#N/A</v>
          </cell>
          <cell r="AC134" t="e">
            <v>#N/A</v>
          </cell>
          <cell r="AD134" t="str">
            <v>0221-03</v>
          </cell>
          <cell r="AE134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135">
          <cell r="A135" t="str">
            <v>222-03</v>
          </cell>
          <cell r="B135">
            <v>4019</v>
          </cell>
          <cell r="C135" t="str">
            <v>DE.1.0.7.0</v>
          </cell>
          <cell r="D135" t="str">
            <v>204:232998</v>
          </cell>
          <cell r="E135">
            <v>42616.828541666669</v>
          </cell>
          <cell r="F135">
            <v>42616.831087962964</v>
          </cell>
          <cell r="G135">
            <v>1</v>
          </cell>
          <cell r="H135" t="str">
            <v>204:132</v>
          </cell>
          <cell r="I135">
            <v>42616.861435185187</v>
          </cell>
          <cell r="J135">
            <v>0</v>
          </cell>
          <cell r="K135" t="str">
            <v>4019/4020</v>
          </cell>
          <cell r="L135" t="str">
            <v>HAITHCOX</v>
          </cell>
          <cell r="M135">
            <v>3.0347222222189885E-2</v>
          </cell>
          <cell r="N135">
            <v>43.699999999953434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https://search-rtdc-monitor-bjffxe2xuh6vdkpspy63sjmuny.us-east-1.es.amazonaws.com/_plugin/kibana/#/discover/Steve-Slow-Train-Analysis-(2080s-and-2083s)?_g=(refreshInterval:(display:Off,section:0,value:0),time:(from:'2016-09-03 18:53:06-0600',mode:absolute,to:'2016-09-03 21:40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35" t="str">
            <v>N</v>
          </cell>
          <cell r="X135">
            <v>1</v>
          </cell>
          <cell r="Y135">
            <v>23.299800000000001</v>
          </cell>
          <cell r="Z135">
            <v>1.32E-2</v>
          </cell>
          <cell r="AA135">
            <v>23.2866</v>
          </cell>
          <cell r="AB135" t="e">
            <v>#N/A</v>
          </cell>
          <cell r="AC135" t="e">
            <v>#N/A</v>
          </cell>
          <cell r="AD135" t="str">
            <v>0222-03</v>
          </cell>
          <cell r="AE135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136">
          <cell r="A136" t="str">
            <v>223-03</v>
          </cell>
          <cell r="B136">
            <v>4011</v>
          </cell>
          <cell r="C136" t="str">
            <v>DE.1.0.7.0</v>
          </cell>
          <cell r="D136" t="str">
            <v>204:453</v>
          </cell>
          <cell r="E136">
            <v>42616.811631944445</v>
          </cell>
          <cell r="F136">
            <v>42616.813090277778</v>
          </cell>
          <cell r="G136">
            <v>1</v>
          </cell>
          <cell r="H136" t="str">
            <v>204:233321</v>
          </cell>
          <cell r="I136">
            <v>42616.84070601852</v>
          </cell>
          <cell r="J136">
            <v>0</v>
          </cell>
          <cell r="K136" t="str">
            <v>4011/4012</v>
          </cell>
          <cell r="L136" t="str">
            <v>NEWELL</v>
          </cell>
          <cell r="M136">
            <v>2.7615740742476191E-2</v>
          </cell>
          <cell r="N136">
            <v>39.766666669165716</v>
          </cell>
          <cell r="S136">
            <v>1</v>
          </cell>
          <cell r="T136" t="str">
            <v>NorthBound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https://search-rtdc-monitor-bjffxe2xuh6vdkpspy63sjmuny.us-east-1.es.amazonaws.com/_plugin/kibana/#/discover/Steve-Slow-Train-Analysis-(2080s-and-2083s)?_g=(refreshInterval:(display:Off,section:0,value:0),time:(from:'2016-09-03 18:28:45-0600',mode:absolute,to:'2016-09-03 21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36" t="str">
            <v>N</v>
          </cell>
          <cell r="X136">
            <v>1</v>
          </cell>
          <cell r="Y136">
            <v>4.53E-2</v>
          </cell>
          <cell r="Z136">
            <v>23.332100000000001</v>
          </cell>
          <cell r="AA136">
            <v>23.286799999999999</v>
          </cell>
          <cell r="AB136" t="e">
            <v>#N/A</v>
          </cell>
          <cell r="AC136" t="e">
            <v>#N/A</v>
          </cell>
          <cell r="AD136" t="str">
            <v>0223-03</v>
          </cell>
          <cell r="AE136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137">
          <cell r="A137" t="str">
            <v>224-03</v>
          </cell>
          <cell r="B137">
            <v>4012</v>
          </cell>
          <cell r="C137" t="str">
            <v>DE.1.0.7.0</v>
          </cell>
          <cell r="D137" t="str">
            <v>204:233008</v>
          </cell>
          <cell r="E137">
            <v>42616.841817129629</v>
          </cell>
          <cell r="F137">
            <v>42616.851539351854</v>
          </cell>
          <cell r="G137">
            <v>1</v>
          </cell>
          <cell r="H137" t="str">
            <v>204:150</v>
          </cell>
          <cell r="I137">
            <v>42616.878877314812</v>
          </cell>
          <cell r="J137">
            <v>0</v>
          </cell>
          <cell r="K137" t="str">
            <v>4011/4012</v>
          </cell>
          <cell r="L137" t="str">
            <v>NEWELL</v>
          </cell>
          <cell r="M137">
            <v>2.7337962957972195E-2</v>
          </cell>
          <cell r="N137">
            <v>39.366666659479961</v>
          </cell>
          <cell r="S137">
            <v>1</v>
          </cell>
          <cell r="T137" t="str">
            <v>Southbound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https://search-rtdc-monitor-bjffxe2xuh6vdkpspy63sjmuny.us-east-1.es.amazonaws.com/_plugin/kibana/#/discover/Steve-Slow-Train-Analysis-(2080s-and-2083s)?_g=(refreshInterval:(display:Off,section:0,value:0),time:(from:'2016-09-03 19:12:13-0600',mode:absolute,to:'2016-09-03 22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37" t="str">
            <v>N</v>
          </cell>
          <cell r="X137">
            <v>1</v>
          </cell>
          <cell r="Y137">
            <v>23.300799999999999</v>
          </cell>
          <cell r="Z137">
            <v>1.4999999999999999E-2</v>
          </cell>
          <cell r="AA137">
            <v>23.285799999999998</v>
          </cell>
          <cell r="AB137" t="e">
            <v>#N/A</v>
          </cell>
          <cell r="AC137" t="e">
            <v>#N/A</v>
          </cell>
          <cell r="AD137" t="str">
            <v>0224-03</v>
          </cell>
          <cell r="AE137" t="str">
    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    </cell>
        </row>
        <row r="138">
          <cell r="A138" t="str">
            <v>225-03</v>
          </cell>
          <cell r="B138">
            <v>4040</v>
          </cell>
          <cell r="C138" t="str">
            <v>DE.1.0.7.0</v>
          </cell>
          <cell r="D138" t="str">
            <v>204:453</v>
          </cell>
          <cell r="E138">
            <v>42616.836840277778</v>
          </cell>
          <cell r="F138">
            <v>42616.837835648148</v>
          </cell>
          <cell r="G138">
            <v>1</v>
          </cell>
          <cell r="H138" t="str">
            <v>204:233291</v>
          </cell>
          <cell r="I138">
            <v>42616.865185185183</v>
          </cell>
          <cell r="J138">
            <v>0</v>
          </cell>
          <cell r="K138" t="str">
            <v>4039/4040</v>
          </cell>
          <cell r="L138" t="str">
            <v>CHANDLER</v>
          </cell>
          <cell r="M138">
            <v>2.7349537034751847E-2</v>
          </cell>
          <cell r="N138">
            <v>39.38333333004266</v>
          </cell>
          <cell r="S138">
            <v>1</v>
          </cell>
          <cell r="T138" t="str">
            <v>NorthBound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https://search-rtdc-monitor-bjffxe2xuh6vdkpspy63sjmuny.us-east-1.es.amazonaws.com/_plugin/kibana/#/discover/Steve-Slow-Train-Analysis-(2080s-and-2083s)?_g=(refreshInterval:(display:Off,section:0,value:0),time:(from:'2016-09-03 19:05:03-0600',mode:absolute,to:'2016-09-03 21:45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138" t="str">
            <v>N</v>
          </cell>
          <cell r="X138">
            <v>1</v>
          </cell>
          <cell r="Y138">
            <v>4.53E-2</v>
          </cell>
          <cell r="Z138">
            <v>23.3291</v>
          </cell>
          <cell r="AA138">
            <v>23.283799999999999</v>
          </cell>
          <cell r="AB138" t="e">
            <v>#N/A</v>
          </cell>
          <cell r="AC138" t="e">
            <v>#N/A</v>
          </cell>
          <cell r="AD138" t="str">
            <v>0225-03</v>
          </cell>
          <cell r="AE138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139">
          <cell r="A139" t="str">
            <v>226-03</v>
          </cell>
          <cell r="B139">
            <v>4039</v>
          </cell>
          <cell r="C139" t="str">
            <v>DE.1.0.7.0</v>
          </cell>
          <cell r="D139" t="str">
            <v>204:232971</v>
          </cell>
          <cell r="E139">
            <v>42616.870034722226</v>
          </cell>
          <cell r="F139">
            <v>42616.872476851851</v>
          </cell>
          <cell r="G139">
            <v>0</v>
          </cell>
          <cell r="H139" t="str">
            <v>204:174</v>
          </cell>
          <cell r="I139">
            <v>42616.903715277775</v>
          </cell>
          <cell r="J139">
            <v>0</v>
          </cell>
          <cell r="K139" t="str">
            <v>4039/4040</v>
          </cell>
          <cell r="L139" t="str">
            <v>CHANDLER</v>
          </cell>
          <cell r="M139">
            <v>3.1238425923220348E-2</v>
          </cell>
          <cell r="N139">
            <v>44.983333329437301</v>
          </cell>
          <cell r="S139">
            <v>1</v>
          </cell>
          <cell r="T139" t="str">
            <v>Southbound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https://search-rtdc-monitor-bjffxe2xuh6vdkpspy63sjmuny.us-east-1.es.amazonaws.com/_plugin/kibana/#/discover/Steve-Slow-Train-Analysis-(2080s-and-2083s)?_g=(refreshInterval:(display:Off,section:0,value:0),time:(from:'2016-09-03 19:52:51-0600',mode:absolute,to:'2016-09-03 22:41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139" t="str">
            <v>N</v>
          </cell>
          <cell r="X139">
            <v>1</v>
          </cell>
          <cell r="Y139">
            <v>23.2971</v>
          </cell>
          <cell r="Z139">
            <v>1.7399999999999999E-2</v>
          </cell>
          <cell r="AA139">
            <v>23.279700000000002</v>
          </cell>
          <cell r="AB139" t="e">
            <v>#N/A</v>
          </cell>
          <cell r="AC139" t="e">
            <v>#N/A</v>
          </cell>
          <cell r="AD139" t="str">
            <v>0226-03</v>
          </cell>
          <cell r="AE139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140">
          <cell r="A140" t="str">
            <v>227-03</v>
          </cell>
          <cell r="B140">
            <v>4014</v>
          </cell>
          <cell r="C140" t="str">
            <v>DE.1.0.7.0</v>
          </cell>
          <cell r="D140" t="str">
            <v>204:475</v>
          </cell>
          <cell r="E140">
            <v>42616.849583333336</v>
          </cell>
          <cell r="F140">
            <v>42616.854432870372</v>
          </cell>
          <cell r="G140">
            <v>6</v>
          </cell>
          <cell r="H140" t="str">
            <v>204:233304</v>
          </cell>
          <cell r="I140">
            <v>42616.881840277776</v>
          </cell>
          <cell r="J140">
            <v>0</v>
          </cell>
          <cell r="K140" t="str">
            <v>4013/4014</v>
          </cell>
          <cell r="L140" t="str">
            <v>STURGEON</v>
          </cell>
          <cell r="M140">
            <v>2.7407407404098194E-2</v>
          </cell>
          <cell r="N140">
            <v>39.466666661901399</v>
          </cell>
          <cell r="S140">
            <v>1</v>
          </cell>
          <cell r="T140" t="str">
            <v>NorthBound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https://search-rtdc-monitor-bjffxe2xuh6vdkpspy63sjmuny.us-east-1.es.amazonaws.com/_plugin/kibana/#/discover/Steve-Slow-Train-Analysis-(2080s-and-2083s)?_g=(refreshInterval:(display:Off,section:0,value:0),time:(from:'2016-09-03 19:23:24-0600',mode:absolute,to:'2016-09-03 22:09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40" t="str">
            <v>N</v>
          </cell>
          <cell r="X140">
            <v>1</v>
          </cell>
          <cell r="Y140">
            <v>4.7500000000000001E-2</v>
          </cell>
          <cell r="Z140">
            <v>23.330400000000001</v>
          </cell>
          <cell r="AA140">
            <v>23.282900000000001</v>
          </cell>
          <cell r="AB140" t="e">
            <v>#N/A</v>
          </cell>
          <cell r="AC140" t="e">
            <v>#N/A</v>
          </cell>
          <cell r="AD140" t="str">
            <v>0227-03</v>
          </cell>
          <cell r="AE140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141">
          <cell r="A141" t="str">
            <v>228-03</v>
          </cell>
          <cell r="B141">
            <v>4013</v>
          </cell>
          <cell r="C141" t="str">
            <v>DE.1.0.7.0</v>
          </cell>
          <cell r="D141" t="str">
            <v>204:233000</v>
          </cell>
          <cell r="E141">
            <v>42616.888923611114</v>
          </cell>
          <cell r="F141">
            <v>42616.893819444442</v>
          </cell>
          <cell r="G141">
            <v>1</v>
          </cell>
          <cell r="H141" t="str">
            <v>204:212</v>
          </cell>
          <cell r="I141">
            <v>42616.92224537037</v>
          </cell>
          <cell r="J141">
            <v>0</v>
          </cell>
          <cell r="K141" t="str">
            <v>4013/4014</v>
          </cell>
          <cell r="L141" t="str">
            <v>STURGEON</v>
          </cell>
          <cell r="M141">
            <v>2.842592592787696E-2</v>
          </cell>
          <cell r="N141">
            <v>40.933333336142823</v>
          </cell>
          <cell r="S141">
            <v>1</v>
          </cell>
          <cell r="T141" t="str">
            <v>Southbound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https://search-rtdc-monitor-bjffxe2xuh6vdkpspy63sjmuny.us-east-1.es.amazonaws.com/_plugin/kibana/#/discover/Steve-Slow-Train-Analysis-(2080s-and-2083s)?_g=(refreshInterval:(display:Off,section:0,value:0),time:(from:'2016-09-03 20:20:03-0600',mode:absolute,to:'2016-09-03 23:08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41" t="str">
            <v>N</v>
          </cell>
          <cell r="X141">
            <v>1</v>
          </cell>
          <cell r="Y141">
            <v>23.3</v>
          </cell>
          <cell r="Z141">
            <v>2.12E-2</v>
          </cell>
          <cell r="AA141">
            <v>23.2788</v>
          </cell>
          <cell r="AB141" t="e">
            <v>#N/A</v>
          </cell>
          <cell r="AC141" t="e">
            <v>#N/A</v>
          </cell>
          <cell r="AD141" t="str">
            <v>0228-03</v>
          </cell>
          <cell r="AE141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142">
          <cell r="A142" t="str">
            <v>229-03</v>
          </cell>
          <cell r="B142">
            <v>4020</v>
          </cell>
          <cell r="C142" t="str">
            <v>DE.1.0.7.0</v>
          </cell>
          <cell r="D142" t="str">
            <v>204:447</v>
          </cell>
          <cell r="E142">
            <v>42616.871817129628</v>
          </cell>
          <cell r="F142">
            <v>42616.875231481485</v>
          </cell>
          <cell r="G142">
            <v>1</v>
          </cell>
          <cell r="H142" t="str">
            <v>204:233418</v>
          </cell>
          <cell r="I142">
            <v>42616.902245370373</v>
          </cell>
          <cell r="J142">
            <v>0</v>
          </cell>
          <cell r="K142" t="str">
            <v>4019/4020</v>
          </cell>
          <cell r="L142" t="str">
            <v>HAITHCOX</v>
          </cell>
          <cell r="M142">
            <v>2.7013888888177462E-2</v>
          </cell>
          <cell r="N142">
            <v>38.899999998975545</v>
          </cell>
          <cell r="S142">
            <v>1</v>
          </cell>
          <cell r="T142" t="str">
            <v>NorthBound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https://search-rtdc-monitor-bjffxe2xuh6vdkpspy63sjmuny.us-east-1.es.amazonaws.com/_plugin/kibana/#/discover/Steve-Slow-Train-Analysis-(2080s-and-2083s)?_g=(refreshInterval:(display:Off,section:0,value:0),time:(from:'2016-09-03 19:55:25-0600',mode:absolute,to:'2016-09-03 22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42" t="str">
            <v>N</v>
          </cell>
          <cell r="X142">
            <v>1</v>
          </cell>
          <cell r="Y142">
            <v>4.4699999999999997E-2</v>
          </cell>
          <cell r="Z142">
            <v>23.341799999999999</v>
          </cell>
          <cell r="AA142">
            <v>23.2971</v>
          </cell>
          <cell r="AB142" t="e">
            <v>#N/A</v>
          </cell>
          <cell r="AC142" t="e">
            <v>#N/A</v>
          </cell>
          <cell r="AD142" t="str">
            <v>0229-03</v>
          </cell>
          <cell r="AE142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143">
          <cell r="A143" t="str">
            <v>230-03</v>
          </cell>
          <cell r="B143">
            <v>4019</v>
          </cell>
          <cell r="C143" t="str">
            <v>DE.1.0.7.0</v>
          </cell>
          <cell r="D143" t="str">
            <v>204:233044</v>
          </cell>
          <cell r="E143">
            <v>42616.910520833335</v>
          </cell>
          <cell r="F143">
            <v>42616.914131944446</v>
          </cell>
          <cell r="G143">
            <v>1</v>
          </cell>
          <cell r="H143" t="str">
            <v>204:138</v>
          </cell>
          <cell r="I143">
            <v>42616.942118055558</v>
          </cell>
          <cell r="J143">
            <v>0</v>
          </cell>
          <cell r="K143" t="str">
            <v>4019/4020</v>
          </cell>
          <cell r="L143" t="str">
            <v>HAITHCOX</v>
          </cell>
          <cell r="M143">
            <v>2.7986111112113576E-2</v>
          </cell>
          <cell r="N143">
            <v>40.30000000144355</v>
          </cell>
          <cell r="S143">
            <v>1</v>
          </cell>
          <cell r="T143" t="str">
            <v>Southbound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https://search-rtdc-monitor-bjffxe2xuh6vdkpspy63sjmuny.us-east-1.es.amazonaws.com/_plugin/kibana/#/discover/Steve-Slow-Train-Analysis-(2080s-and-2083s)?_g=(refreshInterval:(display:Off,section:0,value:0),time:(from:'2016-09-03 20:51:09-0600',mode:absolute,to:'2016-09-03 23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43" t="str">
            <v>N</v>
          </cell>
          <cell r="X143">
            <v>1</v>
          </cell>
          <cell r="Y143">
            <v>23.304400000000001</v>
          </cell>
          <cell r="Z143">
            <v>1.38E-2</v>
          </cell>
          <cell r="AA143">
            <v>23.290600000000001</v>
          </cell>
          <cell r="AB143" t="e">
            <v>#N/A</v>
          </cell>
          <cell r="AC143" t="e">
            <v>#N/A</v>
          </cell>
          <cell r="AD143" t="str">
            <v>0230-03</v>
          </cell>
          <cell r="AE143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144">
          <cell r="A144" t="str">
            <v>231-03</v>
          </cell>
          <cell r="B144">
            <v>4011</v>
          </cell>
          <cell r="C144" t="str">
            <v>DE.1.0.7.0</v>
          </cell>
          <cell r="D144" t="str">
            <v>204:438</v>
          </cell>
          <cell r="E144">
            <v>42616.882997685185</v>
          </cell>
          <cell r="F144">
            <v>42616.895995370367</v>
          </cell>
          <cell r="G144">
            <v>1</v>
          </cell>
          <cell r="H144" t="str">
            <v>204:233332</v>
          </cell>
          <cell r="I144">
            <v>42616.921238425923</v>
          </cell>
          <cell r="J144">
            <v>0</v>
          </cell>
          <cell r="K144" t="str">
            <v>4011/4012</v>
          </cell>
          <cell r="L144" t="str">
            <v>NEWELL</v>
          </cell>
          <cell r="M144">
            <v>2.5243055555620231E-2</v>
          </cell>
          <cell r="N144">
            <v>36.350000000093132</v>
          </cell>
          <cell r="S144">
            <v>1</v>
          </cell>
          <cell r="T144" t="str">
            <v>NorthBound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https://search-rtdc-monitor-bjffxe2xuh6vdkpspy63sjmuny.us-east-1.es.amazonaws.com/_plugin/kibana/#/discover/Steve-Slow-Train-Analysis-(2080s-and-2083s)?_g=(refreshInterval:(display:Off,section:0,value:0),time:(from:'2016-09-03 20:11:31-0600',mode:absolute,to:'2016-09-03 23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44" t="str">
            <v>N</v>
          </cell>
          <cell r="X144">
            <v>1</v>
          </cell>
          <cell r="Y144">
            <v>4.3799999999999999E-2</v>
          </cell>
          <cell r="Z144">
            <v>23.333200000000001</v>
          </cell>
          <cell r="AA144">
            <v>23.289400000000001</v>
          </cell>
          <cell r="AB144" t="e">
            <v>#N/A</v>
          </cell>
          <cell r="AC144" t="e">
            <v>#N/A</v>
          </cell>
          <cell r="AD144" t="str">
            <v>0231-03</v>
          </cell>
          <cell r="AE144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145">
          <cell r="A145" t="str">
            <v>232-03</v>
          </cell>
          <cell r="B145">
            <v>4012</v>
          </cell>
          <cell r="C145" t="str">
            <v>DE.1.0.7.0</v>
          </cell>
          <cell r="D145" t="str">
            <v>204:232936</v>
          </cell>
          <cell r="E145">
            <v>42616.926249999997</v>
          </cell>
          <cell r="F145">
            <v>42616.935428240744</v>
          </cell>
          <cell r="G145">
            <v>13</v>
          </cell>
          <cell r="H145" t="str">
            <v>204:145</v>
          </cell>
          <cell r="I145">
            <v>42616.962025462963</v>
          </cell>
          <cell r="J145">
            <v>0</v>
          </cell>
          <cell r="K145" t="str">
            <v>4011/4012</v>
          </cell>
          <cell r="L145" t="str">
            <v>NEWELL</v>
          </cell>
          <cell r="M145">
            <v>2.6597222218697425E-2</v>
          </cell>
          <cell r="N145">
            <v>38.299999994924292</v>
          </cell>
          <cell r="S145">
            <v>1</v>
          </cell>
          <cell r="T145" t="str">
            <v>Southbound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https://search-rtdc-monitor-bjffxe2xuh6vdkpspy63sjmuny.us-east-1.es.amazonaws.com/_plugin/kibana/#/discover/Steve-Slow-Train-Analysis-(2080s-and-2083s)?_g=(refreshInterval:(display:Off,section:0,value:0),time:(from:'2016-09-03 21:13:48-0600',mode:absolute,to:'2016-09-04 00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45" t="str">
            <v>N</v>
          </cell>
          <cell r="X145">
            <v>1</v>
          </cell>
          <cell r="Y145">
            <v>23.293600000000001</v>
          </cell>
          <cell r="Z145">
            <v>1.4500000000000001E-2</v>
          </cell>
          <cell r="AA145">
            <v>23.2791</v>
          </cell>
          <cell r="AB145" t="e">
            <v>#N/A</v>
          </cell>
          <cell r="AC145" t="e">
            <v>#N/A</v>
          </cell>
          <cell r="AD145" t="str">
            <v>0232-03</v>
          </cell>
          <cell r="AE145" t="str">
    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    </cell>
        </row>
        <row r="146">
          <cell r="A146" t="str">
            <v>233-03</v>
          </cell>
          <cell r="B146">
            <v>4040</v>
          </cell>
          <cell r="C146" t="str">
            <v>DE.1.0.7.0</v>
          </cell>
          <cell r="D146" t="str">
            <v>204:469</v>
          </cell>
          <cell r="E146">
            <v>42616.912951388891</v>
          </cell>
          <cell r="F146">
            <v>42616.916909722226</v>
          </cell>
          <cell r="G146">
            <v>1</v>
          </cell>
          <cell r="H146" t="str">
            <v>204:233302</v>
          </cell>
          <cell r="I146">
            <v>42616.943703703706</v>
          </cell>
          <cell r="J146">
            <v>0</v>
          </cell>
          <cell r="K146" t="str">
            <v>4039/4040</v>
          </cell>
          <cell r="L146" t="str">
            <v>CHANDLER</v>
          </cell>
          <cell r="M146">
            <v>2.679398148029577E-2</v>
          </cell>
          <cell r="N146">
            <v>38.583333331625909</v>
          </cell>
          <cell r="S146">
            <v>1</v>
          </cell>
          <cell r="T146" t="str">
            <v>NorthBound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https://search-rtdc-monitor-bjffxe2xuh6vdkpspy63sjmuny.us-east-1.es.amazonaws.com/_plugin/kibana/#/discover/Steve-Slow-Train-Analysis-(2080s-and-2083s)?_g=(refreshInterval:(display:Off,section:0,value:0),time:(from:'2016-09-03 20:54:39-0600',mode:absolute,to:'2016-09-03 23:38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146" t="str">
            <v>N</v>
          </cell>
          <cell r="X146">
            <v>1</v>
          </cell>
          <cell r="Y146">
            <v>4.6899999999999997E-2</v>
          </cell>
          <cell r="Z146">
            <v>23.330200000000001</v>
          </cell>
          <cell r="AA146">
            <v>23.283300000000001</v>
          </cell>
          <cell r="AB146" t="e">
            <v>#N/A</v>
          </cell>
          <cell r="AC146" t="e">
            <v>#N/A</v>
          </cell>
          <cell r="AD146" t="str">
            <v>0233-03</v>
          </cell>
          <cell r="AE146" t="str">
    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    </cell>
        </row>
        <row r="147">
          <cell r="A147" t="str">
            <v>234-03</v>
          </cell>
          <cell r="B147">
            <v>4039</v>
          </cell>
          <cell r="C147" t="str">
            <v>DE.1.0.7.0</v>
          </cell>
          <cell r="D147" t="str">
            <v>204:232976</v>
          </cell>
          <cell r="E147">
            <v>42616.952604166669</v>
          </cell>
          <cell r="F147">
            <v>42616.955891203703</v>
          </cell>
          <cell r="G147">
            <v>1</v>
          </cell>
          <cell r="H147" t="str">
            <v>204:165</v>
          </cell>
          <cell r="I147">
            <v>42616.986180555556</v>
          </cell>
          <cell r="J147">
            <v>0</v>
          </cell>
          <cell r="K147" t="str">
            <v>4039/4040</v>
          </cell>
          <cell r="L147" t="str">
            <v>CHANDLER</v>
          </cell>
          <cell r="M147">
            <v>3.0289351852843538E-2</v>
          </cell>
          <cell r="N147">
            <v>43.616666668094695</v>
          </cell>
          <cell r="S147">
            <v>1</v>
          </cell>
          <cell r="T147" t="str">
            <v>Southbound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https://search-rtdc-monitor-bjffxe2xuh6vdkpspy63sjmuny.us-east-1.es.amazonaws.com/_plugin/kibana/#/discover/Steve-Slow-Train-Analysis-(2080s-and-2083s)?_g=(refreshInterval:(display:Off,section:0,value:0),time:(from:'2016-09-03 21:51:45-0600',mode:absolute,to:'2016-09-04 00:40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147" t="str">
            <v>N</v>
          </cell>
          <cell r="X147">
            <v>1</v>
          </cell>
          <cell r="Y147">
            <v>23.297599999999999</v>
          </cell>
          <cell r="Z147">
            <v>1.6500000000000001E-2</v>
          </cell>
          <cell r="AA147">
            <v>23.281099999999999</v>
          </cell>
          <cell r="AB147" t="e">
            <v>#N/A</v>
          </cell>
          <cell r="AC147" t="e">
            <v>#N/A</v>
          </cell>
          <cell r="AD147" t="str">
            <v>0234-03</v>
          </cell>
          <cell r="AE147" t="str">
    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    </cell>
        </row>
        <row r="148">
          <cell r="A148" t="str">
            <v>235-03</v>
          </cell>
          <cell r="B148">
            <v>4014</v>
          </cell>
          <cell r="C148" t="str">
            <v>DE.1.0.7.0</v>
          </cell>
          <cell r="D148" t="str">
            <v>204:515</v>
          </cell>
          <cell r="E148">
            <v>42616.931875000002</v>
          </cell>
          <cell r="F148">
            <v>42616.93787037037</v>
          </cell>
          <cell r="G148">
            <v>6</v>
          </cell>
          <cell r="H148" t="str">
            <v>204:233293</v>
          </cell>
          <cell r="I148">
            <v>42616.964606481481</v>
          </cell>
          <cell r="J148">
            <v>0</v>
          </cell>
          <cell r="K148" t="str">
            <v>4013/4014</v>
          </cell>
          <cell r="L148" t="str">
            <v>STURGEON</v>
          </cell>
          <cell r="M148">
            <v>2.6736111110949423E-2</v>
          </cell>
          <cell r="N148">
            <v>38.499999999767169</v>
          </cell>
          <cell r="S148">
            <v>1</v>
          </cell>
          <cell r="T148" t="str">
            <v>NorthBound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https://search-rtdc-monitor-bjffxe2xuh6vdkpspy63sjmuny.us-east-1.es.amazonaws.com/_plugin/kibana/#/discover/Steve-Slow-Train-Analysis-(2080s-and-2083s)?_g=(refreshInterval:(display:Off,section:0,value:0),time:(from:'2016-09-03 21:21:54-0600',mode:absolute,to:'2016-09-04 00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48" t="str">
            <v>N</v>
          </cell>
          <cell r="X148">
            <v>1</v>
          </cell>
          <cell r="Y148">
            <v>5.1499999999999997E-2</v>
          </cell>
          <cell r="Z148">
            <v>23.3293</v>
          </cell>
          <cell r="AA148">
            <v>23.277799999999999</v>
          </cell>
          <cell r="AB148" t="e">
            <v>#N/A</v>
          </cell>
          <cell r="AC148" t="e">
            <v>#N/A</v>
          </cell>
          <cell r="AD148" t="str">
            <v>0235-03</v>
          </cell>
          <cell r="AE148" t="str">
    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    </cell>
        </row>
        <row r="149">
          <cell r="A149" t="str">
            <v>236-03</v>
          </cell>
          <cell r="B149">
            <v>4013</v>
          </cell>
          <cell r="C149" t="str">
            <v>DE.1.0.7.0</v>
          </cell>
          <cell r="D149" t="str">
            <v>204:232973</v>
          </cell>
          <cell r="E149">
            <v>42616.973668981482</v>
          </cell>
          <cell r="F149">
            <v>42616.976655092592</v>
          </cell>
          <cell r="G149">
            <v>1</v>
          </cell>
          <cell r="H149" t="str">
            <v>204:158</v>
          </cell>
          <cell r="I149">
            <v>42617.004675925928</v>
          </cell>
          <cell r="J149">
            <v>0</v>
          </cell>
          <cell r="K149" t="str">
            <v>4013/4014</v>
          </cell>
          <cell r="L149" t="str">
            <v>STURGEON</v>
          </cell>
          <cell r="M149">
            <v>2.8020833335176576E-2</v>
          </cell>
          <cell r="N149">
            <v>40.350000002654269</v>
          </cell>
          <cell r="S149">
            <v>1</v>
          </cell>
          <cell r="T149" t="str">
            <v>Southbound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https://search-rtdc-monitor-bjffxe2xuh6vdkpspy63sjmuny.us-east-1.es.amazonaws.com/_plugin/kibana/#/discover/Steve-Slow-Train-Analysis-(2080s-and-2083s)?_g=(refreshInterval:(display:Off,section:0,value:0),time:(from:'2016-09-03 22:22:05-0600',mode:absolute,to:'2016-09-04 01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49" t="str">
            <v>N</v>
          </cell>
          <cell r="X149">
            <v>1</v>
          </cell>
          <cell r="Y149">
            <v>23.2973</v>
          </cell>
          <cell r="Z149">
            <v>1.5800000000000002E-2</v>
          </cell>
          <cell r="AA149">
            <v>23.281500000000001</v>
          </cell>
          <cell r="AB149" t="e">
            <v>#N/A</v>
          </cell>
          <cell r="AC149" t="e">
            <v>#N/A</v>
          </cell>
          <cell r="AD149" t="str">
            <v>0236-03</v>
          </cell>
          <cell r="AE149" t="str">
    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    </cell>
        </row>
        <row r="150">
          <cell r="A150" t="str">
            <v>237-03</v>
          </cell>
          <cell r="B150">
            <v>4020</v>
          </cell>
          <cell r="C150" t="str">
            <v>DE.1.0.7.0</v>
          </cell>
          <cell r="D150" t="str">
            <v>204:447</v>
          </cell>
          <cell r="E150">
            <v>42616.955995370372</v>
          </cell>
          <cell r="F150">
            <v>42616.958553240744</v>
          </cell>
          <cell r="G150">
            <v>3</v>
          </cell>
          <cell r="H150" t="str">
            <v>204:233351</v>
          </cell>
          <cell r="I150">
            <v>42616.984259259261</v>
          </cell>
          <cell r="J150">
            <v>0</v>
          </cell>
          <cell r="K150" t="str">
            <v>4019/4020</v>
          </cell>
          <cell r="L150" t="str">
            <v>HAITHCOX</v>
          </cell>
          <cell r="M150">
            <v>2.5706018517666962E-2</v>
          </cell>
          <cell r="N150">
            <v>37.016666665440425</v>
          </cell>
          <cell r="S150">
            <v>1</v>
          </cell>
          <cell r="T150" t="str">
            <v>NorthBound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https://search-rtdc-monitor-bjffxe2xuh6vdkpspy63sjmuny.us-east-1.es.amazonaws.com/_plugin/kibana/#/discover/Steve-Slow-Train-Analysis-(2080s-and-2083s)?_g=(refreshInterval:(display:Off,section:0,value:0),time:(from:'2016-09-03 21:56:38-0600',mode:absolute,to:'2016-09-04 00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50" t="str">
            <v>N</v>
          </cell>
          <cell r="X150">
            <v>1</v>
          </cell>
          <cell r="Y150">
            <v>4.4699999999999997E-2</v>
          </cell>
          <cell r="Z150">
            <v>23.335100000000001</v>
          </cell>
          <cell r="AA150">
            <v>23.290400000000002</v>
          </cell>
          <cell r="AB150" t="e">
            <v>#N/A</v>
          </cell>
          <cell r="AC150" t="e">
            <v>#N/A</v>
          </cell>
          <cell r="AD150" t="str">
            <v>0237-03</v>
          </cell>
          <cell r="AE150" t="str">
    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    </cell>
        </row>
        <row r="151">
          <cell r="A151" t="str">
            <v>238-03</v>
          </cell>
          <cell r="B151">
            <v>4019</v>
          </cell>
          <cell r="C151" t="str">
            <v>DE.1.0.7.0</v>
          </cell>
          <cell r="D151" t="str">
            <v>204:233042</v>
          </cell>
          <cell r="E151">
            <v>42616.994444444441</v>
          </cell>
          <cell r="F151">
            <v>42616.997453703705</v>
          </cell>
          <cell r="G151">
            <v>1</v>
          </cell>
          <cell r="H151" t="str">
            <v>204:158</v>
          </cell>
          <cell r="I151">
            <v>42617.024942129632</v>
          </cell>
          <cell r="J151">
            <v>0</v>
          </cell>
          <cell r="K151" t="str">
            <v>4019/4020</v>
          </cell>
          <cell r="L151" t="str">
            <v>HAITHCOX</v>
          </cell>
          <cell r="M151">
            <v>2.7488425927003846E-2</v>
          </cell>
          <cell r="N151">
            <v>39.583333334885538</v>
          </cell>
          <cell r="S151">
            <v>1</v>
          </cell>
          <cell r="T151" t="str">
            <v>Southbound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https://search-rtdc-monitor-bjffxe2xuh6vdkpspy63sjmuny.us-east-1.es.amazonaws.com/_plugin/kibana/#/discover/Steve-Slow-Train-Analysis-(2080s-and-2083s)?_g=(refreshInterval:(display:Off,section:0,value:0),time:(from:'2016-09-03 22:52:00-0600',mode:absolute,to:'2016-09-04 01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51" t="str">
            <v>N</v>
          </cell>
          <cell r="X151">
            <v>1</v>
          </cell>
          <cell r="Y151">
            <v>23.304200000000002</v>
          </cell>
          <cell r="Z151">
            <v>1.5800000000000002E-2</v>
          </cell>
          <cell r="AA151">
            <v>23.288400000000003</v>
          </cell>
          <cell r="AB151" t="e">
            <v>#N/A</v>
          </cell>
          <cell r="AC151" t="e">
            <v>#N/A</v>
          </cell>
          <cell r="AD151" t="str">
            <v>0238-03</v>
          </cell>
          <cell r="AE151" t="str">
    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    </cell>
        </row>
        <row r="152">
          <cell r="A152" t="str">
            <v>239-03</v>
          </cell>
          <cell r="B152">
            <v>4011</v>
          </cell>
          <cell r="C152" t="str">
            <v>DE.1.0.7.0</v>
          </cell>
          <cell r="D152" t="str">
            <v>204:469</v>
          </cell>
          <cell r="E152">
            <v>42616.963171296295</v>
          </cell>
          <cell r="F152">
            <v>42616.979375000003</v>
          </cell>
          <cell r="G152">
            <v>1</v>
          </cell>
          <cell r="H152" t="str">
            <v>204:233317</v>
          </cell>
          <cell r="I152">
            <v>42617.004444444443</v>
          </cell>
          <cell r="J152">
            <v>0</v>
          </cell>
          <cell r="K152" t="str">
            <v>4011/4012</v>
          </cell>
          <cell r="L152" t="str">
            <v>NEWELL</v>
          </cell>
          <cell r="M152">
            <v>2.5069444440305233E-2</v>
          </cell>
          <cell r="N152">
            <v>36.099999994039536</v>
          </cell>
          <cell r="S152">
            <v>1</v>
          </cell>
          <cell r="T152" t="str">
            <v>NorthBound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https://search-rtdc-monitor-bjffxe2xuh6vdkpspy63sjmuny.us-east-1.es.amazonaws.com/_plugin/kibana/#/discover/Steve-Slow-Train-Analysis-(2080s-and-2083s)?_g=(refreshInterval:(display:Off,section:0,value:0),time:(from:'2016-09-03 22:06:58-0600',mode:absolute,to:'2016-09-04 01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52" t="str">
            <v>N</v>
          </cell>
          <cell r="X152">
            <v>1</v>
          </cell>
          <cell r="Y152">
            <v>4.6899999999999997E-2</v>
          </cell>
          <cell r="Z152">
            <v>23.331700000000001</v>
          </cell>
          <cell r="AA152">
            <v>23.284800000000001</v>
          </cell>
          <cell r="AB152" t="e">
            <v>#N/A</v>
          </cell>
          <cell r="AC152" t="e">
            <v>#N/A</v>
          </cell>
          <cell r="AD152" t="str">
            <v>0239-03</v>
          </cell>
          <cell r="AE152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153">
          <cell r="A153" t="str">
            <v>240-03</v>
          </cell>
          <cell r="B153">
            <v>4012</v>
          </cell>
          <cell r="C153" t="str">
            <v>DE.1.0.7.0</v>
          </cell>
          <cell r="D153" t="str">
            <v>204:127864</v>
          </cell>
          <cell r="E153">
            <v>42617.027905092589</v>
          </cell>
          <cell r="F153">
            <v>42617.029293981483</v>
          </cell>
          <cell r="G153">
            <v>1</v>
          </cell>
          <cell r="H153" t="str">
            <v>204:138</v>
          </cell>
          <cell r="I153">
            <v>42617.045648148145</v>
          </cell>
          <cell r="J153">
            <v>0</v>
          </cell>
          <cell r="K153" t="str">
            <v>4011/4012</v>
          </cell>
          <cell r="L153" t="str">
            <v>NEWELL</v>
          </cell>
          <cell r="M153">
            <v>1.6354166662495118E-2</v>
          </cell>
          <cell r="P153">
            <v>23.549999993992969</v>
          </cell>
          <cell r="R153" t="str">
            <v>Onboard in-route failure</v>
          </cell>
          <cell r="S153">
            <v>1</v>
          </cell>
          <cell r="T153" t="str">
            <v>Southbound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https://search-rtdc-monitor-bjffxe2xuh6vdkpspy63sjmuny.us-east-1.es.amazonaws.com/_plugin/kibana/#/discover/Steve-Slow-Train-Analysis-(2080s-and-2083s)?_g=(refreshInterval:(display:Off,section:0,value:0),time:(from:'2016-09-03 23:40:11-0600',mode:absolute,to:'2016-09-04 02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53" t="str">
            <v>Y</v>
          </cell>
          <cell r="X153">
            <v>1</v>
          </cell>
          <cell r="Y153">
            <v>12.7864</v>
          </cell>
          <cell r="Z153">
            <v>1.38E-2</v>
          </cell>
          <cell r="AA153">
            <v>12.772600000000001</v>
          </cell>
          <cell r="AB153" t="e">
            <v>#N/A</v>
          </cell>
          <cell r="AC153" t="e">
            <v>#N/A</v>
          </cell>
          <cell r="AD153" t="str">
            <v>0240-03</v>
          </cell>
          <cell r="AE153" t="str">
            <v>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 &amp; 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</v>
          </cell>
        </row>
        <row r="154">
          <cell r="A154" t="str">
            <v>241-03</v>
          </cell>
          <cell r="B154">
            <v>4040</v>
          </cell>
          <cell r="C154" t="str">
            <v>DE.1.0.7.0</v>
          </cell>
          <cell r="D154" t="str">
            <v>204:469</v>
          </cell>
          <cell r="E154">
            <v>42616.997685185182</v>
          </cell>
          <cell r="F154">
            <v>42617.000231481485</v>
          </cell>
          <cell r="G154">
            <v>1</v>
          </cell>
          <cell r="H154" t="str">
            <v>204:233280</v>
          </cell>
          <cell r="I154">
            <v>42617.025462962964</v>
          </cell>
          <cell r="J154">
            <v>0</v>
          </cell>
          <cell r="K154" t="str">
            <v>4039/4040</v>
          </cell>
          <cell r="L154" t="str">
            <v>CHANDLER</v>
          </cell>
          <cell r="M154">
            <v>2.5231481478840578E-2</v>
          </cell>
          <cell r="N154">
            <v>36.333333329530433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https://search-rtdc-monitor-bjffxe2xuh6vdkpspy63sjmuny.us-east-1.es.amazonaws.com/_plugin/kibana/#/discover/Steve-Slow-Train-Analysis-(2080s-and-2083s)?_g=(refreshInterval:(display:Off,section:0,value:0),time:(from:'2016-09-03 22:56:40-0600',mode:absolute,to:'2016-09-04 01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154" t="str">
            <v>N</v>
          </cell>
          <cell r="X154">
            <v>1</v>
          </cell>
          <cell r="Y154">
            <v>4.6899999999999997E-2</v>
          </cell>
          <cell r="Z154">
            <v>23.327999999999999</v>
          </cell>
          <cell r="AA154">
            <v>23.281099999999999</v>
          </cell>
          <cell r="AB154" t="e">
            <v>#N/A</v>
          </cell>
          <cell r="AC154" t="e">
            <v>#N/A</v>
          </cell>
          <cell r="AD154" t="str">
            <v>0241-03</v>
          </cell>
          <cell r="AE154" t="str">
            <v>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 &amp; aws s3 cp s3://rtdc.mdm.uploadarchive/RTDC4040/2016-09-05/ "%USERPROFILE%\AppData\Local\Temp\OnboardLogs"\RTDC4040\2016-09-05 --recursive &amp; "%USERPROFILE%\Documents\GitHub\mrs-test-scripts\Headless Mode &amp; Sideloading\WalkAndUnGZ.bat" "%USERPROFILE%\AppData\Local\Temp\OnboardLogs"\RTDC4040\2016-09-05</v>
          </cell>
        </row>
        <row r="155">
          <cell r="A155" t="str">
            <v>242-03</v>
          </cell>
          <cell r="B155">
            <v>4039</v>
          </cell>
          <cell r="C155" t="str">
            <v>DE.1.0.7.0</v>
          </cell>
          <cell r="D155" t="str">
            <v>204:232967</v>
          </cell>
          <cell r="E155">
            <v>42617.038124999999</v>
          </cell>
          <cell r="F155">
            <v>42617.039467592593</v>
          </cell>
          <cell r="G155">
            <v>1</v>
          </cell>
          <cell r="H155" t="str">
            <v>204:170</v>
          </cell>
          <cell r="I155">
            <v>42617.067789351851</v>
          </cell>
          <cell r="J155">
            <v>0</v>
          </cell>
          <cell r="K155" t="str">
            <v>4039/4040</v>
          </cell>
          <cell r="L155" t="str">
            <v>CHANDLER</v>
          </cell>
          <cell r="M155">
            <v>2.8321759258687962E-2</v>
          </cell>
          <cell r="N155">
            <v>40.783333332510665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https://search-rtdc-monitor-bjffxe2xuh6vdkpspy63sjmuny.us-east-1.es.amazonaws.com/_plugin/kibana/#/discover/Steve-Slow-Train-Analysis-(2080s-and-2083s)?_g=(refreshInterval:(display:Off,section:0,value:0),time:(from:'2016-09-03 23:54:54-0600',mode:absolute,to:'2016-09-04 02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    </cell>
          <cell r="W155" t="str">
            <v>N</v>
          </cell>
          <cell r="X155">
            <v>1</v>
          </cell>
          <cell r="Y155">
            <v>23.296700000000001</v>
          </cell>
          <cell r="Z155">
            <v>1.7000000000000001E-2</v>
          </cell>
          <cell r="AA155">
            <v>23.279700000000002</v>
          </cell>
          <cell r="AB155" t="e">
            <v>#N/A</v>
          </cell>
          <cell r="AC155" t="e">
            <v>#N/A</v>
          </cell>
          <cell r="AD155" t="str">
            <v>0242-03</v>
          </cell>
          <cell r="AE155" t="str">
            <v>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 &amp; aws s3 cp s3://rtdc.mdm.uploadarchive/RTDC4039/2016-09-05/ "%USERPROFILE%\AppData\Local\Temp\OnboardLogs"\RTDC4039\2016-09-05 --recursive &amp; "%USERPROFILE%\Documents\GitHub\mrs-test-scripts\Headless Mode &amp; Sideloading\WalkAndUnGZ.bat" "%USERPROFILE%\AppData\Local\Temp\OnboardLogs"\RTDC4039\2016-09-05</v>
          </cell>
        </row>
        <row r="156">
          <cell r="A156" t="str">
            <v>243-03</v>
          </cell>
          <cell r="B156">
            <v>4014</v>
          </cell>
          <cell r="C156" t="str">
            <v>DE.1.0.7.0</v>
          </cell>
          <cell r="D156" t="str">
            <v>204:460</v>
          </cell>
          <cell r="E156">
            <v>42617.013356481482</v>
          </cell>
          <cell r="F156">
            <v>42617.021157407406</v>
          </cell>
          <cell r="G156">
            <v>1</v>
          </cell>
          <cell r="H156" t="str">
            <v>204:233298</v>
          </cell>
          <cell r="I156">
            <v>42617.047650462962</v>
          </cell>
          <cell r="J156">
            <v>0</v>
          </cell>
          <cell r="K156" t="str">
            <v>4013/4014</v>
          </cell>
          <cell r="L156" t="str">
            <v>STURGEON</v>
          </cell>
          <cell r="M156">
            <v>2.6493055556784384E-2</v>
          </cell>
          <cell r="N156">
            <v>38.150000001769513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https://search-rtdc-monitor-bjffxe2xuh6vdkpspy63sjmuny.us-east-1.es.amazonaws.com/_plugin/kibana/#/discover/Steve-Slow-Train-Analysis-(2080s-and-2083s)?_g=(refreshInterval:(display:Off,section:0,value:0),time:(from:'2016-09-03 23:19:14-0600',mode:absolute,to:'2016-09-04 02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56" t="str">
            <v>N</v>
          </cell>
          <cell r="X156">
            <v>1</v>
          </cell>
          <cell r="Y156">
            <v>4.5999999999999999E-2</v>
          </cell>
          <cell r="Z156">
            <v>23.329799999999999</v>
          </cell>
          <cell r="AA156">
            <v>23.283799999999999</v>
          </cell>
          <cell r="AB156" t="e">
            <v>#N/A</v>
          </cell>
          <cell r="AC156" t="e">
            <v>#N/A</v>
          </cell>
          <cell r="AD156" t="str">
            <v>0243-03</v>
          </cell>
          <cell r="AE156" t="str">
            <v>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 &amp; 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</v>
          </cell>
        </row>
        <row r="157">
          <cell r="A157" t="str">
            <v>244-03</v>
          </cell>
          <cell r="B157">
            <v>4013</v>
          </cell>
          <cell r="C157" t="str">
            <v>DE.1.0.7.0</v>
          </cell>
          <cell r="D157" t="str">
            <v>204:232974</v>
          </cell>
          <cell r="E157">
            <v>42617.052870370368</v>
          </cell>
          <cell r="F157">
            <v>42617.059942129628</v>
          </cell>
          <cell r="G157">
            <v>1</v>
          </cell>
          <cell r="H157" t="str">
            <v>204:172</v>
          </cell>
          <cell r="I157">
            <v>42617.087199074071</v>
          </cell>
          <cell r="J157">
            <v>0</v>
          </cell>
          <cell r="K157" t="str">
            <v>4013/4014</v>
          </cell>
          <cell r="L157" t="str">
            <v>STURGEON</v>
          </cell>
          <cell r="M157">
            <v>2.7256944442342501E-2</v>
          </cell>
          <cell r="N157">
            <v>39.249999996973202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https://search-rtdc-monitor-bjffxe2xuh6vdkpspy63sjmuny.us-east-1.es.amazonaws.com/_plugin/kibana/#/discover/Steve-Slow-Train-Analysis-(2080s-and-2083s)?_g=(refreshInterval:(display:Off,section:0,value:0),time:(from:'2016-09-04 00:16:08-0600',mode:absolute,to:'2016-09-04 03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57" t="str">
            <v>N</v>
          </cell>
          <cell r="X157">
            <v>1</v>
          </cell>
          <cell r="Y157">
            <v>23.2974</v>
          </cell>
          <cell r="Z157">
            <v>1.72E-2</v>
          </cell>
          <cell r="AA157">
            <v>23.280200000000001</v>
          </cell>
          <cell r="AB157" t="e">
            <v>#N/A</v>
          </cell>
          <cell r="AC157" t="e">
            <v>#N/A</v>
          </cell>
          <cell r="AD157" t="str">
            <v>0244-03</v>
          </cell>
          <cell r="AE157" t="str">
            <v>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 &amp; 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</v>
          </cell>
        </row>
        <row r="158">
          <cell r="A158" t="str">
            <v>245-03</v>
          </cell>
          <cell r="B158">
            <v>4020</v>
          </cell>
          <cell r="C158" t="str">
            <v>DE.1.0.7.0</v>
          </cell>
          <cell r="D158" t="str">
            <v>204:447</v>
          </cell>
          <cell r="E158">
            <v>42617.034236111111</v>
          </cell>
          <cell r="F158">
            <v>42617.041851851849</v>
          </cell>
          <cell r="G158">
            <v>2</v>
          </cell>
          <cell r="H158" t="str">
            <v>204:233326</v>
          </cell>
          <cell r="I158">
            <v>42617.067395833335</v>
          </cell>
          <cell r="J158">
            <v>0</v>
          </cell>
          <cell r="K158" t="str">
            <v>4019/4020</v>
          </cell>
          <cell r="L158" t="str">
            <v>HAITHCOX</v>
          </cell>
          <cell r="M158">
            <v>2.5543981486407574E-2</v>
          </cell>
          <cell r="N158">
            <v>36.783333340426907</v>
          </cell>
          <cell r="S158">
            <v>1</v>
          </cell>
          <cell r="T158" t="str">
            <v>NorthBound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https://search-rtdc-monitor-bjffxe2xuh6vdkpspy63sjmuny.us-east-1.es.amazonaws.com/_plugin/kibana/#/discover/Steve-Slow-Train-Analysis-(2080s-and-2083s)?_g=(refreshInterval:(display:Off,section:0,value:0),time:(from:'2016-09-03 23:49:18-0600',mode:absolute,to:'2016-09-04 02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58" t="str">
            <v>N</v>
          </cell>
          <cell r="X158">
            <v>1</v>
          </cell>
          <cell r="Y158">
            <v>4.4699999999999997E-2</v>
          </cell>
          <cell r="Z158">
            <v>23.332599999999999</v>
          </cell>
          <cell r="AA158">
            <v>23.2879</v>
          </cell>
          <cell r="AB158" t="e">
            <v>#N/A</v>
          </cell>
          <cell r="AC158" t="e">
            <v>#N/A</v>
          </cell>
          <cell r="AD158" t="str">
            <v>0245-03</v>
          </cell>
          <cell r="AE158" t="str">
            <v>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 &amp; 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</v>
          </cell>
        </row>
        <row r="159">
          <cell r="A159" t="str">
            <v>246-03</v>
          </cell>
          <cell r="B159">
            <v>4019</v>
          </cell>
          <cell r="C159" t="str">
            <v>DE.1.0.7.0</v>
          </cell>
          <cell r="D159" t="str">
            <v>204:233007</v>
          </cell>
          <cell r="E159">
            <v>42617.076990740738</v>
          </cell>
          <cell r="F159">
            <v>42617.081458333334</v>
          </cell>
          <cell r="G159">
            <v>1</v>
          </cell>
          <cell r="H159" t="str">
            <v>204:139</v>
          </cell>
          <cell r="I159">
            <v>42617.107974537037</v>
          </cell>
          <cell r="J159">
            <v>0</v>
          </cell>
          <cell r="K159" t="str">
            <v>4019/4020</v>
          </cell>
          <cell r="L159" t="str">
            <v>HAITHCOX</v>
          </cell>
          <cell r="M159">
            <v>2.6516203703067731E-2</v>
          </cell>
          <cell r="N159">
            <v>38.183333332417533</v>
          </cell>
          <cell r="S159">
            <v>1</v>
          </cell>
          <cell r="T159" t="str">
            <v>Southbound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https://search-rtdc-monitor-bjffxe2xuh6vdkpspy63sjmuny.us-east-1.es.amazonaws.com/_plugin/kibana/#/discover/Steve-Slow-Train-Analysis-(2080s-and-2083s)?_g=(refreshInterval:(display:Off,section:0,value:0),time:(from:'2016-09-04 00:50:52-0600',mode:absolute,to:'2016-09-04 03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59" t="str">
            <v>N</v>
          </cell>
          <cell r="X159">
            <v>1</v>
          </cell>
          <cell r="Y159">
            <v>23.300699999999999</v>
          </cell>
          <cell r="Z159">
            <v>1.3899999999999999E-2</v>
          </cell>
          <cell r="AA159">
            <v>23.286799999999999</v>
          </cell>
          <cell r="AB159" t="e">
            <v>#N/A</v>
          </cell>
          <cell r="AC159" t="e">
            <v>#N/A</v>
          </cell>
          <cell r="AD159" t="str">
            <v>0246-03</v>
          </cell>
          <cell r="AE159" t="str">
            <v>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 &amp; 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</v>
          </cell>
        </row>
        <row r="160">
          <cell r="A160" t="str">
            <v>1800-03</v>
          </cell>
          <cell r="B160">
            <v>4012</v>
          </cell>
          <cell r="C160" t="str">
            <v>DE.1.0.7.0</v>
          </cell>
          <cell r="D160" t="str">
            <v>300:58624</v>
          </cell>
          <cell r="E160">
            <v>42616.23296296296</v>
          </cell>
          <cell r="F160">
            <v>42616.234618055554</v>
          </cell>
          <cell r="G160">
            <v>1</v>
          </cell>
          <cell r="H160" t="str">
            <v>204:827</v>
          </cell>
          <cell r="I160">
            <v>42616.245844907404</v>
          </cell>
          <cell r="J160">
            <v>0</v>
          </cell>
          <cell r="K160" t="str">
            <v>4011/4012</v>
          </cell>
          <cell r="L160" t="str">
            <v>YORK</v>
          </cell>
          <cell r="M160">
            <v>1.1226851849642117E-2</v>
          </cell>
          <cell r="N160">
            <v>16.166666663484648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https://search-rtdc-monitor-bjffxe2xuh6vdkpspy63sjmuny.us-east-1.es.amazonaws.com/_plugin/kibana/#/discover/Steve-Slow-Train-Analysis-(2080s-and-2083s)?_g=(refreshInterval:(display:Off,section:0,value:0),time:(from:'2016-09-03 04:35:28-0600',mode:absolute,to:'2016-09-03 06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60" t="str">
            <v>N</v>
          </cell>
          <cell r="X160">
            <v>1554</v>
          </cell>
          <cell r="Y160">
            <v>5.8624000000000001</v>
          </cell>
          <cell r="Z160">
            <v>8.2699999999999996E-2</v>
          </cell>
          <cell r="AA160">
            <v>5.7797000000000001</v>
          </cell>
          <cell r="AB160" t="e">
            <v>#N/A</v>
          </cell>
          <cell r="AC160" t="e">
            <v>#N/A</v>
          </cell>
          <cell r="AD160" t="str">
            <v>1800-03</v>
          </cell>
          <cell r="AE160" t="str">
    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    </cell>
        </row>
        <row r="161">
          <cell r="A161" t="str">
            <v>1801-03</v>
          </cell>
          <cell r="B161">
            <v>4011</v>
          </cell>
          <cell r="C161" t="str">
            <v>DE.1.0.7.0</v>
          </cell>
          <cell r="D161" t="str">
            <v>204:1123</v>
          </cell>
          <cell r="E161">
            <v>42616.247233796297</v>
          </cell>
          <cell r="F161">
            <v>42616.264745370368</v>
          </cell>
          <cell r="G161">
            <v>0</v>
          </cell>
          <cell r="H161" t="str">
            <v>300:58931</v>
          </cell>
          <cell r="I161">
            <v>42616.274560185186</v>
          </cell>
          <cell r="J161">
            <v>0</v>
          </cell>
          <cell r="K161" t="str">
            <v>4011/4012</v>
          </cell>
          <cell r="L161" t="str">
            <v>YORK</v>
          </cell>
          <cell r="M161">
            <v>9.8148148172185756E-3</v>
          </cell>
          <cell r="N161">
            <v>14.133333336794749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https://search-rtdc-monitor-bjffxe2xuh6vdkpspy63sjmuny.us-east-1.es.amazonaws.com/_plugin/kibana/#/discover/Steve-Slow-Train-Analysis-(2080s-and-2083s)?_g=(refreshInterval:(display:Off,section:0,value:0),time:(from:'2016-09-03 04:56:01-0600',mode:absolute,to:'2016-09-03 07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61" t="str">
            <v>N</v>
          </cell>
          <cell r="X161">
            <v>1</v>
          </cell>
          <cell r="Y161">
            <v>0.1123</v>
          </cell>
          <cell r="Z161">
            <v>5.8930999999999996</v>
          </cell>
          <cell r="AA161">
            <v>5.7807999999999993</v>
          </cell>
          <cell r="AB161" t="e">
            <v>#N/A</v>
          </cell>
          <cell r="AC161" t="e">
            <v>#N/A</v>
          </cell>
          <cell r="AD161" t="str">
            <v>1801-03</v>
          </cell>
          <cell r="AE161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162">
          <cell r="A162" t="str">
            <v>1802-03</v>
          </cell>
          <cell r="B162">
            <v>4012</v>
          </cell>
          <cell r="C162" t="str">
            <v>DE.1.0.7.0</v>
          </cell>
          <cell r="D162" t="str">
            <v>300:58606</v>
          </cell>
          <cell r="E162">
            <v>42616.275891203702</v>
          </cell>
          <cell r="F162">
            <v>42616.277141203704</v>
          </cell>
          <cell r="G162">
            <v>0</v>
          </cell>
          <cell r="H162" t="str">
            <v>204:820</v>
          </cell>
          <cell r="I162">
            <v>42616.287465277775</v>
          </cell>
          <cell r="J162">
            <v>0</v>
          </cell>
          <cell r="K162" t="str">
            <v>4011/4012</v>
          </cell>
          <cell r="L162" t="str">
            <v>YORK</v>
          </cell>
          <cell r="M162">
            <v>1.0324074071832001E-2</v>
          </cell>
          <cell r="N162">
            <v>14.866666663438082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https://search-rtdc-monitor-bjffxe2xuh6vdkpspy63sjmuny.us-east-1.es.amazonaws.com/_plugin/kibana/#/discover/Steve-Slow-Train-Analysis-(2080s-and-2083s)?_g=(refreshInterval:(display:Off,section:0,value:0),time:(from:'2016-09-03 05:37:17-0600',mode:absolute,to:'2016-09-03 07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62" t="str">
            <v>N</v>
          </cell>
          <cell r="X162">
            <v>1</v>
          </cell>
          <cell r="Y162">
            <v>5.8605999999999998</v>
          </cell>
          <cell r="Z162">
            <v>8.2000000000000003E-2</v>
          </cell>
          <cell r="AA162">
            <v>5.7786</v>
          </cell>
          <cell r="AB162" t="e">
            <v>#N/A</v>
          </cell>
          <cell r="AC162" t="e">
            <v>#N/A</v>
          </cell>
          <cell r="AD162" t="str">
            <v>1802-03</v>
          </cell>
          <cell r="AE162" t="str">
    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    </cell>
        </row>
        <row r="163">
          <cell r="A163" t="str">
            <v>1803-03</v>
          </cell>
          <cell r="B163">
            <v>4011</v>
          </cell>
          <cell r="C163" t="str">
            <v>DE.1.0.7.0</v>
          </cell>
          <cell r="D163" t="str">
            <v>204:1125</v>
          </cell>
          <cell r="E163">
            <v>42616.288541666669</v>
          </cell>
          <cell r="F163">
            <v>42616.306469907409</v>
          </cell>
          <cell r="G163">
            <v>0</v>
          </cell>
          <cell r="H163" t="str">
            <v>300:58935</v>
          </cell>
          <cell r="I163">
            <v>42616.316550925927</v>
          </cell>
          <cell r="J163">
            <v>0</v>
          </cell>
          <cell r="K163" t="str">
            <v>4011/4012</v>
          </cell>
          <cell r="L163" t="str">
            <v>YORK</v>
          </cell>
          <cell r="M163">
            <v>1.0081018517666962E-2</v>
          </cell>
          <cell r="N163">
            <v>14.516666665440425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https://search-rtdc-monitor-bjffxe2xuh6vdkpspy63sjmuny.us-east-1.es.amazonaws.com/_plugin/kibana/#/discover/Steve-Slow-Train-Analysis-(2080s-and-2083s)?_g=(refreshInterval:(display:Off,section:0,value:0),time:(from:'2016-09-03 05:55:30-0600',mode:absolute,to:'2016-09-03 08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63" t="str">
            <v>N</v>
          </cell>
          <cell r="X163">
            <v>1</v>
          </cell>
          <cell r="Y163">
            <v>0.1125</v>
          </cell>
          <cell r="Z163">
            <v>5.8935000000000004</v>
          </cell>
          <cell r="AA163">
            <v>5.7810000000000006</v>
          </cell>
          <cell r="AB163" t="e">
            <v>#N/A</v>
          </cell>
          <cell r="AC163" t="e">
            <v>#N/A</v>
          </cell>
          <cell r="AD163" t="str">
            <v>1803-03</v>
          </cell>
          <cell r="AE163" t="str">
    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    </cell>
        </row>
        <row r="164">
          <cell r="A164" t="str">
            <v>1804-03</v>
          </cell>
          <cell r="B164">
            <v>4012</v>
          </cell>
          <cell r="C164" t="str">
            <v>DE.1.0.7.0</v>
          </cell>
          <cell r="D164" t="str">
            <v>300:56760</v>
          </cell>
          <cell r="E164">
            <v>42616.320659722223</v>
          </cell>
          <cell r="F164">
            <v>25568.958333333332</v>
          </cell>
          <cell r="G164">
            <v>2</v>
          </cell>
          <cell r="H164" t="str">
            <v>204:152</v>
          </cell>
          <cell r="I164">
            <v>25568.958333333332</v>
          </cell>
          <cell r="J164">
            <v>0</v>
          </cell>
          <cell r="K164" t="str">
            <v>4011/4012</v>
          </cell>
          <cell r="L164" t="str">
            <v>YORK</v>
          </cell>
          <cell r="M164">
            <v>0</v>
          </cell>
          <cell r="N164">
            <v>0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https://search-rtdc-monitor-bjffxe2xuh6vdkpspy63sjmuny.us-east-1.es.amazonaws.com/_plugin/kibana/#/discover/Steve-Slow-Train-Analysis-(2080s-and-2083s)?_g=(refreshInterval:(display:Off,section:0,value:0),time:(from:'2016-09-03 06:41:45-0600',mode:absolute,to:'1970-01-01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64" t="str">
            <v>N</v>
          </cell>
          <cell r="X164">
            <v>1</v>
          </cell>
          <cell r="Y164">
            <v>5.6760000000000002</v>
          </cell>
          <cell r="Z164">
            <v>1.52E-2</v>
          </cell>
          <cell r="AA164">
            <v>5.6608000000000001</v>
          </cell>
          <cell r="AB164" t="e">
            <v>#N/A</v>
          </cell>
          <cell r="AC164" t="e">
            <v>#N/A</v>
          </cell>
          <cell r="AD164" t="str">
            <v>1804-03</v>
          </cell>
          <cell r="AE164" t="str">
            <v>aws s3 cp s3://rtdc.mdm.uploadarchive/RTDC4012/1969-12-31/ "%USERPROFILE%\AppData\Local\Temp\OnboardLogs"\RTDC4012\1969-12-31 --recursive &amp; "%USERPROFILE%\Documents\GitHub\mrs-test-scripts\Headless Mode &amp; Sideloading\WalkAndUnGZ.bat" "%USERPROFILE%\AppData\Local\Temp\OnboardLogs"\RTDC4012\1969-12-31 &amp; aws s3 cp s3://rtdc.mdm.uploadarchive/RTDC4012/1970-01-01/ "%USERPROFILE%\AppData\Local\Temp\OnboardLogs"\RTDC4012\1970-01-01 --recursive &amp; "%USERPROFILE%\Documents\GitHub\mrs-test-scripts\Headless Mode &amp; Sideloading\WalkAndUnGZ.bat" "%USERPROFILE%\AppData\Local\Temp\OnboardLogs"\RTDC4012\1970-01-01</v>
          </cell>
        </row>
        <row r="165">
          <cell r="A165" t="str">
            <v>1805-03</v>
          </cell>
          <cell r="B165">
            <v>4042</v>
          </cell>
          <cell r="C165" t="str">
            <v>DE.1.0.7.0</v>
          </cell>
          <cell r="D165" t="str">
            <v>204:1007</v>
          </cell>
          <cell r="E165">
            <v>42616.346319444441</v>
          </cell>
          <cell r="F165">
            <v>42616.34820601852</v>
          </cell>
          <cell r="G165">
            <v>1</v>
          </cell>
          <cell r="H165" t="str">
            <v>300:58929</v>
          </cell>
          <cell r="I165">
            <v>42616.357210648152</v>
          </cell>
          <cell r="J165">
            <v>0</v>
          </cell>
          <cell r="K165" t="str">
            <v>4041/4042</v>
          </cell>
          <cell r="L165" t="str">
            <v>YORK</v>
          </cell>
          <cell r="M165">
            <v>9.0046296318178065E-3</v>
          </cell>
          <cell r="N165">
            <v>12.966666669817641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https://search-rtdc-monitor-bjffxe2xuh6vdkpspy63sjmuny.us-east-1.es.amazonaws.com/_plugin/kibana/#/discover/Steve-Slow-Train-Analysis-(2080s-and-2083s)?_g=(refreshInterval:(display:Off,section:0,value:0),time:(from:'2016-09-03 07:18:42-0600',mode:absolute,to:'2016-09-03 09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65" t="str">
            <v>N</v>
          </cell>
          <cell r="X165">
            <v>1</v>
          </cell>
          <cell r="Y165">
            <v>0.1007</v>
          </cell>
          <cell r="Z165">
            <v>5.8929</v>
          </cell>
          <cell r="AA165">
            <v>5.7922000000000002</v>
          </cell>
          <cell r="AB165" t="e">
            <v>#N/A</v>
          </cell>
          <cell r="AC165" t="e">
            <v>#N/A</v>
          </cell>
          <cell r="AD165" t="str">
            <v>1805-03</v>
          </cell>
          <cell r="AE165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66">
          <cell r="A166" t="str">
            <v>1806-03</v>
          </cell>
          <cell r="B166">
            <v>4041</v>
          </cell>
          <cell r="C166" t="str">
            <v>DE.1.0.7.0</v>
          </cell>
          <cell r="D166" t="str">
            <v>300:58628</v>
          </cell>
          <cell r="E166">
            <v>42616.358449074076</v>
          </cell>
          <cell r="F166">
            <v>42616.360208333332</v>
          </cell>
          <cell r="G166">
            <v>1</v>
          </cell>
          <cell r="H166" t="str">
            <v>204:838</v>
          </cell>
          <cell r="I166">
            <v>42616.370706018519</v>
          </cell>
          <cell r="J166">
            <v>0</v>
          </cell>
          <cell r="K166" t="str">
            <v>4041/4042</v>
          </cell>
          <cell r="L166" t="str">
            <v>YORK</v>
          </cell>
          <cell r="M166">
            <v>1.0497685187146999E-2</v>
          </cell>
          <cell r="N166">
            <v>15.116666669491678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https://search-rtdc-monitor-bjffxe2xuh6vdkpspy63sjmuny.us-east-1.es.amazonaws.com/_plugin/kibana/#/discover/Steve-Slow-Train-Analysis-(2080s-and-2083s)?_g=(refreshInterval:(display:Off,section:0,value:0),time:(from:'2016-09-03 07:36:10-0600',mode:absolute,to:'2016-09-03 09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66" t="str">
            <v>N</v>
          </cell>
          <cell r="X166">
            <v>1</v>
          </cell>
          <cell r="Y166">
            <v>5.8628</v>
          </cell>
          <cell r="Z166">
            <v>8.3799999999999999E-2</v>
          </cell>
          <cell r="AA166">
            <v>5.7789999999999999</v>
          </cell>
          <cell r="AB166" t="e">
            <v>#N/A</v>
          </cell>
          <cell r="AC166" t="e">
            <v>#N/A</v>
          </cell>
          <cell r="AD166" t="str">
            <v>1806-03</v>
          </cell>
          <cell r="AE166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67">
          <cell r="A167" t="str">
            <v>1807-03</v>
          </cell>
          <cell r="B167">
            <v>4042</v>
          </cell>
          <cell r="C167" t="str">
            <v>DE.1.0.7.0</v>
          </cell>
          <cell r="D167" t="str">
            <v>204:1135</v>
          </cell>
          <cell r="E167">
            <v>42616.371539351851</v>
          </cell>
          <cell r="F167">
            <v>42616.391342592593</v>
          </cell>
          <cell r="G167">
            <v>1</v>
          </cell>
          <cell r="H167" t="str">
            <v>300:58935</v>
          </cell>
          <cell r="I167">
            <v>42616.399907407409</v>
          </cell>
          <cell r="J167">
            <v>0</v>
          </cell>
          <cell r="K167" t="str">
            <v>4041/4042</v>
          </cell>
          <cell r="L167" t="str">
            <v>YORK</v>
          </cell>
          <cell r="M167">
            <v>8.5648148160544224E-3</v>
          </cell>
          <cell r="N167">
            <v>12.333333335118368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https://search-rtdc-monitor-bjffxe2xuh6vdkpspy63sjmuny.us-east-1.es.amazonaws.com/_plugin/kibana/#/discover/Steve-Slow-Train-Analysis-(2080s-and-2083s)?_g=(refreshInterval:(display:Off,section:0,value:0),time:(from:'2016-09-03 07:55:01-0600',mode:absolute,to:'2016-09-03 10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67" t="str">
            <v>N</v>
          </cell>
          <cell r="X167">
            <v>1</v>
          </cell>
          <cell r="Y167">
            <v>0.1135</v>
          </cell>
          <cell r="Z167">
            <v>5.8935000000000004</v>
          </cell>
          <cell r="AA167">
            <v>5.78</v>
          </cell>
          <cell r="AB167" t="e">
            <v>#N/A</v>
          </cell>
          <cell r="AC167" t="e">
            <v>#N/A</v>
          </cell>
          <cell r="AD167" t="str">
            <v>1807-03</v>
          </cell>
          <cell r="AE167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68">
          <cell r="A168" t="str">
            <v>1808-03</v>
          </cell>
          <cell r="B168">
            <v>4041</v>
          </cell>
          <cell r="C168" t="str">
            <v>DE.1.0.7.0</v>
          </cell>
          <cell r="D168" t="str">
            <v>300:58617</v>
          </cell>
          <cell r="E168">
            <v>42616.401030092595</v>
          </cell>
          <cell r="F168">
            <v>42616.402361111112</v>
          </cell>
          <cell r="G168">
            <v>1</v>
          </cell>
          <cell r="H168" t="str">
            <v>204:803</v>
          </cell>
          <cell r="I168">
            <v>42616.41233796296</v>
          </cell>
          <cell r="J168">
            <v>0</v>
          </cell>
          <cell r="K168" t="str">
            <v>4041/4042</v>
          </cell>
          <cell r="L168" t="str">
            <v>YORK</v>
          </cell>
          <cell r="M168">
            <v>9.9768518484779634E-3</v>
          </cell>
          <cell r="N168">
            <v>14.366666661808267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https://search-rtdc-monitor-bjffxe2xuh6vdkpspy63sjmuny.us-east-1.es.amazonaws.com/_plugin/kibana/#/discover/Steve-Slow-Train-Analysis-(2080s-and-2083s)?_g=(refreshInterval:(display:Off,section:0,value:0),time:(from:'2016-09-03 08:37:29-0600',mode:absolute,to:'2016-09-03 10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68" t="str">
            <v>N</v>
          </cell>
          <cell r="X168">
            <v>1</v>
          </cell>
          <cell r="Y168">
            <v>5.8616999999999999</v>
          </cell>
          <cell r="Z168">
            <v>8.0299999999999996E-2</v>
          </cell>
          <cell r="AA168">
            <v>5.7813999999999997</v>
          </cell>
          <cell r="AB168" t="e">
            <v>#N/A</v>
          </cell>
          <cell r="AC168" t="e">
            <v>#N/A</v>
          </cell>
          <cell r="AD168" t="str">
            <v>1808-03</v>
          </cell>
          <cell r="AE168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69">
          <cell r="A169" t="str">
            <v>1809-03</v>
          </cell>
          <cell r="B169">
            <v>4042</v>
          </cell>
          <cell r="C169" t="str">
            <v>DE.1.0.7.0</v>
          </cell>
          <cell r="D169" t="str">
            <v>204:1097</v>
          </cell>
          <cell r="E169">
            <v>42616.413252314815</v>
          </cell>
          <cell r="F169">
            <v>42616.47314814815</v>
          </cell>
          <cell r="G169">
            <v>0</v>
          </cell>
          <cell r="H169" t="str">
            <v>300:58911</v>
          </cell>
          <cell r="I169">
            <v>42616.481747685182</v>
          </cell>
          <cell r="J169">
            <v>0</v>
          </cell>
          <cell r="K169" t="str">
            <v>4041/4042</v>
          </cell>
          <cell r="L169" t="str">
            <v>YORK</v>
          </cell>
          <cell r="M169">
            <v>8.5995370318414643E-3</v>
          </cell>
          <cell r="N169">
            <v>12.383333325851709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https://search-rtdc-monitor-bjffxe2xuh6vdkpspy63sjmuny.us-east-1.es.amazonaws.com/_plugin/kibana/#/discover/Steve-Slow-Train-Analysis-(2080s-and-2083s)?_g=(refreshInterval:(display:Off,section:0,value:0),time:(from:'2016-09-03 08:55:05-0600',mode:absolute,to:'2016-09-03 12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69" t="str">
            <v>N</v>
          </cell>
          <cell r="X169">
            <v>1</v>
          </cell>
          <cell r="Y169">
            <v>0.10970000000000001</v>
          </cell>
          <cell r="Z169">
            <v>5.8910999999999998</v>
          </cell>
          <cell r="AA169">
            <v>5.7813999999999997</v>
          </cell>
          <cell r="AB169" t="e">
            <v>#N/A</v>
          </cell>
          <cell r="AC169" t="e">
            <v>#N/A</v>
          </cell>
          <cell r="AD169" t="str">
            <v>1809-03</v>
          </cell>
          <cell r="AE169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70">
          <cell r="A170" t="str">
            <v>1810-03</v>
          </cell>
          <cell r="B170">
            <v>4041</v>
          </cell>
          <cell r="C170" t="str">
            <v>DE.1.0.7.0</v>
          </cell>
          <cell r="D170" t="str">
            <v>300:58619</v>
          </cell>
          <cell r="E170">
            <v>42616.441932870373</v>
          </cell>
          <cell r="F170">
            <v>42616.44321759259</v>
          </cell>
          <cell r="G170">
            <v>0</v>
          </cell>
          <cell r="H170" t="str">
            <v>204:778</v>
          </cell>
          <cell r="I170">
            <v>42616.45417824074</v>
          </cell>
          <cell r="J170">
            <v>0</v>
          </cell>
          <cell r="K170" t="str">
            <v>4041/4042</v>
          </cell>
          <cell r="L170" t="str">
            <v>YORK</v>
          </cell>
          <cell r="M170">
            <v>1.096064814919373E-2</v>
          </cell>
          <cell r="N170">
            <v>15.783333334838971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https://search-rtdc-monitor-bjffxe2xuh6vdkpspy63sjmuny.us-east-1.es.amazonaws.com/_plugin/kibana/#/discover/Steve-Slow-Train-Analysis-(2080s-and-2083s)?_g=(refreshInterval:(display:Off,section:0,value:0),time:(from:'2016-09-03 09:36:23-0600',mode:absolute,to:'2016-09-03 11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70" t="str">
            <v>N</v>
          </cell>
          <cell r="X170">
            <v>1</v>
          </cell>
          <cell r="Y170">
            <v>5.8619000000000003</v>
          </cell>
          <cell r="Z170">
            <v>7.7799999999999994E-2</v>
          </cell>
          <cell r="AA170">
            <v>5.7841000000000005</v>
          </cell>
          <cell r="AB170" t="e">
            <v>#N/A</v>
          </cell>
          <cell r="AC170" t="e">
            <v>#N/A</v>
          </cell>
          <cell r="AD170" t="str">
            <v>1810-03</v>
          </cell>
          <cell r="AE170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71">
          <cell r="A171" t="str">
            <v>1811-03</v>
          </cell>
          <cell r="B171">
            <v>4042</v>
          </cell>
          <cell r="C171" t="str">
            <v>DE.1.0.7.0</v>
          </cell>
          <cell r="D171" t="str">
            <v>204:1079</v>
          </cell>
          <cell r="E171">
            <v>42616.460162037038</v>
          </cell>
          <cell r="F171">
            <v>42616.47314814815</v>
          </cell>
          <cell r="G171">
            <v>1</v>
          </cell>
          <cell r="H171" t="str">
            <v>300:58911</v>
          </cell>
          <cell r="I171">
            <v>42616.481747685182</v>
          </cell>
          <cell r="J171">
            <v>0</v>
          </cell>
          <cell r="K171" t="str">
            <v>4041/4042</v>
          </cell>
          <cell r="L171" t="str">
            <v>YORK</v>
          </cell>
          <cell r="M171">
            <v>8.5995370318414643E-3</v>
          </cell>
          <cell r="N171">
            <v>12.383333325851709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https://search-rtdc-monitor-bjffxe2xuh6vdkpspy63sjmuny.us-east-1.es.amazonaws.com/_plugin/kibana/#/discover/Steve-Slow-Train-Analysis-(2080s-and-2083s)?_g=(refreshInterval:(display:Off,section:0,value:0),time:(from:'2016-09-03 10:02:38-0600',mode:absolute,to:'2016-09-03 12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71" t="str">
            <v>N</v>
          </cell>
          <cell r="X171">
            <v>1</v>
          </cell>
          <cell r="Y171">
            <v>0.1079</v>
          </cell>
          <cell r="Z171">
            <v>5.8910999999999998</v>
          </cell>
          <cell r="AA171">
            <v>5.7831999999999999</v>
          </cell>
          <cell r="AB171" t="e">
            <v>#N/A</v>
          </cell>
          <cell r="AC171" t="e">
            <v>#N/A</v>
          </cell>
          <cell r="AD171" t="str">
            <v>1811-03</v>
          </cell>
          <cell r="AE171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72">
          <cell r="A172" t="str">
            <v>1812-03</v>
          </cell>
          <cell r="B172">
            <v>4041</v>
          </cell>
          <cell r="C172" t="str">
            <v>DE.1.0.7.0</v>
          </cell>
          <cell r="D172" t="str">
            <v>300:58591</v>
          </cell>
          <cell r="E172">
            <v>42616.482592592591</v>
          </cell>
          <cell r="F172">
            <v>42616.483831018515</v>
          </cell>
          <cell r="G172">
            <v>0</v>
          </cell>
          <cell r="H172" t="str">
            <v>204:822</v>
          </cell>
          <cell r="I172">
            <v>42616.495798611111</v>
          </cell>
          <cell r="J172">
            <v>0</v>
          </cell>
          <cell r="K172" t="str">
            <v>4041/4042</v>
          </cell>
          <cell r="L172" t="str">
            <v>YORK</v>
          </cell>
          <cell r="M172">
            <v>1.1967592596192844E-2</v>
          </cell>
          <cell r="N172">
            <v>17.233333338517696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https://search-rtdc-monitor-bjffxe2xuh6vdkpspy63sjmuny.us-east-1.es.amazonaws.com/_plugin/kibana/#/discover/Steve-Slow-Train-Analysis-(2080s-and-2083s)?_g=(refreshInterval:(display:Off,section:0,value:0),time:(from:'2016-09-03 10:34:56-0600',mode:absolute,to:'2016-09-03 12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72" t="str">
            <v>N</v>
          </cell>
          <cell r="X172">
            <v>1</v>
          </cell>
          <cell r="Y172">
            <v>5.8590999999999998</v>
          </cell>
          <cell r="Z172">
            <v>8.2199999999999995E-2</v>
          </cell>
          <cell r="AA172">
            <v>5.7768999999999995</v>
          </cell>
          <cell r="AB172" t="e">
            <v>#N/A</v>
          </cell>
          <cell r="AC172" t="e">
            <v>#N/A</v>
          </cell>
          <cell r="AD172" t="str">
            <v>1812-03</v>
          </cell>
          <cell r="AE172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73">
          <cell r="A173" t="str">
            <v>1813-03</v>
          </cell>
          <cell r="B173">
            <v>4042</v>
          </cell>
          <cell r="C173" t="str">
            <v>DE.1.0.7.0</v>
          </cell>
          <cell r="D173" t="str">
            <v>204:1102</v>
          </cell>
          <cell r="E173">
            <v>42616.496770833335</v>
          </cell>
          <cell r="F173">
            <v>42616.515520833331</v>
          </cell>
          <cell r="G173">
            <v>1</v>
          </cell>
          <cell r="H173" t="str">
            <v>300:58928</v>
          </cell>
          <cell r="I173">
            <v>42616.524351851855</v>
          </cell>
          <cell r="J173">
            <v>0</v>
          </cell>
          <cell r="K173" t="str">
            <v>4041/4042</v>
          </cell>
          <cell r="L173" t="str">
            <v>YORK</v>
          </cell>
          <cell r="M173">
            <v>8.8310185237787664E-3</v>
          </cell>
          <cell r="N173">
            <v>12.716666674241424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https://search-rtdc-monitor-bjffxe2xuh6vdkpspy63sjmuny.us-east-1.es.amazonaws.com/_plugin/kibana/#/discover/Steve-Slow-Train-Analysis-(2080s-and-2083s)?_g=(refreshInterval:(display:Off,section:0,value:0),time:(from:'2016-09-03 10:55:21-0600',mode:absolute,to:'2016-09-03 13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73" t="str">
            <v>N</v>
          </cell>
          <cell r="X173">
            <v>1</v>
          </cell>
          <cell r="Y173">
            <v>0.11020000000000001</v>
          </cell>
          <cell r="Z173">
            <v>5.8928000000000003</v>
          </cell>
          <cell r="AA173">
            <v>5.7826000000000004</v>
          </cell>
          <cell r="AB173" t="e">
            <v>#N/A</v>
          </cell>
          <cell r="AC173" t="e">
            <v>#N/A</v>
          </cell>
          <cell r="AD173" t="str">
            <v>1813-03</v>
          </cell>
          <cell r="AE173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74">
          <cell r="A174" t="str">
            <v>1814-03</v>
          </cell>
          <cell r="B174">
            <v>4041</v>
          </cell>
          <cell r="C174" t="str">
            <v>DE.1.0.7.0</v>
          </cell>
          <cell r="D174" t="str">
            <v>300:58621</v>
          </cell>
          <cell r="E174">
            <v>42616.52584490741</v>
          </cell>
          <cell r="F174">
            <v>42616.52752314815</v>
          </cell>
          <cell r="G174">
            <v>1</v>
          </cell>
          <cell r="H174" t="str">
            <v>204:824</v>
          </cell>
          <cell r="I174">
            <v>42616.537303240744</v>
          </cell>
          <cell r="J174">
            <v>0</v>
          </cell>
          <cell r="K174" t="str">
            <v>4041/4042</v>
          </cell>
          <cell r="L174" t="str">
            <v>YORK</v>
          </cell>
          <cell r="M174">
            <v>9.7800925941555761E-3</v>
          </cell>
          <cell r="N174">
            <v>14.08333333558403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https://search-rtdc-monitor-bjffxe2xuh6vdkpspy63sjmuny.us-east-1.es.amazonaws.com/_plugin/kibana/#/discover/Steve-Slow-Train-Analysis-(2080s-and-2083s)?_g=(refreshInterval:(display:Off,section:0,value:0),time:(from:'2016-09-03 11:37:13-0600',mode:absolute,to:'2016-09-03 13:53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74" t="str">
            <v>N</v>
          </cell>
          <cell r="X174">
            <v>1</v>
          </cell>
          <cell r="Y174">
            <v>5.8620999999999999</v>
          </cell>
          <cell r="Z174">
            <v>8.2400000000000001E-2</v>
          </cell>
          <cell r="AA174">
            <v>5.7797000000000001</v>
          </cell>
          <cell r="AB174" t="e">
            <v>#N/A</v>
          </cell>
          <cell r="AC174" t="e">
            <v>#N/A</v>
          </cell>
          <cell r="AD174" t="str">
            <v>1814-03</v>
          </cell>
          <cell r="AE174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75">
          <cell r="A175" t="str">
            <v>1815-03</v>
          </cell>
          <cell r="B175">
            <v>4042</v>
          </cell>
          <cell r="C175" t="str">
            <v>DE.1.0.7.0</v>
          </cell>
          <cell r="D175" t="str">
            <v>204:1118</v>
          </cell>
          <cell r="E175">
            <v>42616.538391203707</v>
          </cell>
          <cell r="F175">
            <v>42616.55641203704</v>
          </cell>
          <cell r="G175">
            <v>0</v>
          </cell>
          <cell r="H175" t="str">
            <v>300:58914</v>
          </cell>
          <cell r="I175">
            <v>42616.565115740741</v>
          </cell>
          <cell r="J175">
            <v>0</v>
          </cell>
          <cell r="K175" t="str">
            <v>4041/4042</v>
          </cell>
          <cell r="L175" t="str">
            <v>YORK</v>
          </cell>
          <cell r="M175">
            <v>8.703703701030463E-3</v>
          </cell>
          <cell r="N175">
            <v>12.533333329483867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https://search-rtdc-monitor-bjffxe2xuh6vdkpspy63sjmuny.us-east-1.es.amazonaws.com/_plugin/kibana/#/discover/Steve-Slow-Train-Analysis-(2080s-and-2083s)?_g=(refreshInterval:(display:Off,section:0,value:0),time:(from:'2016-09-03 11:55:17-0600',mode:absolute,to:'2016-09-03 14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75" t="str">
            <v>N</v>
          </cell>
          <cell r="X175">
            <v>1</v>
          </cell>
          <cell r="Y175">
            <v>0.1118</v>
          </cell>
          <cell r="Z175">
            <v>5.8914</v>
          </cell>
          <cell r="AA175">
            <v>5.7796000000000003</v>
          </cell>
          <cell r="AB175" t="e">
            <v>#N/A</v>
          </cell>
          <cell r="AC175" t="e">
            <v>#N/A</v>
          </cell>
          <cell r="AD175" t="str">
            <v>1815-03</v>
          </cell>
          <cell r="AE175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76">
          <cell r="A176" t="str">
            <v>1816-03</v>
          </cell>
          <cell r="B176">
            <v>4041</v>
          </cell>
          <cell r="C176" t="str">
            <v>DE.1.0.7.0</v>
          </cell>
          <cell r="D176" t="str">
            <v>300:58608</v>
          </cell>
          <cell r="E176">
            <v>42616.566076388888</v>
          </cell>
          <cell r="F176">
            <v>42616.567326388889</v>
          </cell>
          <cell r="G176">
            <v>1</v>
          </cell>
          <cell r="H176" t="str">
            <v>204:832</v>
          </cell>
          <cell r="I176">
            <v>42616.579039351855</v>
          </cell>
          <cell r="J176">
            <v>0</v>
          </cell>
          <cell r="K176" t="str">
            <v>4041/4042</v>
          </cell>
          <cell r="L176" t="str">
            <v>YORK</v>
          </cell>
          <cell r="M176">
            <v>1.1712962965248153E-2</v>
          </cell>
          <cell r="N176">
            <v>16.86666666995734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https://search-rtdc-monitor-bjffxe2xuh6vdkpspy63sjmuny.us-east-1.es.amazonaws.com/_plugin/kibana/#/discover/Steve-Slow-Train-Analysis-(2080s-and-2083s)?_g=(refreshInterval:(display:Off,section:0,value:0),time:(from:'2016-09-03 12:35:09-0600',mode:absolute,to:'2016-09-03 14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76" t="str">
            <v>N</v>
          </cell>
          <cell r="X176">
            <v>1</v>
          </cell>
          <cell r="Y176">
            <v>5.8608000000000002</v>
          </cell>
          <cell r="Z176">
            <v>8.3199999999999996E-2</v>
          </cell>
          <cell r="AA176">
            <v>5.7776000000000005</v>
          </cell>
          <cell r="AB176" t="e">
            <v>#N/A</v>
          </cell>
          <cell r="AC176" t="e">
            <v>#N/A</v>
          </cell>
          <cell r="AD176" t="str">
            <v>1816-03</v>
          </cell>
          <cell r="AE176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77">
          <cell r="A177" t="str">
            <v>1817-03</v>
          </cell>
          <cell r="B177">
            <v>4042</v>
          </cell>
          <cell r="C177" t="str">
            <v>DE.1.0.7.0</v>
          </cell>
          <cell r="D177" t="str">
            <v>204:1132</v>
          </cell>
          <cell r="E177">
            <v>42616.583819444444</v>
          </cell>
          <cell r="F177">
            <v>42616.59814814815</v>
          </cell>
          <cell r="G177">
            <v>1</v>
          </cell>
          <cell r="H177" t="str">
            <v>300:58944</v>
          </cell>
          <cell r="I177">
            <v>42616.608032407406</v>
          </cell>
          <cell r="J177">
            <v>0</v>
          </cell>
          <cell r="K177" t="str">
            <v>4041/4042</v>
          </cell>
          <cell r="L177" t="str">
            <v>ISHMAEL</v>
          </cell>
          <cell r="M177">
            <v>9.8842592560686171E-3</v>
          </cell>
          <cell r="N177">
            <v>14.233333328738809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https://search-rtdc-monitor-bjffxe2xuh6vdkpspy63sjmuny.us-east-1.es.amazonaws.com/_plugin/kibana/#/discover/Steve-Slow-Train-Analysis-(2080s-and-2083s)?_g=(refreshInterval:(display:Off,section:0,value:0),time:(from:'2016-09-03 13:00:42-0600',mode:absolute,to:'2016-09-03 15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77" t="str">
            <v>N</v>
          </cell>
          <cell r="X177">
            <v>1</v>
          </cell>
          <cell r="Y177">
            <v>0.1132</v>
          </cell>
          <cell r="Z177">
            <v>5.8944000000000001</v>
          </cell>
          <cell r="AA177">
            <v>5.7812000000000001</v>
          </cell>
          <cell r="AB177" t="e">
            <v>#N/A</v>
          </cell>
          <cell r="AC177" t="e">
            <v>#N/A</v>
          </cell>
          <cell r="AD177" t="str">
            <v>1817-03</v>
          </cell>
          <cell r="AE177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78">
          <cell r="A178" t="str">
            <v>1818-03</v>
          </cell>
          <cell r="B178">
            <v>4041</v>
          </cell>
          <cell r="C178" t="str">
            <v>DE.1.0.7.0</v>
          </cell>
          <cell r="D178" t="str">
            <v>300:58619</v>
          </cell>
          <cell r="E178">
            <v>42616.608912037038</v>
          </cell>
          <cell r="F178">
            <v>42616.610474537039</v>
          </cell>
          <cell r="G178">
            <v>1</v>
          </cell>
          <cell r="H178" t="str">
            <v>204:659</v>
          </cell>
          <cell r="I178">
            <v>42616.621666666666</v>
          </cell>
          <cell r="J178">
            <v>0</v>
          </cell>
          <cell r="K178" t="str">
            <v>4041/4042</v>
          </cell>
          <cell r="L178" t="str">
            <v>ISHMAEL</v>
          </cell>
          <cell r="M178">
            <v>1.1192129626579117E-2</v>
          </cell>
          <cell r="N178">
            <v>16.116666662273929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https://search-rtdc-monitor-bjffxe2xuh6vdkpspy63sjmuny.us-east-1.es.amazonaws.com/_plugin/kibana/#/discover/Steve-Slow-Train-Analysis-(2080s-and-2083s)?_g=(refreshInterval:(display:Off,section:0,value:0),time:(from:'2016-09-03 13:36:50-0600',mode:absolute,to:'2016-09-03 15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78" t="str">
            <v>N</v>
          </cell>
          <cell r="X178">
            <v>1</v>
          </cell>
          <cell r="Y178">
            <v>5.8619000000000003</v>
          </cell>
          <cell r="Z178">
            <v>6.59E-2</v>
          </cell>
          <cell r="AA178">
            <v>5.7960000000000003</v>
          </cell>
          <cell r="AB178" t="e">
            <v>#N/A</v>
          </cell>
          <cell r="AC178" t="e">
            <v>#N/A</v>
          </cell>
          <cell r="AD178" t="str">
            <v>1818-03</v>
          </cell>
          <cell r="AE178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79">
          <cell r="A179" t="str">
            <v>1819-03</v>
          </cell>
          <cell r="B179">
            <v>4042</v>
          </cell>
          <cell r="C179" t="str">
            <v>DE.1.0.7.0</v>
          </cell>
          <cell r="D179" t="str">
            <v>204:969</v>
          </cell>
          <cell r="E179">
            <v>42616.630023148151</v>
          </cell>
          <cell r="F179">
            <v>42616.640543981484</v>
          </cell>
          <cell r="G179">
            <v>1</v>
          </cell>
          <cell r="H179" t="str">
            <v>300:58935</v>
          </cell>
          <cell r="I179">
            <v>42616.65047453704</v>
          </cell>
          <cell r="J179">
            <v>0</v>
          </cell>
          <cell r="K179" t="str">
            <v>4041/4042</v>
          </cell>
          <cell r="L179" t="str">
            <v>ISHMAEL</v>
          </cell>
          <cell r="M179">
            <v>9.930555555911269E-3</v>
          </cell>
          <cell r="N179">
            <v>14.300000000512227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https://search-rtdc-monitor-bjffxe2xuh6vdkpspy63sjmuny.us-east-1.es.amazonaws.com/_plugin/kibana/#/discover/Steve-Slow-Train-Analysis-(2080s-and-2083s)?_g=(refreshInterval:(display:Off,section:0,value:0),time:(from:'2016-09-03 14:07:14-0600',mode:absolute,to:'2016-09-03 16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79" t="str">
            <v>N</v>
          </cell>
          <cell r="X179">
            <v>1</v>
          </cell>
          <cell r="Y179">
            <v>9.69E-2</v>
          </cell>
          <cell r="Z179">
            <v>5.8935000000000004</v>
          </cell>
          <cell r="AA179">
            <v>5.7966000000000006</v>
          </cell>
          <cell r="AB179" t="e">
            <v>#N/A</v>
          </cell>
          <cell r="AC179" t="e">
            <v>#N/A</v>
          </cell>
          <cell r="AD179" t="str">
            <v>1819-03</v>
          </cell>
          <cell r="AE179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80">
          <cell r="A180" t="str">
            <v>1820-03</v>
          </cell>
          <cell r="B180">
            <v>4041</v>
          </cell>
          <cell r="C180" t="str">
            <v>DE.1.0.7.0</v>
          </cell>
          <cell r="D180" t="str">
            <v>300:58623</v>
          </cell>
          <cell r="E180">
            <v>42616.651261574072</v>
          </cell>
          <cell r="F180">
            <v>42616.653460648151</v>
          </cell>
          <cell r="G180">
            <v>1</v>
          </cell>
          <cell r="H180" t="str">
            <v>204:685</v>
          </cell>
          <cell r="I180">
            <v>42616.664548611108</v>
          </cell>
          <cell r="J180">
            <v>0</v>
          </cell>
          <cell r="K180" t="str">
            <v>4041/4042</v>
          </cell>
          <cell r="L180" t="str">
            <v>ISHMAEL</v>
          </cell>
          <cell r="M180">
            <v>1.1087962957390118E-2</v>
          </cell>
          <cell r="N180">
            <v>15.96666665864177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https://search-rtdc-monitor-bjffxe2xuh6vdkpspy63sjmuny.us-east-1.es.amazonaws.com/_plugin/kibana/#/discover/Steve-Slow-Train-Analysis-(2080s-and-2083s)?_g=(refreshInterval:(display:Off,section:0,value:0),time:(from:'2016-09-03 14:37:49-0600',mode:absolute,to:'2016-09-03 16:56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80" t="str">
            <v>N</v>
          </cell>
          <cell r="X180">
            <v>1</v>
          </cell>
          <cell r="Y180">
            <v>5.8623000000000003</v>
          </cell>
          <cell r="Z180">
            <v>6.8500000000000005E-2</v>
          </cell>
          <cell r="AA180">
            <v>5.7938000000000001</v>
          </cell>
          <cell r="AB180" t="e">
            <v>#N/A</v>
          </cell>
          <cell r="AC180" t="e">
            <v>#N/A</v>
          </cell>
          <cell r="AD180" t="str">
            <v>1820-03</v>
          </cell>
          <cell r="AE180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81">
          <cell r="A181" t="str">
            <v>1821-03</v>
          </cell>
          <cell r="B181">
            <v>4042</v>
          </cell>
          <cell r="C181" t="str">
            <v>DE.1.0.7.0</v>
          </cell>
          <cell r="D181" t="str">
            <v>204:967</v>
          </cell>
          <cell r="E181">
            <v>42616.669652777775</v>
          </cell>
          <cell r="F181">
            <v>42616.68141203704</v>
          </cell>
          <cell r="G181">
            <v>1</v>
          </cell>
          <cell r="H181" t="str">
            <v>300:58922</v>
          </cell>
          <cell r="I181">
            <v>42616.69127314815</v>
          </cell>
          <cell r="J181">
            <v>0</v>
          </cell>
          <cell r="K181" t="str">
            <v>4041/4042</v>
          </cell>
          <cell r="L181" t="str">
            <v>ISHMAEL</v>
          </cell>
          <cell r="M181">
            <v>9.8611111097852699E-3</v>
          </cell>
          <cell r="N181">
            <v>14.199999998090789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https://search-rtdc-monitor-bjffxe2xuh6vdkpspy63sjmuny.us-east-1.es.amazonaws.com/_plugin/kibana/#/discover/Steve-Slow-Train-Analysis-(2080s-and-2083s)?_g=(refreshInterval:(display:Off,section:0,value:0),time:(from:'2016-09-03 15:04:18-0600',mode:absolute,to:'2016-09-03 17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81" t="str">
            <v>N</v>
          </cell>
          <cell r="X181">
            <v>1</v>
          </cell>
          <cell r="Y181">
            <v>9.6699999999999994E-2</v>
          </cell>
          <cell r="Z181">
            <v>5.8921999999999999</v>
          </cell>
          <cell r="AA181">
            <v>5.7954999999999997</v>
          </cell>
          <cell r="AB181" t="e">
            <v>#N/A</v>
          </cell>
          <cell r="AC181" t="e">
            <v>#N/A</v>
          </cell>
          <cell r="AD181" t="str">
            <v>1821-03</v>
          </cell>
          <cell r="AE181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82">
          <cell r="A182" t="str">
            <v>1822-03</v>
          </cell>
          <cell r="B182">
            <v>4041</v>
          </cell>
          <cell r="C182" t="str">
            <v>DE.1.0.7.0</v>
          </cell>
          <cell r="D182" t="str">
            <v>300:58583</v>
          </cell>
          <cell r="E182">
            <v>42616.692326388889</v>
          </cell>
          <cell r="F182">
            <v>42616.693831018521</v>
          </cell>
          <cell r="G182">
            <v>1</v>
          </cell>
          <cell r="H182" t="str">
            <v>204:663</v>
          </cell>
          <cell r="I182">
            <v>42616.705011574071</v>
          </cell>
          <cell r="J182">
            <v>0</v>
          </cell>
          <cell r="K182" t="str">
            <v>4041/4042</v>
          </cell>
          <cell r="L182" t="str">
            <v>ISHMAEL</v>
          </cell>
          <cell r="M182">
            <v>1.1180555549799465E-2</v>
          </cell>
          <cell r="N182">
            <v>16.099999991711229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https://search-rtdc-monitor-bjffxe2xuh6vdkpspy63sjmuny.us-east-1.es.amazonaws.com/_plugin/kibana/#/discover/Steve-Slow-Train-Analysis-(2080s-and-2083s)?_g=(refreshInterval:(display:Off,section:0,value:0),time:(from:'2016-09-03 15:36:57-0600',mode:absolute,to:'2016-09-03 17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82" t="str">
            <v>N</v>
          </cell>
          <cell r="X182">
            <v>1</v>
          </cell>
          <cell r="Y182">
            <v>5.8582999999999998</v>
          </cell>
          <cell r="Z182">
            <v>6.6299999999999998E-2</v>
          </cell>
          <cell r="AA182">
            <v>5.7919999999999998</v>
          </cell>
          <cell r="AB182" t="e">
            <v>#N/A</v>
          </cell>
          <cell r="AC182" t="e">
            <v>#N/A</v>
          </cell>
          <cell r="AD182" t="str">
            <v>1822-03</v>
          </cell>
          <cell r="AE182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83">
          <cell r="A183" t="str">
            <v>1823-03</v>
          </cell>
          <cell r="B183">
            <v>4042</v>
          </cell>
          <cell r="C183" t="str">
            <v>DE.1.0.7.0</v>
          </cell>
          <cell r="D183" t="str">
            <v>204:955</v>
          </cell>
          <cell r="E183">
            <v>42616.713993055557</v>
          </cell>
          <cell r="F183">
            <v>42616.723333333335</v>
          </cell>
          <cell r="G183">
            <v>1</v>
          </cell>
          <cell r="H183" t="str">
            <v>300:58939</v>
          </cell>
          <cell r="I183">
            <v>42616.732835648145</v>
          </cell>
          <cell r="J183">
            <v>0</v>
          </cell>
          <cell r="K183" t="str">
            <v>4041/4042</v>
          </cell>
          <cell r="L183" t="str">
            <v>ISHMAEL</v>
          </cell>
          <cell r="M183">
            <v>9.5023148096515797E-3</v>
          </cell>
          <cell r="N183">
            <v>13.683333325898275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https://search-rtdc-monitor-bjffxe2xuh6vdkpspy63sjmuny.us-east-1.es.amazonaws.com/_plugin/kibana/#/discover/Steve-Slow-Train-Analysis-(2080s-and-2083s)?_g=(refreshInterval:(display:Off,section:0,value:0),time:(from:'2016-09-03 16:08:09-0600',mode:absolute,to:'2016-09-03 18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83" t="str">
            <v>N</v>
          </cell>
          <cell r="X183">
            <v>1</v>
          </cell>
          <cell r="Y183">
            <v>9.5500000000000002E-2</v>
          </cell>
          <cell r="Z183">
            <v>5.8939000000000004</v>
          </cell>
          <cell r="AA183">
            <v>5.7984</v>
          </cell>
          <cell r="AB183" t="e">
            <v>#N/A</v>
          </cell>
          <cell r="AC183" t="e">
            <v>#N/A</v>
          </cell>
          <cell r="AD183" t="str">
            <v>1823-03</v>
          </cell>
          <cell r="AE183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84">
          <cell r="A184" t="str">
            <v>1824-03</v>
          </cell>
          <cell r="B184">
            <v>4041</v>
          </cell>
          <cell r="C184" t="str">
            <v>DE.1.0.7.0</v>
          </cell>
          <cell r="D184" t="str">
            <v>300:58634</v>
          </cell>
          <cell r="E184">
            <v>42616.733541666668</v>
          </cell>
          <cell r="F184">
            <v>42616.734861111108</v>
          </cell>
          <cell r="G184">
            <v>1</v>
          </cell>
          <cell r="H184" t="str">
            <v>204:654</v>
          </cell>
          <cell r="I184">
            <v>42616.747499999998</v>
          </cell>
          <cell r="J184">
            <v>0</v>
          </cell>
          <cell r="K184" t="str">
            <v>4041/4042</v>
          </cell>
          <cell r="L184" t="str">
            <v>ISHMAEL</v>
          </cell>
          <cell r="M184">
            <v>1.2638888889341615E-2</v>
          </cell>
          <cell r="N184">
            <v>18.200000000651926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https://search-rtdc-monitor-bjffxe2xuh6vdkpspy63sjmuny.us-east-1.es.amazonaws.com/_plugin/kibana/#/discover/Steve-Slow-Train-Analysis-(2080s-and-2083s)?_g=(refreshInterval:(display:Off,section:0,value:0),time:(from:'2016-09-03 16:36:18-0600',mode:absolute,to:'2016-09-03 18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84" t="str">
            <v>N</v>
          </cell>
          <cell r="X184">
            <v>1</v>
          </cell>
          <cell r="Y184">
            <v>5.8634000000000004</v>
          </cell>
          <cell r="Z184">
            <v>6.54E-2</v>
          </cell>
          <cell r="AA184">
            <v>5.798</v>
          </cell>
          <cell r="AB184" t="e">
            <v>#N/A</v>
          </cell>
          <cell r="AC184" t="e">
            <v>#N/A</v>
          </cell>
          <cell r="AD184" t="str">
            <v>1824-03</v>
          </cell>
          <cell r="AE184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85">
          <cell r="A185" t="str">
            <v>1825-03</v>
          </cell>
          <cell r="B185">
            <v>4042</v>
          </cell>
          <cell r="C185" t="str">
            <v>DE.1.0.7.0</v>
          </cell>
          <cell r="D185" t="str">
            <v>204:974</v>
          </cell>
          <cell r="E185">
            <v>42616.760243055556</v>
          </cell>
          <cell r="F185">
            <v>42616.765069444446</v>
          </cell>
          <cell r="G185">
            <v>1</v>
          </cell>
          <cell r="H185" t="str">
            <v>300:58924</v>
          </cell>
          <cell r="I185">
            <v>42616.77547453704</v>
          </cell>
          <cell r="J185">
            <v>0</v>
          </cell>
          <cell r="K185" t="str">
            <v>4041/4042</v>
          </cell>
          <cell r="L185" t="str">
            <v>HOMIK</v>
          </cell>
          <cell r="M185">
            <v>1.0405092594737653E-2</v>
          </cell>
          <cell r="N185">
            <v>14.98333333642222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https://search-rtdc-monitor-bjffxe2xuh6vdkpspy63sjmuny.us-east-1.es.amazonaws.com/_plugin/kibana/#/discover/Steve-Slow-Train-Analysis-(2080s-and-2083s)?_g=(refreshInterval:(display:Off,section:0,value:0),time:(from:'2016-09-03 17:14:45-0600',mode:absolute,to:'2016-09-03 19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85" t="str">
            <v>N</v>
          </cell>
          <cell r="X185">
            <v>1</v>
          </cell>
          <cell r="Y185">
            <v>9.74E-2</v>
          </cell>
          <cell r="Z185">
            <v>5.8924000000000003</v>
          </cell>
          <cell r="AA185">
            <v>5.7949999999999999</v>
          </cell>
          <cell r="AB185" t="e">
            <v>#N/A</v>
          </cell>
          <cell r="AC185" t="e">
            <v>#N/A</v>
          </cell>
          <cell r="AD185" t="str">
            <v>1825-03</v>
          </cell>
          <cell r="AE185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86">
          <cell r="A186" t="str">
            <v>1826-03</v>
          </cell>
          <cell r="B186">
            <v>4041</v>
          </cell>
          <cell r="C186" t="str">
            <v>DE.1.0.7.0</v>
          </cell>
          <cell r="D186" t="str">
            <v>300:58621</v>
          </cell>
          <cell r="E186">
            <v>42616.777870370373</v>
          </cell>
          <cell r="F186">
            <v>42616.77952546296</v>
          </cell>
          <cell r="G186">
            <v>1</v>
          </cell>
          <cell r="H186" t="str">
            <v>204:818</v>
          </cell>
          <cell r="I186">
            <v>42616.790891203702</v>
          </cell>
          <cell r="J186">
            <v>0</v>
          </cell>
          <cell r="K186" t="str">
            <v>4041/4042</v>
          </cell>
          <cell r="L186" t="str">
            <v>HOMIK</v>
          </cell>
          <cell r="M186">
            <v>1.1365740741894115E-2</v>
          </cell>
          <cell r="N186">
            <v>16.366666668327525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https://search-rtdc-monitor-bjffxe2xuh6vdkpspy63sjmuny.us-east-1.es.amazonaws.com/_plugin/kibana/#/discover/Steve-Slow-Train-Analysis-(2080s-and-2083s)?_g=(refreshInterval:(display:Off,section:0,value:0),time:(from:'2016-09-03 17:40:08-0600',mode:absolute,to:'2016-09-03 19:58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86" t="str">
            <v>N</v>
          </cell>
          <cell r="X186">
            <v>1</v>
          </cell>
          <cell r="Y186">
            <v>5.8620999999999999</v>
          </cell>
          <cell r="Z186">
            <v>8.1799999999999998E-2</v>
          </cell>
          <cell r="AA186">
            <v>5.7802999999999995</v>
          </cell>
          <cell r="AB186" t="e">
            <v>#N/A</v>
          </cell>
          <cell r="AC186" t="e">
            <v>#N/A</v>
          </cell>
          <cell r="AD186" t="str">
            <v>1826-03</v>
          </cell>
          <cell r="AE186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87">
          <cell r="A187" t="str">
            <v>1827-03</v>
          </cell>
          <cell r="B187">
            <v>4042</v>
          </cell>
          <cell r="C187" t="str">
            <v>DE.1.0.7.0</v>
          </cell>
          <cell r="D187" t="str">
            <v>204:1107</v>
          </cell>
          <cell r="E187">
            <v>42616.798391203702</v>
          </cell>
          <cell r="F187">
            <v>42616.80641203704</v>
          </cell>
          <cell r="G187">
            <v>1</v>
          </cell>
          <cell r="H187" t="str">
            <v>300:58933</v>
          </cell>
          <cell r="I187">
            <v>42616.815983796296</v>
          </cell>
          <cell r="J187">
            <v>0</v>
          </cell>
          <cell r="K187" t="str">
            <v>4041/4042</v>
          </cell>
          <cell r="L187" t="str">
            <v>ISHMAEL</v>
          </cell>
          <cell r="M187">
            <v>9.5717592557775788E-3</v>
          </cell>
          <cell r="N187">
            <v>13.783333328319713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https://search-rtdc-monitor-bjffxe2xuh6vdkpspy63sjmuny.us-east-1.es.amazonaws.com/_plugin/kibana/#/discover/Steve-Slow-Train-Analysis-(2080s-and-2083s)?_g=(refreshInterval:(display:Off,section:0,value:0),time:(from:'2016-09-03 18:09:41-0600',mode:absolute,to:'2016-09-03 20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87" t="str">
            <v>N</v>
          </cell>
          <cell r="X187">
            <v>1</v>
          </cell>
          <cell r="Y187">
            <v>0.11070000000000001</v>
          </cell>
          <cell r="Z187">
            <v>5.8933</v>
          </cell>
          <cell r="AA187">
            <v>5.7826000000000004</v>
          </cell>
          <cell r="AB187" t="e">
            <v>#N/A</v>
          </cell>
          <cell r="AC187" t="e">
            <v>#N/A</v>
          </cell>
          <cell r="AD187" t="str">
            <v>1827-03</v>
          </cell>
          <cell r="AE187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88">
          <cell r="A188" t="str">
            <v>1828-03</v>
          </cell>
          <cell r="B188">
            <v>4041</v>
          </cell>
          <cell r="C188" t="str">
            <v>DE.1.0.7.0</v>
          </cell>
          <cell r="D188" t="str">
            <v>300:58617</v>
          </cell>
          <cell r="E188">
            <v>42616.816932870373</v>
          </cell>
          <cell r="F188">
            <v>42616.818553240744</v>
          </cell>
          <cell r="G188">
            <v>1</v>
          </cell>
          <cell r="H188" t="str">
            <v>204:673</v>
          </cell>
          <cell r="I188">
            <v>42616.832546296297</v>
          </cell>
          <cell r="J188">
            <v>0</v>
          </cell>
          <cell r="K188" t="str">
            <v>4041/4042</v>
          </cell>
          <cell r="L188" t="str">
            <v>HOMIK</v>
          </cell>
          <cell r="M188">
            <v>1.3993055552418809E-2</v>
          </cell>
          <cell r="N188">
            <v>20.149999995483086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https://search-rtdc-monitor-bjffxe2xuh6vdkpspy63sjmuny.us-east-1.es.amazonaws.com/_plugin/kibana/#/discover/Steve-Slow-Train-Analysis-(2080s-and-2083s)?_g=(refreshInterval:(display:Off,section:0,value:0),time:(from:'2016-09-03 18:36:23-0600',mode:absolute,to:'2016-09-03 20:58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88" t="str">
            <v>N</v>
          </cell>
          <cell r="X188">
            <v>1</v>
          </cell>
          <cell r="Y188">
            <v>5.8616999999999999</v>
          </cell>
          <cell r="Z188">
            <v>6.7299999999999999E-2</v>
          </cell>
          <cell r="AA188">
            <v>5.7943999999999996</v>
          </cell>
          <cell r="AB188" t="e">
            <v>#N/A</v>
          </cell>
          <cell r="AC188" t="e">
            <v>#N/A</v>
          </cell>
          <cell r="AD188" t="str">
            <v>1828-03</v>
          </cell>
          <cell r="AE188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89">
          <cell r="A189" t="str">
            <v>1829-03</v>
          </cell>
          <cell r="B189">
            <v>4042</v>
          </cell>
          <cell r="C189" t="str">
            <v>DE.1.0.7.0</v>
          </cell>
          <cell r="D189" t="str">
            <v>204:969</v>
          </cell>
          <cell r="E189">
            <v>42616.843599537038</v>
          </cell>
          <cell r="F189">
            <v>42616.848252314812</v>
          </cell>
          <cell r="G189">
            <v>1</v>
          </cell>
          <cell r="H189" t="str">
            <v>300:58946</v>
          </cell>
          <cell r="I189">
            <v>42616.858078703706</v>
          </cell>
          <cell r="J189">
            <v>0</v>
          </cell>
          <cell r="K189" t="str">
            <v>4041/4042</v>
          </cell>
          <cell r="L189" t="str">
            <v>ISHMAEL</v>
          </cell>
          <cell r="M189">
            <v>9.826388893998228E-3</v>
          </cell>
          <cell r="N189">
            <v>14.150000007357448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https://search-rtdc-monitor-bjffxe2xuh6vdkpspy63sjmuny.us-east-1.es.amazonaws.com/_plugin/kibana/#/discover/Steve-Slow-Train-Analysis-(2080s-and-2083s)?_g=(refreshInterval:(display:Off,section:0,value:0),time:(from:'2016-09-03 19:14:47-0600',mode:absolute,to:'2016-09-03 21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89" t="str">
            <v>N</v>
          </cell>
          <cell r="X189">
            <v>1</v>
          </cell>
          <cell r="Y189">
            <v>9.69E-2</v>
          </cell>
          <cell r="Z189">
            <v>5.8945999999999996</v>
          </cell>
          <cell r="AA189">
            <v>5.7976999999999999</v>
          </cell>
          <cell r="AB189" t="e">
            <v>#N/A</v>
          </cell>
          <cell r="AC189" t="e">
            <v>#N/A</v>
          </cell>
          <cell r="AD189" t="str">
            <v>1829-03</v>
          </cell>
          <cell r="AE189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90">
          <cell r="A190" t="str">
            <v>1830-03</v>
          </cell>
          <cell r="B190">
            <v>4041</v>
          </cell>
          <cell r="C190" t="str">
            <v>DE.1.0.7.0</v>
          </cell>
          <cell r="D190" t="str">
            <v>300:58632</v>
          </cell>
          <cell r="E190">
            <v>42616.859293981484</v>
          </cell>
          <cell r="F190">
            <v>42616.862002314818</v>
          </cell>
          <cell r="G190">
            <v>1</v>
          </cell>
          <cell r="H190" t="str">
            <v>204:671</v>
          </cell>
          <cell r="I190">
            <v>42616.872893518521</v>
          </cell>
          <cell r="J190">
            <v>0</v>
          </cell>
          <cell r="K190" t="str">
            <v>4041/4042</v>
          </cell>
          <cell r="L190" t="str">
            <v>ISHMAEL</v>
          </cell>
          <cell r="M190">
            <v>1.0891203703067731E-2</v>
          </cell>
          <cell r="N190">
            <v>15.683333332417533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https://search-rtdc-monitor-bjffxe2xuh6vdkpspy63sjmuny.us-east-1.es.amazonaws.com/_plugin/kibana/#/discover/Steve-Slow-Train-Analysis-(2080s-and-2083s)?_g=(refreshInterval:(display:Off,section:0,value:0),time:(from:'2016-09-03 19:37:23-0600',mode:absolute,to:'2016-09-03 21:56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90" t="str">
            <v>N</v>
          </cell>
          <cell r="X190">
            <v>1</v>
          </cell>
          <cell r="Y190">
            <v>5.8632</v>
          </cell>
          <cell r="Z190">
            <v>6.7100000000000007E-2</v>
          </cell>
          <cell r="AA190">
            <v>5.7961</v>
          </cell>
          <cell r="AB190" t="e">
            <v>#N/A</v>
          </cell>
          <cell r="AC190" t="e">
            <v>#N/A</v>
          </cell>
          <cell r="AD190" t="str">
            <v>1830-03</v>
          </cell>
          <cell r="AE190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91">
          <cell r="A191" t="str">
            <v>1831-03</v>
          </cell>
          <cell r="B191">
            <v>4042</v>
          </cell>
          <cell r="C191" t="str">
            <v>DE.1.0.7.0</v>
          </cell>
          <cell r="D191" t="str">
            <v>204:946</v>
          </cell>
          <cell r="E191">
            <v>42616.879942129628</v>
          </cell>
          <cell r="F191">
            <v>42616.890115740738</v>
          </cell>
          <cell r="G191">
            <v>1</v>
          </cell>
          <cell r="H191" t="str">
            <v>300:58941</v>
          </cell>
          <cell r="I191">
            <v>42616.9</v>
          </cell>
          <cell r="J191">
            <v>0</v>
          </cell>
          <cell r="K191" t="str">
            <v>4041/4042</v>
          </cell>
          <cell r="L191" t="str">
            <v>ISHMAEL</v>
          </cell>
          <cell r="M191">
            <v>9.8842592633445747E-3</v>
          </cell>
          <cell r="N191">
            <v>14.233333339216188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https://search-rtdc-monitor-bjffxe2xuh6vdkpspy63sjmuny.us-east-1.es.amazonaws.com/_plugin/kibana/#/discover/Steve-Slow-Train-Analysis-(2080s-and-2083s)?_g=(refreshInterval:(display:Off,section:0,value:0),time:(from:'2016-09-03 20:07:07-0600',mode:absolute,to:'2016-09-03 22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91" t="str">
            <v>N</v>
          </cell>
          <cell r="X191">
            <v>1</v>
          </cell>
          <cell r="Y191">
            <v>9.4600000000000004E-2</v>
          </cell>
          <cell r="Z191">
            <v>5.8940999999999999</v>
          </cell>
          <cell r="AA191">
            <v>5.7995000000000001</v>
          </cell>
          <cell r="AB191" t="e">
            <v>#N/A</v>
          </cell>
          <cell r="AC191" t="e">
            <v>#N/A</v>
          </cell>
          <cell r="AD191" t="str">
            <v>1831-03</v>
          </cell>
          <cell r="AE191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92">
          <cell r="A192" t="str">
            <v>1832-03</v>
          </cell>
          <cell r="B192">
            <v>4041</v>
          </cell>
          <cell r="C192" t="str">
            <v>DE.1.0.7.0</v>
          </cell>
          <cell r="D192" t="str">
            <v>300:58626</v>
          </cell>
          <cell r="E192">
            <v>42616.90121527778</v>
          </cell>
          <cell r="F192">
            <v>42616.902673611112</v>
          </cell>
          <cell r="G192">
            <v>1</v>
          </cell>
          <cell r="H192" t="str">
            <v>204:698</v>
          </cell>
          <cell r="I192">
            <v>42616.913136574076</v>
          </cell>
          <cell r="J192">
            <v>0</v>
          </cell>
          <cell r="K192" t="str">
            <v>4041/4042</v>
          </cell>
          <cell r="L192" t="str">
            <v>ISHMAEL</v>
          </cell>
          <cell r="M192">
            <v>1.0462962964083999E-2</v>
          </cell>
          <cell r="N192">
            <v>15.066666668280959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https://search-rtdc-monitor-bjffxe2xuh6vdkpspy63sjmuny.us-east-1.es.amazonaws.com/_plugin/kibana/#/discover/Steve-Slow-Train-Analysis-(2080s-and-2083s)?_g=(refreshInterval:(display:Off,section:0,value:0),time:(from:'2016-09-03 20:37:45-0600',mode:absolute,to:'2016-09-03 22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192" t="str">
            <v>N</v>
          </cell>
          <cell r="X192">
            <v>1</v>
          </cell>
          <cell r="Y192">
            <v>5.8625999999999996</v>
          </cell>
          <cell r="Z192">
            <v>6.9800000000000001E-2</v>
          </cell>
          <cell r="AA192">
            <v>5.7927999999999997</v>
          </cell>
          <cell r="AB192" t="e">
            <v>#N/A</v>
          </cell>
          <cell r="AC192" t="e">
            <v>#N/A</v>
          </cell>
          <cell r="AD192" t="str">
            <v>1832-03</v>
          </cell>
          <cell r="AE192" t="str">
    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    </cell>
        </row>
        <row r="193">
          <cell r="A193" t="str">
            <v>1833-03</v>
          </cell>
          <cell r="B193">
            <v>4042</v>
          </cell>
          <cell r="C193" t="str">
            <v>DE.1.0.7.0</v>
          </cell>
          <cell r="D193" t="str">
            <v>204:964</v>
          </cell>
          <cell r="E193">
            <v>42616.915231481478</v>
          </cell>
          <cell r="F193">
            <v>42616.93141203704</v>
          </cell>
          <cell r="G193">
            <v>1</v>
          </cell>
          <cell r="H193" t="str">
            <v>300:58937</v>
          </cell>
          <cell r="I193">
            <v>42616.941527777781</v>
          </cell>
          <cell r="J193">
            <v>0</v>
          </cell>
          <cell r="K193" t="str">
            <v>4041/4042</v>
          </cell>
          <cell r="L193" t="str">
            <v>ISHMAEL</v>
          </cell>
          <cell r="M193">
            <v>1.0115740740729962E-2</v>
          </cell>
          <cell r="N193">
            <v>14.566666666651145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https://search-rtdc-monitor-bjffxe2xuh6vdkpspy63sjmuny.us-east-1.es.amazonaws.com/_plugin/kibana/#/discover/Steve-Slow-Train-Analysis-(2080s-and-2083s)?_g=(refreshInterval:(display:Off,section:0,value:0),time:(from:'2016-09-03 20:57:56-0600',mode:absolute,to:'2016-09-03 23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    </cell>
          <cell r="W193" t="str">
            <v>N</v>
          </cell>
          <cell r="X193">
            <v>1</v>
          </cell>
          <cell r="Y193">
            <v>9.64E-2</v>
          </cell>
          <cell r="Z193">
            <v>5.8936999999999999</v>
          </cell>
          <cell r="AA193">
            <v>5.7972999999999999</v>
          </cell>
          <cell r="AB193" t="e">
            <v>#N/A</v>
          </cell>
          <cell r="AC193" t="e">
            <v>#N/A</v>
          </cell>
          <cell r="AD193" t="str">
            <v>1833-03</v>
          </cell>
          <cell r="AE193" t="str">
    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    </cell>
        </row>
        <row r="194">
          <cell r="A194" t="str">
            <v>303-03</v>
          </cell>
          <cell r="B194">
            <v>4029</v>
          </cell>
          <cell r="C194" t="str">
            <v>DE.1.0.7.0</v>
          </cell>
          <cell r="D194" t="str">
            <v>204:1484</v>
          </cell>
          <cell r="E194">
            <v>42616.782314814816</v>
          </cell>
          <cell r="F194">
            <v>42616.791261574072</v>
          </cell>
          <cell r="G194">
            <v>1</v>
          </cell>
          <cell r="H194" t="str">
            <v>300:23301</v>
          </cell>
          <cell r="I194">
            <v>42616.797997685186</v>
          </cell>
          <cell r="J194">
            <v>0</v>
          </cell>
          <cell r="K194" t="str">
            <v>4029/4030</v>
          </cell>
          <cell r="L194" t="str">
            <v>SHOOK</v>
          </cell>
          <cell r="M194">
            <v>6.7361111141508445E-3</v>
          </cell>
          <cell r="N194">
            <v>9.7000000043772161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https://search-rtdc-monitor-bjffxe2xuh6vdkpspy63sjmuny.us-east-1.es.amazonaws.com/_plugin/kibana/#/discover/Steve-Slow-Train-Analysis-(2080s-and-2083s)?_g=(refreshInterval:(display:Off,section:0,value:0),time:(from:'2016-09-03 17:46:32-0600',mode:absolute,to:'2016-09-03 20:09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94" t="str">
            <v>Y</v>
          </cell>
          <cell r="X194">
            <v>-1530</v>
          </cell>
          <cell r="Y194">
            <v>0.1484</v>
          </cell>
          <cell r="Z194">
            <v>2.3300999999999998</v>
          </cell>
          <cell r="AA194">
            <v>2.1816999999999998</v>
          </cell>
          <cell r="AB194" t="e">
            <v>#N/A</v>
          </cell>
          <cell r="AC194" t="e">
            <v>#N/A</v>
          </cell>
          <cell r="AD194" t="str">
            <v>0303-03</v>
          </cell>
          <cell r="AE194" t="str">
    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    </cell>
        </row>
        <row r="195">
          <cell r="A195" t="str">
            <v>305-03</v>
          </cell>
          <cell r="B195">
            <v>4018</v>
          </cell>
          <cell r="C195" t="str">
            <v>DE.1.0.7.0</v>
          </cell>
          <cell r="D195" t="str">
            <v>204:697</v>
          </cell>
          <cell r="E195">
            <v>42616.823159722226</v>
          </cell>
          <cell r="F195">
            <v>25568.958333333332</v>
          </cell>
          <cell r="G195">
            <v>1</v>
          </cell>
          <cell r="H195" t="str">
            <v>300:23301</v>
          </cell>
          <cell r="I195">
            <v>25568.958333333332</v>
          </cell>
          <cell r="J195">
            <v>0</v>
          </cell>
          <cell r="K195" t="str">
            <v>4017/4018</v>
          </cell>
          <cell r="L195" t="str">
            <v>CLARK</v>
          </cell>
          <cell r="M195">
            <v>0</v>
          </cell>
          <cell r="N195">
            <v>0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https://search-rtdc-monitor-bjffxe2xuh6vdkpspy63sjmuny.us-east-1.es.amazonaws.com/_plugin/kibana/#/discover/Steve-Slow-Train-Analysis-(2080s-and-2083s)?_g=(refreshInterval:(display:Off,section:0,value:0),time:(from:'2016-09-03 18:45:21-0600',mode:absolute,to:'1970-01-01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95" t="str">
            <v>Y</v>
          </cell>
          <cell r="X195">
            <v>2</v>
          </cell>
          <cell r="Y195">
            <v>6.9699999999999998E-2</v>
          </cell>
          <cell r="Z195">
            <v>2.3300999999999998</v>
          </cell>
          <cell r="AA195">
            <v>2.2603999999999997</v>
          </cell>
          <cell r="AB195" t="e">
            <v>#N/A</v>
          </cell>
          <cell r="AC195" t="e">
            <v>#N/A</v>
          </cell>
          <cell r="AD195" t="str">
            <v>0305-03</v>
          </cell>
          <cell r="AE195" t="str">
    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    </cell>
        </row>
        <row r="196">
          <cell r="A196" t="str">
            <v>307-03</v>
          </cell>
          <cell r="B196">
            <v>4002</v>
          </cell>
          <cell r="C196" t="str">
            <v>DE.1.0.7.0</v>
          </cell>
          <cell r="D196" t="str">
            <v>204:1884</v>
          </cell>
          <cell r="E196">
            <v>42616.82303240741</v>
          </cell>
          <cell r="F196">
            <v>25568.958333333332</v>
          </cell>
          <cell r="G196">
            <v>2</v>
          </cell>
          <cell r="H196" t="str">
            <v>204:2076</v>
          </cell>
          <cell r="I196">
            <v>25568.958333333332</v>
          </cell>
          <cell r="J196">
            <v>0</v>
          </cell>
          <cell r="K196" t="str">
            <v>4001/4002</v>
          </cell>
          <cell r="L196" t="str">
            <v>WEBSTER</v>
          </cell>
          <cell r="M196">
            <v>0</v>
          </cell>
          <cell r="N196">
            <v>0</v>
          </cell>
          <cell r="S196">
            <v>0</v>
          </cell>
          <cell r="T196" t="str">
            <v>NorthBound</v>
          </cell>
          <cell r="U196">
            <v>0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https://search-rtdc-monitor-bjffxe2xuh6vdkpspy63sjmuny.us-east-1.es.amazonaws.com/_plugin/kibana/#/discover/Steve-Slow-Train-Analysis-(2080s-and-2083s)?_g=(refreshInterval:(display:Off,section:0,value:0),time:(from:'2016-09-03 18:45:10-0600',mode:absolute,to:'1970-01-01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96" t="str">
            <v>Y</v>
          </cell>
          <cell r="X196">
            <v>2</v>
          </cell>
          <cell r="Y196">
            <v>0.18840000000000001</v>
          </cell>
          <cell r="Z196">
            <v>0.20760000000000001</v>
          </cell>
          <cell r="AA196">
            <v>1.9199999999999995E-2</v>
          </cell>
          <cell r="AB196" t="e">
            <v>#N/A</v>
          </cell>
          <cell r="AC196" t="e">
            <v>#N/A</v>
          </cell>
          <cell r="AD196" t="str">
            <v>0307-03</v>
          </cell>
          <cell r="AE196" t="str">
    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    </cell>
        </row>
        <row r="197">
          <cell r="A197" t="str">
            <v>309-03</v>
          </cell>
          <cell r="B197">
            <v>4011</v>
          </cell>
          <cell r="C197" t="str">
            <v>DE.1.0.7.0</v>
          </cell>
          <cell r="D197" t="str">
            <v>204:455</v>
          </cell>
          <cell r="E197">
            <v>42617.047997685186</v>
          </cell>
          <cell r="F197">
            <v>25568.958333333332</v>
          </cell>
          <cell r="G197">
            <v>1</v>
          </cell>
          <cell r="H197" t="str">
            <v>300:23302</v>
          </cell>
          <cell r="I197">
            <v>25568.958333333332</v>
          </cell>
          <cell r="J197">
            <v>0</v>
          </cell>
          <cell r="K197" t="str">
            <v>4011/4012</v>
          </cell>
          <cell r="L197" t="str">
            <v>NEWELL</v>
          </cell>
          <cell r="M197">
            <v>0</v>
          </cell>
          <cell r="N197">
            <v>0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https://search-rtdc-monitor-bjffxe2xuh6vdkpspy63sjmuny.us-east-1.es.amazonaws.com/_plugin/kibana/#/discover/Steve-Slow-Train-Analysis-(2080s-and-2083s)?_g=(refreshInterval:(display:Off,section:0,value:0),time:(from:'2016-09-04 00:09:07-0600',mode:absolute,to:'1970-01-01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97" t="str">
            <v>Y</v>
          </cell>
          <cell r="X197">
            <v>2</v>
          </cell>
          <cell r="Y197">
            <v>4.5499999999999999E-2</v>
          </cell>
          <cell r="Z197">
            <v>2.3302</v>
          </cell>
          <cell r="AA197">
            <v>2.2847</v>
          </cell>
          <cell r="AB197" t="e">
            <v>#N/A</v>
          </cell>
          <cell r="AC197" t="e">
            <v>#N/A</v>
          </cell>
          <cell r="AD197" t="str">
            <v>0309-03</v>
          </cell>
          <cell r="AE197" t="str">
    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    </cell>
        </row>
        <row r="198">
          <cell r="A198" t="str">
            <v>311-03</v>
          </cell>
          <cell r="B198">
            <v>4040</v>
          </cell>
          <cell r="C198" t="str">
            <v>DE.1.0.7.0</v>
          </cell>
          <cell r="D198" t="str">
            <v>204:477</v>
          </cell>
          <cell r="E198">
            <v>42617.070902777778</v>
          </cell>
          <cell r="F198">
            <v>42617.072199074071</v>
          </cell>
          <cell r="G198">
            <v>1</v>
          </cell>
          <cell r="H198" t="str">
            <v>300:22860</v>
          </cell>
          <cell r="I198">
            <v>42617.078553240739</v>
          </cell>
          <cell r="J198">
            <v>0</v>
          </cell>
          <cell r="K198" t="str">
            <v>4039/4040</v>
          </cell>
          <cell r="L198" t="str">
            <v>CHANDLER</v>
          </cell>
          <cell r="M198">
            <v>6.3541666677338071E-3</v>
          </cell>
          <cell r="N198">
            <v>9.1500000015366822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https://search-rtdc-monitor-bjffxe2xuh6vdkpspy63sjmuny.us-east-1.es.amazonaws.com/_plugin/kibana/#/discover/Steve-Slow-Train-Analysis-(2080s-and-2083s)?_g=(refreshInterval:(display:Off,section:0,value:0),time:(from:'2016-09-04 00:42:06-0600',mode:absolute,to:'2016-09-04 02:53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    </cell>
          <cell r="W198" t="str">
            <v>Y</v>
          </cell>
          <cell r="X198">
            <v>2</v>
          </cell>
          <cell r="Y198">
            <v>4.7699999999999999E-2</v>
          </cell>
          <cell r="Z198">
            <v>2.286</v>
          </cell>
          <cell r="AA198">
            <v>2.2383000000000002</v>
          </cell>
          <cell r="AB198" t="e">
            <v>#N/A</v>
          </cell>
          <cell r="AC198" t="e">
            <v>#N/A</v>
          </cell>
          <cell r="AD198" t="str">
            <v>0311-03</v>
          </cell>
          <cell r="AE198" t="str">
            <v>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 &amp; aws s3 cp s3://rtdc.mdm.uploadarchive/RTDC4040/2016-09-05/ "%USERPROFILE%\AppData\Local\Temp\OnboardLogs"\RTDC4040\2016-09-05 --recursive &amp; "%USERPROFILE%\Documents\GitHub\mrs-test-scripts\Headless Mode &amp; Sideloading\WalkAndUnGZ.bat" "%USERPROFILE%\AppData\Local\Temp\OnboardLogs"\RTDC4040\2016-09-05</v>
          </cell>
        </row>
        <row r="199">
          <cell r="A199" t="str">
            <v>313-02</v>
          </cell>
          <cell r="B199">
            <v>4044</v>
          </cell>
          <cell r="C199" t="str">
            <v>DE.1.0.7.0</v>
          </cell>
          <cell r="D199" t="str">
            <v>204:466</v>
          </cell>
          <cell r="E199">
            <v>42616.092905092592</v>
          </cell>
          <cell r="F199">
            <v>42616.09474537037</v>
          </cell>
          <cell r="G199">
            <v>1</v>
          </cell>
          <cell r="H199" t="str">
            <v>300:23312</v>
          </cell>
          <cell r="I199">
            <v>42616.100752314815</v>
          </cell>
          <cell r="J199">
            <v>0</v>
          </cell>
          <cell r="K199" t="str">
            <v>4043/4044</v>
          </cell>
          <cell r="L199" t="str">
            <v>HILLS</v>
          </cell>
          <cell r="M199">
            <v>6.0069444443797693E-3</v>
          </cell>
          <cell r="N199">
            <v>8.6499999999068677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https://search-rtdc-monitor-bjffxe2xuh6vdkpspy63sjmuny.us-east-1.es.amazonaws.com/_plugin/kibana/#/discover/Steve-Slow-Train-Analysis-(2080s-and-2083s)?_g=(refreshInterval:(display:Off,section:0,value:0),time:(from:'2016-09-03 01:13:47-0600',mode:absolute,to:'2016-09-03 03:25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99" t="str">
            <v>Y</v>
          </cell>
          <cell r="X199">
            <v>2</v>
          </cell>
          <cell r="Y199">
            <v>4.6600000000000003E-2</v>
          </cell>
          <cell r="Z199">
            <v>2.3311999999999999</v>
          </cell>
          <cell r="AA199">
            <v>2.2845999999999997</v>
          </cell>
          <cell r="AB199" t="e">
            <v>#N/A</v>
          </cell>
          <cell r="AC199" t="e">
            <v>#N/A</v>
          </cell>
          <cell r="AD199" t="str">
            <v>0313-02</v>
          </cell>
          <cell r="AE199" t="str">
            <v>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 &amp; aws s3 cp s3://rtdc.mdm.uploadarchive/RTDC4044/2016-09-04/ "%USERPROFILE%\AppData\Local\Temp\OnboardLogs"\RTDC4044\2016-09-04 --recursive &amp; "%USERPROFILE%\Documents\GitHub\mrs-test-scripts\Headless Mode &amp; Sideloading\WalkAndUnGZ.bat" "%USERPROFILE%\AppData\Local\Temp\OnboardLogs"\RTDC4044\2016-09-04</v>
          </cell>
        </row>
        <row r="200">
          <cell r="A200" t="str">
            <v>313-03</v>
          </cell>
          <cell r="B200">
            <v>4014</v>
          </cell>
          <cell r="C200" t="str">
            <v>DE.1.0.7.0</v>
          </cell>
          <cell r="D200" t="str">
            <v>204:473</v>
          </cell>
          <cell r="E200">
            <v>42617.090451388889</v>
          </cell>
          <cell r="F200">
            <v>42617.092002314814</v>
          </cell>
          <cell r="G200">
            <v>1</v>
          </cell>
          <cell r="H200" t="str">
            <v>300:23310</v>
          </cell>
          <cell r="I200">
            <v>42617.098032407404</v>
          </cell>
          <cell r="J200">
            <v>0</v>
          </cell>
          <cell r="K200" t="str">
            <v>4013/4014</v>
          </cell>
          <cell r="L200" t="str">
            <v>STURGEON</v>
          </cell>
          <cell r="M200">
            <v>6.0300925906631164E-3</v>
          </cell>
          <cell r="N200">
            <v>8.6833333305548877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https://search-rtdc-monitor-bjffxe2xuh6vdkpspy63sjmuny.us-east-1.es.amazonaws.com/_plugin/kibana/#/discover/Steve-Slow-Train-Analysis-(2080s-and-2083s)?_g=(refreshInterval:(display:Off,section:0,value:0),time:(from:'2016-09-04 01:10:15-0600',mode:absolute,to:'2016-09-04 03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00" t="str">
            <v>Y</v>
          </cell>
          <cell r="X200">
            <v>0</v>
          </cell>
          <cell r="Y200">
            <v>4.7300000000000002E-2</v>
          </cell>
          <cell r="Z200">
            <v>2.331</v>
          </cell>
          <cell r="AA200">
            <v>2.2837000000000001</v>
          </cell>
          <cell r="AB200" t="e">
            <v>#N/A</v>
          </cell>
          <cell r="AC200" t="e">
            <v>#N/A</v>
          </cell>
          <cell r="AD200" t="str">
            <v>0313-03</v>
          </cell>
          <cell r="AE200" t="str">
            <v>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 &amp; 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</v>
          </cell>
        </row>
        <row r="201">
          <cell r="A201" t="str">
            <v>315-02</v>
          </cell>
          <cell r="B201">
            <v>4031</v>
          </cell>
          <cell r="C201" t="str">
            <v>DE.1.0.7.0</v>
          </cell>
          <cell r="D201" t="str">
            <v>204:475</v>
          </cell>
          <cell r="E201">
            <v>42616.112349537034</v>
          </cell>
          <cell r="F201">
            <v>42616.11383101852</v>
          </cell>
          <cell r="G201">
            <v>2</v>
          </cell>
          <cell r="H201" t="str">
            <v>300:23346</v>
          </cell>
          <cell r="I201">
            <v>42616.118946759256</v>
          </cell>
          <cell r="J201">
            <v>0</v>
          </cell>
          <cell r="K201" t="str">
            <v>4031/4032</v>
          </cell>
          <cell r="L201" t="str">
            <v>HAITHCOX</v>
          </cell>
          <cell r="M201">
            <v>5.1157407360733487E-3</v>
          </cell>
          <cell r="N201">
            <v>7.3666666599456221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https://search-rtdc-monitor-bjffxe2xuh6vdkpspy63sjmuny.us-east-1.es.amazonaws.com/_plugin/kibana/#/discover/Steve-Slow-Train-Analysis-(2080s-and-2083s)?_g=(refreshInterval:(display:Off,section:0,value:0),time:(from:'2016-09-03 01:41:47-0600',mode:absolute,to:'2016-09-03 03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01" t="str">
            <v>Y</v>
          </cell>
          <cell r="X201">
            <v>2</v>
          </cell>
          <cell r="Y201">
            <v>4.7500000000000001E-2</v>
          </cell>
          <cell r="Z201">
            <v>2.3346</v>
          </cell>
          <cell r="AA201">
            <v>2.2871000000000001</v>
          </cell>
          <cell r="AB201" t="e">
            <v>#N/A</v>
          </cell>
          <cell r="AC201" t="e">
            <v>#N/A</v>
          </cell>
          <cell r="AD201" t="str">
            <v>0315-02</v>
          </cell>
          <cell r="AE201" t="str">
            <v>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 &amp; 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</v>
          </cell>
        </row>
        <row r="202">
          <cell r="A202" t="str">
            <v>315-02</v>
          </cell>
          <cell r="B202">
            <v>4031</v>
          </cell>
          <cell r="C202" t="str">
            <v>DE.1.0.7.0</v>
          </cell>
          <cell r="D202" t="str">
            <v>300:23346</v>
          </cell>
          <cell r="E202">
            <v>42616.112349537034</v>
          </cell>
          <cell r="F202">
            <v>42616.11383101852</v>
          </cell>
          <cell r="G202">
            <v>13</v>
          </cell>
          <cell r="H202" t="str">
            <v>300:23346</v>
          </cell>
          <cell r="I202">
            <v>42616.118946759256</v>
          </cell>
          <cell r="J202">
            <v>0</v>
          </cell>
          <cell r="K202" t="str">
            <v>4031/4032</v>
          </cell>
          <cell r="L202" t="str">
            <v>HAITHCOX</v>
          </cell>
          <cell r="M202">
            <v>5.1157407360733487E-3</v>
          </cell>
          <cell r="N202">
            <v>7.3666666599456221</v>
          </cell>
          <cell r="S202">
            <v>0</v>
          </cell>
          <cell r="T202" t="str">
            <v>NorthBound</v>
          </cell>
          <cell r="U202">
            <v>0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https://search-rtdc-monitor-bjffxe2xuh6vdkpspy63sjmuny.us-east-1.es.amazonaws.com/_plugin/kibana/#/discover/Steve-Slow-Train-Analysis-(2080s-and-2083s)?_g=(refreshInterval:(display:Off,section:0,value:0),time:(from:'2016-09-03 01:41:47-0600',mode:absolute,to:'2016-09-03 03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02" t="str">
            <v>Y</v>
          </cell>
          <cell r="X202">
            <v>0</v>
          </cell>
          <cell r="Y202">
            <v>2.3346</v>
          </cell>
          <cell r="Z202">
            <v>2.3346</v>
          </cell>
          <cell r="AA202">
            <v>0</v>
          </cell>
          <cell r="AB202" t="e">
            <v>#N/A</v>
          </cell>
          <cell r="AC202" t="e">
            <v>#N/A</v>
          </cell>
          <cell r="AD202" t="str">
            <v>0315-02</v>
          </cell>
          <cell r="AE202" t="str">
            <v>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 &amp; 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</v>
          </cell>
        </row>
        <row r="203">
          <cell r="A203" t="str">
            <v>315-03</v>
          </cell>
          <cell r="B203">
            <v>4020</v>
          </cell>
          <cell r="C203" t="str">
            <v>DE.1.0.7.0</v>
          </cell>
          <cell r="D203" t="str">
            <v>204:442</v>
          </cell>
          <cell r="E203">
            <v>42617.109606481485</v>
          </cell>
          <cell r="F203">
            <v>42617.110868055555</v>
          </cell>
          <cell r="G203">
            <v>1</v>
          </cell>
          <cell r="H203" t="str">
            <v>300:23346</v>
          </cell>
          <cell r="I203">
            <v>42617.115682870368</v>
          </cell>
          <cell r="J203">
            <v>0</v>
          </cell>
          <cell r="K203" t="str">
            <v>4019/4020</v>
          </cell>
          <cell r="L203" t="str">
            <v>HAITHCOX</v>
          </cell>
          <cell r="M203">
            <v>4.8148148125619628E-3</v>
          </cell>
          <cell r="N203">
            <v>6.9333333300892264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https://search-rtdc-monitor-bjffxe2xuh6vdkpspy63sjmuny.us-east-1.es.amazonaws.com/_plugin/kibana/#/discover/Steve-Slow-Train-Analysis-(2080s-and-2083s)?_g=(refreshInterval:(display:Off,section:0,value:0),time:(from:'2016-09-04 01:37:50-0600',mode:absolute,to:'2016-09-04 03:46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03" t="str">
            <v>Y</v>
          </cell>
          <cell r="X203">
            <v>0</v>
          </cell>
          <cell r="Y203">
            <v>4.4200000000000003E-2</v>
          </cell>
          <cell r="Z203">
            <v>2.3346</v>
          </cell>
          <cell r="AA203">
            <v>2.2904</v>
          </cell>
          <cell r="AB203" t="e">
            <v>#N/A</v>
          </cell>
          <cell r="AC203" t="e">
            <v>#N/A</v>
          </cell>
          <cell r="AD203" t="str">
            <v>0315-03</v>
          </cell>
          <cell r="AE203" t="str">
            <v>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 &amp; 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</v>
          </cell>
        </row>
        <row r="204">
          <cell r="A204" t="str">
            <v>1902-03</v>
          </cell>
          <cell r="B204">
            <v>4041</v>
          </cell>
          <cell r="C204" t="str">
            <v>DE.1.0.7.0</v>
          </cell>
          <cell r="D204" t="str">
            <v>300:58624</v>
          </cell>
          <cell r="E204">
            <v>42616.942743055559</v>
          </cell>
          <cell r="F204">
            <v>25568.958333333332</v>
          </cell>
          <cell r="G204">
            <v>1</v>
          </cell>
          <cell r="H204" t="str">
            <v>300:21564</v>
          </cell>
          <cell r="I204">
            <v>25568.958333333332</v>
          </cell>
          <cell r="J204">
            <v>0</v>
          </cell>
          <cell r="K204" t="str">
            <v>4041/4042</v>
          </cell>
          <cell r="L204" t="str">
            <v>ISHMAEL</v>
          </cell>
          <cell r="M204">
            <v>0</v>
          </cell>
          <cell r="N204">
            <v>0</v>
          </cell>
          <cell r="S204">
            <v>0</v>
          </cell>
          <cell r="T204" t="str">
            <v>Southbound</v>
          </cell>
          <cell r="U204">
            <v>0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https://search-rtdc-monitor-bjffxe2xuh6vdkpspy63sjmuny.us-east-1.es.amazonaws.com/_plugin/kibana/#/discover/Steve-Slow-Train-Analysis-(2080s-and-2083s)?_g=(refreshInterval:(display:Off,section:0,value:0),time:(from:'2016-09-03 21:37:33-0600',mode:absolute,to:'1970-01-01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    </cell>
          <cell r="W204" t="str">
            <v>Y</v>
          </cell>
          <cell r="X204">
            <v>1587</v>
          </cell>
          <cell r="Y204">
            <v>5.8624000000000001</v>
          </cell>
          <cell r="Z204">
            <v>2.1564000000000001</v>
          </cell>
          <cell r="AA204">
            <v>3.706</v>
          </cell>
          <cell r="AB204" t="e">
            <v>#N/A</v>
          </cell>
          <cell r="AC204" t="e">
            <v>#N/A</v>
          </cell>
          <cell r="AD204" t="str">
            <v>1902-03</v>
          </cell>
          <cell r="AE204" t="str">
            <v>aws s3 cp s3://rtdc.mdm.uploadarchive/RTDC4041/1969-12-31/ "%USERPROFILE%\AppData\Local\Temp\OnboardLogs"\RTDC4041\1969-12-31 --recursive &amp; "%USERPROFILE%\Documents\GitHub\mrs-test-scripts\Headless Mode &amp; Sideloading\WalkAndUnGZ.bat" "%USERPROFILE%\AppData\Local\Temp\OnboardLogs"\RTDC4041\1969-12-31 &amp; aws s3 cp s3://rtdc.mdm.uploadarchive/RTDC4041/1970-01-01/ "%USERPROFILE%\AppData\Local\Temp\OnboardLogs"\RTDC4041\1970-01-01 --recursive &amp; "%USERPROFILE%\Documents\GitHub\mrs-test-scripts\Headless Mode &amp; Sideloading\WalkAndUnGZ.bat" "%USERPROFILE%\AppData\Local\Temp\OnboardLogs"\RTDC4041\1970-01-01</v>
          </cell>
        </row>
        <row r="205">
          <cell r="A205" t="str">
            <v>50-03</v>
          </cell>
          <cell r="B205">
            <v>4005</v>
          </cell>
          <cell r="C205" t="str">
            <v>DE.1.0.7.0</v>
          </cell>
          <cell r="D205" t="str">
            <v>300:24415</v>
          </cell>
          <cell r="E205">
            <v>42616.432118055556</v>
          </cell>
          <cell r="F205">
            <v>42616.436840277776</v>
          </cell>
          <cell r="G205">
            <v>6</v>
          </cell>
          <cell r="H205" t="str">
            <v>300:24298</v>
          </cell>
          <cell r="I205">
            <v>42616.436967592592</v>
          </cell>
          <cell r="J205">
            <v>0</v>
          </cell>
          <cell r="K205" t="str">
            <v>4005/4006</v>
          </cell>
          <cell r="L205" t="str">
            <v>STEWART</v>
          </cell>
          <cell r="M205">
            <v>1.273148154723458E-4</v>
          </cell>
          <cell r="N205">
            <v>0.18333333428017795</v>
          </cell>
          <cell r="S205">
            <v>0</v>
          </cell>
          <cell r="T205" t="e">
            <v>#VALUE!</v>
          </cell>
          <cell r="U205">
            <v>0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https://search-rtdc-monitor-bjffxe2xuh6vdkpspy63sjmuny.us-east-1.es.amazonaws.com/_plugin/kibana/#/discover/Steve-Slow-Train-Analysis-(2080s-and-2083s)?_g=(refreshInterval:(display:Off,section:0,value:0),time:(from:'2016-09-03 09:22:15-0600',mode:absolute,to:'2016-09-03 11:29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    </cell>
          <cell r="W205" t="str">
            <v>Y</v>
          </cell>
          <cell r="X205" t="e">
            <v>#VALUE!</v>
          </cell>
          <cell r="Y205">
            <v>2.4415</v>
          </cell>
          <cell r="Z205">
            <v>2.4298000000000002</v>
          </cell>
          <cell r="AA205">
            <v>1.1699999999999822E-2</v>
          </cell>
          <cell r="AB205" t="e">
            <v>#N/A</v>
          </cell>
          <cell r="AC205" t="e">
            <v>#N/A</v>
          </cell>
          <cell r="AD205" t="str">
            <v>50-03</v>
          </cell>
          <cell r="AE205" t="str">
            <v>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 &amp; aws s3 cp s3://rtdc.mdm.uploadarchive/RTDC4005/2016-09-04/ "%USERPROFILE%\AppData\Local\Temp\OnboardLogs"\RTDC4005\2016-09-04 --recursive &amp; "%USERPROFILE%\Documents\GitHub\mrs-test-scripts\Headless Mode &amp; Sideloading\WalkAndUnGZ.bat" "%USERPROFILE%\AppData\Local\Temp\OnboardLogs"\RTDC4005\2016-09-04</v>
          </cell>
        </row>
        <row r="206">
          <cell r="A206" t="str">
            <v>52-03</v>
          </cell>
          <cell r="B206">
            <v>4045</v>
          </cell>
          <cell r="C206" t="str">
            <v>DE.1.0.7.0</v>
          </cell>
          <cell r="D206" t="str">
            <v>300:23272</v>
          </cell>
          <cell r="E206">
            <v>42616.73537037037</v>
          </cell>
          <cell r="F206">
            <v>42616.739120370374</v>
          </cell>
          <cell r="G206">
            <v>5</v>
          </cell>
          <cell r="H206" t="str">
            <v>204:867</v>
          </cell>
          <cell r="I206">
            <v>42616.745185185187</v>
          </cell>
          <cell r="J206">
            <v>0</v>
          </cell>
          <cell r="K206" t="str">
            <v>4045/4046</v>
          </cell>
          <cell r="L206" t="str">
            <v>SWANSON</v>
          </cell>
          <cell r="M206">
            <v>6.064814813726116E-3</v>
          </cell>
          <cell r="N206">
            <v>8.733333331765607</v>
          </cell>
          <cell r="S206">
            <v>0</v>
          </cell>
          <cell r="T206" t="e">
            <v>#VALUE!</v>
          </cell>
          <cell r="U206">
            <v>0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https://search-rtdc-monitor-bjffxe2xuh6vdkpspy63sjmuny.us-east-1.es.amazonaws.com/_plugin/kibana/#/discover/Steve-Slow-Train-Analysis-(2080s-and-2083s)?_g=(refreshInterval:(display:Off,section:0,value:0),time:(from:'2016-09-03 16:38:56-0600',mode:absolute,to:'2016-09-03 18:53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206" t="str">
            <v>Y</v>
          </cell>
          <cell r="X206" t="e">
            <v>#VALUE!</v>
          </cell>
          <cell r="Y206">
            <v>2.3271999999999999</v>
          </cell>
          <cell r="Z206">
            <v>8.6699999999999999E-2</v>
          </cell>
          <cell r="AA206">
            <v>2.2404999999999999</v>
          </cell>
          <cell r="AB206" t="e">
            <v>#N/A</v>
          </cell>
          <cell r="AC206" t="e">
            <v>#N/A</v>
          </cell>
          <cell r="AD206" t="str">
            <v>52-03</v>
          </cell>
          <cell r="AE206" t="str">
            <v>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 &amp; 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</v>
          </cell>
        </row>
        <row r="207">
          <cell r="A207" t="str">
            <v>54-03</v>
          </cell>
          <cell r="B207">
            <v>4005</v>
          </cell>
          <cell r="C207" t="str">
            <v>DE.1.0.7.0</v>
          </cell>
          <cell r="D207" t="str">
            <v>300:23595</v>
          </cell>
          <cell r="E207">
            <v>42616.749201388891</v>
          </cell>
          <cell r="F207">
            <v>42616.752199074072</v>
          </cell>
          <cell r="G207">
            <v>4</v>
          </cell>
          <cell r="H207" t="str">
            <v>204:169</v>
          </cell>
          <cell r="I207">
            <v>42616.759039351855</v>
          </cell>
          <cell r="J207">
            <v>0</v>
          </cell>
          <cell r="K207" t="str">
            <v>4005/4006</v>
          </cell>
          <cell r="L207" t="str">
            <v>STURGEON</v>
          </cell>
          <cell r="M207">
            <v>6.8402777833398432E-3</v>
          </cell>
          <cell r="N207">
            <v>9.8500000080093741</v>
          </cell>
          <cell r="S207">
            <v>0</v>
          </cell>
          <cell r="T207" t="e">
            <v>#VALUE!</v>
          </cell>
          <cell r="U207">
            <v>0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https://search-rtdc-monitor-bjffxe2xuh6vdkpspy63sjmuny.us-east-1.es.amazonaws.com/_plugin/kibana/#/discover/Steve-Slow-Train-Analysis-(2080s-and-2083s)?_g=(refreshInterval:(display:Off,section:0,value:0),time:(from:'2016-09-03 16:58:51-0600',mode:absolute,to:'2016-09-03 19:13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    </cell>
          <cell r="W207" t="str">
            <v>Y</v>
          </cell>
          <cell r="X207" t="e">
            <v>#VALUE!</v>
          </cell>
          <cell r="Y207">
            <v>2.3595000000000002</v>
          </cell>
          <cell r="Z207">
            <v>1.6899999999999998E-2</v>
          </cell>
          <cell r="AA207">
            <v>2.3426</v>
          </cell>
          <cell r="AB207" t="e">
            <v>#N/A</v>
          </cell>
          <cell r="AC207" t="e">
            <v>#N/A</v>
          </cell>
          <cell r="AD207" t="str">
            <v>54-03</v>
          </cell>
          <cell r="AE207" t="str">
            <v>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 &amp; aws s3 cp s3://rtdc.mdm.uploadarchive/RTDC4005/2016-09-04/ "%USERPROFILE%\AppData\Local\Temp\OnboardLogs"\RTDC4005\2016-09-04 --recursive &amp; "%USERPROFILE%\Documents\GitHub\mrs-test-scripts\Headless Mode &amp; Sideloading\WalkAndUnGZ.bat" "%USERPROFILE%\AppData\Local\Temp\OnboardLogs"\RTDC4005\2016-09-04</v>
          </cell>
        </row>
        <row r="208">
          <cell r="A208" t="str">
            <v>56-03</v>
          </cell>
          <cell r="B208">
            <v>4021</v>
          </cell>
          <cell r="C208" t="str">
            <v>DE.1.0.7.0</v>
          </cell>
          <cell r="D208" t="str">
            <v>300:24669</v>
          </cell>
          <cell r="E208">
            <v>42616.760520833333</v>
          </cell>
          <cell r="F208">
            <v>42616.763171296298</v>
          </cell>
          <cell r="G208">
            <v>3</v>
          </cell>
          <cell r="H208" t="str">
            <v>300:24318</v>
          </cell>
          <cell r="I208">
            <v>42616.763287037036</v>
          </cell>
          <cell r="J208">
            <v>0</v>
          </cell>
          <cell r="K208" t="str">
            <v>4021/4022</v>
          </cell>
          <cell r="L208" t="str">
            <v>HAITHCOX</v>
          </cell>
          <cell r="M208">
            <v>1.1574073869269341E-4</v>
          </cell>
          <cell r="N208">
            <v>0.16666666371747851</v>
          </cell>
          <cell r="S208">
            <v>0</v>
          </cell>
          <cell r="T208" t="e">
            <v>#VALUE!</v>
          </cell>
          <cell r="U208">
            <v>0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https://search-rtdc-monitor-bjffxe2xuh6vdkpspy63sjmuny.us-east-1.es.amazonaws.com/_plugin/kibana/#/discover/Steve-Slow-Train-Analysis-(2080s-and-2083s)?_g=(refreshInterval:(display:Off,section:0,value:0),time:(from:'2016-09-03 17:15:09-0600',mode:absolute,to:'2016-09-03 19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    </cell>
          <cell r="W208" t="str">
            <v>Y</v>
          </cell>
          <cell r="X208" t="e">
            <v>#VALUE!</v>
          </cell>
          <cell r="Y208">
            <v>2.4668999999999999</v>
          </cell>
          <cell r="Z208">
            <v>2.4318</v>
          </cell>
          <cell r="AA208">
            <v>3.5099999999999909E-2</v>
          </cell>
          <cell r="AB208" t="e">
            <v>#N/A</v>
          </cell>
          <cell r="AC208" t="e">
            <v>#N/A</v>
          </cell>
          <cell r="AD208" t="str">
            <v>56-03</v>
          </cell>
          <cell r="AE208" t="str">
            <v>aws s3 cp s3://rtdc.mdm.uploadarchive/RTDC4021/2016-09-03/ "%USERPROFILE%\AppData\Local\Temp\OnboardLogs"\RTDC4021\2016-09-03 --recursive &amp; "%USERPROFILE%\Documents\GitHub\mrs-test-scripts\Headless Mode &amp; Sideloading\WalkAndUnGZ.bat" "%USERPROFILE%\AppData\Local\Temp\OnboardLogs"\RTDC4021\2016-09-03 &amp; aws s3 cp s3://rtdc.mdm.uploadarchive/RTDC4021/2016-09-04/ "%USERPROFILE%\AppData\Local\Temp\OnboardLogs"\RTDC4021\2016-09-04 --recursive &amp; "%USERPROFILE%\Documents\GitHub\mrs-test-scripts\Headless Mode &amp; Sideloading\WalkAndUnGZ.bat" "%USERPROFILE%\AppData\Local\Temp\OnboardLogs"\RTDC4021\2016-09-04</v>
          </cell>
        </row>
        <row r="209">
          <cell r="A209" t="str">
            <v>58-03</v>
          </cell>
          <cell r="B209">
            <v>4022</v>
          </cell>
          <cell r="C209" t="str">
            <v>DE.1.0.7.0</v>
          </cell>
          <cell r="D209" t="str">
            <v>204:710</v>
          </cell>
          <cell r="E209">
            <v>42616.77547453704</v>
          </cell>
          <cell r="F209">
            <v>25568.958333333332</v>
          </cell>
          <cell r="G209">
            <v>1</v>
          </cell>
          <cell r="H209" t="str">
            <v>300:24208</v>
          </cell>
          <cell r="I209">
            <v>25568.958333333332</v>
          </cell>
          <cell r="J209">
            <v>0</v>
          </cell>
          <cell r="K209" t="str">
            <v>4021/4022</v>
          </cell>
          <cell r="L209" t="str">
            <v>MOSES</v>
          </cell>
          <cell r="M209">
            <v>0</v>
          </cell>
          <cell r="N209">
            <v>0</v>
          </cell>
          <cell r="S209">
            <v>0</v>
          </cell>
          <cell r="T209" t="e">
            <v>#VALUE!</v>
          </cell>
          <cell r="U209">
            <v>0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https://search-rtdc-monitor-bjffxe2xuh6vdkpspy63sjmuny.us-east-1.es.amazonaws.com/_plugin/kibana/#/discover/Steve-Slow-Train-Analysis-(2080s-and-2083s)?_g=(refreshInterval:(display:Off,section:0,value:0),time:(from:'2016-09-03 17:36:41-0600',mode:absolute,to:'1970-01-01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    </cell>
          <cell r="W209" t="str">
            <v>Y</v>
          </cell>
          <cell r="X209" t="e">
            <v>#VALUE!</v>
          </cell>
          <cell r="Y209">
            <v>7.0999999999999994E-2</v>
          </cell>
          <cell r="Z209">
            <v>2.4207999999999998</v>
          </cell>
          <cell r="AA209">
            <v>2.3497999999999997</v>
          </cell>
          <cell r="AB209" t="e">
            <v>#N/A</v>
          </cell>
          <cell r="AC209" t="e">
            <v>#N/A</v>
          </cell>
          <cell r="AD209" t="str">
            <v>58-03</v>
          </cell>
          <cell r="AE209" t="str">
    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    </cell>
        </row>
        <row r="210">
          <cell r="A210" t="str">
            <v>60-03</v>
          </cell>
          <cell r="B210">
            <v>4006</v>
          </cell>
          <cell r="C210" t="str">
            <v>DE.1.0.7.0</v>
          </cell>
          <cell r="D210" t="str">
            <v>204:477</v>
          </cell>
          <cell r="E210">
            <v>42616.792685185188</v>
          </cell>
          <cell r="F210">
            <v>42616.794745370367</v>
          </cell>
          <cell r="G210">
            <v>1</v>
          </cell>
          <cell r="H210" t="str">
            <v>300:24227</v>
          </cell>
          <cell r="I210">
            <v>42616.799814814818</v>
          </cell>
          <cell r="J210">
            <v>0</v>
          </cell>
          <cell r="K210" t="str">
            <v>4005/4006</v>
          </cell>
          <cell r="L210" t="str">
            <v>BRUDER</v>
          </cell>
          <cell r="M210">
            <v>5.069444450782612E-3</v>
          </cell>
          <cell r="N210">
            <v>7.3000000091269612</v>
          </cell>
          <cell r="S210">
            <v>0</v>
          </cell>
          <cell r="T210" t="e">
            <v>#VALUE!</v>
          </cell>
          <cell r="U210">
            <v>0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https://search-rtdc-monitor-bjffxe2xuh6vdkpspy63sjmuny.us-east-1.es.amazonaws.com/_plugin/kibana/#/discover/Steve-Slow-Train-Analysis-(2080s-and-2083s)?_g=(refreshInterval:(display:Off,section:0,value:0),time:(from:'2016-09-03 18:01:28-0600',mode:absolute,to:'2016-09-03 20:11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4006%22')),sort:!(Time,asc))</v>
          </cell>
          <cell r="W210" t="str">
            <v>Y</v>
          </cell>
          <cell r="X210" t="e">
            <v>#VALUE!</v>
          </cell>
          <cell r="Y210">
            <v>4.7699999999999999E-2</v>
          </cell>
          <cell r="Z210">
            <v>2.4226999999999999</v>
          </cell>
          <cell r="AA210">
            <v>2.375</v>
          </cell>
          <cell r="AB210" t="e">
            <v>#N/A</v>
          </cell>
          <cell r="AC210" t="e">
            <v>#N/A</v>
          </cell>
          <cell r="AD210" t="str">
            <v>60-03</v>
          </cell>
          <cell r="AE210" t="str">
            <v>aws s3 cp s3://rtdc.mdm.uploadarchive/RTDC4006/2016-09-03/ "%USERPROFILE%\AppData\Local\Temp\OnboardLogs"\RTDC4006\2016-09-03 --recursive &amp; "%USERPROFILE%\Documents\GitHub\mrs-test-scripts\Headless Mode &amp; Sideloading\WalkAndUnGZ.bat" "%USERPROFILE%\AppData\Local\Temp\OnboardLogs"\RTDC4006\2016-09-03 &amp; aws s3 cp s3://rtdc.mdm.uploadarchive/RTDC4006/2016-09-04/ "%USERPROFILE%\AppData\Local\Temp\OnboardLogs"\RTDC4006\2016-09-04 --recursive &amp; "%USERPROFILE%\Documents\GitHub\mrs-test-scripts\Headless Mode &amp; Sideloading\WalkAndUnGZ.bat" "%USERPROFILE%\AppData\Local\Temp\OnboardLogs"\RTDC4006\2016-09-04</v>
          </cell>
        </row>
      </sheetData>
      <sheetData sheetId="1" refreshError="1"/>
      <sheetData sheetId="2" refreshError="1"/>
      <sheetData sheetId="3">
        <row r="1">
          <cell r="C1" t="str">
            <v>242-02</v>
          </cell>
          <cell r="D1">
            <v>1800000</v>
          </cell>
          <cell r="E1" t="str">
            <v>CHANDLER</v>
          </cell>
        </row>
        <row r="2">
          <cell r="C2" t="str">
            <v>245-02</v>
          </cell>
          <cell r="D2">
            <v>2090000</v>
          </cell>
          <cell r="E2" t="str">
            <v>HAITHCOX</v>
          </cell>
        </row>
        <row r="3">
          <cell r="C3" t="str">
            <v>309-02</v>
          </cell>
          <cell r="D3">
            <v>1230000</v>
          </cell>
          <cell r="E3" t="str">
            <v>YANAI</v>
          </cell>
        </row>
        <row r="4">
          <cell r="C4" t="str">
            <v>244-02</v>
          </cell>
          <cell r="D4">
            <v>2220000</v>
          </cell>
          <cell r="E4" t="str">
            <v>HILLS</v>
          </cell>
        </row>
        <row r="5">
          <cell r="C5" t="str">
            <v>311-02</v>
          </cell>
          <cell r="D5">
            <v>1800000</v>
          </cell>
          <cell r="E5" t="str">
            <v>CHANDLER</v>
          </cell>
        </row>
        <row r="6">
          <cell r="C6" t="str">
            <v>246-02</v>
          </cell>
          <cell r="D6">
            <v>2090000</v>
          </cell>
          <cell r="E6" t="str">
            <v>HAITHCOX</v>
          </cell>
        </row>
        <row r="7">
          <cell r="C7" t="str">
            <v>313-02</v>
          </cell>
          <cell r="D7">
            <v>2220000</v>
          </cell>
          <cell r="E7" t="str">
            <v>HILLS</v>
          </cell>
        </row>
        <row r="8">
          <cell r="C8" t="str">
            <v>315-02</v>
          </cell>
          <cell r="D8">
            <v>2090000</v>
          </cell>
          <cell r="E8" t="str">
            <v>HAITHCOX</v>
          </cell>
        </row>
        <row r="9">
          <cell r="C9" t="str">
            <v>101-03</v>
          </cell>
          <cell r="D9">
            <v>2010000</v>
          </cell>
          <cell r="E9" t="str">
            <v>MAELZER</v>
          </cell>
        </row>
        <row r="10">
          <cell r="C10" t="str">
            <v>103-03</v>
          </cell>
          <cell r="D10">
            <v>1310000</v>
          </cell>
          <cell r="E10" t="str">
            <v>MALAVE</v>
          </cell>
        </row>
        <row r="11">
          <cell r="C11" t="str">
            <v>102-03</v>
          </cell>
          <cell r="D11">
            <v>2010000</v>
          </cell>
          <cell r="E11" t="str">
            <v>MAELZER</v>
          </cell>
        </row>
        <row r="12">
          <cell r="C12" t="str">
            <v>105-03</v>
          </cell>
          <cell r="D12">
            <v>1260000</v>
          </cell>
          <cell r="E12" t="str">
            <v>ACKERMAN</v>
          </cell>
        </row>
        <row r="13">
          <cell r="C13" t="str">
            <v>107-03</v>
          </cell>
          <cell r="D13">
            <v>1360000</v>
          </cell>
          <cell r="E13" t="str">
            <v>SANTIZO</v>
          </cell>
        </row>
        <row r="14">
          <cell r="C14" t="str">
            <v>109-03</v>
          </cell>
          <cell r="D14">
            <v>2030000</v>
          </cell>
          <cell r="E14" t="str">
            <v>KILLION</v>
          </cell>
        </row>
        <row r="15">
          <cell r="C15" t="str">
            <v>109-03</v>
          </cell>
          <cell r="D15">
            <v>2030000</v>
          </cell>
          <cell r="E15" t="str">
            <v>KILLION</v>
          </cell>
        </row>
        <row r="16">
          <cell r="C16" t="str">
            <v>107-03</v>
          </cell>
          <cell r="D16">
            <v>1360000</v>
          </cell>
          <cell r="E16" t="str">
            <v>SANTIZO</v>
          </cell>
        </row>
        <row r="17">
          <cell r="C17" t="str">
            <v>104-03</v>
          </cell>
          <cell r="D17">
            <v>1310000</v>
          </cell>
          <cell r="E17" t="str">
            <v>MALAVE</v>
          </cell>
        </row>
        <row r="18">
          <cell r="C18" t="str">
            <v>111-03</v>
          </cell>
          <cell r="D18">
            <v>2230000</v>
          </cell>
          <cell r="E18" t="str">
            <v>SMITH</v>
          </cell>
        </row>
        <row r="19">
          <cell r="C19" t="str">
            <v>113-03</v>
          </cell>
          <cell r="D19">
            <v>2010000</v>
          </cell>
          <cell r="E19" t="str">
            <v>MAELZER</v>
          </cell>
        </row>
        <row r="20">
          <cell r="C20" t="str">
            <v>106-03</v>
          </cell>
          <cell r="D20">
            <v>1260000</v>
          </cell>
          <cell r="E20" t="str">
            <v>ACKERMAN</v>
          </cell>
        </row>
        <row r="21">
          <cell r="C21" t="str">
            <v>106-03</v>
          </cell>
          <cell r="D21">
            <v>1260000</v>
          </cell>
          <cell r="E21" t="str">
            <v>ACKERMAN</v>
          </cell>
        </row>
        <row r="22">
          <cell r="C22" t="str">
            <v>106-03</v>
          </cell>
          <cell r="D22">
            <v>1260000</v>
          </cell>
          <cell r="E22" t="str">
            <v>ACKERMAN</v>
          </cell>
        </row>
        <row r="23">
          <cell r="C23" t="str">
            <v>108-03</v>
          </cell>
          <cell r="D23">
            <v>1360000</v>
          </cell>
          <cell r="E23" t="str">
            <v>SANTIZO</v>
          </cell>
        </row>
        <row r="24">
          <cell r="C24" t="str">
            <v>115-03</v>
          </cell>
          <cell r="D24">
            <v>1760000</v>
          </cell>
          <cell r="E24" t="str">
            <v>STRICKLAND</v>
          </cell>
        </row>
        <row r="25">
          <cell r="C25" t="str">
            <v>110-03</v>
          </cell>
          <cell r="D25">
            <v>2030000</v>
          </cell>
          <cell r="E25" t="str">
            <v>KILLION</v>
          </cell>
        </row>
        <row r="26">
          <cell r="C26" t="str">
            <v>115-03</v>
          </cell>
          <cell r="D26">
            <v>1760000</v>
          </cell>
          <cell r="E26" t="str">
            <v>STRICKLAND</v>
          </cell>
        </row>
        <row r="27">
          <cell r="C27" t="str">
            <v>1800-03</v>
          </cell>
          <cell r="D27">
            <v>1830000</v>
          </cell>
          <cell r="E27" t="str">
            <v>YORK</v>
          </cell>
        </row>
        <row r="28">
          <cell r="C28" t="str">
            <v>117-03</v>
          </cell>
          <cell r="D28">
            <v>1310000</v>
          </cell>
          <cell r="E28" t="str">
            <v>MALAVE</v>
          </cell>
        </row>
        <row r="29">
          <cell r="C29" t="str">
            <v>117-03</v>
          </cell>
          <cell r="D29">
            <v>1310000</v>
          </cell>
          <cell r="E29" t="str">
            <v>MALAVE</v>
          </cell>
        </row>
        <row r="30">
          <cell r="C30" t="str">
            <v>112-03</v>
          </cell>
          <cell r="D30">
            <v>2230000</v>
          </cell>
          <cell r="E30" t="str">
            <v>SMITH</v>
          </cell>
        </row>
        <row r="31">
          <cell r="C31" t="str">
            <v>119-03</v>
          </cell>
          <cell r="D31">
            <v>1260000</v>
          </cell>
          <cell r="E31" t="str">
            <v>ACKERMAN</v>
          </cell>
        </row>
        <row r="32">
          <cell r="C32" t="str">
            <v>1801-03</v>
          </cell>
          <cell r="D32">
            <v>1830000</v>
          </cell>
          <cell r="E32" t="str">
            <v>YORK</v>
          </cell>
        </row>
        <row r="33">
          <cell r="C33" t="str">
            <v>114-03</v>
          </cell>
          <cell r="D33">
            <v>2010000</v>
          </cell>
          <cell r="E33" t="str">
            <v>MAELZER</v>
          </cell>
        </row>
        <row r="34">
          <cell r="C34" t="str">
            <v>121-03</v>
          </cell>
          <cell r="D34">
            <v>1360000</v>
          </cell>
          <cell r="E34" t="str">
            <v>SANTIZO</v>
          </cell>
        </row>
        <row r="35">
          <cell r="C35" t="str">
            <v>116-03</v>
          </cell>
          <cell r="D35">
            <v>1760000</v>
          </cell>
          <cell r="E35" t="str">
            <v>STRICKLAND</v>
          </cell>
        </row>
        <row r="36">
          <cell r="C36" t="str">
            <v>123-03</v>
          </cell>
          <cell r="D36">
            <v>2030000</v>
          </cell>
          <cell r="E36" t="str">
            <v>KILLION</v>
          </cell>
        </row>
        <row r="37">
          <cell r="C37" t="str">
            <v>118-03</v>
          </cell>
          <cell r="D37">
            <v>1310000</v>
          </cell>
          <cell r="E37" t="str">
            <v>MALAVE</v>
          </cell>
        </row>
        <row r="38">
          <cell r="C38" t="str">
            <v>1802-03</v>
          </cell>
          <cell r="D38">
            <v>1830000</v>
          </cell>
          <cell r="E38" t="str">
            <v>YORK</v>
          </cell>
        </row>
        <row r="39">
          <cell r="C39" t="str">
            <v>125-03</v>
          </cell>
          <cell r="D39">
            <v>2230000</v>
          </cell>
          <cell r="E39" t="str">
            <v>SMITH</v>
          </cell>
        </row>
        <row r="40">
          <cell r="C40" t="str">
            <v>120-03</v>
          </cell>
          <cell r="D40">
            <v>1260000</v>
          </cell>
          <cell r="E40" t="str">
            <v>ACKERMAN</v>
          </cell>
        </row>
        <row r="41">
          <cell r="C41" t="str">
            <v>122-03</v>
          </cell>
          <cell r="D41">
            <v>1360000</v>
          </cell>
          <cell r="E41" t="str">
            <v>SANTIZO</v>
          </cell>
        </row>
        <row r="42">
          <cell r="C42" t="str">
            <v>127-03</v>
          </cell>
          <cell r="D42">
            <v>2010000</v>
          </cell>
          <cell r="E42" t="str">
            <v>MAELZER</v>
          </cell>
        </row>
        <row r="43">
          <cell r="C43" t="str">
            <v>1803-03</v>
          </cell>
          <cell r="D43">
            <v>1830000</v>
          </cell>
          <cell r="E43" t="str">
            <v>YORK</v>
          </cell>
        </row>
        <row r="44">
          <cell r="C44" t="str">
            <v>129-03</v>
          </cell>
          <cell r="D44">
            <v>1760000</v>
          </cell>
          <cell r="E44" t="str">
            <v>STRICKLAND</v>
          </cell>
        </row>
        <row r="45">
          <cell r="C45" t="str">
            <v>124-03</v>
          </cell>
          <cell r="D45">
            <v>2030000</v>
          </cell>
          <cell r="E45" t="str">
            <v>KILLION</v>
          </cell>
        </row>
        <row r="46">
          <cell r="C46" t="str">
            <v>126-03</v>
          </cell>
          <cell r="D46">
            <v>2230000</v>
          </cell>
          <cell r="E46" t="str">
            <v>SMITH</v>
          </cell>
        </row>
        <row r="47">
          <cell r="C47" t="str">
            <v>131-03</v>
          </cell>
          <cell r="D47">
            <v>1310000</v>
          </cell>
          <cell r="E47" t="str">
            <v>MALAVE</v>
          </cell>
        </row>
        <row r="48">
          <cell r="C48" t="str">
            <v>1804-03</v>
          </cell>
          <cell r="D48">
            <v>1830000</v>
          </cell>
          <cell r="E48" t="str">
            <v>YORK</v>
          </cell>
        </row>
        <row r="49">
          <cell r="C49" t="str">
            <v>1804-03</v>
          </cell>
          <cell r="D49">
            <v>1830000</v>
          </cell>
          <cell r="E49" t="str">
            <v>YORK</v>
          </cell>
        </row>
        <row r="50">
          <cell r="C50" t="str">
            <v>133-03</v>
          </cell>
          <cell r="D50">
            <v>1260000</v>
          </cell>
          <cell r="E50" t="str">
            <v>ACKERMAN</v>
          </cell>
        </row>
        <row r="51">
          <cell r="C51" t="str">
            <v>1804-03</v>
          </cell>
          <cell r="D51">
            <v>1830000</v>
          </cell>
          <cell r="E51" t="str">
            <v>YORK</v>
          </cell>
        </row>
        <row r="52">
          <cell r="C52" t="str">
            <v>128-03</v>
          </cell>
          <cell r="D52">
            <v>2010000</v>
          </cell>
          <cell r="E52" t="str">
            <v>MAELZER</v>
          </cell>
        </row>
        <row r="53">
          <cell r="C53" t="str">
            <v>135-03</v>
          </cell>
          <cell r="D53">
            <v>1360000</v>
          </cell>
          <cell r="E53" t="str">
            <v>SANTIZO</v>
          </cell>
        </row>
        <row r="54">
          <cell r="C54" t="str">
            <v>130-03</v>
          </cell>
          <cell r="D54">
            <v>1760000</v>
          </cell>
          <cell r="E54" t="str">
            <v>STRICKLAND</v>
          </cell>
        </row>
        <row r="55">
          <cell r="C55" t="str">
            <v>137-03</v>
          </cell>
          <cell r="D55">
            <v>2030000</v>
          </cell>
          <cell r="E55" t="str">
            <v>KILLION</v>
          </cell>
        </row>
        <row r="56">
          <cell r="C56" t="str">
            <v>1805-03</v>
          </cell>
          <cell r="D56">
            <v>1830000</v>
          </cell>
          <cell r="E56" t="str">
            <v>YORK</v>
          </cell>
        </row>
        <row r="57">
          <cell r="C57" t="str">
            <v>132-03</v>
          </cell>
          <cell r="D57">
            <v>1310000</v>
          </cell>
          <cell r="E57" t="str">
            <v>MALAVE</v>
          </cell>
        </row>
        <row r="58">
          <cell r="C58" t="str">
            <v>139-03</v>
          </cell>
          <cell r="D58">
            <v>2230000</v>
          </cell>
          <cell r="E58" t="str">
            <v>SMITH</v>
          </cell>
        </row>
        <row r="59">
          <cell r="C59" t="str">
            <v>132-03</v>
          </cell>
          <cell r="D59">
            <v>1310000</v>
          </cell>
          <cell r="E59" t="str">
            <v>MALAVE</v>
          </cell>
        </row>
        <row r="60">
          <cell r="C60" t="str">
            <v>134-03</v>
          </cell>
          <cell r="D60">
            <v>1260000</v>
          </cell>
          <cell r="E60" t="str">
            <v>ACKERMAN</v>
          </cell>
        </row>
        <row r="61">
          <cell r="C61" t="str">
            <v>1806-03</v>
          </cell>
          <cell r="D61">
            <v>1830000</v>
          </cell>
          <cell r="E61" t="str">
            <v>YORK</v>
          </cell>
        </row>
        <row r="62">
          <cell r="C62" t="str">
            <v>136-03</v>
          </cell>
          <cell r="D62">
            <v>1360000</v>
          </cell>
          <cell r="E62" t="str">
            <v>SANTIZO</v>
          </cell>
        </row>
        <row r="63">
          <cell r="C63" t="str">
            <v>141-03</v>
          </cell>
          <cell r="D63">
            <v>2010000</v>
          </cell>
          <cell r="E63" t="str">
            <v>MAELZER</v>
          </cell>
        </row>
        <row r="64">
          <cell r="C64" t="str">
            <v>143-03</v>
          </cell>
          <cell r="D64">
            <v>1760000</v>
          </cell>
          <cell r="E64" t="str">
            <v>STRICKLAND</v>
          </cell>
        </row>
        <row r="65">
          <cell r="C65" t="str">
            <v>1807-03</v>
          </cell>
          <cell r="D65">
            <v>1830000</v>
          </cell>
          <cell r="E65" t="str">
            <v>YORK</v>
          </cell>
        </row>
        <row r="66">
          <cell r="C66" t="str">
            <v>138-03</v>
          </cell>
          <cell r="D66">
            <v>2030000</v>
          </cell>
          <cell r="E66" t="str">
            <v>KILLION</v>
          </cell>
        </row>
        <row r="67">
          <cell r="C67" t="str">
            <v>140-03</v>
          </cell>
          <cell r="D67">
            <v>2230000</v>
          </cell>
          <cell r="E67" t="str">
            <v>SMITH</v>
          </cell>
        </row>
        <row r="68">
          <cell r="C68" t="str">
            <v>145-03</v>
          </cell>
          <cell r="D68">
            <v>1310000</v>
          </cell>
          <cell r="E68" t="str">
            <v>MALAVE</v>
          </cell>
        </row>
        <row r="69">
          <cell r="C69" t="str">
            <v>1807-03</v>
          </cell>
          <cell r="D69">
            <v>1830000</v>
          </cell>
          <cell r="E69" t="str">
            <v>YORK</v>
          </cell>
        </row>
        <row r="70">
          <cell r="C70" t="str">
            <v>147-03</v>
          </cell>
          <cell r="D70">
            <v>1260000</v>
          </cell>
          <cell r="E70" t="str">
            <v>ACKERMAN</v>
          </cell>
        </row>
        <row r="71">
          <cell r="C71" t="str">
            <v>142-03</v>
          </cell>
          <cell r="D71">
            <v>2010000</v>
          </cell>
          <cell r="E71" t="str">
            <v>MAELZER</v>
          </cell>
        </row>
        <row r="72">
          <cell r="C72" t="str">
            <v>149-03</v>
          </cell>
          <cell r="D72">
            <v>1360000</v>
          </cell>
          <cell r="E72" t="str">
            <v>SANTIZO</v>
          </cell>
        </row>
        <row r="73">
          <cell r="C73" t="str">
            <v>1808-03</v>
          </cell>
          <cell r="D73">
            <v>1830000</v>
          </cell>
          <cell r="E73" t="str">
            <v>YORK</v>
          </cell>
        </row>
        <row r="74">
          <cell r="C74" t="str">
            <v>144-03</v>
          </cell>
          <cell r="D74">
            <v>1760000</v>
          </cell>
          <cell r="E74" t="str">
            <v>STRICKLAND</v>
          </cell>
        </row>
        <row r="75">
          <cell r="C75" t="str">
            <v>151-03</v>
          </cell>
          <cell r="D75">
            <v>2030000</v>
          </cell>
          <cell r="E75" t="str">
            <v>KILLION</v>
          </cell>
        </row>
        <row r="76">
          <cell r="C76" t="str">
            <v>1809-03</v>
          </cell>
          <cell r="D76">
            <v>1830000</v>
          </cell>
          <cell r="E76" t="str">
            <v>YORK</v>
          </cell>
        </row>
        <row r="77">
          <cell r="C77" t="str">
            <v>146-03</v>
          </cell>
          <cell r="D77">
            <v>1310000</v>
          </cell>
          <cell r="E77" t="str">
            <v>MALAVE</v>
          </cell>
        </row>
        <row r="78">
          <cell r="C78" t="str">
            <v>153-03</v>
          </cell>
          <cell r="D78">
            <v>2230000</v>
          </cell>
          <cell r="E78" t="str">
            <v>SMITH</v>
          </cell>
        </row>
        <row r="79">
          <cell r="C79" t="str">
            <v>148-03</v>
          </cell>
          <cell r="D79">
            <v>1260000</v>
          </cell>
          <cell r="E79" t="str">
            <v>ACKERMAN</v>
          </cell>
        </row>
        <row r="80">
          <cell r="C80" t="str">
            <v>150-03</v>
          </cell>
          <cell r="D80">
            <v>1360000</v>
          </cell>
          <cell r="E80" t="str">
            <v>SANTIZO</v>
          </cell>
        </row>
        <row r="81">
          <cell r="C81" t="str">
            <v>50-03</v>
          </cell>
          <cell r="D81">
            <v>880000</v>
          </cell>
          <cell r="E81" t="str">
            <v>STEWART</v>
          </cell>
        </row>
        <row r="82">
          <cell r="C82" t="str">
            <v>155-03</v>
          </cell>
          <cell r="D82">
            <v>930000</v>
          </cell>
          <cell r="E82" t="str">
            <v>CLARK</v>
          </cell>
        </row>
        <row r="83">
          <cell r="C83" t="str">
            <v>1810-03</v>
          </cell>
          <cell r="D83">
            <v>1830000</v>
          </cell>
          <cell r="E83" t="str">
            <v>YORK</v>
          </cell>
        </row>
        <row r="84">
          <cell r="C84" t="str">
            <v>157-03</v>
          </cell>
          <cell r="D84">
            <v>1760000</v>
          </cell>
          <cell r="E84" t="str">
            <v>STRICKLAND</v>
          </cell>
        </row>
        <row r="85">
          <cell r="C85" t="str">
            <v>152-03</v>
          </cell>
          <cell r="D85">
            <v>2030000</v>
          </cell>
          <cell r="E85" t="str">
            <v>KILLION</v>
          </cell>
        </row>
        <row r="86">
          <cell r="C86" t="str">
            <v>154-03</v>
          </cell>
          <cell r="D86">
            <v>2230000</v>
          </cell>
          <cell r="E86" t="str">
            <v>SMITH</v>
          </cell>
        </row>
        <row r="87">
          <cell r="C87" t="str">
            <v>159-03</v>
          </cell>
          <cell r="D87">
            <v>880000</v>
          </cell>
          <cell r="E87" t="str">
            <v>STEWART</v>
          </cell>
        </row>
        <row r="88">
          <cell r="C88" t="str">
            <v>1811-03</v>
          </cell>
          <cell r="D88">
            <v>1830000</v>
          </cell>
          <cell r="E88" t="str">
            <v>YORK</v>
          </cell>
        </row>
        <row r="89">
          <cell r="C89" t="str">
            <v>161-03</v>
          </cell>
          <cell r="D89">
            <v>2000000</v>
          </cell>
          <cell r="E89" t="str">
            <v>STAMBAUGH</v>
          </cell>
        </row>
        <row r="90">
          <cell r="C90" t="str">
            <v>156-03</v>
          </cell>
          <cell r="D90">
            <v>930000</v>
          </cell>
          <cell r="E90" t="str">
            <v>CLARK</v>
          </cell>
        </row>
        <row r="91">
          <cell r="C91" t="str">
            <v>163-03</v>
          </cell>
          <cell r="D91">
            <v>2040000</v>
          </cell>
          <cell r="E91" t="str">
            <v>MOSES</v>
          </cell>
        </row>
        <row r="92">
          <cell r="C92" t="str">
            <v>1812-03</v>
          </cell>
          <cell r="D92">
            <v>1830000</v>
          </cell>
          <cell r="E92" t="str">
            <v>YORK</v>
          </cell>
        </row>
        <row r="93">
          <cell r="C93" t="str">
            <v>158-03</v>
          </cell>
          <cell r="D93">
            <v>1760000</v>
          </cell>
          <cell r="E93" t="str">
            <v>STRICKLAND</v>
          </cell>
        </row>
        <row r="94">
          <cell r="C94" t="str">
            <v>165-03</v>
          </cell>
          <cell r="D94">
            <v>2020000</v>
          </cell>
          <cell r="E94" t="str">
            <v>SHOOK</v>
          </cell>
        </row>
        <row r="95">
          <cell r="C95" t="str">
            <v>160-03</v>
          </cell>
          <cell r="D95">
            <v>880000</v>
          </cell>
          <cell r="E95" t="str">
            <v>STEWART</v>
          </cell>
        </row>
        <row r="96">
          <cell r="C96" t="str">
            <v>1813-03</v>
          </cell>
          <cell r="D96">
            <v>1830000</v>
          </cell>
          <cell r="E96" t="str">
            <v>YORK</v>
          </cell>
        </row>
        <row r="97">
          <cell r="C97" t="str">
            <v>167-03</v>
          </cell>
          <cell r="D97">
            <v>1770000</v>
          </cell>
          <cell r="E97" t="str">
            <v>BRUDER</v>
          </cell>
        </row>
        <row r="98">
          <cell r="C98" t="str">
            <v>162-03</v>
          </cell>
          <cell r="D98">
            <v>2000000</v>
          </cell>
          <cell r="E98" t="str">
            <v>STAMBAUGH</v>
          </cell>
        </row>
        <row r="99">
          <cell r="C99" t="str">
            <v>169-03</v>
          </cell>
          <cell r="D99">
            <v>930000</v>
          </cell>
          <cell r="E99" t="str">
            <v>CLARK</v>
          </cell>
        </row>
        <row r="100">
          <cell r="C100" t="str">
            <v>164-03</v>
          </cell>
          <cell r="D100">
            <v>2040000</v>
          </cell>
          <cell r="E100" t="str">
            <v>MOSES</v>
          </cell>
        </row>
        <row r="101">
          <cell r="C101" t="str">
            <v>171-03</v>
          </cell>
          <cell r="D101">
            <v>950000</v>
          </cell>
          <cell r="E101" t="str">
            <v>WEBSTER</v>
          </cell>
        </row>
        <row r="102">
          <cell r="C102" t="str">
            <v>166-03</v>
          </cell>
          <cell r="D102">
            <v>2020000</v>
          </cell>
          <cell r="E102" t="str">
            <v>SHOOK</v>
          </cell>
        </row>
        <row r="103">
          <cell r="C103" t="str">
            <v>1814-03</v>
          </cell>
          <cell r="D103">
            <v>1830000</v>
          </cell>
          <cell r="E103" t="str">
            <v>YORK</v>
          </cell>
        </row>
        <row r="104">
          <cell r="C104" t="str">
            <v>171-03</v>
          </cell>
          <cell r="D104">
            <v>950000</v>
          </cell>
          <cell r="E104" t="str">
            <v>WEBSTER</v>
          </cell>
        </row>
        <row r="105">
          <cell r="C105" t="str">
            <v>173-03</v>
          </cell>
          <cell r="D105">
            <v>880000</v>
          </cell>
          <cell r="E105" t="str">
            <v>STEWART</v>
          </cell>
        </row>
        <row r="106">
          <cell r="C106" t="str">
            <v>168-03</v>
          </cell>
          <cell r="D106">
            <v>1770000</v>
          </cell>
          <cell r="E106" t="str">
            <v>BRUDER</v>
          </cell>
        </row>
        <row r="107">
          <cell r="C107" t="str">
            <v>175-03</v>
          </cell>
          <cell r="D107">
            <v>2000000</v>
          </cell>
          <cell r="E107" t="str">
            <v>STAMBAUGH</v>
          </cell>
        </row>
        <row r="108">
          <cell r="C108" t="str">
            <v>1815-03</v>
          </cell>
          <cell r="D108">
            <v>1830000</v>
          </cell>
          <cell r="E108" t="str">
            <v>YORK</v>
          </cell>
        </row>
        <row r="109">
          <cell r="C109" t="str">
            <v>170-03</v>
          </cell>
          <cell r="D109">
            <v>930000</v>
          </cell>
          <cell r="E109" t="str">
            <v>CLARK</v>
          </cell>
        </row>
        <row r="110">
          <cell r="C110" t="str">
            <v>177-03</v>
          </cell>
          <cell r="D110">
            <v>2040000</v>
          </cell>
          <cell r="E110" t="str">
            <v>MOSES</v>
          </cell>
        </row>
        <row r="111">
          <cell r="C111" t="str">
            <v>172-03</v>
          </cell>
          <cell r="D111">
            <v>950000</v>
          </cell>
          <cell r="E111" t="str">
            <v>WEBSTER</v>
          </cell>
        </row>
        <row r="112">
          <cell r="C112" t="str">
            <v>179-03</v>
          </cell>
          <cell r="D112">
            <v>2020000</v>
          </cell>
          <cell r="E112" t="str">
            <v>SHOOK</v>
          </cell>
        </row>
        <row r="113">
          <cell r="C113" t="str">
            <v>1816-03</v>
          </cell>
          <cell r="D113">
            <v>1830000</v>
          </cell>
          <cell r="E113" t="str">
            <v>YORK</v>
          </cell>
        </row>
        <row r="114">
          <cell r="C114" t="str">
            <v>181-03</v>
          </cell>
          <cell r="D114">
            <v>1770000</v>
          </cell>
          <cell r="E114" t="str">
            <v>BRUDER</v>
          </cell>
        </row>
        <row r="115">
          <cell r="C115" t="str">
            <v>174-03</v>
          </cell>
          <cell r="D115">
            <v>880000</v>
          </cell>
          <cell r="E115" t="str">
            <v>STEWART</v>
          </cell>
        </row>
        <row r="116">
          <cell r="C116" t="str">
            <v>176-03</v>
          </cell>
          <cell r="D116">
            <v>2000000</v>
          </cell>
          <cell r="E116" t="str">
            <v>STAMBAUGH</v>
          </cell>
        </row>
        <row r="117">
          <cell r="C117" t="str">
            <v>183-03</v>
          </cell>
          <cell r="D117">
            <v>930000</v>
          </cell>
          <cell r="E117" t="str">
            <v>CLARK</v>
          </cell>
        </row>
        <row r="118">
          <cell r="C118" t="str">
            <v>1817-03</v>
          </cell>
          <cell r="D118">
            <v>2100000</v>
          </cell>
          <cell r="E118" t="str">
            <v>ISHMAEL</v>
          </cell>
        </row>
        <row r="119">
          <cell r="C119" t="str">
            <v>178-03</v>
          </cell>
          <cell r="D119">
            <v>2040000</v>
          </cell>
          <cell r="E119" t="str">
            <v>MOSES</v>
          </cell>
        </row>
        <row r="120">
          <cell r="C120" t="str">
            <v>185-03</v>
          </cell>
          <cell r="D120">
            <v>950000</v>
          </cell>
          <cell r="E120" t="str">
            <v>WEBSTER</v>
          </cell>
        </row>
        <row r="121">
          <cell r="C121" t="str">
            <v>180-03</v>
          </cell>
          <cell r="D121">
            <v>2020000</v>
          </cell>
          <cell r="E121" t="str">
            <v>SHOOK</v>
          </cell>
        </row>
        <row r="122">
          <cell r="C122" t="str">
            <v>187-03</v>
          </cell>
          <cell r="D122">
            <v>880000</v>
          </cell>
          <cell r="E122" t="str">
            <v>STEWART</v>
          </cell>
        </row>
        <row r="123">
          <cell r="C123" t="str">
            <v>182-03</v>
          </cell>
          <cell r="D123">
            <v>1770000</v>
          </cell>
          <cell r="E123" t="str">
            <v>BRUDER</v>
          </cell>
        </row>
        <row r="124">
          <cell r="C124" t="str">
            <v>189-03</v>
          </cell>
          <cell r="D124">
            <v>2000000</v>
          </cell>
          <cell r="E124" t="str">
            <v>STAMBAUGH</v>
          </cell>
        </row>
        <row r="125">
          <cell r="C125" t="str">
            <v>1818-03</v>
          </cell>
          <cell r="D125">
            <v>2100000</v>
          </cell>
          <cell r="E125" t="str">
            <v>ISHMAEL</v>
          </cell>
        </row>
        <row r="126">
          <cell r="C126" t="str">
            <v>184-03</v>
          </cell>
          <cell r="D126">
            <v>930000</v>
          </cell>
          <cell r="E126" t="str">
            <v>CLARK</v>
          </cell>
        </row>
        <row r="127">
          <cell r="C127" t="str">
            <v>191-03</v>
          </cell>
          <cell r="D127">
            <v>2000000</v>
          </cell>
          <cell r="E127" t="str">
            <v>STAMBAUGH</v>
          </cell>
        </row>
        <row r="128">
          <cell r="C128" t="str">
            <v>1819-03</v>
          </cell>
          <cell r="D128">
            <v>2100000</v>
          </cell>
          <cell r="E128" t="str">
            <v>ISHMAEL</v>
          </cell>
        </row>
        <row r="129">
          <cell r="C129" t="str">
            <v>186-03</v>
          </cell>
          <cell r="D129">
            <v>950000</v>
          </cell>
          <cell r="E129" t="str">
            <v>WEBSTER</v>
          </cell>
        </row>
        <row r="130">
          <cell r="C130" t="str">
            <v>193-03</v>
          </cell>
          <cell r="D130">
            <v>2020000</v>
          </cell>
          <cell r="E130" t="str">
            <v>SHOOK</v>
          </cell>
        </row>
        <row r="131">
          <cell r="C131" t="str">
            <v>188-03</v>
          </cell>
          <cell r="D131">
            <v>880000</v>
          </cell>
          <cell r="E131" t="str">
            <v>STEWART</v>
          </cell>
        </row>
        <row r="132">
          <cell r="C132" t="str">
            <v>195-03</v>
          </cell>
          <cell r="D132">
            <v>1770000</v>
          </cell>
          <cell r="E132" t="str">
            <v>BRUDER</v>
          </cell>
        </row>
        <row r="133">
          <cell r="C133" t="str">
            <v>190-03</v>
          </cell>
          <cell r="D133">
            <v>2000000</v>
          </cell>
          <cell r="E133" t="str">
            <v>STAMBAUGH</v>
          </cell>
        </row>
        <row r="134">
          <cell r="C134" t="str">
            <v>1820-03</v>
          </cell>
          <cell r="D134">
            <v>2100000</v>
          </cell>
          <cell r="E134" t="str">
            <v>ISHMAEL</v>
          </cell>
        </row>
        <row r="135">
          <cell r="C135" t="str">
            <v>197-03</v>
          </cell>
          <cell r="D135">
            <v>930000</v>
          </cell>
          <cell r="E135" t="str">
            <v>CLARK</v>
          </cell>
        </row>
        <row r="136">
          <cell r="C136" t="str">
            <v>192-03</v>
          </cell>
          <cell r="D136">
            <v>2040000</v>
          </cell>
          <cell r="E136" t="str">
            <v>MOSES</v>
          </cell>
        </row>
        <row r="137">
          <cell r="C137" t="str">
            <v>199-03</v>
          </cell>
          <cell r="D137">
            <v>950000</v>
          </cell>
          <cell r="E137" t="str">
            <v>WEBSTER</v>
          </cell>
        </row>
        <row r="138">
          <cell r="C138" t="str">
            <v>194-03</v>
          </cell>
          <cell r="D138">
            <v>2020000</v>
          </cell>
          <cell r="E138" t="str">
            <v>SHOOK</v>
          </cell>
        </row>
        <row r="139">
          <cell r="C139" t="str">
            <v>1821-03</v>
          </cell>
          <cell r="D139">
            <v>2100000</v>
          </cell>
          <cell r="E139" t="str">
            <v>ISHMAEL</v>
          </cell>
        </row>
        <row r="140">
          <cell r="C140" t="str">
            <v>201-03</v>
          </cell>
          <cell r="D140">
            <v>880000</v>
          </cell>
          <cell r="E140" t="str">
            <v>STEWART</v>
          </cell>
        </row>
        <row r="141">
          <cell r="C141" t="str">
            <v>196-03</v>
          </cell>
          <cell r="D141">
            <v>1770000</v>
          </cell>
          <cell r="E141" t="str">
            <v>BRUDER</v>
          </cell>
        </row>
        <row r="142">
          <cell r="C142" t="str">
            <v>203-03</v>
          </cell>
          <cell r="D142">
            <v>2000000</v>
          </cell>
          <cell r="E142" t="str">
            <v>STAMBAUGH</v>
          </cell>
        </row>
        <row r="143">
          <cell r="C143" t="str">
            <v>198-03</v>
          </cell>
          <cell r="D143">
            <v>930000</v>
          </cell>
          <cell r="E143" t="str">
            <v>CLARK</v>
          </cell>
        </row>
        <row r="144">
          <cell r="C144" t="str">
            <v>1822-03</v>
          </cell>
          <cell r="D144">
            <v>2100000</v>
          </cell>
          <cell r="E144" t="str">
            <v>ISHMAEL</v>
          </cell>
        </row>
        <row r="145">
          <cell r="C145" t="str">
            <v>205-03</v>
          </cell>
          <cell r="D145">
            <v>2040000</v>
          </cell>
          <cell r="E145" t="str">
            <v>MOSES</v>
          </cell>
        </row>
        <row r="146">
          <cell r="C146" t="str">
            <v>200-03</v>
          </cell>
          <cell r="D146">
            <v>950000</v>
          </cell>
          <cell r="E146" t="str">
            <v>WEBSTER</v>
          </cell>
        </row>
        <row r="147">
          <cell r="C147" t="str">
            <v>207-03</v>
          </cell>
          <cell r="D147">
            <v>2020000</v>
          </cell>
          <cell r="E147" t="str">
            <v>SHOOK</v>
          </cell>
        </row>
        <row r="148">
          <cell r="C148" t="str">
            <v>202-03</v>
          </cell>
          <cell r="D148">
            <v>880000</v>
          </cell>
          <cell r="E148" t="str">
            <v>STEWART</v>
          </cell>
        </row>
        <row r="149">
          <cell r="C149" t="str">
            <v>1823-03</v>
          </cell>
          <cell r="D149">
            <v>2100000</v>
          </cell>
          <cell r="E149" t="str">
            <v>ISHMAEL</v>
          </cell>
        </row>
        <row r="150">
          <cell r="C150" t="str">
            <v>209-03</v>
          </cell>
          <cell r="D150">
            <v>1770000</v>
          </cell>
          <cell r="E150" t="str">
            <v>BRUDER</v>
          </cell>
        </row>
        <row r="151">
          <cell r="C151" t="str">
            <v>204-03</v>
          </cell>
          <cell r="D151">
            <v>2000000</v>
          </cell>
          <cell r="E151" t="str">
            <v>STAMBAUGH</v>
          </cell>
        </row>
        <row r="152">
          <cell r="C152" t="str">
            <v>211-03</v>
          </cell>
          <cell r="D152">
            <v>930000</v>
          </cell>
          <cell r="E152" t="str">
            <v>CLARK</v>
          </cell>
        </row>
        <row r="153">
          <cell r="C153" t="str">
            <v>1824-03</v>
          </cell>
          <cell r="D153">
            <v>2100000</v>
          </cell>
          <cell r="E153" t="str">
            <v>ISHMAEL</v>
          </cell>
        </row>
        <row r="154">
          <cell r="C154" t="str">
            <v>52-03</v>
          </cell>
          <cell r="D154">
            <v>2150000</v>
          </cell>
          <cell r="E154" t="str">
            <v>SWANSON</v>
          </cell>
        </row>
        <row r="155">
          <cell r="C155" t="str">
            <v>52-03</v>
          </cell>
          <cell r="D155">
            <v>2150000</v>
          </cell>
          <cell r="E155" t="str">
            <v>SWANSON</v>
          </cell>
        </row>
        <row r="156">
          <cell r="C156" t="str">
            <v>206-03</v>
          </cell>
          <cell r="D156">
            <v>2040000</v>
          </cell>
          <cell r="E156" t="str">
            <v>MOSES</v>
          </cell>
        </row>
        <row r="157">
          <cell r="C157" t="str">
            <v>213-03</v>
          </cell>
          <cell r="D157">
            <v>1810000</v>
          </cell>
          <cell r="E157" t="str">
            <v>NEWELL</v>
          </cell>
        </row>
        <row r="158">
          <cell r="C158" t="str">
            <v>208-03</v>
          </cell>
          <cell r="D158">
            <v>2020000</v>
          </cell>
          <cell r="E158" t="str">
            <v>SHOOK</v>
          </cell>
        </row>
        <row r="159">
          <cell r="C159" t="str">
            <v>208-03</v>
          </cell>
          <cell r="D159">
            <v>2020000</v>
          </cell>
          <cell r="E159" t="str">
            <v>SHOOK</v>
          </cell>
        </row>
        <row r="160">
          <cell r="C160" t="str">
            <v>215-03</v>
          </cell>
          <cell r="D160">
            <v>950000</v>
          </cell>
          <cell r="E160" t="str">
            <v>WEBSTER</v>
          </cell>
        </row>
        <row r="161">
          <cell r="C161" t="str">
            <v>54-03</v>
          </cell>
          <cell r="D161">
            <v>1480000</v>
          </cell>
          <cell r="E161" t="str">
            <v>STURGEON</v>
          </cell>
        </row>
        <row r="162">
          <cell r="C162" t="str">
            <v>210-03</v>
          </cell>
          <cell r="D162">
            <v>1770000</v>
          </cell>
          <cell r="E162" t="str">
            <v>BRUDER</v>
          </cell>
        </row>
        <row r="163">
          <cell r="C163" t="str">
            <v>217-03</v>
          </cell>
          <cell r="D163">
            <v>1800000</v>
          </cell>
          <cell r="E163" t="str">
            <v>CHANDLER</v>
          </cell>
        </row>
        <row r="164">
          <cell r="C164" t="str">
            <v>1825-03</v>
          </cell>
          <cell r="D164">
            <v>730000</v>
          </cell>
          <cell r="E164" t="str">
            <v>HOMIK</v>
          </cell>
        </row>
        <row r="165">
          <cell r="C165" t="str">
            <v>56-03</v>
          </cell>
          <cell r="D165">
            <v>2090000</v>
          </cell>
          <cell r="E165" t="str">
            <v>HAITHCOX</v>
          </cell>
        </row>
        <row r="166">
          <cell r="C166" t="str">
            <v>212-03</v>
          </cell>
          <cell r="D166">
            <v>930000</v>
          </cell>
          <cell r="E166" t="str">
            <v>CLARK</v>
          </cell>
        </row>
        <row r="167">
          <cell r="C167" t="str">
            <v>219-03</v>
          </cell>
          <cell r="D167">
            <v>1480000</v>
          </cell>
          <cell r="E167" t="str">
            <v>STURGEON</v>
          </cell>
        </row>
        <row r="168">
          <cell r="C168" t="str">
            <v>214-03</v>
          </cell>
          <cell r="D168">
            <v>1810000</v>
          </cell>
          <cell r="E168" t="str">
            <v>NEWELL</v>
          </cell>
        </row>
        <row r="169">
          <cell r="C169" t="str">
            <v>212-03</v>
          </cell>
          <cell r="D169">
            <v>930000</v>
          </cell>
          <cell r="E169" t="str">
            <v>CLARK</v>
          </cell>
        </row>
        <row r="170">
          <cell r="C170" t="str">
            <v>212-03</v>
          </cell>
          <cell r="D170">
            <v>930000</v>
          </cell>
          <cell r="E170" t="str">
            <v>CLARK</v>
          </cell>
        </row>
        <row r="171">
          <cell r="C171" t="str">
            <v>214-03</v>
          </cell>
          <cell r="D171">
            <v>1810000</v>
          </cell>
          <cell r="E171" t="str">
            <v>NEWELL</v>
          </cell>
        </row>
        <row r="172">
          <cell r="C172" t="str">
            <v>58-03</v>
          </cell>
          <cell r="D172">
            <v>2040000</v>
          </cell>
          <cell r="E172" t="str">
            <v>MOSES</v>
          </cell>
        </row>
        <row r="173">
          <cell r="C173" t="str">
            <v>1826-03</v>
          </cell>
          <cell r="D173">
            <v>730000</v>
          </cell>
          <cell r="E173" t="str">
            <v>HOMIK</v>
          </cell>
        </row>
        <row r="174">
          <cell r="C174" t="str">
            <v>303-03</v>
          </cell>
          <cell r="D174">
            <v>2020000</v>
          </cell>
          <cell r="E174" t="str">
            <v>SHOOK</v>
          </cell>
        </row>
        <row r="175">
          <cell r="C175" t="str">
            <v>216-03</v>
          </cell>
          <cell r="D175">
            <v>950000</v>
          </cell>
          <cell r="E175" t="str">
            <v>WEBSTER</v>
          </cell>
        </row>
        <row r="176">
          <cell r="C176" t="str">
            <v>221-03</v>
          </cell>
          <cell r="D176">
            <v>2090000</v>
          </cell>
          <cell r="E176" t="str">
            <v>HAITHCOX</v>
          </cell>
        </row>
        <row r="177">
          <cell r="C177" t="str">
            <v>60-03</v>
          </cell>
          <cell r="D177">
            <v>1770000</v>
          </cell>
          <cell r="E177" t="str">
            <v>BRUDER</v>
          </cell>
        </row>
        <row r="178">
          <cell r="C178" t="str">
            <v>218-03</v>
          </cell>
          <cell r="D178">
            <v>1800000</v>
          </cell>
          <cell r="E178" t="str">
            <v>CHANDLER</v>
          </cell>
        </row>
        <row r="179">
          <cell r="C179" t="str">
            <v>1827-03</v>
          </cell>
          <cell r="D179">
            <v>2100000</v>
          </cell>
          <cell r="E179" t="str">
            <v>ISHMAEL</v>
          </cell>
        </row>
        <row r="180">
          <cell r="C180" t="str">
            <v>220-03</v>
          </cell>
          <cell r="D180">
            <v>1480000</v>
          </cell>
          <cell r="E180" t="str">
            <v>STURGEON</v>
          </cell>
        </row>
        <row r="181">
          <cell r="C181" t="str">
            <v>223-03</v>
          </cell>
          <cell r="D181">
            <v>1810000</v>
          </cell>
          <cell r="E181" t="str">
            <v>NEWELL</v>
          </cell>
        </row>
        <row r="182">
          <cell r="C182" t="str">
            <v>1828-03</v>
          </cell>
          <cell r="D182">
            <v>730000</v>
          </cell>
          <cell r="E182" t="str">
            <v>HOMIK</v>
          </cell>
        </row>
        <row r="183">
          <cell r="C183" t="str">
            <v>307-03</v>
          </cell>
          <cell r="D183">
            <v>950000</v>
          </cell>
          <cell r="E183" t="str">
            <v>WEBSTER</v>
          </cell>
        </row>
        <row r="184">
          <cell r="C184" t="str">
            <v>305-03</v>
          </cell>
          <cell r="D184">
            <v>930000</v>
          </cell>
          <cell r="E184" t="str">
            <v>CLARK</v>
          </cell>
        </row>
        <row r="185">
          <cell r="C185" t="str">
            <v>222-03</v>
          </cell>
          <cell r="D185">
            <v>2090000</v>
          </cell>
          <cell r="E185" t="str">
            <v>HAITHCOX</v>
          </cell>
        </row>
        <row r="186">
          <cell r="C186" t="str">
            <v>225-03</v>
          </cell>
          <cell r="D186">
            <v>1800000</v>
          </cell>
          <cell r="E186" t="str">
            <v>CHANDLER</v>
          </cell>
        </row>
        <row r="187">
          <cell r="C187" t="str">
            <v>224-03</v>
          </cell>
          <cell r="D187">
            <v>1810000</v>
          </cell>
          <cell r="E187" t="str">
            <v>NEWELL</v>
          </cell>
        </row>
        <row r="188">
          <cell r="C188" t="str">
            <v>1829-03</v>
          </cell>
          <cell r="D188">
            <v>2100000</v>
          </cell>
          <cell r="E188" t="str">
            <v>ISHMAEL</v>
          </cell>
        </row>
        <row r="189">
          <cell r="C189" t="str">
            <v>227-03</v>
          </cell>
          <cell r="D189">
            <v>1480000</v>
          </cell>
          <cell r="E189" t="str">
            <v>STURGEON</v>
          </cell>
        </row>
        <row r="190">
          <cell r="C190" t="str">
            <v>1830-03</v>
          </cell>
          <cell r="D190">
            <v>2100000</v>
          </cell>
          <cell r="E190" t="str">
            <v>ISHMAEL</v>
          </cell>
        </row>
        <row r="191">
          <cell r="C191" t="str">
            <v>226-03</v>
          </cell>
          <cell r="D191">
            <v>1800000</v>
          </cell>
          <cell r="E191" t="str">
            <v>CHANDLER</v>
          </cell>
        </row>
        <row r="192">
          <cell r="C192" t="str">
            <v>229-03</v>
          </cell>
          <cell r="D192">
            <v>2090000</v>
          </cell>
          <cell r="E192" t="str">
            <v>HAITHCOX</v>
          </cell>
        </row>
        <row r="193">
          <cell r="C193" t="str">
            <v>1831-03</v>
          </cell>
          <cell r="D193">
            <v>2100000</v>
          </cell>
          <cell r="E193" t="str">
            <v>ISHMAEL</v>
          </cell>
        </row>
        <row r="194">
          <cell r="C194" t="str">
            <v>231-03</v>
          </cell>
          <cell r="D194">
            <v>1810000</v>
          </cell>
          <cell r="E194" t="str">
            <v>NEWELL</v>
          </cell>
        </row>
        <row r="195">
          <cell r="C195" t="str">
            <v>228-03</v>
          </cell>
          <cell r="D195">
            <v>1480000</v>
          </cell>
          <cell r="E195" t="str">
            <v>STURGEON</v>
          </cell>
        </row>
        <row r="196">
          <cell r="C196" t="str">
            <v>1832-03</v>
          </cell>
          <cell r="D196">
            <v>2100000</v>
          </cell>
          <cell r="E196" t="str">
            <v>ISHMAEL</v>
          </cell>
        </row>
        <row r="197">
          <cell r="C197" t="str">
            <v>230-03</v>
          </cell>
          <cell r="D197">
            <v>2090000</v>
          </cell>
          <cell r="E197" t="str">
            <v>HAITHCOX</v>
          </cell>
        </row>
        <row r="198">
          <cell r="C198" t="str">
            <v>233-03</v>
          </cell>
          <cell r="D198">
            <v>1800000</v>
          </cell>
          <cell r="E198" t="str">
            <v>CHANDLER</v>
          </cell>
        </row>
        <row r="199">
          <cell r="C199" t="str">
            <v>1833-03</v>
          </cell>
          <cell r="D199">
            <v>2100000</v>
          </cell>
          <cell r="E199" t="str">
            <v>ISHMAEL</v>
          </cell>
        </row>
        <row r="200">
          <cell r="C200" t="str">
            <v>232-03</v>
          </cell>
          <cell r="D200">
            <v>1810000</v>
          </cell>
          <cell r="E200" t="str">
            <v>NEWELL</v>
          </cell>
        </row>
        <row r="201">
          <cell r="C201" t="str">
            <v>235-03</v>
          </cell>
          <cell r="D201">
            <v>1480000</v>
          </cell>
          <cell r="E201" t="str">
            <v>STURGEON</v>
          </cell>
        </row>
        <row r="202">
          <cell r="C202" t="str">
            <v>232-03</v>
          </cell>
          <cell r="D202">
            <v>1810000</v>
          </cell>
          <cell r="E202" t="str">
            <v>NEWELL</v>
          </cell>
        </row>
        <row r="203">
          <cell r="C203" t="str">
            <v>232-03</v>
          </cell>
          <cell r="D203">
            <v>1810000</v>
          </cell>
          <cell r="E203" t="str">
            <v>NEWELL</v>
          </cell>
        </row>
        <row r="204">
          <cell r="C204" t="str">
            <v>1902-03</v>
          </cell>
          <cell r="D204">
            <v>2100000</v>
          </cell>
          <cell r="E204" t="str">
            <v>ISHMAEL</v>
          </cell>
        </row>
        <row r="205">
          <cell r="C205" t="str">
            <v>1902-03</v>
          </cell>
          <cell r="D205">
            <v>2100000</v>
          </cell>
          <cell r="E205" t="str">
            <v>ISHMAEL</v>
          </cell>
        </row>
        <row r="206">
          <cell r="C206" t="str">
            <v>1902-03</v>
          </cell>
          <cell r="D206">
            <v>2100000</v>
          </cell>
          <cell r="E206" t="str">
            <v>ISHMAEL</v>
          </cell>
        </row>
        <row r="207">
          <cell r="C207" t="str">
            <v>234-03</v>
          </cell>
          <cell r="D207">
            <v>1800000</v>
          </cell>
          <cell r="E207" t="str">
            <v>CHANDLER</v>
          </cell>
        </row>
        <row r="208">
          <cell r="C208" t="str">
            <v>237-03</v>
          </cell>
          <cell r="D208">
            <v>2090000</v>
          </cell>
          <cell r="E208" t="str">
            <v>HAITHCOX</v>
          </cell>
        </row>
        <row r="209">
          <cell r="C209" t="str">
            <v>239-03</v>
          </cell>
          <cell r="D209">
            <v>1810000</v>
          </cell>
          <cell r="E209" t="str">
            <v>NEWELL</v>
          </cell>
        </row>
        <row r="210">
          <cell r="C210" t="str">
            <v>236-03</v>
          </cell>
          <cell r="D210">
            <v>1480000</v>
          </cell>
          <cell r="E210" t="str">
            <v>STURGEON</v>
          </cell>
        </row>
        <row r="211">
          <cell r="C211" t="str">
            <v>238-03</v>
          </cell>
          <cell r="D211">
            <v>2090000</v>
          </cell>
          <cell r="E211" t="str">
            <v>HAITHCOX</v>
          </cell>
        </row>
        <row r="212">
          <cell r="C212" t="str">
            <v>241-03</v>
          </cell>
          <cell r="D212">
            <v>1800000</v>
          </cell>
          <cell r="E212" t="str">
            <v>CHANDLER</v>
          </cell>
        </row>
        <row r="213">
          <cell r="C213" t="str">
            <v>240-03</v>
          </cell>
          <cell r="D213">
            <v>1810000</v>
          </cell>
          <cell r="E213" t="str">
            <v>NEWELL</v>
          </cell>
        </row>
        <row r="214">
          <cell r="C214" t="str">
            <v>243-03</v>
          </cell>
          <cell r="D214">
            <v>1480000</v>
          </cell>
          <cell r="E214" t="str">
            <v>STURGEON</v>
          </cell>
        </row>
        <row r="215">
          <cell r="C215" t="str">
            <v>240-03</v>
          </cell>
          <cell r="D215">
            <v>1810000</v>
          </cell>
          <cell r="E215" t="str">
            <v>NEWELL</v>
          </cell>
        </row>
        <row r="216">
          <cell r="C216" t="str">
            <v>245-03</v>
          </cell>
          <cell r="D216">
            <v>2090000</v>
          </cell>
          <cell r="E216" t="str">
            <v>HAITHCOX</v>
          </cell>
        </row>
        <row r="217">
          <cell r="C217" t="str">
            <v>242-03</v>
          </cell>
          <cell r="D217">
            <v>1800000</v>
          </cell>
          <cell r="E217" t="str">
            <v>CHANDLER</v>
          </cell>
        </row>
        <row r="218">
          <cell r="C218" t="str">
            <v>309-03</v>
          </cell>
          <cell r="D218">
            <v>1810000</v>
          </cell>
          <cell r="E218" t="str">
            <v>NEWELL</v>
          </cell>
        </row>
        <row r="219">
          <cell r="C219" t="str">
            <v>244-03</v>
          </cell>
          <cell r="D219">
            <v>1480000</v>
          </cell>
          <cell r="E219" t="str">
            <v>STURGEON</v>
          </cell>
        </row>
        <row r="220">
          <cell r="C220" t="str">
            <v>311-03</v>
          </cell>
          <cell r="D220">
            <v>1800000</v>
          </cell>
          <cell r="E220" t="str">
            <v>CHANDLER</v>
          </cell>
        </row>
        <row r="221">
          <cell r="C221" t="str">
            <v>246-03</v>
          </cell>
          <cell r="D221">
            <v>2090000</v>
          </cell>
          <cell r="E221" t="str">
            <v>HAITHCOX</v>
          </cell>
        </row>
        <row r="222">
          <cell r="C222" t="str">
            <v>313-03</v>
          </cell>
          <cell r="D222">
            <v>1480000</v>
          </cell>
          <cell r="E222" t="str">
            <v>STURGEON</v>
          </cell>
        </row>
        <row r="223">
          <cell r="C223" t="str">
            <v>315-03</v>
          </cell>
          <cell r="D223">
            <v>2090000</v>
          </cell>
          <cell r="E223" t="str">
            <v>HAITHCOX</v>
          </cell>
        </row>
        <row r="225">
          <cell r="C225" t="str">
            <v>245-02</v>
          </cell>
          <cell r="D225">
            <v>2090000</v>
          </cell>
          <cell r="E225" t="str">
            <v>HAITHCOX</v>
          </cell>
        </row>
        <row r="226">
          <cell r="C226" t="str">
            <v>309-02</v>
          </cell>
          <cell r="D226">
            <v>1230000</v>
          </cell>
          <cell r="E226" t="str">
            <v>YANAI</v>
          </cell>
        </row>
        <row r="227">
          <cell r="C227" t="str">
            <v>244-02</v>
          </cell>
          <cell r="D227">
            <v>2220000</v>
          </cell>
          <cell r="E227" t="str">
            <v>HILLS</v>
          </cell>
        </row>
        <row r="228">
          <cell r="C228" t="str">
            <v>311-02</v>
          </cell>
          <cell r="D228">
            <v>1800000</v>
          </cell>
          <cell r="E228" t="str">
            <v>CHANDLER</v>
          </cell>
        </row>
        <row r="229">
          <cell r="C229" t="str">
            <v>246-02</v>
          </cell>
          <cell r="D229">
            <v>2090000</v>
          </cell>
          <cell r="E229" t="str">
            <v>HAITHCOX</v>
          </cell>
        </row>
        <row r="230">
          <cell r="C230" t="str">
            <v>313-02</v>
          </cell>
          <cell r="D230">
            <v>2220000</v>
          </cell>
          <cell r="E230" t="str">
            <v>HILLS</v>
          </cell>
        </row>
        <row r="231">
          <cell r="C231" t="str">
            <v>315-02</v>
          </cell>
          <cell r="D231">
            <v>2090000</v>
          </cell>
          <cell r="E231" t="str">
            <v>HAITHCOX</v>
          </cell>
        </row>
        <row r="233">
          <cell r="C233" t="str">
            <v>309-26</v>
          </cell>
          <cell r="D233">
            <v>1230000</v>
          </cell>
          <cell r="E233" t="str">
            <v>YANAI</v>
          </cell>
        </row>
        <row r="234">
          <cell r="C234" t="str">
            <v>244-26</v>
          </cell>
          <cell r="D234">
            <v>2260000</v>
          </cell>
          <cell r="E234" t="str">
            <v>ARVIDSON</v>
          </cell>
        </row>
        <row r="235">
          <cell r="C235" t="str">
            <v>311-26</v>
          </cell>
          <cell r="D235">
            <v>1800000</v>
          </cell>
          <cell r="E235" t="str">
            <v>CHANDLER</v>
          </cell>
        </row>
        <row r="236">
          <cell r="C236" t="str">
            <v>246-26</v>
          </cell>
          <cell r="D236">
            <v>2090000</v>
          </cell>
          <cell r="E236" t="str">
            <v>HAITHCOX</v>
          </cell>
        </row>
        <row r="237">
          <cell r="C237" t="str">
            <v>313-26</v>
          </cell>
          <cell r="D237">
            <v>2260000</v>
          </cell>
          <cell r="E237" t="str">
            <v>ARVIDSON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  <sheetData sheetId="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  <sheetName val="Redmine List Values"/>
    </sheetNames>
    <sheetDataSet>
      <sheetData sheetId="0">
        <row r="13">
          <cell r="A13" t="str">
            <v>101-04</v>
          </cell>
          <cell r="B13">
            <v>4025</v>
          </cell>
          <cell r="C13" t="str">
            <v>DE.1.0.7.0</v>
          </cell>
          <cell r="D13" t="str">
            <v>204:752</v>
          </cell>
          <cell r="E13">
            <v>42617.128831018519</v>
          </cell>
          <cell r="F13">
            <v>42617.137418981481</v>
          </cell>
          <cell r="G13">
            <v>1</v>
          </cell>
          <cell r="H13" t="str">
            <v>204:233295</v>
          </cell>
          <cell r="I13">
            <v>42617.161944444444</v>
          </cell>
          <cell r="J13">
            <v>0</v>
          </cell>
          <cell r="K13" t="str">
            <v>4025/4026</v>
          </cell>
          <cell r="L13" t="str">
            <v>KILLION</v>
          </cell>
          <cell r="M13">
            <v>2.4525462962628808E-2</v>
          </cell>
          <cell r="N13">
            <v>35.316666666185483</v>
          </cell>
          <cell r="S13">
            <v>1</v>
          </cell>
          <cell r="T13" t="str">
            <v>NorthBound</v>
          </cell>
          <cell r="U13">
            <v>12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https://search-rtdc-monitor-bjffxe2xuh6vdkpspy63sjmuny.us-east-1.es.amazonaws.com/_plugin/kibana/#/discover/Steve-Slow-Train-Analysis-(2080s-and-2083s)?_g=(refreshInterval:(display:Off,section:0,value:0),time:(from:'2016-09-04 02:05:31-0600',mode:absolute,to:'2016-09-04 04:53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13" t="str">
            <v>N</v>
          </cell>
          <cell r="X13" t="e">
            <v>#VALUE!</v>
          </cell>
          <cell r="Y13">
            <v>7.5200000000000003E-2</v>
          </cell>
          <cell r="Z13">
            <v>23.329499999999999</v>
          </cell>
          <cell r="AA13">
            <v>23.254300000000001</v>
          </cell>
          <cell r="AB13" t="e">
            <v>#N/A</v>
          </cell>
          <cell r="AC13" t="e">
            <v>#N/A</v>
          </cell>
          <cell r="AD13" t="str">
            <v>0101-04</v>
          </cell>
          <cell r="AE13" t="str">
    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    </cell>
        </row>
        <row r="14">
          <cell r="A14" t="str">
            <v>102-04</v>
          </cell>
          <cell r="B14">
            <v>4010</v>
          </cell>
          <cell r="C14" t="str">
            <v>DE.1.0.7.0</v>
          </cell>
          <cell r="D14" t="str">
            <v>204:232648</v>
          </cell>
          <cell r="E14">
            <v>42617.167210648149</v>
          </cell>
          <cell r="F14">
            <v>42617.174513888887</v>
          </cell>
          <cell r="G14">
            <v>1</v>
          </cell>
          <cell r="H14" t="str">
            <v>204:154</v>
          </cell>
          <cell r="I14">
            <v>42617.201342592591</v>
          </cell>
          <cell r="J14">
            <v>0</v>
          </cell>
          <cell r="K14" t="str">
            <v>4009/4010</v>
          </cell>
          <cell r="L14" t="str">
            <v>KILLION</v>
          </cell>
          <cell r="M14">
            <v>2.6828703703358769E-2</v>
          </cell>
          <cell r="N14">
            <v>38.633333332836628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https://search-rtdc-monitor-bjffxe2xuh6vdkpspy63sjmuny.us-east-1.es.amazonaws.com/_plugin/kibana/#/discover/Steve-Slow-Train-Analysis-(2080s-and-2083s)?_g=(refreshInterval:(display:Off,section:0,value:0),time:(from:'2016-09-04 03:00:47-0600',mode:absolute,to:'2016-09-04 05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4" t="str">
            <v>N</v>
          </cell>
          <cell r="X14">
            <v>1</v>
          </cell>
          <cell r="Y14">
            <v>23.264800000000001</v>
          </cell>
          <cell r="Z14">
            <v>1.54E-2</v>
          </cell>
          <cell r="AA14">
            <v>23.249400000000001</v>
          </cell>
          <cell r="AB14" t="e">
            <v>#N/A</v>
          </cell>
          <cell r="AC14" t="e">
            <v>#N/A</v>
          </cell>
          <cell r="AD14" t="str">
            <v>0102-04</v>
          </cell>
          <cell r="AE14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15">
          <cell r="A15" t="str">
            <v>103-04</v>
          </cell>
          <cell r="B15">
            <v>4016</v>
          </cell>
          <cell r="C15" t="str">
            <v>DE.1.0.7.0</v>
          </cell>
          <cell r="D15" t="str">
            <v>204:653</v>
          </cell>
          <cell r="E15">
            <v>42617.150706018518</v>
          </cell>
          <cell r="F15">
            <v>42617.156574074077</v>
          </cell>
          <cell r="G15">
            <v>2</v>
          </cell>
          <cell r="H15" t="str">
            <v>204:233391</v>
          </cell>
          <cell r="I15">
            <v>42617.181701388887</v>
          </cell>
          <cell r="J15">
            <v>0</v>
          </cell>
          <cell r="K15" t="str">
            <v>4015/4016</v>
          </cell>
          <cell r="L15" t="str">
            <v>ACKERMAN</v>
          </cell>
          <cell r="M15">
            <v>2.512731480965158E-2</v>
          </cell>
          <cell r="N15">
            <v>36.183333325898275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https://search-rtdc-monitor-bjffxe2xuh6vdkpspy63sjmuny.us-east-1.es.amazonaws.com/_plugin/kibana/#/discover/Steve-Slow-Train-Analysis-(2080s-and-2083s)?_g=(refreshInterval:(display:Off,section:0,value:0),time:(from:'2016-09-04 02:37:01-0600',mode:absolute,to:'2016-09-04 05:21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5" t="str">
            <v>N</v>
          </cell>
          <cell r="X15">
            <v>1</v>
          </cell>
          <cell r="Y15">
            <v>6.5299999999999997E-2</v>
          </cell>
          <cell r="Z15">
            <v>23.339099999999998</v>
          </cell>
          <cell r="AA15">
            <v>23.273799999999998</v>
          </cell>
          <cell r="AB15" t="e">
            <v>#N/A</v>
          </cell>
          <cell r="AC15" t="e">
            <v>#N/A</v>
          </cell>
          <cell r="AD15" t="str">
            <v>0103-04</v>
          </cell>
          <cell r="AE15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16">
          <cell r="A16" t="str">
            <v>104-04</v>
          </cell>
          <cell r="B16">
            <v>4032</v>
          </cell>
          <cell r="C16" t="str">
            <v>DE.1.0.7.0</v>
          </cell>
          <cell r="D16" t="str">
            <v>204:232733</v>
          </cell>
          <cell r="E16">
            <v>42617.189583333333</v>
          </cell>
          <cell r="F16">
            <v>42617.195381944446</v>
          </cell>
          <cell r="G16">
            <v>1</v>
          </cell>
          <cell r="H16" t="str">
            <v>204:138</v>
          </cell>
          <cell r="I16">
            <v>42617.222939814812</v>
          </cell>
          <cell r="J16">
            <v>0</v>
          </cell>
          <cell r="K16" t="str">
            <v>4031/4032</v>
          </cell>
          <cell r="L16" t="str">
            <v>ACKERMAN</v>
          </cell>
          <cell r="M16">
            <v>2.7557870365853887E-2</v>
          </cell>
          <cell r="N16">
            <v>39.683333326829597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https://search-rtdc-monitor-bjffxe2xuh6vdkpspy63sjmuny.us-east-1.es.amazonaws.com/_plugin/kibana/#/discover/Steve-Slow-Train-Analysis-(2080s-and-2083s)?_g=(refreshInterval:(display:Off,section:0,value:0),time:(from:'2016-09-04 03:33:00-0600',mode:absolute,to:'2016-09-04 06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6" t="str">
            <v>N</v>
          </cell>
          <cell r="X16">
            <v>1</v>
          </cell>
          <cell r="Y16">
            <v>23.273299999999999</v>
          </cell>
          <cell r="Z16">
            <v>1.38E-2</v>
          </cell>
          <cell r="AA16">
            <v>23.259499999999999</v>
          </cell>
          <cell r="AB16" t="e">
            <v>#N/A</v>
          </cell>
          <cell r="AC16" t="e">
            <v>#N/A</v>
          </cell>
          <cell r="AD16" t="str">
            <v>0104-04</v>
          </cell>
          <cell r="AE16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17">
          <cell r="A17" t="str">
            <v>105-04</v>
          </cell>
          <cell r="B17">
            <v>4018</v>
          </cell>
          <cell r="C17" t="str">
            <v>DE.1.0.7.0</v>
          </cell>
          <cell r="D17" t="str">
            <v>204:704</v>
          </cell>
          <cell r="E17">
            <v>42617.169618055559</v>
          </cell>
          <cell r="F17">
            <v>42617.177314814813</v>
          </cell>
          <cell r="G17">
            <v>1</v>
          </cell>
          <cell r="H17" t="str">
            <v>204:233339</v>
          </cell>
          <cell r="I17">
            <v>42617.203217592592</v>
          </cell>
          <cell r="J17">
            <v>0</v>
          </cell>
          <cell r="K17" t="str">
            <v>4017/4018</v>
          </cell>
          <cell r="L17" t="str">
            <v>MAELZER</v>
          </cell>
          <cell r="M17">
            <v>2.5902777779265307E-2</v>
          </cell>
          <cell r="N17">
            <v>37.300000002142042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https://search-rtdc-monitor-bjffxe2xuh6vdkpspy63sjmuny.us-east-1.es.amazonaws.com/_plugin/kibana/#/discover/Steve-Slow-Train-Analysis-(2080s-and-2083s)?_g=(refreshInterval:(display:Off,section:0,value:0),time:(from:'2016-09-04 03:04:15-0600',mode:absolute,to:'2016-09-04 05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7" t="str">
            <v>N</v>
          </cell>
          <cell r="X17">
            <v>1</v>
          </cell>
          <cell r="Y17">
            <v>7.0400000000000004E-2</v>
          </cell>
          <cell r="Z17">
            <v>23.3339</v>
          </cell>
          <cell r="AA17">
            <v>23.263500000000001</v>
          </cell>
          <cell r="AB17" t="e">
            <v>#N/A</v>
          </cell>
          <cell r="AC17" t="e">
            <v>#N/A</v>
          </cell>
          <cell r="AD17" t="str">
            <v>0105-04</v>
          </cell>
          <cell r="AE17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18">
          <cell r="A18" t="str">
            <v>106-04</v>
          </cell>
          <cell r="B18">
            <v>4043</v>
          </cell>
          <cell r="C18" t="str">
            <v>DE.1.0.7.0</v>
          </cell>
          <cell r="D18" t="str">
            <v>204:232673</v>
          </cell>
          <cell r="E18">
            <v>42617.211712962962</v>
          </cell>
          <cell r="F18">
            <v>42617.216238425928</v>
          </cell>
          <cell r="G18">
            <v>1</v>
          </cell>
          <cell r="H18" t="str">
            <v>204:143</v>
          </cell>
          <cell r="I18">
            <v>42617.244490740741</v>
          </cell>
          <cell r="J18">
            <v>0</v>
          </cell>
          <cell r="K18" t="str">
            <v>4043/4044</v>
          </cell>
          <cell r="L18" t="str">
            <v>MAELZER</v>
          </cell>
          <cell r="M18">
            <v>2.8252314812561963E-2</v>
          </cell>
          <cell r="N18">
            <v>40.683333330089226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https://search-rtdc-monitor-bjffxe2xuh6vdkpspy63sjmuny.us-east-1.es.amazonaws.com/_plugin/kibana/#/discover/Steve-Slow-Train-Analysis-(2080s-and-2083s)?_g=(refreshInterval:(display:Off,section:0,value:0),time:(from:'2016-09-04 04:04:52-0600',mode:absolute,to:'2016-09-04 06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8" t="str">
            <v>N</v>
          </cell>
          <cell r="X18">
            <v>1</v>
          </cell>
          <cell r="Y18">
            <v>23.267299999999999</v>
          </cell>
          <cell r="Z18">
            <v>1.43E-2</v>
          </cell>
          <cell r="AA18">
            <v>23.253</v>
          </cell>
          <cell r="AB18" t="e">
            <v>#N/A</v>
          </cell>
          <cell r="AC18" t="e">
            <v>#N/A</v>
          </cell>
          <cell r="AD18" t="str">
            <v>0106-04</v>
          </cell>
          <cell r="AE18" t="str">
            <v>aws s3 cp s3://rtdc.mdm.uploadarchive/RTDC4043/2016-09-04/ "%USERPROFILE%\AppData\Local\Temp\OnboardLogs"\RTDC4043\2016-09-04 --recursive &amp; "%USERPROFILE%\Documents\GitHub\mrs-test-scripts\Headless Mode &amp; Sideloading\WalkAndUnGZ.bat" "%USERPROFILE%\AppData\Local\Temp\OnboardLogs"\RTDC4043\2016-09-04 &amp; 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</v>
          </cell>
        </row>
        <row r="19">
          <cell r="A19" t="str">
            <v>107-04</v>
          </cell>
          <cell r="B19">
            <v>4038</v>
          </cell>
          <cell r="C19" t="str">
            <v>DE.1.0.7.0</v>
          </cell>
          <cell r="D19" t="str">
            <v>204:458</v>
          </cell>
          <cell r="E19">
            <v>42617.182152777779</v>
          </cell>
          <cell r="F19">
            <v>42617.187638888892</v>
          </cell>
          <cell r="G19">
            <v>2</v>
          </cell>
          <cell r="H19" t="str">
            <v>204:233323</v>
          </cell>
          <cell r="I19">
            <v>42617.213773148149</v>
          </cell>
          <cell r="J19">
            <v>0</v>
          </cell>
          <cell r="K19" t="str">
            <v>4037/4038</v>
          </cell>
          <cell r="L19" t="str">
            <v>DAVIS</v>
          </cell>
          <cell r="M19">
            <v>2.6134259256650694E-2</v>
          </cell>
          <cell r="N19">
            <v>37.633333329576999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https://search-rtdc-monitor-bjffxe2xuh6vdkpspy63sjmuny.us-east-1.es.amazonaws.com/_plugin/kibana/#/discover/Steve-Slow-Train-Analysis-(2080s-and-2083s)?_g=(refreshInterval:(display:Off,section:0,value:0),time:(from:'2016-09-04 03:22:18-0600',mode:absolute,to:'2016-09-04 06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9" t="str">
            <v>N</v>
          </cell>
          <cell r="X19">
            <v>1</v>
          </cell>
          <cell r="Y19">
            <v>4.58E-2</v>
          </cell>
          <cell r="Z19">
            <v>23.3323</v>
          </cell>
          <cell r="AA19">
            <v>23.2865</v>
          </cell>
          <cell r="AB19" t="e">
            <v>#N/A</v>
          </cell>
          <cell r="AC19" t="e">
            <v>#N/A</v>
          </cell>
          <cell r="AD19" t="str">
            <v>0107-04</v>
          </cell>
          <cell r="AE19" t="str">
    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    </cell>
        </row>
        <row r="20">
          <cell r="A20" t="str">
            <v>108-04</v>
          </cell>
          <cell r="B20">
            <v>4037</v>
          </cell>
          <cell r="C20" t="str">
            <v>DE.1.0.7.0</v>
          </cell>
          <cell r="D20" t="str">
            <v>204:232987</v>
          </cell>
          <cell r="E20">
            <v>42617.220185185186</v>
          </cell>
          <cell r="F20">
            <v>42617.226909722223</v>
          </cell>
          <cell r="G20">
            <v>1</v>
          </cell>
          <cell r="H20" t="str">
            <v>204:161</v>
          </cell>
          <cell r="I20">
            <v>42617.255370370367</v>
          </cell>
          <cell r="J20">
            <v>0</v>
          </cell>
          <cell r="K20" t="str">
            <v>4037/4038</v>
          </cell>
          <cell r="L20" t="str">
            <v>DAVIS</v>
          </cell>
          <cell r="M20">
            <v>2.8460648143664002E-2</v>
          </cell>
          <cell r="N20">
            <v>40.983333326876163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https://search-rtdc-monitor-bjffxe2xuh6vdkpspy63sjmuny.us-east-1.es.amazonaws.com/_plugin/kibana/#/discover/Steve-Slow-Train-Analysis-(2080s-and-2083s)?_g=(refreshInterval:(display:Off,section:0,value:0),time:(from:'2016-09-04 04:17:04-0600',mode:absolute,to:'2016-09-04 07:07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20" t="str">
            <v>N</v>
          </cell>
          <cell r="X20">
            <v>1</v>
          </cell>
          <cell r="Y20">
            <v>23.2987</v>
          </cell>
          <cell r="Z20">
            <v>1.61E-2</v>
          </cell>
          <cell r="AA20">
            <v>23.282599999999999</v>
          </cell>
          <cell r="AB20" t="e">
            <v>#N/A</v>
          </cell>
          <cell r="AC20" t="e">
            <v>#N/A</v>
          </cell>
          <cell r="AD20" t="str">
            <v>0108-04</v>
          </cell>
          <cell r="AE20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21">
          <cell r="A21" t="str">
            <v>109-04</v>
          </cell>
          <cell r="B21">
            <v>4002</v>
          </cell>
          <cell r="C21" t="str">
            <v>DE.1.0.7.0</v>
          </cell>
          <cell r="D21" t="str">
            <v>204:424</v>
          </cell>
          <cell r="E21">
            <v>42617.196192129632</v>
          </cell>
          <cell r="F21">
            <v>42617.198159722226</v>
          </cell>
          <cell r="G21">
            <v>1</v>
          </cell>
          <cell r="H21" t="str">
            <v>204:233312</v>
          </cell>
          <cell r="I21">
            <v>42617.224756944444</v>
          </cell>
          <cell r="J21">
            <v>0</v>
          </cell>
          <cell r="K21" t="str">
            <v>4001/4002</v>
          </cell>
          <cell r="L21" t="str">
            <v>MALAVE</v>
          </cell>
          <cell r="M21">
            <v>2.6597222218697425E-2</v>
          </cell>
          <cell r="N21">
            <v>38.299999994924292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https://search-rtdc-monitor-bjffxe2xuh6vdkpspy63sjmuny.us-east-1.es.amazonaws.com/_plugin/kibana/#/discover/Steve-Slow-Train-Analysis-(2080s-and-2083s)?_g=(refreshInterval:(display:Off,section:0,value:0),time:(from:'2016-09-04 03:42:31-0600',mode:absolute,to:'2016-09-04 06:23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1" t="str">
            <v>N</v>
          </cell>
          <cell r="X21">
            <v>1</v>
          </cell>
          <cell r="Y21">
            <v>4.24E-2</v>
          </cell>
          <cell r="Z21">
            <v>23.331199999999999</v>
          </cell>
          <cell r="AA21">
            <v>23.288799999999998</v>
          </cell>
          <cell r="AB21">
            <v>33137</v>
          </cell>
          <cell r="AC21" t="str">
            <v>GRADE CROSSING</v>
          </cell>
          <cell r="AD21" t="str">
            <v>0109-04</v>
          </cell>
          <cell r="AE21" t="str">
    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    </cell>
        </row>
        <row r="22">
          <cell r="A22" t="str">
            <v>110-04</v>
          </cell>
          <cell r="B22">
            <v>4001</v>
          </cell>
          <cell r="C22" t="str">
            <v>DE.1.0.7.0</v>
          </cell>
          <cell r="D22" t="str">
            <v>204:232967</v>
          </cell>
          <cell r="E22">
            <v>42617.235937500001</v>
          </cell>
          <cell r="F22">
            <v>42617.237233796295</v>
          </cell>
          <cell r="G22">
            <v>1</v>
          </cell>
          <cell r="H22" t="str">
            <v>204:156</v>
          </cell>
          <cell r="I22">
            <v>42617.265127314815</v>
          </cell>
          <cell r="J22">
            <v>0</v>
          </cell>
          <cell r="K22" t="str">
            <v>4001/4002</v>
          </cell>
          <cell r="L22" t="str">
            <v>MALAVE</v>
          </cell>
          <cell r="M22">
            <v>2.789351851970423E-2</v>
          </cell>
          <cell r="N22">
            <v>40.166666668374091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https://search-rtdc-monitor-bjffxe2xuh6vdkpspy63sjmuny.us-east-1.es.amazonaws.com/_plugin/kibana/#/discover/Steve-Slow-Train-Analysis-(2080s-and-2083s)?_g=(refreshInterval:(display:Off,section:0,value:0),time:(from:'2016-09-04 04:39:45-0600',mode:absolute,to:'2016-09-04 07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22" t="str">
            <v>N</v>
          </cell>
          <cell r="X22">
            <v>1</v>
          </cell>
          <cell r="Y22">
            <v>23.296700000000001</v>
          </cell>
          <cell r="Z22">
            <v>1.5599999999999999E-2</v>
          </cell>
          <cell r="AA22">
            <v>23.281100000000002</v>
          </cell>
          <cell r="AB22">
            <v>109135</v>
          </cell>
          <cell r="AC22" t="str">
            <v>GRADE CROSSING</v>
          </cell>
          <cell r="AD22" t="str">
            <v>0110-04</v>
          </cell>
          <cell r="AE22" t="str">
    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    </cell>
        </row>
        <row r="23">
          <cell r="A23" t="str">
            <v>111-04</v>
          </cell>
          <cell r="B23">
            <v>4025</v>
          </cell>
          <cell r="C23" t="str">
            <v>DE.1.0.7.0</v>
          </cell>
          <cell r="D23" t="str">
            <v>204:777</v>
          </cell>
          <cell r="E23">
            <v>42617.203541666669</v>
          </cell>
          <cell r="F23">
            <v>42617.208645833336</v>
          </cell>
          <cell r="G23">
            <v>2</v>
          </cell>
          <cell r="H23" t="str">
            <v>204:233293</v>
          </cell>
          <cell r="I23">
            <v>42617.237291666665</v>
          </cell>
          <cell r="J23">
            <v>0</v>
          </cell>
          <cell r="K23" t="str">
            <v>4025/4026</v>
          </cell>
          <cell r="L23" t="str">
            <v>STRICKLAND</v>
          </cell>
          <cell r="M23">
            <v>2.8645833328482695E-2</v>
          </cell>
          <cell r="N23">
            <v>41.249999993015081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https://search-rtdc-monitor-bjffxe2xuh6vdkpspy63sjmuny.us-east-1.es.amazonaws.com/_plugin/kibana/#/discover/Steve-Slow-Train-Analysis-(2080s-and-2083s)?_g=(refreshInterval:(display:Off,section:0,value:0),time:(from:'2016-09-04 03:53:06-0600',mode:absolute,to:'2016-09-04 06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3" t="str">
            <v>N</v>
          </cell>
          <cell r="X23">
            <v>1</v>
          </cell>
          <cell r="Y23">
            <v>7.7700000000000005E-2</v>
          </cell>
          <cell r="Z23">
            <v>23.3293</v>
          </cell>
          <cell r="AA23">
            <v>23.2516</v>
          </cell>
          <cell r="AB23">
            <v>183829</v>
          </cell>
          <cell r="AC23" t="str">
            <v>PERMANENT SPEED RESTRICTION</v>
          </cell>
          <cell r="AD23" t="str">
            <v>0111-04</v>
          </cell>
          <cell r="AE23" t="str">
    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    </cell>
        </row>
        <row r="24">
          <cell r="A24" t="str">
            <v>112-04</v>
          </cell>
          <cell r="B24">
            <v>4026</v>
          </cell>
          <cell r="C24" t="str">
            <v>DE.1.0.7.0</v>
          </cell>
          <cell r="D24" t="str">
            <v>204:232974</v>
          </cell>
          <cell r="E24">
            <v>42617.244444444441</v>
          </cell>
          <cell r="F24">
            <v>42617.247476851851</v>
          </cell>
          <cell r="G24">
            <v>1</v>
          </cell>
          <cell r="H24" t="str">
            <v>204:163</v>
          </cell>
          <cell r="I24">
            <v>42617.275254629632</v>
          </cell>
          <cell r="J24">
            <v>0</v>
          </cell>
          <cell r="K24" t="str">
            <v>4025/4026</v>
          </cell>
          <cell r="L24" t="str">
            <v>STRICKLAND</v>
          </cell>
          <cell r="M24">
            <v>2.7777777781011537E-2</v>
          </cell>
          <cell r="N24">
            <v>40.000000004656613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https://search-rtdc-monitor-bjffxe2xuh6vdkpspy63sjmuny.us-east-1.es.amazonaws.com/_plugin/kibana/#/discover/Steve-Slow-Train-Analysis-(2080s-and-2083s)?_g=(refreshInterval:(display:Off,section:0,value:0),time:(from:'2016-09-04 04:52:00-0600',mode:absolute,to:'2016-09-04 07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24" t="str">
            <v>N</v>
          </cell>
          <cell r="X24">
            <v>1</v>
          </cell>
          <cell r="Y24">
            <v>23.2974</v>
          </cell>
          <cell r="Z24">
            <v>1.6299999999999999E-2</v>
          </cell>
          <cell r="AA24">
            <v>23.281099999999999</v>
          </cell>
          <cell r="AB24">
            <v>27350</v>
          </cell>
          <cell r="AC24" t="str">
            <v>GRADE CROSSING</v>
          </cell>
          <cell r="AD24" t="str">
            <v>0112-04</v>
          </cell>
          <cell r="AE24" t="str">
            <v>aws s3 cp s3://rtdc.mdm.uploadarchive/RTDC4026/2016-09-04/ "%USERPROFILE%\AppData\Local\Temp\OnboardLogs"\RTDC4026\2016-09-04 --recursive &amp; "%USERPROFILE%\Documents\GitHub\mrs-test-scripts\Headless Mode &amp; Sideloading\WalkAndUnGZ.bat" "%USERPROFILE%\AppData\Local\Temp\OnboardLogs"\RTDC4026\2016-09-04 &amp; aws s3 cp s3://rtdc.mdm.uploadarchive/RTDC4026/2016-09-05/ "%USERPROFILE%\AppData\Local\Temp\OnboardLogs"\RTDC4026\2016-09-05 --recursive &amp; "%USERPROFILE%\Documents\GitHub\mrs-test-scripts\Headless Mode &amp; Sideloading\WalkAndUnGZ.bat" "%USERPROFILE%\AppData\Local\Temp\OnboardLogs"\RTDC4026\2016-09-05</v>
          </cell>
        </row>
        <row r="25">
          <cell r="A25" t="str">
            <v>113-04</v>
          </cell>
          <cell r="B25">
            <v>4009</v>
          </cell>
          <cell r="C25" t="str">
            <v>DE.1.0.7.0</v>
          </cell>
          <cell r="D25" t="str">
            <v>204:467</v>
          </cell>
          <cell r="E25">
            <v>42617.204594907409</v>
          </cell>
          <cell r="F25">
            <v>42617.218958333331</v>
          </cell>
          <cell r="G25">
            <v>1</v>
          </cell>
          <cell r="H25" t="str">
            <v>204:233278</v>
          </cell>
          <cell r="I25">
            <v>42617.244027777779</v>
          </cell>
          <cell r="J25">
            <v>0</v>
          </cell>
          <cell r="K25" t="str">
            <v>4009/4010</v>
          </cell>
          <cell r="L25" t="str">
            <v>KILLION</v>
          </cell>
          <cell r="M25">
            <v>2.5069444447581191E-2</v>
          </cell>
          <cell r="N25">
            <v>36.100000004516914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https://search-rtdc-monitor-bjffxe2xuh6vdkpspy63sjmuny.us-east-1.es.amazonaws.com/_plugin/kibana/#/discover/Steve-Slow-Train-Analysis-(2080s-and-2083s)?_g=(refreshInterval:(display:Off,section:0,value:0),time:(from:'2016-09-04 03:54:37-0600',mode:absolute,to:'2016-09-04 06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25" t="str">
            <v>N</v>
          </cell>
          <cell r="X25">
            <v>1</v>
          </cell>
          <cell r="Y25">
            <v>4.6699999999999998E-2</v>
          </cell>
          <cell r="Z25">
            <v>23.3278</v>
          </cell>
          <cell r="AA25">
            <v>23.281099999999999</v>
          </cell>
          <cell r="AB25" t="e">
            <v>#N/A</v>
          </cell>
          <cell r="AC25" t="e">
            <v>#N/A</v>
          </cell>
          <cell r="AD25" t="str">
            <v>0113-04</v>
          </cell>
          <cell r="AE25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26">
          <cell r="A26" t="str">
            <v>114-04</v>
          </cell>
          <cell r="B26">
            <v>4010</v>
          </cell>
          <cell r="C26" t="str">
            <v>DE.1.0.7.0</v>
          </cell>
          <cell r="D26" t="str">
            <v>204:232957</v>
          </cell>
          <cell r="E26">
            <v>42617.251226851855</v>
          </cell>
          <cell r="F26">
            <v>42617.2578125</v>
          </cell>
          <cell r="G26">
            <v>1</v>
          </cell>
          <cell r="H26" t="str">
            <v>204:156</v>
          </cell>
          <cell r="I26">
            <v>42617.284467592595</v>
          </cell>
          <cell r="J26">
            <v>0</v>
          </cell>
          <cell r="K26" t="str">
            <v>4009/4010</v>
          </cell>
          <cell r="L26" t="str">
            <v>KILLION</v>
          </cell>
          <cell r="M26">
            <v>2.6655092595319729E-2</v>
          </cell>
          <cell r="N26">
            <v>38.38333333726041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https://search-rtdc-monitor-bjffxe2xuh6vdkpspy63sjmuny.us-east-1.es.amazonaws.com/_plugin/kibana/#/discover/Steve-Slow-Train-Analysis-(2080s-and-2083s)?_g=(refreshInterval:(display:Off,section:0,value:0),time:(from:'2016-09-04 05:01:46-0600',mode:absolute,to:'2016-09-04 07:49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26" t="str">
            <v>N</v>
          </cell>
          <cell r="X26">
            <v>1</v>
          </cell>
          <cell r="Y26">
            <v>23.2957</v>
          </cell>
          <cell r="Z26">
            <v>1.5599999999999999E-2</v>
          </cell>
          <cell r="AA26">
            <v>23.280100000000001</v>
          </cell>
          <cell r="AB26" t="e">
            <v>#N/A</v>
          </cell>
          <cell r="AC26" t="e">
            <v>#N/A</v>
          </cell>
          <cell r="AD26" t="str">
            <v>0114-04</v>
          </cell>
          <cell r="AE26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27">
          <cell r="A27" t="str">
            <v>115-04</v>
          </cell>
          <cell r="B27">
            <v>4016</v>
          </cell>
          <cell r="C27" t="str">
            <v>DE.1.0.7.0</v>
          </cell>
          <cell r="D27" t="str">
            <v>204:728</v>
          </cell>
          <cell r="E27">
            <v>42617.224930555552</v>
          </cell>
          <cell r="F27">
            <v>42617.230092592596</v>
          </cell>
          <cell r="G27">
            <v>1</v>
          </cell>
          <cell r="H27" t="str">
            <v>204:233287</v>
          </cell>
          <cell r="I27">
            <v>42617.253935185188</v>
          </cell>
          <cell r="J27">
            <v>0</v>
          </cell>
          <cell r="K27" t="str">
            <v>4015/4016</v>
          </cell>
          <cell r="L27" t="str">
            <v>YORK</v>
          </cell>
          <cell r="M27">
            <v>2.3842592592700385E-2</v>
          </cell>
          <cell r="N27">
            <v>34.333333333488554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https://search-rtdc-monitor-bjffxe2xuh6vdkpspy63sjmuny.us-east-1.es.amazonaws.com/_plugin/kibana/#/discover/Steve-Slow-Train-Analysis-(2080s-and-2083s)?_g=(refreshInterval:(display:Off,section:0,value:0),time:(from:'2016-09-04 04:23:54-0600',mode:absolute,to:'2016-09-04 07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27" t="str">
            <v>N</v>
          </cell>
          <cell r="X27">
            <v>1</v>
          </cell>
          <cell r="Y27">
            <v>7.2800000000000004E-2</v>
          </cell>
          <cell r="Z27">
            <v>23.328700000000001</v>
          </cell>
          <cell r="AA27">
            <v>23.2559</v>
          </cell>
          <cell r="AB27" t="e">
            <v>#N/A</v>
          </cell>
          <cell r="AC27" t="e">
            <v>#N/A</v>
          </cell>
          <cell r="AD27" t="str">
            <v>0115-04</v>
          </cell>
          <cell r="AE27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28">
          <cell r="A28" t="str">
            <v>116-04</v>
          </cell>
          <cell r="B28">
            <v>4015</v>
          </cell>
          <cell r="C28" t="str">
            <v>DE.1.0.7.0</v>
          </cell>
          <cell r="D28" t="str">
            <v>204:232979</v>
          </cell>
          <cell r="E28">
            <v>42617.255023148151</v>
          </cell>
          <cell r="F28">
            <v>42617.26835648148</v>
          </cell>
          <cell r="G28">
            <v>1</v>
          </cell>
          <cell r="H28" t="str">
            <v>204:150</v>
          </cell>
          <cell r="I28">
            <v>42617.293449074074</v>
          </cell>
          <cell r="J28">
            <v>0</v>
          </cell>
          <cell r="K28" t="str">
            <v>4015/4016</v>
          </cell>
          <cell r="L28" t="str">
            <v>YORK</v>
          </cell>
          <cell r="M28">
            <v>2.5092592593864538E-2</v>
          </cell>
          <cell r="N28">
            <v>36.133333335164934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https://search-rtdc-monitor-bjffxe2xuh6vdkpspy63sjmuny.us-east-1.es.amazonaws.com/_plugin/kibana/#/discover/Steve-Slow-Train-Analysis-(2080s-and-2083s)?_g=(refreshInterval:(display:Off,section:0,value:0),time:(from:'2016-09-04 05:07:14-0600',mode:absolute,to:'2016-09-04 08:02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28" t="str">
            <v>N</v>
          </cell>
          <cell r="X28">
            <v>1</v>
          </cell>
          <cell r="Y28">
            <v>23.297899999999998</v>
          </cell>
          <cell r="Z28">
            <v>1.4999999999999999E-2</v>
          </cell>
          <cell r="AA28">
            <v>23.282899999999998</v>
          </cell>
          <cell r="AB28" t="e">
            <v>#N/A</v>
          </cell>
          <cell r="AC28" t="e">
            <v>#N/A</v>
          </cell>
          <cell r="AD28" t="str">
            <v>0116-04</v>
          </cell>
          <cell r="AE28" t="str">
    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    </cell>
        </row>
        <row r="29">
          <cell r="A29" t="str">
            <v>117-04</v>
          </cell>
          <cell r="B29">
            <v>4031</v>
          </cell>
          <cell r="C29" t="str">
            <v>DE.1.0.7.0</v>
          </cell>
          <cell r="D29" t="str">
            <v>204:437</v>
          </cell>
          <cell r="E29">
            <v>42617.233229166668</v>
          </cell>
          <cell r="F29">
            <v>42617.239768518521</v>
          </cell>
          <cell r="G29">
            <v>1</v>
          </cell>
          <cell r="H29" t="str">
            <v>204:233282</v>
          </cell>
          <cell r="I29">
            <v>42617.264502314814</v>
          </cell>
          <cell r="J29">
            <v>0</v>
          </cell>
          <cell r="K29" t="str">
            <v>4031/4032</v>
          </cell>
          <cell r="L29" t="str">
            <v>ACKERMAN</v>
          </cell>
          <cell r="M29">
            <v>2.4733796293730848E-2</v>
          </cell>
          <cell r="N29">
            <v>35.61666666297242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https://search-rtdc-monitor-bjffxe2xuh6vdkpspy63sjmuny.us-east-1.es.amazonaws.com/_plugin/kibana/#/discover/Steve-Slow-Train-Analysis-(2080s-and-2083s)?_g=(refreshInterval:(display:Off,section:0,value:0),time:(from:'2016-09-04 04:35:51-0600',mode:absolute,to:'2016-09-04 07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9" t="str">
            <v>N</v>
          </cell>
          <cell r="X29">
            <v>1</v>
          </cell>
          <cell r="Y29">
            <v>4.3700000000000003E-2</v>
          </cell>
          <cell r="Z29">
            <v>23.328199999999999</v>
          </cell>
          <cell r="AA29">
            <v>23.284499999999998</v>
          </cell>
          <cell r="AB29" t="e">
            <v>#N/A</v>
          </cell>
          <cell r="AC29" t="e">
            <v>#N/A</v>
          </cell>
          <cell r="AD29" t="str">
            <v>0117-04</v>
          </cell>
          <cell r="AE29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30">
          <cell r="A30" t="str">
            <v>118-04</v>
          </cell>
          <cell r="B30">
            <v>4032</v>
          </cell>
          <cell r="C30" t="str">
            <v>DE.1.0.7.0</v>
          </cell>
          <cell r="D30" t="str">
            <v>204:232973</v>
          </cell>
          <cell r="E30">
            <v>42617.272337962961</v>
          </cell>
          <cell r="F30">
            <v>42617.278692129628</v>
          </cell>
          <cell r="G30">
            <v>1</v>
          </cell>
          <cell r="H30" t="str">
            <v>204:138</v>
          </cell>
          <cell r="I30">
            <v>42617.305486111109</v>
          </cell>
          <cell r="J30">
            <v>0</v>
          </cell>
          <cell r="K30" t="str">
            <v>4031/4032</v>
          </cell>
          <cell r="L30" t="str">
            <v>ACKERMAN</v>
          </cell>
          <cell r="M30">
            <v>2.679398148029577E-2</v>
          </cell>
          <cell r="N30">
            <v>38.583333331625909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https://search-rtdc-monitor-bjffxe2xuh6vdkpspy63sjmuny.us-east-1.es.amazonaws.com/_plugin/kibana/#/discover/Steve-Slow-Train-Analysis-(2080s-and-2083s)?_g=(refreshInterval:(display:Off,section:0,value:0),time:(from:'2016-09-04 05:32:10-0600',mode:absolute,to:'2016-09-04 08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30" t="str">
            <v>N</v>
          </cell>
          <cell r="X30">
            <v>1</v>
          </cell>
          <cell r="Y30">
            <v>23.2973</v>
          </cell>
          <cell r="Z30">
            <v>1.38E-2</v>
          </cell>
          <cell r="AA30">
            <v>23.2835</v>
          </cell>
          <cell r="AB30" t="e">
            <v>#N/A</v>
          </cell>
          <cell r="AC30" t="e">
            <v>#N/A</v>
          </cell>
          <cell r="AD30" t="str">
            <v>0118-04</v>
          </cell>
          <cell r="AE30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31">
          <cell r="A31" t="str">
            <v>119-04</v>
          </cell>
          <cell r="B31">
            <v>4018</v>
          </cell>
          <cell r="C31" t="str">
            <v>DE.1.0.7.0</v>
          </cell>
          <cell r="D31" t="str">
            <v>204:763</v>
          </cell>
          <cell r="E31">
            <v>42617.24832175926</v>
          </cell>
          <cell r="F31">
            <v>42617.250231481485</v>
          </cell>
          <cell r="G31">
            <v>1</v>
          </cell>
          <cell r="H31" t="str">
            <v>204:233302</v>
          </cell>
          <cell r="I31">
            <v>42617.276030092595</v>
          </cell>
          <cell r="J31">
            <v>0</v>
          </cell>
          <cell r="K31" t="str">
            <v>4017/4018</v>
          </cell>
          <cell r="L31" t="str">
            <v>MAELZER</v>
          </cell>
          <cell r="M31">
            <v>2.5798611110076308E-2</v>
          </cell>
          <cell r="N31">
            <v>37.149999998509884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https://search-rtdc-monitor-bjffxe2xuh6vdkpspy63sjmuny.us-east-1.es.amazonaws.com/_plugin/kibana/#/discover/Steve-Slow-Train-Analysis-(2080s-and-2083s)?_g=(refreshInterval:(display:Off,section:0,value:0),time:(from:'2016-09-04 04:57:35-0600',mode:absolute,to:'2016-09-04 07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31" t="str">
            <v>N</v>
          </cell>
          <cell r="X31">
            <v>1</v>
          </cell>
          <cell r="Y31">
            <v>7.6300000000000007E-2</v>
          </cell>
          <cell r="Z31">
            <v>23.330200000000001</v>
          </cell>
          <cell r="AA31">
            <v>23.253900000000002</v>
          </cell>
          <cell r="AB31" t="e">
            <v>#N/A</v>
          </cell>
          <cell r="AC31" t="e">
            <v>#N/A</v>
          </cell>
          <cell r="AD31" t="str">
            <v>0119-04</v>
          </cell>
          <cell r="AE31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32">
          <cell r="A32" t="str">
            <v>120-04</v>
          </cell>
          <cell r="B32">
            <v>4017</v>
          </cell>
          <cell r="C32" t="str">
            <v>DE.1.0.7.0</v>
          </cell>
          <cell r="D32" t="str">
            <v>204:232994</v>
          </cell>
          <cell r="E32">
            <v>42617.2815625</v>
          </cell>
          <cell r="F32">
            <v>42617.289178240739</v>
          </cell>
          <cell r="G32">
            <v>1</v>
          </cell>
          <cell r="H32" t="str">
            <v>204:161</v>
          </cell>
          <cell r="I32">
            <v>42617.316250000003</v>
          </cell>
          <cell r="J32">
            <v>0</v>
          </cell>
          <cell r="K32" t="str">
            <v>4017/4018</v>
          </cell>
          <cell r="L32" t="str">
            <v>MAELZER</v>
          </cell>
          <cell r="M32">
            <v>2.7071759264799766E-2</v>
          </cell>
          <cell r="N32">
            <v>38.983333341311663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https://search-rtdc-monitor-bjffxe2xuh6vdkpspy63sjmuny.us-east-1.es.amazonaws.com/_plugin/kibana/#/discover/Steve-Slow-Train-Analysis-(2080s-and-2083s)?_g=(refreshInterval:(display:Off,section:0,value:0),time:(from:'2016-09-04 05:45:27-0600',mode:absolute,to:'2016-09-04 08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32" t="str">
            <v>N</v>
          </cell>
          <cell r="X32">
            <v>1</v>
          </cell>
          <cell r="Y32">
            <v>23.299399999999999</v>
          </cell>
          <cell r="Z32">
            <v>1.61E-2</v>
          </cell>
          <cell r="AA32">
            <v>23.283299999999997</v>
          </cell>
          <cell r="AB32" t="e">
            <v>#N/A</v>
          </cell>
          <cell r="AC32" t="e">
            <v>#N/A</v>
          </cell>
          <cell r="AD32" t="str">
            <v>0120-04</v>
          </cell>
          <cell r="AE32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33">
          <cell r="A33" t="str">
            <v>121-04</v>
          </cell>
          <cell r="B33">
            <v>4038</v>
          </cell>
          <cell r="C33" t="str">
            <v>DE.1.0.7.0</v>
          </cell>
          <cell r="D33" t="str">
            <v>204:458</v>
          </cell>
          <cell r="E33">
            <v>42617.256944444445</v>
          </cell>
          <cell r="F33">
            <v>42617.260555555556</v>
          </cell>
          <cell r="G33">
            <v>1</v>
          </cell>
          <cell r="H33" t="str">
            <v>204:233301</v>
          </cell>
          <cell r="I33">
            <v>42617.285358796296</v>
          </cell>
          <cell r="J33">
            <v>0</v>
          </cell>
          <cell r="K33" t="str">
            <v>4037/4038</v>
          </cell>
          <cell r="L33" t="str">
            <v>DAVIS</v>
          </cell>
          <cell r="M33">
            <v>2.4803240739856847E-2</v>
          </cell>
          <cell r="N33">
            <v>35.716666665393859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https://search-rtdc-monitor-bjffxe2xuh6vdkpspy63sjmuny.us-east-1.es.amazonaws.com/_plugin/kibana/#/discover/Steve-Slow-Train-Analysis-(2080s-and-2083s)?_g=(refreshInterval:(display:Off,section:0,value:0),time:(from:'2016-09-04 05:10:00-0600',mode:absolute,to:'2016-09-04 07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33" t="str">
            <v>N</v>
          </cell>
          <cell r="X33">
            <v>1</v>
          </cell>
          <cell r="Y33">
            <v>4.58E-2</v>
          </cell>
          <cell r="Z33">
            <v>23.330100000000002</v>
          </cell>
          <cell r="AA33">
            <v>23.284300000000002</v>
          </cell>
          <cell r="AB33" t="e">
            <v>#N/A</v>
          </cell>
          <cell r="AC33" t="e">
            <v>#N/A</v>
          </cell>
          <cell r="AD33" t="str">
            <v>0121-04</v>
          </cell>
          <cell r="AE33" t="str">
    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    </cell>
        </row>
        <row r="34">
          <cell r="A34" t="str">
            <v>122-04</v>
          </cell>
          <cell r="B34">
            <v>4037</v>
          </cell>
          <cell r="C34" t="str">
            <v>DE.1.0.7.0</v>
          </cell>
          <cell r="D34" t="str">
            <v>204:232982</v>
          </cell>
          <cell r="E34">
            <v>42617.293402777781</v>
          </cell>
          <cell r="F34">
            <v>42617.299456018518</v>
          </cell>
          <cell r="G34">
            <v>1</v>
          </cell>
          <cell r="H34" t="str">
            <v>204:141</v>
          </cell>
          <cell r="I34">
            <v>42617.335081018522</v>
          </cell>
          <cell r="J34">
            <v>0</v>
          </cell>
          <cell r="K34" t="str">
            <v>4037/4038</v>
          </cell>
          <cell r="L34" t="str">
            <v>DAVIS</v>
          </cell>
          <cell r="M34">
            <v>3.5625000004074536E-2</v>
          </cell>
          <cell r="N34">
            <v>51.300000005867332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https://search-rtdc-monitor-bjffxe2xuh6vdkpspy63sjmuny.us-east-1.es.amazonaws.com/_plugin/kibana/#/discover/Steve-Slow-Train-Analysis-(2080s-and-2083s)?_g=(refreshInterval:(display:Off,section:0,value:0),time:(from:'2016-09-04 06:02:30-0600',mode:absolute,to:'2016-09-04 09:02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34" t="str">
            <v>N</v>
          </cell>
          <cell r="X34">
            <v>1</v>
          </cell>
          <cell r="Y34">
            <v>23.298200000000001</v>
          </cell>
          <cell r="Z34">
            <v>1.41E-2</v>
          </cell>
          <cell r="AA34">
            <v>23.284100000000002</v>
          </cell>
          <cell r="AB34" t="e">
            <v>#N/A</v>
          </cell>
          <cell r="AC34" t="e">
            <v>#N/A</v>
          </cell>
          <cell r="AD34" t="str">
            <v>0122-04</v>
          </cell>
          <cell r="AE34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35">
          <cell r="A35" t="str">
            <v>123-04</v>
          </cell>
          <cell r="B35">
            <v>4002</v>
          </cell>
          <cell r="C35" t="str">
            <v>DE.1.0.7.0</v>
          </cell>
          <cell r="D35" t="str">
            <v>204:451</v>
          </cell>
          <cell r="E35">
            <v>42617.269016203703</v>
          </cell>
          <cell r="F35">
            <v>42617.271064814813</v>
          </cell>
          <cell r="G35">
            <v>1</v>
          </cell>
          <cell r="H35" t="str">
            <v>204:233300</v>
          </cell>
          <cell r="I35">
            <v>42617.296631944446</v>
          </cell>
          <cell r="J35">
            <v>0</v>
          </cell>
          <cell r="K35" t="str">
            <v>4001/4002</v>
          </cell>
          <cell r="L35" t="str">
            <v>MALAVE</v>
          </cell>
          <cell r="M35">
            <v>2.5567129632690921E-2</v>
          </cell>
          <cell r="N35">
            <v>36.816666671074927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https://search-rtdc-monitor-bjffxe2xuh6vdkpspy63sjmuny.us-east-1.es.amazonaws.com/_plugin/kibana/#/discover/Steve-Slow-Train-Analysis-(2080s-and-2083s)?_g=(refreshInterval:(display:Off,section:0,value:0),time:(from:'2016-09-04 05:27:23-0600',mode:absolute,to:'2016-09-04 08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35" t="str">
            <v>N</v>
          </cell>
          <cell r="X35">
            <v>1</v>
          </cell>
          <cell r="Y35">
            <v>4.5100000000000001E-2</v>
          </cell>
          <cell r="Z35">
            <v>23.33</v>
          </cell>
          <cell r="AA35">
            <v>23.284899999999997</v>
          </cell>
          <cell r="AB35" t="e">
            <v>#N/A</v>
          </cell>
          <cell r="AC35" t="e">
            <v>#N/A</v>
          </cell>
          <cell r="AD35" t="str">
            <v>0123-04</v>
          </cell>
          <cell r="AE35" t="str">
    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    </cell>
        </row>
        <row r="36">
          <cell r="A36" t="str">
            <v>124-04</v>
          </cell>
          <cell r="B36">
            <v>4001</v>
          </cell>
          <cell r="C36" t="str">
            <v>DE.1.0.7.0</v>
          </cell>
          <cell r="D36" t="str">
            <v>204:232985</v>
          </cell>
          <cell r="E36">
            <v>42617.305405092593</v>
          </cell>
          <cell r="F36">
            <v>42617.310023148151</v>
          </cell>
          <cell r="G36">
            <v>6</v>
          </cell>
          <cell r="H36" t="str">
            <v>204:149</v>
          </cell>
          <cell r="I36">
            <v>42617.340474537035</v>
          </cell>
          <cell r="J36">
            <v>0</v>
          </cell>
          <cell r="K36" t="str">
            <v>4001/4002</v>
          </cell>
          <cell r="L36" t="str">
            <v>MALAVE</v>
          </cell>
          <cell r="M36">
            <v>3.0451388884102926E-2</v>
          </cell>
          <cell r="N36">
            <v>43.849999993108213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https://search-rtdc-monitor-bjffxe2xuh6vdkpspy63sjmuny.us-east-1.es.amazonaws.com/_plugin/kibana/#/discover/Steve-Slow-Train-Analysis-(2080s-and-2083s)?_g=(refreshInterval:(display:Off,section:0,value:0),time:(from:'2016-09-04 06:19:47-0600',mode:absolute,to:'2016-09-04 09:10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36" t="str">
            <v>N</v>
          </cell>
          <cell r="X36">
            <v>1</v>
          </cell>
          <cell r="Y36">
            <v>23.298500000000001</v>
          </cell>
          <cell r="Z36">
            <v>1.49E-2</v>
          </cell>
          <cell r="AA36">
            <v>23.2836</v>
          </cell>
          <cell r="AB36">
            <v>200464</v>
          </cell>
          <cell r="AC36" t="str">
            <v>PERMANENT SPEED RESTRICTION</v>
          </cell>
          <cell r="AD36" t="str">
            <v>0124-04</v>
          </cell>
          <cell r="AE36" t="str">
    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    </cell>
        </row>
        <row r="37">
          <cell r="A37" t="str">
            <v>125-04</v>
          </cell>
          <cell r="B37">
            <v>4025</v>
          </cell>
          <cell r="C37" t="str">
            <v>DE.1.0.7.0</v>
          </cell>
          <cell r="D37" t="str">
            <v>204:37193</v>
          </cell>
          <cell r="E37">
            <v>42617.289224537039</v>
          </cell>
          <cell r="F37">
            <v>42617.290266203701</v>
          </cell>
          <cell r="G37">
            <v>1</v>
          </cell>
          <cell r="H37" t="str">
            <v>204:233303</v>
          </cell>
          <cell r="I37">
            <v>42617.314120370371</v>
          </cell>
          <cell r="J37">
            <v>0</v>
          </cell>
          <cell r="K37" t="str">
            <v>4025/4026</v>
          </cell>
          <cell r="L37" t="str">
            <v>STRICKLAND</v>
          </cell>
          <cell r="M37">
            <v>2.3854166669480037E-2</v>
          </cell>
          <cell r="P37">
            <v>34.350000004051253</v>
          </cell>
          <cell r="R37" t="str">
            <v>DUS 4N was STOP because 22N was STOP</v>
          </cell>
          <cell r="S37">
            <v>0.75</v>
          </cell>
          <cell r="T37" t="str">
            <v>NorthBound</v>
          </cell>
          <cell r="U37">
            <v>9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https://search-rtdc-monitor-bjffxe2xuh6vdkpspy63sjmuny.us-east-1.es.amazonaws.com/_plugin/kibana/#/discover/Steve-Slow-Train-Analysis-(2080s-and-2083s)?_g=(refreshInterval:(display:Off,section:0,value:0),time:(from:'2016-09-04 05:56:29-0600',mode:absolute,to:'2016-09-04 08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37" t="str">
            <v>Y</v>
          </cell>
          <cell r="X37">
            <v>1</v>
          </cell>
          <cell r="Y37">
            <v>3.7193000000000001</v>
          </cell>
          <cell r="Z37">
            <v>23.330300000000001</v>
          </cell>
          <cell r="AA37">
            <v>19.611000000000001</v>
          </cell>
          <cell r="AB37">
            <v>224578</v>
          </cell>
          <cell r="AC37" t="str">
            <v>PERMANENT SPEED RESTRICTION</v>
          </cell>
          <cell r="AD37" t="str">
            <v>0125-04</v>
          </cell>
          <cell r="AE37" t="str">
    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    </cell>
        </row>
        <row r="38">
          <cell r="A38" t="str">
            <v>125-04</v>
          </cell>
          <cell r="B38">
            <v>4025</v>
          </cell>
          <cell r="C38" t="str">
            <v>DE.1.0.7.0</v>
          </cell>
          <cell r="D38" t="str">
            <v>204:458</v>
          </cell>
          <cell r="E38">
            <v>42617.27716435185</v>
          </cell>
          <cell r="F38">
            <v>42617.290266203701</v>
          </cell>
          <cell r="G38">
            <v>3</v>
          </cell>
          <cell r="H38" t="str">
            <v>204:1264</v>
          </cell>
          <cell r="I38">
            <v>42617.314120370371</v>
          </cell>
          <cell r="J38">
            <v>0</v>
          </cell>
          <cell r="K38" t="str">
            <v>4025/4026</v>
          </cell>
          <cell r="L38" t="str">
            <v>STRICKLAND</v>
          </cell>
          <cell r="M38">
            <v>2.3854166669480037E-2</v>
          </cell>
          <cell r="S38">
            <v>0</v>
          </cell>
          <cell r="T38" t="str">
            <v>NorthBound</v>
          </cell>
          <cell r="U38">
            <v>0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https://search-rtdc-monitor-bjffxe2xuh6vdkpspy63sjmuny.us-east-1.es.amazonaws.com/_plugin/kibana/#/discover/Steve-Slow-Train-Analysis-(2080s-and-2083s)?_g=(refreshInterval:(display:Off,section:0,value:0),time:(from:'2016-09-04 05:39:07-0600',mode:absolute,to:'2016-09-04 08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38" t="str">
            <v>Y</v>
          </cell>
          <cell r="X38">
            <v>0</v>
          </cell>
          <cell r="Y38">
            <v>4.58E-2</v>
          </cell>
          <cell r="Z38">
            <v>0.12640000000000001</v>
          </cell>
          <cell r="AA38">
            <v>8.0600000000000005E-2</v>
          </cell>
          <cell r="AB38">
            <v>224578</v>
          </cell>
          <cell r="AC38" t="str">
            <v>PERMANENT SPEED RESTRICTION</v>
          </cell>
          <cell r="AD38" t="str">
            <v>0125-04</v>
          </cell>
          <cell r="AE38" t="str">
    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    </cell>
        </row>
        <row r="39">
          <cell r="A39" t="str">
            <v>127-04</v>
          </cell>
          <cell r="B39">
            <v>4009</v>
          </cell>
          <cell r="C39" t="str">
            <v>DE.1.0.7.0</v>
          </cell>
          <cell r="D39" t="str">
            <v>204:469</v>
          </cell>
          <cell r="E39">
            <v>42617.286053240743</v>
          </cell>
          <cell r="F39">
            <v>42617.292118055557</v>
          </cell>
          <cell r="G39">
            <v>1</v>
          </cell>
          <cell r="H39" t="str">
            <v>204:233302</v>
          </cell>
          <cell r="I39">
            <v>42617.320949074077</v>
          </cell>
          <cell r="J39">
            <v>0</v>
          </cell>
          <cell r="K39" t="str">
            <v>4009/4010</v>
          </cell>
          <cell r="L39" t="str">
            <v>KILLION</v>
          </cell>
          <cell r="M39">
            <v>2.8831018520577345E-2</v>
          </cell>
          <cell r="N39">
            <v>41.516666669631377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https://search-rtdc-monitor-bjffxe2xuh6vdkpspy63sjmuny.us-east-1.es.amazonaws.com/_plugin/kibana/#/discover/Steve-Slow-Train-Analysis-(2080s-and-2083s)?_g=(refreshInterval:(display:Off,section:0,value:0),time:(from:'2016-09-04 05:51:55-0600',mode:absolute,to:'2016-09-04 08:42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39" t="str">
            <v>N</v>
          </cell>
          <cell r="X39">
            <v>2</v>
          </cell>
          <cell r="Y39">
            <v>4.6899999999999997E-2</v>
          </cell>
          <cell r="Z39">
            <v>23.330200000000001</v>
          </cell>
          <cell r="AA39">
            <v>23.283300000000001</v>
          </cell>
          <cell r="AB39" t="e">
            <v>#N/A</v>
          </cell>
          <cell r="AC39" t="e">
            <v>#N/A</v>
          </cell>
          <cell r="AD39" t="str">
            <v>0127-04</v>
          </cell>
          <cell r="AE39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40">
          <cell r="A40" t="str">
            <v>128-04</v>
          </cell>
          <cell r="B40">
            <v>4010</v>
          </cell>
          <cell r="C40" t="str">
            <v>DE.1.0.7.0</v>
          </cell>
          <cell r="D40" t="str">
            <v>204:232987</v>
          </cell>
          <cell r="E40">
            <v>42617.325787037036</v>
          </cell>
          <cell r="F40">
            <v>42617.330740740741</v>
          </cell>
          <cell r="G40">
            <v>1</v>
          </cell>
          <cell r="H40" t="str">
            <v>204:156</v>
          </cell>
          <cell r="I40">
            <v>42617.356932870367</v>
          </cell>
          <cell r="J40">
            <v>0</v>
          </cell>
          <cell r="K40" t="str">
            <v>4009/4010</v>
          </cell>
          <cell r="L40" t="str">
            <v>KILLION</v>
          </cell>
          <cell r="M40">
            <v>2.619212962599704E-2</v>
          </cell>
          <cell r="N40">
            <v>37.716666661435738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https://search-rtdc-monitor-bjffxe2xuh6vdkpspy63sjmuny.us-east-1.es.amazonaws.com/_plugin/kibana/#/discover/Steve-Slow-Train-Analysis-(2080s-and-2083s)?_g=(refreshInterval:(display:Off,section:0,value:0),time:(from:'2016-09-04 06:49:08-0600',mode:absolute,to:'2016-09-04 09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40" t="str">
            <v>N</v>
          </cell>
          <cell r="X40">
            <v>1</v>
          </cell>
          <cell r="Y40">
            <v>23.2987</v>
          </cell>
          <cell r="Z40">
            <v>1.5599999999999999E-2</v>
          </cell>
          <cell r="AA40">
            <v>23.283100000000001</v>
          </cell>
          <cell r="AB40" t="e">
            <v>#N/A</v>
          </cell>
          <cell r="AC40" t="e">
            <v>#N/A</v>
          </cell>
          <cell r="AD40" t="str">
            <v>0128-04</v>
          </cell>
          <cell r="AE40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41">
          <cell r="A41" t="str">
            <v>129-04</v>
          </cell>
          <cell r="B41">
            <v>4016</v>
          </cell>
          <cell r="C41" t="str">
            <v>DE.1.0.7.0</v>
          </cell>
          <cell r="D41" t="str">
            <v>204:444</v>
          </cell>
          <cell r="E41">
            <v>42617.294432870367</v>
          </cell>
          <cell r="F41">
            <v>42617.302951388891</v>
          </cell>
          <cell r="G41">
            <v>1</v>
          </cell>
          <cell r="H41" t="str">
            <v>204:233117</v>
          </cell>
          <cell r="I41">
            <v>42617.328194444446</v>
          </cell>
          <cell r="J41">
            <v>0</v>
          </cell>
          <cell r="K41" t="str">
            <v>4015/4016</v>
          </cell>
          <cell r="L41" t="str">
            <v>YORK</v>
          </cell>
          <cell r="M41">
            <v>2.5243055555620231E-2</v>
          </cell>
          <cell r="N41">
            <v>36.350000000093132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https://search-rtdc-monitor-bjffxe2xuh6vdkpspy63sjmuny.us-east-1.es.amazonaws.com/_plugin/kibana/#/discover/Steve-Slow-Train-Analysis-(2080s-and-2083s)?_g=(refreshInterval:(display:Off,section:0,value:0),time:(from:'2016-09-04 06:03:59-0600',mode:absolute,to:'2016-09-04 08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41" t="str">
            <v>N</v>
          </cell>
          <cell r="X41">
            <v>1</v>
          </cell>
          <cell r="Y41">
            <v>4.4400000000000002E-2</v>
          </cell>
          <cell r="Z41">
            <v>23.311699999999998</v>
          </cell>
          <cell r="AA41">
            <v>23.267299999999999</v>
          </cell>
          <cell r="AB41" t="e">
            <v>#N/A</v>
          </cell>
          <cell r="AC41" t="e">
            <v>#N/A</v>
          </cell>
          <cell r="AD41" t="str">
            <v>0129-04</v>
          </cell>
          <cell r="AE41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42">
          <cell r="A42" t="str">
            <v>130-04</v>
          </cell>
          <cell r="B42">
            <v>4015</v>
          </cell>
          <cell r="C42" t="str">
            <v>DE.1.0.7.0</v>
          </cell>
          <cell r="D42" t="str">
            <v>204:232788</v>
          </cell>
          <cell r="E42">
            <v>42617.330023148148</v>
          </cell>
          <cell r="F42">
            <v>42617.341435185182</v>
          </cell>
          <cell r="G42">
            <v>0</v>
          </cell>
          <cell r="H42" t="str">
            <v>204:152</v>
          </cell>
          <cell r="I42">
            <v>42617.366296296299</v>
          </cell>
          <cell r="J42">
            <v>0</v>
          </cell>
          <cell r="K42" t="str">
            <v>4015/4016</v>
          </cell>
          <cell r="L42" t="str">
            <v>YORK</v>
          </cell>
          <cell r="M42">
            <v>2.4861111116479151E-2</v>
          </cell>
          <cell r="N42">
            <v>35.800000007729977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https://search-rtdc-monitor-bjffxe2xuh6vdkpspy63sjmuny.us-east-1.es.amazonaws.com/_plugin/kibana/#/discover/Steve-Slow-Train-Analysis-(2080s-and-2083s)?_g=(refreshInterval:(display:Off,section:0,value:0),time:(from:'2016-09-04 06:55:14-0600',mode:absolute,to:'2016-09-04 09:47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42" t="str">
            <v>N</v>
          </cell>
          <cell r="X42">
            <v>1</v>
          </cell>
          <cell r="Y42">
            <v>23.2788</v>
          </cell>
          <cell r="Z42">
            <v>1.52E-2</v>
          </cell>
          <cell r="AA42">
            <v>23.2636</v>
          </cell>
          <cell r="AB42" t="e">
            <v>#N/A</v>
          </cell>
          <cell r="AC42" t="e">
            <v>#N/A</v>
          </cell>
          <cell r="AD42" t="str">
            <v>0130-04</v>
          </cell>
          <cell r="AE42" t="str">
    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    </cell>
        </row>
        <row r="43">
          <cell r="A43" t="str">
            <v>131-04</v>
          </cell>
          <cell r="B43">
            <v>4031</v>
          </cell>
          <cell r="C43" t="str">
            <v>DE.1.0.7.0</v>
          </cell>
          <cell r="D43" t="str">
            <v>204:455</v>
          </cell>
          <cell r="E43">
            <v>42617.307766203703</v>
          </cell>
          <cell r="F43">
            <v>42617.3127662037</v>
          </cell>
          <cell r="G43">
            <v>1</v>
          </cell>
          <cell r="H43" t="str">
            <v>204:233315</v>
          </cell>
          <cell r="I43">
            <v>42617.337847222225</v>
          </cell>
          <cell r="J43">
            <v>0</v>
          </cell>
          <cell r="K43" t="str">
            <v>4031/4032</v>
          </cell>
          <cell r="L43" t="str">
            <v>ACKERMAN</v>
          </cell>
          <cell r="M43">
            <v>2.5081018524360843E-2</v>
          </cell>
          <cell r="N43">
            <v>36.116666675079614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https://search-rtdc-monitor-bjffxe2xuh6vdkpspy63sjmuny.us-east-1.es.amazonaws.com/_plugin/kibana/#/discover/Steve-Slow-Train-Analysis-(2080s-and-2083s)?_g=(refreshInterval:(display:Off,section:0,value:0),time:(from:'2016-09-04 06:23:11-0600',mode:absolute,to:'2016-09-04 09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43" t="str">
            <v>N</v>
          </cell>
          <cell r="X43">
            <v>1</v>
          </cell>
          <cell r="Y43">
            <v>4.5499999999999999E-2</v>
          </cell>
          <cell r="Z43">
            <v>23.331499999999998</v>
          </cell>
          <cell r="AA43">
            <v>23.285999999999998</v>
          </cell>
          <cell r="AB43" t="e">
            <v>#N/A</v>
          </cell>
          <cell r="AC43" t="e">
            <v>#N/A</v>
          </cell>
          <cell r="AD43" t="str">
            <v>0131-04</v>
          </cell>
          <cell r="AE43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44">
          <cell r="A44" t="str">
            <v>132-04</v>
          </cell>
          <cell r="B44">
            <v>4032</v>
          </cell>
          <cell r="C44" t="str">
            <v>DE.1.0.7.0</v>
          </cell>
          <cell r="D44" t="str">
            <v>204:233008</v>
          </cell>
          <cell r="E44">
            <v>42617.345682870371</v>
          </cell>
          <cell r="F44">
            <v>42617.351620370369</v>
          </cell>
          <cell r="G44">
            <v>1</v>
          </cell>
          <cell r="H44" t="str">
            <v>204:138</v>
          </cell>
          <cell r="I44">
            <v>42617.379259259258</v>
          </cell>
          <cell r="J44">
            <v>0</v>
          </cell>
          <cell r="K44" t="str">
            <v>4031/4032</v>
          </cell>
          <cell r="L44" t="str">
            <v>ACKERMAN</v>
          </cell>
          <cell r="M44">
            <v>2.7638888888759539E-2</v>
          </cell>
          <cell r="N44">
            <v>39.799999999813735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https://search-rtdc-monitor-bjffxe2xuh6vdkpspy63sjmuny.us-east-1.es.amazonaws.com/_plugin/kibana/#/discover/Steve-Slow-Train-Analysis-(2080s-and-2083s)?_g=(refreshInterval:(display:Off,section:0,value:0),time:(from:'2016-09-04 07:17:47-0600',mode:absolute,to:'2016-09-04 10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44" t="str">
            <v>N</v>
          </cell>
          <cell r="X44">
            <v>1</v>
          </cell>
          <cell r="Y44">
            <v>23.300799999999999</v>
          </cell>
          <cell r="Z44">
            <v>1.38E-2</v>
          </cell>
          <cell r="AA44">
            <v>23.286999999999999</v>
          </cell>
          <cell r="AB44" t="e">
            <v>#N/A</v>
          </cell>
          <cell r="AC44" t="e">
            <v>#N/A</v>
          </cell>
          <cell r="AD44" t="str">
            <v>0132-04</v>
          </cell>
          <cell r="AE44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45">
          <cell r="A45" t="str">
            <v>133-04</v>
          </cell>
          <cell r="B45">
            <v>4018</v>
          </cell>
          <cell r="C45" t="str">
            <v>DE.1.0.7.0</v>
          </cell>
          <cell r="D45" t="str">
            <v>204:462</v>
          </cell>
          <cell r="E45">
            <v>42617.31821759259</v>
          </cell>
          <cell r="F45">
            <v>42617.323125000003</v>
          </cell>
          <cell r="G45">
            <v>1</v>
          </cell>
          <cell r="H45" t="str">
            <v>204:233101</v>
          </cell>
          <cell r="I45">
            <v>42617.349652777775</v>
          </cell>
          <cell r="J45">
            <v>0</v>
          </cell>
          <cell r="K45" t="str">
            <v>4017/4018</v>
          </cell>
          <cell r="L45" t="str">
            <v>MAELZER</v>
          </cell>
          <cell r="M45">
            <v>2.6527777772571426E-2</v>
          </cell>
          <cell r="N45">
            <v>38.199999992502853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https://search-rtdc-monitor-bjffxe2xuh6vdkpspy63sjmuny.us-east-1.es.amazonaws.com/_plugin/kibana/#/discover/Steve-Slow-Train-Analysis-(2080s-and-2083s)?_g=(refreshInterval:(display:Off,section:0,value:0),time:(from:'2016-09-04 06:38:14-0600',mode:absolute,to:'2016-09-04 09:23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45" t="str">
            <v>N</v>
          </cell>
          <cell r="X45">
            <v>1</v>
          </cell>
          <cell r="Y45">
            <v>4.6199999999999998E-2</v>
          </cell>
          <cell r="Z45">
            <v>23.310099999999998</v>
          </cell>
          <cell r="AA45">
            <v>23.2639</v>
          </cell>
          <cell r="AB45" t="e">
            <v>#N/A</v>
          </cell>
          <cell r="AC45" t="e">
            <v>#N/A</v>
          </cell>
          <cell r="AD45" t="str">
            <v>0133-04</v>
          </cell>
          <cell r="AE45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46">
          <cell r="A46" t="str">
            <v>134-04</v>
          </cell>
          <cell r="B46">
            <v>4017</v>
          </cell>
          <cell r="C46" t="str">
            <v>DE.1.0.7.0</v>
          </cell>
          <cell r="D46" t="str">
            <v>204:232785</v>
          </cell>
          <cell r="E46">
            <v>42617.358900462961</v>
          </cell>
          <cell r="F46">
            <v>42617.362037037034</v>
          </cell>
          <cell r="G46">
            <v>1</v>
          </cell>
          <cell r="H46" t="str">
            <v>204:149</v>
          </cell>
          <cell r="I46">
            <v>42617.391423611109</v>
          </cell>
          <cell r="J46">
            <v>0</v>
          </cell>
          <cell r="K46" t="str">
            <v>4017/4018</v>
          </cell>
          <cell r="L46" t="str">
            <v>MAELZER</v>
          </cell>
          <cell r="M46">
            <v>2.9386574075033423E-2</v>
          </cell>
          <cell r="N46">
            <v>42.316666668048128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https://search-rtdc-monitor-bjffxe2xuh6vdkpspy63sjmuny.us-east-1.es.amazonaws.com/_plugin/kibana/#/discover/Steve-Slow-Train-Analysis-(2080s-and-2083s)?_g=(refreshInterval:(display:Off,section:0,value:0),time:(from:'2016-09-04 07:36:49-0600',mode:absolute,to:'2016-09-04 10:23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46" t="str">
            <v>N</v>
          </cell>
          <cell r="X46">
            <v>1</v>
          </cell>
          <cell r="Y46">
            <v>23.278500000000001</v>
          </cell>
          <cell r="Z46">
            <v>1.49E-2</v>
          </cell>
          <cell r="AA46">
            <v>23.2636</v>
          </cell>
          <cell r="AB46" t="e">
            <v>#N/A</v>
          </cell>
          <cell r="AC46" t="e">
            <v>#N/A</v>
          </cell>
          <cell r="AD46" t="str">
            <v>0134-04</v>
          </cell>
          <cell r="AE46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47">
          <cell r="A47" t="str">
            <v>135-04</v>
          </cell>
          <cell r="B47">
            <v>4038</v>
          </cell>
          <cell r="C47" t="str">
            <v>DE.1.0.7.0</v>
          </cell>
          <cell r="D47" t="str">
            <v>204:447</v>
          </cell>
          <cell r="E47">
            <v>42617.335925925923</v>
          </cell>
          <cell r="F47">
            <v>42617.337280092594</v>
          </cell>
          <cell r="G47">
            <v>1</v>
          </cell>
          <cell r="H47" t="str">
            <v>204:233304</v>
          </cell>
          <cell r="I47">
            <v>42617.36614583333</v>
          </cell>
          <cell r="J47">
            <v>0</v>
          </cell>
          <cell r="K47" t="str">
            <v>4037/4038</v>
          </cell>
          <cell r="L47" t="str">
            <v>DAVIS</v>
          </cell>
          <cell r="M47">
            <v>2.8865740736364387E-2</v>
          </cell>
          <cell r="N47">
            <v>41.566666660364717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https://search-rtdc-monitor-bjffxe2xuh6vdkpspy63sjmuny.us-east-1.es.amazonaws.com/_plugin/kibana/#/discover/Steve-Slow-Train-Analysis-(2080s-and-2083s)?_g=(refreshInterval:(display:Off,section:0,value:0),time:(from:'2016-09-04 07:03:44-0600',mode:absolute,to:'2016-09-04 09:47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47" t="str">
            <v>N</v>
          </cell>
          <cell r="X47">
            <v>1</v>
          </cell>
          <cell r="Y47">
            <v>4.4699999999999997E-2</v>
          </cell>
          <cell r="Z47">
            <v>23.330400000000001</v>
          </cell>
          <cell r="AA47">
            <v>23.285700000000002</v>
          </cell>
          <cell r="AB47" t="e">
            <v>#N/A</v>
          </cell>
          <cell r="AC47" t="e">
            <v>#N/A</v>
          </cell>
          <cell r="AD47" t="str">
            <v>0135-04</v>
          </cell>
          <cell r="AE47" t="str">
    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    </cell>
        </row>
        <row r="48">
          <cell r="A48" t="str">
            <v>136-04</v>
          </cell>
          <cell r="B48">
            <v>4037</v>
          </cell>
          <cell r="C48" t="str">
            <v>DE.1.0.7.0</v>
          </cell>
          <cell r="D48" t="str">
            <v>204:232991</v>
          </cell>
          <cell r="E48">
            <v>42617.367245370369</v>
          </cell>
          <cell r="F48">
            <v>42617.391099537039</v>
          </cell>
          <cell r="G48">
            <v>1</v>
          </cell>
          <cell r="H48" t="str">
            <v>204:95686</v>
          </cell>
          <cell r="I48">
            <v>42617.40457175926</v>
          </cell>
          <cell r="J48">
            <v>0</v>
          </cell>
          <cell r="K48" t="str">
            <v>4037/4038</v>
          </cell>
          <cell r="L48" t="str">
            <v>DAVIS</v>
          </cell>
          <cell r="M48">
            <v>1.3472222221025731E-2</v>
          </cell>
          <cell r="P48">
            <v>19.399999998277053</v>
          </cell>
          <cell r="R48" t="str">
            <v>Wi-MAX outage</v>
          </cell>
          <cell r="S48">
            <v>1</v>
          </cell>
          <cell r="T48" t="str">
            <v>Southbound</v>
          </cell>
          <cell r="U48">
            <v>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https://search-rtdc-monitor-bjffxe2xuh6vdkpspy63sjmuny.us-east-1.es.amazonaws.com/_plugin/kibana/#/discover/Steve-Slow-Train-Analysis-(2080s-and-2083s)?_g=(refreshInterval:(display:Off,section:0,value:0),time:(from:'2016-09-04 07:48:50-0600',mode:absolute,to:'2016-09-04 10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48" t="str">
            <v>Y</v>
          </cell>
          <cell r="X48">
            <v>1</v>
          </cell>
          <cell r="Y48">
            <v>23.299099999999999</v>
          </cell>
          <cell r="Z48">
            <v>9.5686</v>
          </cell>
          <cell r="AA48">
            <v>13.730499999999999</v>
          </cell>
          <cell r="AB48">
            <v>103800</v>
          </cell>
          <cell r="AC48" t="str">
            <v>GRADE CROSSING</v>
          </cell>
          <cell r="AD48" t="str">
            <v>0136-04</v>
          </cell>
          <cell r="AE48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49">
          <cell r="A49" t="str">
            <v>136-04</v>
          </cell>
          <cell r="B49">
            <v>4037</v>
          </cell>
          <cell r="C49" t="str">
            <v>DE.1.0.7.0</v>
          </cell>
          <cell r="D49" t="str">
            <v>204:86353</v>
          </cell>
          <cell r="E49">
            <v>42617.390092592592</v>
          </cell>
          <cell r="F49">
            <v>42617.391099537039</v>
          </cell>
          <cell r="G49">
            <v>1</v>
          </cell>
          <cell r="H49" t="str">
            <v>204:156</v>
          </cell>
          <cell r="I49">
            <v>42617.40457175926</v>
          </cell>
          <cell r="J49">
            <v>0</v>
          </cell>
          <cell r="K49" t="str">
            <v>4037/4038</v>
          </cell>
          <cell r="L49" t="str">
            <v>DAVIS</v>
          </cell>
          <cell r="M49">
            <v>1.3472222221025731E-2</v>
          </cell>
          <cell r="T49" t="str">
            <v>Southbound</v>
          </cell>
          <cell r="U49">
            <v>10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https://search-rtdc-monitor-bjffxe2xuh6vdkpspy63sjmuny.us-east-1.es.amazonaws.com/_plugin/kibana/#/discover/Steve-Slow-Train-Analysis-(2080s-and-2083s)?_g=(refreshInterval:(display:Off,section:0,value:0),time:(from:'2016-09-04 08:21:44-0600',mode:absolute,to:'2016-09-04 10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49" t="str">
            <v>Y</v>
          </cell>
          <cell r="X49">
            <v>0</v>
          </cell>
          <cell r="Y49">
            <v>8.6353000000000009</v>
          </cell>
          <cell r="Z49">
            <v>1.5599999999999999E-2</v>
          </cell>
          <cell r="AA49">
            <v>8.6197000000000017</v>
          </cell>
          <cell r="AB49">
            <v>103800</v>
          </cell>
          <cell r="AC49" t="str">
            <v>GRADE CROSSING</v>
          </cell>
          <cell r="AD49" t="str">
            <v>0136-04</v>
          </cell>
          <cell r="AE49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50">
          <cell r="A50" t="str">
            <v>137-04</v>
          </cell>
          <cell r="B50">
            <v>4002</v>
          </cell>
          <cell r="C50" t="str">
            <v>DE.1.0.7.0</v>
          </cell>
          <cell r="D50" t="str">
            <v>204:451</v>
          </cell>
          <cell r="E50">
            <v>42617.343425925923</v>
          </cell>
          <cell r="F50">
            <v>42617.344780092593</v>
          </cell>
          <cell r="G50">
            <v>1</v>
          </cell>
          <cell r="H50" t="str">
            <v>204:233130</v>
          </cell>
          <cell r="I50">
            <v>42617.37222222222</v>
          </cell>
          <cell r="J50">
            <v>0</v>
          </cell>
          <cell r="K50" t="str">
            <v>4001/4002</v>
          </cell>
          <cell r="L50" t="str">
            <v>MALAVE</v>
          </cell>
          <cell r="M50">
            <v>2.7442129627161194E-2</v>
          </cell>
          <cell r="N50">
            <v>39.516666663112119</v>
          </cell>
          <cell r="S50">
            <v>1</v>
          </cell>
          <cell r="T50" t="str">
            <v>NorthBound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https://search-rtdc-monitor-bjffxe2xuh6vdkpspy63sjmuny.us-east-1.es.amazonaws.com/_plugin/kibana/#/discover/Steve-Slow-Train-Analysis-(2080s-and-2083s)?_g=(refreshInterval:(display:Off,section:0,value:0),time:(from:'2016-09-04 07:14:32-0600',mode:absolute,to:'2016-09-04 09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50" t="str">
            <v>N</v>
          </cell>
          <cell r="X50">
            <v>1</v>
          </cell>
          <cell r="Y50">
            <v>4.5100000000000001E-2</v>
          </cell>
          <cell r="Z50">
            <v>23.312999999999999</v>
          </cell>
          <cell r="AA50">
            <v>23.267899999999997</v>
          </cell>
          <cell r="AB50">
            <v>20338</v>
          </cell>
          <cell r="AC50" t="str">
            <v>PERMANENT SPEED RESTRICTION</v>
          </cell>
          <cell r="AD50" t="str">
            <v>0137-04</v>
          </cell>
          <cell r="AE50" t="str">
    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    </cell>
        </row>
        <row r="51">
          <cell r="A51" t="str">
            <v>138-04</v>
          </cell>
          <cell r="B51">
            <v>4001</v>
          </cell>
          <cell r="C51" t="str">
            <v>DE.1.0.7.0</v>
          </cell>
          <cell r="D51" t="str">
            <v>204:232798</v>
          </cell>
          <cell r="E51">
            <v>42617.380555555559</v>
          </cell>
          <cell r="F51">
            <v>42617.3828587963</v>
          </cell>
          <cell r="G51">
            <v>3</v>
          </cell>
          <cell r="H51" t="str">
            <v>204:163</v>
          </cell>
          <cell r="I51">
            <v>42617.408935185187</v>
          </cell>
          <cell r="J51">
            <v>0</v>
          </cell>
          <cell r="K51" t="str">
            <v>4001/4002</v>
          </cell>
          <cell r="L51" t="str">
            <v>MALAVE</v>
          </cell>
          <cell r="M51">
            <v>2.6076388887304347E-2</v>
          </cell>
          <cell r="N51">
            <v>37.54999999771826</v>
          </cell>
          <cell r="S51">
            <v>1</v>
          </cell>
          <cell r="T51" t="str">
            <v>Southbound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https://search-rtdc-monitor-bjffxe2xuh6vdkpspy63sjmuny.us-east-1.es.amazonaws.com/_plugin/kibana/#/discover/Steve-Slow-Train-Analysis-(2080s-and-2083s)?_g=(refreshInterval:(display:Off,section:0,value:0),time:(from:'2016-09-04 08:08:00-0600',mode:absolute,to:'2016-09-04 10:48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51" t="str">
            <v>N</v>
          </cell>
          <cell r="X51">
            <v>1</v>
          </cell>
          <cell r="Y51">
            <v>23.279800000000002</v>
          </cell>
          <cell r="Z51">
            <v>1.6299999999999999E-2</v>
          </cell>
          <cell r="AA51">
            <v>23.263500000000001</v>
          </cell>
          <cell r="AB51" t="e">
            <v>#N/A</v>
          </cell>
          <cell r="AC51" t="e">
            <v>#N/A</v>
          </cell>
          <cell r="AD51" t="str">
            <v>0138-04</v>
          </cell>
          <cell r="AE51" t="str">
    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    </cell>
        </row>
        <row r="52">
          <cell r="A52" t="str">
            <v>139-04</v>
          </cell>
          <cell r="B52">
            <v>4046</v>
          </cell>
          <cell r="C52" t="str">
            <v>DE.1.0.7.0</v>
          </cell>
          <cell r="D52" t="str">
            <v>204:458</v>
          </cell>
          <cell r="E52">
            <v>42617.350451388891</v>
          </cell>
          <cell r="F52">
            <v>42617.354444444441</v>
          </cell>
          <cell r="G52">
            <v>1</v>
          </cell>
          <cell r="H52" t="str">
            <v>204:233308</v>
          </cell>
          <cell r="I52">
            <v>42617.379907407405</v>
          </cell>
          <cell r="J52">
            <v>0</v>
          </cell>
          <cell r="K52" t="str">
            <v>4045/4046</v>
          </cell>
          <cell r="L52" t="str">
            <v>OUN</v>
          </cell>
          <cell r="M52">
            <v>2.5462962963501923E-2</v>
          </cell>
          <cell r="N52">
            <v>36.666666667442769</v>
          </cell>
          <cell r="S52">
            <v>1</v>
          </cell>
          <cell r="T52" t="str">
            <v>NorthBound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https://search-rtdc-monitor-bjffxe2xuh6vdkpspy63sjmuny.us-east-1.es.amazonaws.com/_plugin/kibana/#/discover/Steve-Slow-Train-Analysis-(2080s-and-2083s)?_g=(refreshInterval:(display:Off,section:0,value:0),time:(from:'2016-09-04 07:24:39-0600',mode:absolute,to:'2016-09-04 10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52" t="str">
            <v>N</v>
          </cell>
          <cell r="X52">
            <v>1</v>
          </cell>
          <cell r="Y52">
            <v>4.58E-2</v>
          </cell>
          <cell r="Z52">
            <v>23.3308</v>
          </cell>
          <cell r="AA52">
            <v>23.285</v>
          </cell>
          <cell r="AB52" t="e">
            <v>#N/A</v>
          </cell>
          <cell r="AC52" t="e">
            <v>#N/A</v>
          </cell>
          <cell r="AD52" t="str">
            <v>0139-04</v>
          </cell>
          <cell r="AE52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53">
          <cell r="A53" t="str">
            <v>140-04</v>
          </cell>
          <cell r="B53">
            <v>4045</v>
          </cell>
          <cell r="C53" t="str">
            <v>DE.1.0.7.0</v>
          </cell>
          <cell r="D53" t="str">
            <v>204:232994</v>
          </cell>
          <cell r="E53">
            <v>42617.385127314818</v>
          </cell>
          <cell r="F53">
            <v>42617.393379629626</v>
          </cell>
          <cell r="G53">
            <v>2</v>
          </cell>
          <cell r="H53" t="str">
            <v>204:141</v>
          </cell>
          <cell r="I53">
            <v>42617.420925925922</v>
          </cell>
          <cell r="J53">
            <v>0</v>
          </cell>
          <cell r="K53" t="str">
            <v>4045/4046</v>
          </cell>
          <cell r="L53" t="str">
            <v>STRICKLAND</v>
          </cell>
          <cell r="M53">
            <v>2.7546296296350192E-2</v>
          </cell>
          <cell r="N53">
            <v>39.666666666744277</v>
          </cell>
          <cell r="S53">
            <v>1</v>
          </cell>
          <cell r="T53" t="str">
            <v>Southbound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https://search-rtdc-monitor-bjffxe2xuh6vdkpspy63sjmuny.us-east-1.es.amazonaws.com/_plugin/kibana/#/discover/Steve-Slow-Train-Analysis-(2080s-and-2083s)?_g=(refreshInterval:(display:Off,section:0,value:0),time:(from:'2016-09-04 08:14:35-0600',mode:absolute,to:'2016-09-04 11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53" t="str">
            <v>N</v>
          </cell>
          <cell r="X53">
            <v>1</v>
          </cell>
          <cell r="Y53">
            <v>23.299399999999999</v>
          </cell>
          <cell r="Z53">
            <v>1.41E-2</v>
          </cell>
          <cell r="AA53">
            <v>23.285299999999999</v>
          </cell>
          <cell r="AB53">
            <v>183829</v>
          </cell>
          <cell r="AC53" t="str">
            <v>PERMANENT SPEED RESTRICTION</v>
          </cell>
          <cell r="AD53" t="str">
            <v>0140-04</v>
          </cell>
          <cell r="AE53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54">
          <cell r="A54" t="str">
            <v>141-04</v>
          </cell>
          <cell r="B54">
            <v>4009</v>
          </cell>
          <cell r="C54" t="str">
            <v>DE.1.0.7.0</v>
          </cell>
          <cell r="D54" t="str">
            <v>204:458</v>
          </cell>
          <cell r="E54">
            <v>42617.361192129632</v>
          </cell>
          <cell r="F54">
            <v>42617.364942129629</v>
          </cell>
          <cell r="G54">
            <v>1</v>
          </cell>
          <cell r="H54" t="str">
            <v>204:233240</v>
          </cell>
          <cell r="I54">
            <v>42617.389351851853</v>
          </cell>
          <cell r="J54">
            <v>0</v>
          </cell>
          <cell r="K54" t="str">
            <v>4009/4010</v>
          </cell>
          <cell r="L54" t="str">
            <v>KILLION</v>
          </cell>
          <cell r="M54">
            <v>2.4409722223936114E-2</v>
          </cell>
          <cell r="N54">
            <v>35.150000002468005</v>
          </cell>
          <cell r="S54">
            <v>1</v>
          </cell>
          <cell r="T54" t="str">
            <v>NorthBound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https://search-rtdc-monitor-bjffxe2xuh6vdkpspy63sjmuny.us-east-1.es.amazonaws.com/_plugin/kibana/#/discover/Steve-Slow-Train-Analysis-(2080s-and-2083s)?_g=(refreshInterval:(display:Off,section:0,value:0),time:(from:'2016-09-04 07:40:07-0600',mode:absolute,to:'2016-09-04 10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54" t="str">
            <v>N</v>
          </cell>
          <cell r="X54">
            <v>1</v>
          </cell>
          <cell r="Y54">
            <v>4.58E-2</v>
          </cell>
          <cell r="Z54">
            <v>23.324000000000002</v>
          </cell>
          <cell r="AA54">
            <v>23.278200000000002</v>
          </cell>
          <cell r="AB54" t="e">
            <v>#N/A</v>
          </cell>
          <cell r="AC54" t="e">
            <v>#N/A</v>
          </cell>
          <cell r="AD54" t="str">
            <v>0141-04</v>
          </cell>
          <cell r="AE54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55">
          <cell r="A55" t="str">
            <v>142-04</v>
          </cell>
          <cell r="B55">
            <v>4010</v>
          </cell>
          <cell r="C55" t="str">
            <v>DE.1.0.7.0</v>
          </cell>
          <cell r="D55" t="str">
            <v>204:232982</v>
          </cell>
          <cell r="E55">
            <v>42617.397789351853</v>
          </cell>
          <cell r="F55">
            <v>42617.403715277775</v>
          </cell>
          <cell r="G55">
            <v>1</v>
          </cell>
          <cell r="H55" t="str">
            <v>204:141</v>
          </cell>
          <cell r="I55">
            <v>42617.430023148147</v>
          </cell>
          <cell r="J55">
            <v>0</v>
          </cell>
          <cell r="K55" t="str">
            <v>4009/4010</v>
          </cell>
          <cell r="L55" t="str">
            <v>KILLION</v>
          </cell>
          <cell r="M55">
            <v>2.6307870371965691E-2</v>
          </cell>
          <cell r="N55">
            <v>37.883333335630596</v>
          </cell>
          <cell r="S55">
            <v>1</v>
          </cell>
          <cell r="T55" t="str">
            <v>Southbound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https://search-rtdc-monitor-bjffxe2xuh6vdkpspy63sjmuny.us-east-1.es.amazonaws.com/_plugin/kibana/#/discover/Steve-Slow-Train-Analysis-(2080s-and-2083s)?_g=(refreshInterval:(display:Off,section:0,value:0),time:(from:'2016-09-04 08:32:49-0600',mode:absolute,to:'2016-09-04 11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55" t="str">
            <v>N</v>
          </cell>
          <cell r="X55">
            <v>1</v>
          </cell>
          <cell r="Y55">
            <v>23.298200000000001</v>
          </cell>
          <cell r="Z55">
            <v>1.41E-2</v>
          </cell>
          <cell r="AA55">
            <v>23.284100000000002</v>
          </cell>
          <cell r="AB55">
            <v>229055</v>
          </cell>
          <cell r="AC55" t="str">
            <v>PERMANENT SPEED RESTRICTION</v>
          </cell>
          <cell r="AD55" t="str">
            <v>0142-04</v>
          </cell>
          <cell r="AE55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56">
          <cell r="A56" t="str">
            <v>143-04</v>
          </cell>
          <cell r="B56">
            <v>4016</v>
          </cell>
          <cell r="C56" t="str">
            <v>DE.1.0.7.0</v>
          </cell>
          <cell r="D56" t="str">
            <v>204:471</v>
          </cell>
          <cell r="E56">
            <v>42617.36791666667</v>
          </cell>
          <cell r="F56">
            <v>42617.375405092593</v>
          </cell>
          <cell r="G56">
            <v>1</v>
          </cell>
          <cell r="H56" t="str">
            <v>204:233293</v>
          </cell>
          <cell r="I56">
            <v>42617.399502314816</v>
          </cell>
          <cell r="J56">
            <v>0</v>
          </cell>
          <cell r="K56" t="str">
            <v>4015/4016</v>
          </cell>
          <cell r="L56" t="str">
            <v>YORK</v>
          </cell>
          <cell r="M56">
            <v>2.4097222223645076E-2</v>
          </cell>
          <cell r="N56">
            <v>34.70000000204891</v>
          </cell>
          <cell r="S56">
            <v>1</v>
          </cell>
          <cell r="T56" t="str">
            <v>NorthBound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https://search-rtdc-monitor-bjffxe2xuh6vdkpspy63sjmuny.us-east-1.es.amazonaws.com/_plugin/kibana/#/discover/Steve-Slow-Train-Analysis-(2080s-and-2083s)?_g=(refreshInterval:(display:Off,section:0,value:0),time:(from:'2016-09-04 07:49:48-0600',mode:absolute,to:'2016-09-04 10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56" t="str">
            <v>N</v>
          </cell>
          <cell r="X56">
            <v>1</v>
          </cell>
          <cell r="Y56">
            <v>4.7100000000000003E-2</v>
          </cell>
          <cell r="Z56">
            <v>23.3293</v>
          </cell>
          <cell r="AA56">
            <v>23.2822</v>
          </cell>
          <cell r="AB56" t="e">
            <v>#N/A</v>
          </cell>
          <cell r="AC56" t="e">
            <v>#N/A</v>
          </cell>
          <cell r="AD56" t="str">
            <v>0143-04</v>
          </cell>
          <cell r="AE56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57">
          <cell r="A57" t="str">
            <v>144-04</v>
          </cell>
          <cell r="B57">
            <v>4015</v>
          </cell>
          <cell r="C57" t="str">
            <v>DE.1.0.7.0</v>
          </cell>
          <cell r="D57" t="str">
            <v>204:232991</v>
          </cell>
          <cell r="E57">
            <v>42617.400555555556</v>
          </cell>
          <cell r="F57">
            <v>42617.414340277777</v>
          </cell>
          <cell r="G57">
            <v>0</v>
          </cell>
          <cell r="H57" t="str">
            <v>204:156</v>
          </cell>
          <cell r="I57">
            <v>42617.43954861111</v>
          </cell>
          <cell r="J57">
            <v>0</v>
          </cell>
          <cell r="K57" t="str">
            <v>4015/4016</v>
          </cell>
          <cell r="L57" t="str">
            <v>YORK</v>
          </cell>
          <cell r="M57">
            <v>2.5208333332557231E-2</v>
          </cell>
          <cell r="N57">
            <v>36.299999998882413</v>
          </cell>
          <cell r="S57">
            <v>1</v>
          </cell>
          <cell r="T57" t="str">
            <v>Southbound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https://search-rtdc-monitor-bjffxe2xuh6vdkpspy63sjmuny.us-east-1.es.amazonaws.com/_plugin/kibana/#/discover/Steve-Slow-Train-Analysis-(2080s-and-2083s)?_g=(refreshInterval:(display:Off,section:0,value:0),time:(from:'2016-09-04 08:36:48-0600',mode:absolute,to:'2016-09-04 11:32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57" t="str">
            <v>N</v>
          </cell>
          <cell r="X57">
            <v>1</v>
          </cell>
          <cell r="Y57">
            <v>23.299099999999999</v>
          </cell>
          <cell r="Z57">
            <v>1.5599999999999999E-2</v>
          </cell>
          <cell r="AA57">
            <v>23.2835</v>
          </cell>
          <cell r="AB57" t="e">
            <v>#N/A</v>
          </cell>
          <cell r="AC57" t="e">
            <v>#N/A</v>
          </cell>
          <cell r="AD57" t="str">
            <v>0144-04</v>
          </cell>
          <cell r="AE57" t="str">
    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    </cell>
        </row>
        <row r="58">
          <cell r="A58" t="str">
            <v>145-04</v>
          </cell>
          <cell r="B58">
            <v>4031</v>
          </cell>
          <cell r="C58" t="str">
            <v>DE.1.0.7.0</v>
          </cell>
          <cell r="D58" t="str">
            <v>204:453</v>
          </cell>
          <cell r="E58">
            <v>42617.381828703707</v>
          </cell>
          <cell r="F58">
            <v>42617.42465277778</v>
          </cell>
          <cell r="G58">
            <v>1</v>
          </cell>
          <cell r="H58" t="str">
            <v>204:233299</v>
          </cell>
          <cell r="I58">
            <v>42617.45171296296</v>
          </cell>
          <cell r="J58">
            <v>0</v>
          </cell>
          <cell r="K58" t="str">
            <v>4031/4032</v>
          </cell>
          <cell r="L58" t="str">
            <v>ACKERMAN</v>
          </cell>
          <cell r="M58">
            <v>2.7060185180744156E-2</v>
          </cell>
          <cell r="N58">
            <v>38.966666660271585</v>
          </cell>
          <cell r="S58">
            <v>1</v>
          </cell>
          <cell r="T58" t="str">
            <v>NorthBound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https://search-rtdc-monitor-bjffxe2xuh6vdkpspy63sjmuny.us-east-1.es.amazonaws.com/_plugin/kibana/#/discover/Steve-Slow-Train-Analysis-(2080s-and-2083s)?_g=(refreshInterval:(display:Off,section:0,value:0),time:(from:'2016-09-04 08:09:50-0600',mode:absolute,to:'2016-09-04 11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58" t="str">
            <v>N</v>
          </cell>
          <cell r="X58">
            <v>1</v>
          </cell>
          <cell r="Y58">
            <v>4.53E-2</v>
          </cell>
          <cell r="Z58">
            <v>23.329899999999999</v>
          </cell>
          <cell r="AA58">
            <v>23.284599999999998</v>
          </cell>
          <cell r="AB58" t="e">
            <v>#N/A</v>
          </cell>
          <cell r="AC58" t="e">
            <v>#N/A</v>
          </cell>
          <cell r="AD58" t="str">
            <v>0145-04</v>
          </cell>
          <cell r="AE58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59">
          <cell r="A59" t="str">
            <v>146-04</v>
          </cell>
          <cell r="B59">
            <v>4032</v>
          </cell>
          <cell r="C59" t="str">
            <v>DE.1.0.7.0</v>
          </cell>
          <cell r="D59" t="str">
            <v>204:232984</v>
          </cell>
          <cell r="E59">
            <v>42617.419525462959</v>
          </cell>
          <cell r="F59">
            <v>42617.42465277778</v>
          </cell>
          <cell r="G59">
            <v>1</v>
          </cell>
          <cell r="H59" t="str">
            <v>204:138</v>
          </cell>
          <cell r="I59">
            <v>42617.45171296296</v>
          </cell>
          <cell r="J59">
            <v>0</v>
          </cell>
          <cell r="K59" t="str">
            <v>4031/4032</v>
          </cell>
          <cell r="L59" t="str">
            <v>ACKERMAN</v>
          </cell>
          <cell r="M59">
            <v>2.7060185180744156E-2</v>
          </cell>
          <cell r="N59">
            <v>38.966666660271585</v>
          </cell>
          <cell r="S59">
            <v>1</v>
          </cell>
          <cell r="T59" t="str">
            <v>Southbound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https://search-rtdc-monitor-bjffxe2xuh6vdkpspy63sjmuny.us-east-1.es.amazonaws.com/_plugin/kibana/#/discover/Steve-Slow-Train-Analysis-(2080s-and-2083s)?_g=(refreshInterval:(display:Off,section:0,value:0),time:(from:'2016-09-04 09:04:07-0600',mode:absolute,to:'2016-09-04 11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59" t="str">
            <v>N</v>
          </cell>
          <cell r="X59">
            <v>1</v>
          </cell>
          <cell r="Y59">
            <v>23.298400000000001</v>
          </cell>
          <cell r="Z59">
            <v>1.38E-2</v>
          </cell>
          <cell r="AA59">
            <v>23.284600000000001</v>
          </cell>
          <cell r="AB59" t="e">
            <v>#N/A</v>
          </cell>
          <cell r="AC59" t="e">
            <v>#N/A</v>
          </cell>
          <cell r="AD59" t="str">
            <v>0146-04</v>
          </cell>
          <cell r="AE59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60">
          <cell r="A60" t="str">
            <v>147-04</v>
          </cell>
          <cell r="B60">
            <v>4018</v>
          </cell>
          <cell r="C60" t="str">
            <v>DE.1.0.7.0</v>
          </cell>
          <cell r="D60" t="str">
            <v>204:457</v>
          </cell>
          <cell r="E60">
            <v>42617.393784722219</v>
          </cell>
          <cell r="F60">
            <v>42617.39607638889</v>
          </cell>
          <cell r="G60">
            <v>1</v>
          </cell>
          <cell r="H60" t="str">
            <v>204:233317</v>
          </cell>
          <cell r="I60">
            <v>42617.42087962963</v>
          </cell>
          <cell r="J60">
            <v>0</v>
          </cell>
          <cell r="K60" t="str">
            <v>4017/4018</v>
          </cell>
          <cell r="L60" t="str">
            <v>MAELZER</v>
          </cell>
          <cell r="M60">
            <v>2.4803240739856847E-2</v>
          </cell>
          <cell r="N60">
            <v>35.716666665393859</v>
          </cell>
          <cell r="S60">
            <v>1</v>
          </cell>
          <cell r="T60" t="str">
            <v>NorthBound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https://search-rtdc-monitor-bjffxe2xuh6vdkpspy63sjmuny.us-east-1.es.amazonaws.com/_plugin/kibana/#/discover/Steve-Slow-Train-Analysis-(2080s-and-2083s)?_g=(refreshInterval:(display:Off,section:0,value:0),time:(from:'2016-09-04 08:27:03-0600',mode:absolute,to:'2016-09-04 11:06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60" t="str">
            <v>N</v>
          </cell>
          <cell r="X60">
            <v>1</v>
          </cell>
          <cell r="Y60">
            <v>4.5699999999999998E-2</v>
          </cell>
          <cell r="Z60">
            <v>23.331700000000001</v>
          </cell>
          <cell r="AA60">
            <v>23.286000000000001</v>
          </cell>
          <cell r="AB60" t="e">
            <v>#N/A</v>
          </cell>
          <cell r="AC60" t="e">
            <v>#N/A</v>
          </cell>
          <cell r="AD60" t="str">
            <v>0147-04</v>
          </cell>
          <cell r="AE60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61">
          <cell r="A61" t="str">
            <v>148-04</v>
          </cell>
          <cell r="B61">
            <v>4017</v>
          </cell>
          <cell r="C61" t="str">
            <v>DE.1.0.7.0</v>
          </cell>
          <cell r="D61" t="str">
            <v>204:232987</v>
          </cell>
          <cell r="E61">
            <v>42617.430625000001</v>
          </cell>
          <cell r="F61">
            <v>42617.435196759259</v>
          </cell>
          <cell r="G61">
            <v>1</v>
          </cell>
          <cell r="H61" t="str">
            <v>204:145</v>
          </cell>
          <cell r="I61">
            <v>42617.462476851855</v>
          </cell>
          <cell r="J61">
            <v>0</v>
          </cell>
          <cell r="K61" t="str">
            <v>4017/4018</v>
          </cell>
          <cell r="L61" t="str">
            <v>MAELZER</v>
          </cell>
          <cell r="M61">
            <v>2.7280092595901806E-2</v>
          </cell>
          <cell r="N61">
            <v>39.283333338098601</v>
          </cell>
          <cell r="S61">
            <v>1</v>
          </cell>
          <cell r="T61" t="str">
            <v>Southbound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https://search-rtdc-monitor-bjffxe2xuh6vdkpspy63sjmuny.us-east-1.es.amazonaws.com/_plugin/kibana/#/discover/Steve-Slow-Train-Analysis-(2080s-and-2083s)?_g=(refreshInterval:(display:Off,section:0,value:0),time:(from:'2016-09-04 09:20:06-0600',mode:absolute,to:'2016-09-04 12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61" t="str">
            <v>N</v>
          </cell>
          <cell r="X61">
            <v>1</v>
          </cell>
          <cell r="Y61">
            <v>23.2987</v>
          </cell>
          <cell r="Z61">
            <v>1.4500000000000001E-2</v>
          </cell>
          <cell r="AA61">
            <v>23.284199999999998</v>
          </cell>
          <cell r="AB61" t="e">
            <v>#N/A</v>
          </cell>
          <cell r="AC61" t="e">
            <v>#N/A</v>
          </cell>
          <cell r="AD61" t="str">
            <v>0148-04</v>
          </cell>
          <cell r="AE61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62">
          <cell r="A62" t="str">
            <v>149-04</v>
          </cell>
          <cell r="B62">
            <v>4038</v>
          </cell>
          <cell r="C62" t="str">
            <v>DE.1.0.7.0</v>
          </cell>
          <cell r="D62" t="str">
            <v>204:427</v>
          </cell>
          <cell r="E62">
            <v>42617.405358796299</v>
          </cell>
          <cell r="F62">
            <v>42617.406643518516</v>
          </cell>
          <cell r="G62">
            <v>1</v>
          </cell>
          <cell r="H62" t="str">
            <v>204:233301</v>
          </cell>
          <cell r="I62">
            <v>42617.431840277779</v>
          </cell>
          <cell r="J62">
            <v>0</v>
          </cell>
          <cell r="K62" t="str">
            <v>4037/4038</v>
          </cell>
          <cell r="L62" t="str">
            <v>DAVIS</v>
          </cell>
          <cell r="M62">
            <v>2.5196759263053536E-2</v>
          </cell>
          <cell r="N62">
            <v>36.283333338797092</v>
          </cell>
          <cell r="S62">
            <v>1</v>
          </cell>
          <cell r="T62" t="str">
            <v>NorthBound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https://search-rtdc-monitor-bjffxe2xuh6vdkpspy63sjmuny.us-east-1.es.amazonaws.com/_plugin/kibana/#/discover/Steve-Slow-Train-Analysis-(2080s-and-2083s)?_g=(refreshInterval:(display:Off,section:0,value:0),time:(from:'2016-09-04 08:43:43-0600',mode:absolute,to:'2016-09-04 11:21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62" t="str">
            <v>N</v>
          </cell>
          <cell r="X62">
            <v>1</v>
          </cell>
          <cell r="Y62">
            <v>4.2700000000000002E-2</v>
          </cell>
          <cell r="Z62">
            <v>23.330100000000002</v>
          </cell>
          <cell r="AA62">
            <v>23.287400000000002</v>
          </cell>
          <cell r="AB62" t="e">
            <v>#N/A</v>
          </cell>
          <cell r="AC62" t="e">
            <v>#N/A</v>
          </cell>
          <cell r="AD62" t="str">
            <v>0149-04</v>
          </cell>
          <cell r="AE62" t="str">
    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    </cell>
        </row>
        <row r="63">
          <cell r="A63" t="str">
            <v>150-04</v>
          </cell>
          <cell r="B63">
            <v>4037</v>
          </cell>
          <cell r="C63" t="str">
            <v>DE.1.0.7.0</v>
          </cell>
          <cell r="D63" t="str">
            <v>204:232986</v>
          </cell>
          <cell r="E63">
            <v>42617.43954861111</v>
          </cell>
          <cell r="F63">
            <v>42617.445231481484</v>
          </cell>
          <cell r="G63">
            <v>1</v>
          </cell>
          <cell r="H63" t="str">
            <v>204:138</v>
          </cell>
          <cell r="I63">
            <v>42617.473321759258</v>
          </cell>
          <cell r="J63">
            <v>0</v>
          </cell>
          <cell r="K63" t="str">
            <v>4037/4038</v>
          </cell>
          <cell r="L63" t="str">
            <v>DAVIS</v>
          </cell>
          <cell r="M63">
            <v>2.8090277774026617E-2</v>
          </cell>
          <cell r="N63">
            <v>40.449999994598329</v>
          </cell>
          <cell r="S63">
            <v>1</v>
          </cell>
          <cell r="T63" t="str">
            <v>Southbound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https://search-rtdc-monitor-bjffxe2xuh6vdkpspy63sjmuny.us-east-1.es.amazonaws.com/_plugin/kibana/#/discover/Steve-Slow-Train-Analysis-(2080s-and-2083s)?_g=(refreshInterval:(display:Off,section:0,value:0),time:(from:'2016-09-04 09:32:57-0600',mode:absolute,to:'2016-09-04 12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63" t="str">
            <v>N</v>
          </cell>
          <cell r="X63">
            <v>1</v>
          </cell>
          <cell r="Y63">
            <v>23.2986</v>
          </cell>
          <cell r="Z63">
            <v>1.38E-2</v>
          </cell>
          <cell r="AA63">
            <v>23.284800000000001</v>
          </cell>
          <cell r="AB63" t="e">
            <v>#N/A</v>
          </cell>
          <cell r="AC63" t="e">
            <v>#N/A</v>
          </cell>
          <cell r="AD63" t="str">
            <v>0150-04</v>
          </cell>
          <cell r="AE63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64">
          <cell r="A64" t="str">
            <v>151-04</v>
          </cell>
          <cell r="B64">
            <v>4002</v>
          </cell>
          <cell r="C64" t="str">
            <v>DE.1.0.7.0</v>
          </cell>
          <cell r="D64" t="str">
            <v>204:466</v>
          </cell>
          <cell r="E64">
            <v>42617.413159722222</v>
          </cell>
          <cell r="F64">
            <v>42617.45585648148</v>
          </cell>
          <cell r="G64">
            <v>2</v>
          </cell>
          <cell r="H64" t="str">
            <v>204:233287</v>
          </cell>
          <cell r="I64">
            <v>42617.483541666668</v>
          </cell>
          <cell r="J64">
            <v>0</v>
          </cell>
          <cell r="K64" t="str">
            <v>4001/4002</v>
          </cell>
          <cell r="L64" t="str">
            <v>MALAVE</v>
          </cell>
          <cell r="M64">
            <v>2.768518518860219E-2</v>
          </cell>
          <cell r="N64">
            <v>39.866666671587154</v>
          </cell>
          <cell r="S64">
            <v>1</v>
          </cell>
          <cell r="T64" t="str">
            <v>NorthBound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https://search-rtdc-monitor-bjffxe2xuh6vdkpspy63sjmuny.us-east-1.es.amazonaws.com/_plugin/kibana/#/discover/Steve-Slow-Train-Analysis-(2080s-and-2083s)?_g=(refreshInterval:(display:Off,section:0,value:0),time:(from:'2016-09-04 08:54:57-0600',mode:absolute,to:'2016-09-04 12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64" t="str">
            <v>N</v>
          </cell>
          <cell r="X64">
            <v>1</v>
          </cell>
          <cell r="Y64">
            <v>4.6600000000000003E-2</v>
          </cell>
          <cell r="Z64">
            <v>23.328700000000001</v>
          </cell>
          <cell r="AA64">
            <v>23.2821</v>
          </cell>
          <cell r="AB64" t="e">
            <v>#N/A</v>
          </cell>
          <cell r="AC64" t="e">
            <v>#N/A</v>
          </cell>
          <cell r="AD64" t="str">
            <v>0151-04</v>
          </cell>
          <cell r="AE64" t="str">
    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    </cell>
        </row>
        <row r="65">
          <cell r="A65" t="str">
            <v>152-04</v>
          </cell>
          <cell r="B65">
            <v>4001</v>
          </cell>
          <cell r="C65" t="str">
            <v>DE.1.0.7.0</v>
          </cell>
          <cell r="D65" t="str">
            <v>204:232972</v>
          </cell>
          <cell r="E65">
            <v>42617.454432870371</v>
          </cell>
          <cell r="F65">
            <v>42617.45585648148</v>
          </cell>
          <cell r="G65">
            <v>1</v>
          </cell>
          <cell r="H65" t="str">
            <v>204:143</v>
          </cell>
          <cell r="I65">
            <v>42617.483541666668</v>
          </cell>
          <cell r="J65">
            <v>0</v>
          </cell>
          <cell r="K65" t="str">
            <v>4001/4002</v>
          </cell>
          <cell r="L65" t="str">
            <v>MALAVE</v>
          </cell>
          <cell r="M65">
            <v>2.768518518860219E-2</v>
          </cell>
          <cell r="N65">
            <v>39.866666671587154</v>
          </cell>
          <cell r="S65">
            <v>1</v>
          </cell>
          <cell r="T65" t="str">
            <v>Southbound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https://search-rtdc-monitor-bjffxe2xuh6vdkpspy63sjmuny.us-east-1.es.amazonaws.com/_plugin/kibana/#/discover/Steve-Slow-Train-Analysis-(2080s-and-2083s)?_g=(refreshInterval:(display:Off,section:0,value:0),time:(from:'2016-09-04 09:54:23-0600',mode:absolute,to:'2016-09-04 12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65" t="str">
            <v>N</v>
          </cell>
          <cell r="X65">
            <v>1</v>
          </cell>
          <cell r="Y65">
            <v>23.2972</v>
          </cell>
          <cell r="Z65">
            <v>1.43E-2</v>
          </cell>
          <cell r="AA65">
            <v>23.282900000000001</v>
          </cell>
          <cell r="AB65" t="e">
            <v>#N/A</v>
          </cell>
          <cell r="AC65" t="e">
            <v>#N/A</v>
          </cell>
          <cell r="AD65" t="str">
            <v>0152-04</v>
          </cell>
          <cell r="AE65" t="str">
    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    </cell>
        </row>
        <row r="66">
          <cell r="A66" t="str">
            <v>153-04</v>
          </cell>
          <cell r="B66">
            <v>4046</v>
          </cell>
          <cell r="C66" t="str">
            <v>DE.1.0.7.0</v>
          </cell>
          <cell r="D66" t="str">
            <v>204:438</v>
          </cell>
          <cell r="E66">
            <v>42617.422766203701</v>
          </cell>
          <cell r="F66">
            <v>42617.427395833336</v>
          </cell>
          <cell r="G66">
            <v>1</v>
          </cell>
          <cell r="H66" t="str">
            <v>204:233326</v>
          </cell>
          <cell r="I66">
            <v>42617.453923611109</v>
          </cell>
          <cell r="J66">
            <v>0</v>
          </cell>
          <cell r="K66" t="str">
            <v>4045/4046</v>
          </cell>
          <cell r="L66" t="str">
            <v>STRICKLAND</v>
          </cell>
          <cell r="M66">
            <v>2.6527777772571426E-2</v>
          </cell>
          <cell r="N66">
            <v>38.199999992502853</v>
          </cell>
          <cell r="S66">
            <v>1</v>
          </cell>
          <cell r="T66" t="str">
            <v>NorthBound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https://search-rtdc-monitor-bjffxe2xuh6vdkpspy63sjmuny.us-east-1.es.amazonaws.com/_plugin/kibana/#/discover/Steve-Slow-Train-Analysis-(2080s-and-2083s)?_g=(refreshInterval:(display:Off,section:0,value:0),time:(from:'2016-09-04 09:08:47-0600',mode:absolute,to:'2016-09-04 11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66" t="str">
            <v>N</v>
          </cell>
          <cell r="X66">
            <v>1</v>
          </cell>
          <cell r="Y66">
            <v>4.3799999999999999E-2</v>
          </cell>
          <cell r="Z66">
            <v>23.332599999999999</v>
          </cell>
          <cell r="AA66">
            <v>23.288799999999998</v>
          </cell>
          <cell r="AB66" t="e">
            <v>#N/A</v>
          </cell>
          <cell r="AC66" t="e">
            <v>#N/A</v>
          </cell>
          <cell r="AD66" t="str">
            <v>0153-04</v>
          </cell>
          <cell r="AE66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67">
          <cell r="A67" t="str">
            <v>154-04</v>
          </cell>
          <cell r="B67">
            <v>4045</v>
          </cell>
          <cell r="C67" t="str">
            <v>DE.1.0.7.0</v>
          </cell>
          <cell r="D67" t="str">
            <v>204:232998</v>
          </cell>
          <cell r="E67">
            <v>42617.462430555555</v>
          </cell>
          <cell r="F67">
            <v>42617.466689814813</v>
          </cell>
          <cell r="G67">
            <v>2</v>
          </cell>
          <cell r="H67" t="str">
            <v>204:158</v>
          </cell>
          <cell r="I67">
            <v>42617.494872685187</v>
          </cell>
          <cell r="J67">
            <v>0</v>
          </cell>
          <cell r="K67" t="str">
            <v>4045/4046</v>
          </cell>
          <cell r="L67" t="str">
            <v>STRICKLAND</v>
          </cell>
          <cell r="M67">
            <v>2.8182870373711921E-2</v>
          </cell>
          <cell r="N67">
            <v>40.583333338145167</v>
          </cell>
          <cell r="S67">
            <v>1</v>
          </cell>
          <cell r="T67" t="str">
            <v>Southbound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https://search-rtdc-monitor-bjffxe2xuh6vdkpspy63sjmuny.us-east-1.es.amazonaws.com/_plugin/kibana/#/discover/Steve-Slow-Train-Analysis-(2080s-and-2083s)?_g=(refreshInterval:(display:Off,section:0,value:0),time:(from:'2016-09-04 10:05:54-0600',mode:absolute,to:'2016-09-04 12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67" t="str">
            <v>N</v>
          </cell>
          <cell r="X67">
            <v>1</v>
          </cell>
          <cell r="Y67">
            <v>23.299800000000001</v>
          </cell>
          <cell r="Z67">
            <v>1.5800000000000002E-2</v>
          </cell>
          <cell r="AA67">
            <v>23.284000000000002</v>
          </cell>
          <cell r="AB67">
            <v>58301</v>
          </cell>
          <cell r="AC67" t="str">
            <v>GRADE CROSSING</v>
          </cell>
          <cell r="AD67" t="str">
            <v>0154-04</v>
          </cell>
          <cell r="AE67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68">
          <cell r="A68" t="str">
            <v>155-04</v>
          </cell>
          <cell r="B68">
            <v>4009</v>
          </cell>
          <cell r="C68" t="str">
            <v>DE.1.0.7.0</v>
          </cell>
          <cell r="D68" t="str">
            <v>204:460</v>
          </cell>
          <cell r="E68">
            <v>42617.432939814818</v>
          </cell>
          <cell r="F68">
            <v>42617.437881944446</v>
          </cell>
          <cell r="G68">
            <v>1</v>
          </cell>
          <cell r="H68" t="str">
            <v>204:233310</v>
          </cell>
          <cell r="I68">
            <v>42617.464247685188</v>
          </cell>
          <cell r="J68">
            <v>0</v>
          </cell>
          <cell r="K68" t="str">
            <v>4009/4010</v>
          </cell>
          <cell r="L68" t="str">
            <v>CLARK</v>
          </cell>
          <cell r="M68">
            <v>2.6365740741312038E-2</v>
          </cell>
          <cell r="N68">
            <v>37.966666667489335</v>
          </cell>
          <cell r="S68">
            <v>1</v>
          </cell>
          <cell r="T68" t="str">
            <v>NorthBound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https://search-rtdc-monitor-bjffxe2xuh6vdkpspy63sjmuny.us-east-1.es.amazonaws.com/_plugin/kibana/#/discover/Steve-Slow-Train-Analysis-(2080s-and-2083s)?_g=(refreshInterval:(display:Off,section:0,value:0),time:(from:'2016-09-04 09:23:26-0600',mode:absolute,to:'2016-09-04 12:08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68" t="str">
            <v>N</v>
          </cell>
          <cell r="X68">
            <v>1</v>
          </cell>
          <cell r="Y68">
            <v>4.5999999999999999E-2</v>
          </cell>
          <cell r="Z68">
            <v>23.331</v>
          </cell>
          <cell r="AA68">
            <v>23.285</v>
          </cell>
          <cell r="AB68" t="e">
            <v>#N/A</v>
          </cell>
          <cell r="AC68" t="e">
            <v>#N/A</v>
          </cell>
          <cell r="AD68" t="str">
            <v>0155-04</v>
          </cell>
          <cell r="AE68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69">
          <cell r="A69" t="str">
            <v>156-04</v>
          </cell>
          <cell r="B69">
            <v>4010</v>
          </cell>
          <cell r="C69" t="str">
            <v>DE.1.0.7.0</v>
          </cell>
          <cell r="D69" t="str">
            <v>204:232989</v>
          </cell>
          <cell r="E69">
            <v>42617.472581018519</v>
          </cell>
          <cell r="F69">
            <v>42617.476678240739</v>
          </cell>
          <cell r="G69">
            <v>1</v>
          </cell>
          <cell r="H69" t="str">
            <v>204:141</v>
          </cell>
          <cell r="I69">
            <v>42617.50577546296</v>
          </cell>
          <cell r="J69">
            <v>0</v>
          </cell>
          <cell r="K69" t="str">
            <v>4009/4010</v>
          </cell>
          <cell r="L69" t="str">
            <v>CLARK</v>
          </cell>
          <cell r="M69">
            <v>2.9097222221025731E-2</v>
          </cell>
          <cell r="N69">
            <v>41.899999998277053</v>
          </cell>
          <cell r="S69">
            <v>1</v>
          </cell>
          <cell r="T69" t="str">
            <v>Southbound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https://search-rtdc-monitor-bjffxe2xuh6vdkpspy63sjmuny.us-east-1.es.amazonaws.com/_plugin/kibana/#/discover/Steve-Slow-Train-Analysis-(2080s-and-2083s)?_g=(refreshInterval:(display:Off,section:0,value:0),time:(from:'2016-09-04 10:20:31-0600',mode:absolute,to:'2016-09-04 13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69" t="str">
            <v>N</v>
          </cell>
          <cell r="X69">
            <v>1</v>
          </cell>
          <cell r="Y69">
            <v>23.2989</v>
          </cell>
          <cell r="Z69">
            <v>1.41E-2</v>
          </cell>
          <cell r="AA69">
            <v>23.284800000000001</v>
          </cell>
          <cell r="AB69" t="e">
            <v>#N/A</v>
          </cell>
          <cell r="AC69" t="e">
            <v>#N/A</v>
          </cell>
          <cell r="AD69" t="str">
            <v>0156-04</v>
          </cell>
          <cell r="AE69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70">
          <cell r="A70" t="str">
            <v>157-04</v>
          </cell>
          <cell r="B70">
            <v>4016</v>
          </cell>
          <cell r="C70" t="str">
            <v>DE.1.0.7.0</v>
          </cell>
          <cell r="D70" t="str">
            <v>204:451</v>
          </cell>
          <cell r="E70">
            <v>42617.442025462966</v>
          </cell>
          <cell r="F70">
            <v>42617.448067129626</v>
          </cell>
          <cell r="G70">
            <v>1</v>
          </cell>
          <cell r="H70" t="str">
            <v>204:233282</v>
          </cell>
          <cell r="I70">
            <v>42617.472199074073</v>
          </cell>
          <cell r="J70">
            <v>0</v>
          </cell>
          <cell r="K70" t="str">
            <v>4015/4016</v>
          </cell>
          <cell r="L70" t="str">
            <v>YORK</v>
          </cell>
          <cell r="M70">
            <v>2.4131944446708076E-2</v>
          </cell>
          <cell r="N70">
            <v>34.750000003259629</v>
          </cell>
          <cell r="S70">
            <v>1</v>
          </cell>
          <cell r="T70" t="str">
            <v>NorthBound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https://search-rtdc-monitor-bjffxe2xuh6vdkpspy63sjmuny.us-east-1.es.amazonaws.com/_plugin/kibana/#/discover/Steve-Slow-Train-Analysis-(2080s-and-2083s)?_g=(refreshInterval:(display:Off,section:0,value:0),time:(from:'2016-09-04 09:36:31-0600',mode:absolute,to:'2016-09-04 12:19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70" t="str">
            <v>N</v>
          </cell>
          <cell r="X70">
            <v>1</v>
          </cell>
          <cell r="Y70">
            <v>4.5100000000000001E-2</v>
          </cell>
          <cell r="Z70">
            <v>23.328199999999999</v>
          </cell>
          <cell r="AA70">
            <v>23.283099999999997</v>
          </cell>
          <cell r="AB70" t="e">
            <v>#N/A</v>
          </cell>
          <cell r="AC70" t="e">
            <v>#N/A</v>
          </cell>
          <cell r="AD70" t="str">
            <v>0157-04</v>
          </cell>
          <cell r="AE70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71">
          <cell r="A71" t="str">
            <v>158-04</v>
          </cell>
          <cell r="B71">
            <v>4015</v>
          </cell>
          <cell r="C71" t="str">
            <v>DE.1.0.7.0</v>
          </cell>
          <cell r="D71" t="str">
            <v>204:232971</v>
          </cell>
          <cell r="E71">
            <v>42617.47315972222</v>
          </cell>
          <cell r="F71">
            <v>42617.487002314818</v>
          </cell>
          <cell r="G71">
            <v>1</v>
          </cell>
          <cell r="H71" t="str">
            <v>204:161</v>
          </cell>
          <cell r="I71">
            <v>42617.512280092589</v>
          </cell>
          <cell r="J71">
            <v>0</v>
          </cell>
          <cell r="K71" t="str">
            <v>4015/4016</v>
          </cell>
          <cell r="L71" t="str">
            <v>YORK</v>
          </cell>
          <cell r="M71">
            <v>2.5277777771407273E-2</v>
          </cell>
          <cell r="N71">
            <v>36.399999990826473</v>
          </cell>
          <cell r="S71">
            <v>1</v>
          </cell>
          <cell r="T71" t="str">
            <v>Southbound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https://search-rtdc-monitor-bjffxe2xuh6vdkpspy63sjmuny.us-east-1.es.amazonaws.com/_plugin/kibana/#/discover/Steve-Slow-Train-Analysis-(2080s-and-2083s)?_g=(refreshInterval:(display:Off,section:0,value:0),time:(from:'2016-09-04 10:21:21-0600',mode:absolute,to:'2016-09-04 13:17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71" t="str">
            <v>N</v>
          </cell>
          <cell r="X71">
            <v>1</v>
          </cell>
          <cell r="Y71">
            <v>23.2971</v>
          </cell>
          <cell r="Z71">
            <v>1.61E-2</v>
          </cell>
          <cell r="AA71">
            <v>23.280999999999999</v>
          </cell>
          <cell r="AB71" t="e">
            <v>#N/A</v>
          </cell>
          <cell r="AC71" t="e">
            <v>#N/A</v>
          </cell>
          <cell r="AD71" t="str">
            <v>0158-04</v>
          </cell>
          <cell r="AE71" t="str">
    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    </cell>
        </row>
        <row r="72">
          <cell r="A72" t="str">
            <v>159-04</v>
          </cell>
          <cell r="B72">
            <v>4031</v>
          </cell>
          <cell r="C72" t="str">
            <v>DE.1.0.7.0</v>
          </cell>
          <cell r="D72" t="str">
            <v>204:453</v>
          </cell>
          <cell r="E72">
            <v>42617.453900462962</v>
          </cell>
          <cell r="F72">
            <v>42617.458645833336</v>
          </cell>
          <cell r="G72">
            <v>1</v>
          </cell>
          <cell r="H72" t="str">
            <v>204:233300</v>
          </cell>
          <cell r="I72">
            <v>42617.484768518516</v>
          </cell>
          <cell r="J72">
            <v>0</v>
          </cell>
          <cell r="K72" t="str">
            <v>4031/4032</v>
          </cell>
          <cell r="L72" t="str">
            <v>STEWART</v>
          </cell>
          <cell r="M72">
            <v>2.6122685179871041E-2</v>
          </cell>
          <cell r="N72">
            <v>37.6166666590143</v>
          </cell>
          <cell r="S72">
            <v>1</v>
          </cell>
          <cell r="T72" t="str">
            <v>NorthBound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https://search-rtdc-monitor-bjffxe2xuh6vdkpspy63sjmuny.us-east-1.es.amazonaws.com/_plugin/kibana/#/discover/Steve-Slow-Train-Analysis-(2080s-and-2083s)?_g=(refreshInterval:(display:Off,section:0,value:0),time:(from:'2016-09-04 09:53:37-0600',mode:absolute,to:'2016-09-04 12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72" t="str">
            <v>N</v>
          </cell>
          <cell r="X72">
            <v>1</v>
          </cell>
          <cell r="Y72">
            <v>4.53E-2</v>
          </cell>
          <cell r="Z72">
            <v>23.33</v>
          </cell>
          <cell r="AA72">
            <v>23.284699999999997</v>
          </cell>
          <cell r="AB72" t="e">
            <v>#N/A</v>
          </cell>
          <cell r="AC72" t="e">
            <v>#N/A</v>
          </cell>
          <cell r="AD72" t="str">
            <v>0159-04</v>
          </cell>
          <cell r="AE72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73">
          <cell r="A73" t="str">
            <v>160-04</v>
          </cell>
          <cell r="B73">
            <v>4032</v>
          </cell>
          <cell r="C73" t="str">
            <v>DE.1.0.7.0</v>
          </cell>
          <cell r="D73" t="str">
            <v>204:232994</v>
          </cell>
          <cell r="E73">
            <v>42617.494710648149</v>
          </cell>
          <cell r="F73">
            <v>42617.497511574074</v>
          </cell>
          <cell r="G73">
            <v>2</v>
          </cell>
          <cell r="H73" t="str">
            <v>204:145</v>
          </cell>
          <cell r="I73">
            <v>42617.525092592594</v>
          </cell>
          <cell r="J73">
            <v>0</v>
          </cell>
          <cell r="K73" t="str">
            <v>4031/4032</v>
          </cell>
          <cell r="L73" t="str">
            <v>STEWART</v>
          </cell>
          <cell r="M73">
            <v>2.7581018519413192E-2</v>
          </cell>
          <cell r="N73">
            <v>39.716666667954996</v>
          </cell>
          <cell r="S73">
            <v>1</v>
          </cell>
          <cell r="T73" t="str">
            <v>Southbound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https://search-rtdc-monitor-bjffxe2xuh6vdkpspy63sjmuny.us-east-1.es.amazonaws.com/_plugin/kibana/#/discover/Steve-Slow-Train-Analysis-(2080s-and-2083s)?_g=(refreshInterval:(display:Off,section:0,value:0),time:(from:'2016-09-04 10:52:23-0600',mode:absolute,to:'2016-09-04 13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73" t="str">
            <v>N</v>
          </cell>
          <cell r="X73">
            <v>1</v>
          </cell>
          <cell r="Y73">
            <v>23.299399999999999</v>
          </cell>
          <cell r="Z73">
            <v>1.4500000000000001E-2</v>
          </cell>
          <cell r="AA73">
            <v>23.284899999999997</v>
          </cell>
          <cell r="AB73" t="e">
            <v>#N/A</v>
          </cell>
          <cell r="AC73" t="e">
            <v>#N/A</v>
          </cell>
          <cell r="AD73" t="str">
            <v>0160-04</v>
          </cell>
          <cell r="AE73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74">
          <cell r="A74" t="str">
            <v>161-04</v>
          </cell>
          <cell r="B74">
            <v>4018</v>
          </cell>
          <cell r="C74" t="str">
            <v>DE.1.0.7.0</v>
          </cell>
          <cell r="D74" t="str">
            <v>204:453</v>
          </cell>
          <cell r="E74">
            <v>42617.464375000003</v>
          </cell>
          <cell r="F74">
            <v>42617.468958333331</v>
          </cell>
          <cell r="G74">
            <v>1</v>
          </cell>
          <cell r="H74" t="str">
            <v>204:233299</v>
          </cell>
          <cell r="I74">
            <v>42617.494259259256</v>
          </cell>
          <cell r="J74">
            <v>0</v>
          </cell>
          <cell r="K74" t="str">
            <v>4017/4018</v>
          </cell>
          <cell r="L74" t="str">
            <v>BARTLETT</v>
          </cell>
          <cell r="M74">
            <v>2.5300925924966577E-2</v>
          </cell>
          <cell r="N74">
            <v>36.433333331951872</v>
          </cell>
          <cell r="S74">
            <v>1</v>
          </cell>
          <cell r="T74" t="str">
            <v>NorthBound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https://search-rtdc-monitor-bjffxe2xuh6vdkpspy63sjmuny.us-east-1.es.amazonaws.com/_plugin/kibana/#/discover/Steve-Slow-Train-Analysis-(2080s-and-2083s)?_g=(refreshInterval:(display:Off,section:0,value:0),time:(from:'2016-09-04 10:08:42-0600',mode:absolute,to:'2016-09-04 12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74" t="str">
            <v>N</v>
          </cell>
          <cell r="X74">
            <v>1</v>
          </cell>
          <cell r="Y74">
            <v>4.53E-2</v>
          </cell>
          <cell r="Z74">
            <v>23.329899999999999</v>
          </cell>
          <cell r="AA74">
            <v>23.284599999999998</v>
          </cell>
          <cell r="AB74" t="e">
            <v>#N/A</v>
          </cell>
          <cell r="AC74" t="e">
            <v>#N/A</v>
          </cell>
          <cell r="AD74" t="str">
            <v>0161-04</v>
          </cell>
          <cell r="AE74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75">
          <cell r="A75" t="str">
            <v>162-04</v>
          </cell>
          <cell r="B75">
            <v>4017</v>
          </cell>
          <cell r="C75" t="str">
            <v>DE.1.0.7.0</v>
          </cell>
          <cell r="D75" t="str">
            <v>204:232980</v>
          </cell>
          <cell r="E75">
            <v>42617.496342592596</v>
          </cell>
          <cell r="F75">
            <v>42617.508020833331</v>
          </cell>
          <cell r="G75">
            <v>1</v>
          </cell>
          <cell r="H75" t="str">
            <v>204:154</v>
          </cell>
          <cell r="I75">
            <v>42617.536006944443</v>
          </cell>
          <cell r="J75">
            <v>0</v>
          </cell>
          <cell r="K75" t="str">
            <v>4017/4018</v>
          </cell>
          <cell r="L75" t="str">
            <v>BARTLETT</v>
          </cell>
          <cell r="M75">
            <v>2.7986111112113576E-2</v>
          </cell>
          <cell r="N75">
            <v>40.30000000144355</v>
          </cell>
          <cell r="S75">
            <v>1</v>
          </cell>
          <cell r="T75" t="str">
            <v>Southbound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https://search-rtdc-monitor-bjffxe2xuh6vdkpspy63sjmuny.us-east-1.es.amazonaws.com/_plugin/kibana/#/discover/Steve-Slow-Train-Analysis-(2080s-and-2083s)?_g=(refreshInterval:(display:Off,section:0,value:0),time:(from:'2016-09-04 10:54:44-0600',mode:absolute,to:'2016-09-04 13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75" t="str">
            <v>N</v>
          </cell>
          <cell r="X75">
            <v>1</v>
          </cell>
          <cell r="Y75">
            <v>23.297999999999998</v>
          </cell>
          <cell r="Z75">
            <v>1.54E-2</v>
          </cell>
          <cell r="AA75">
            <v>23.282599999999999</v>
          </cell>
          <cell r="AB75" t="e">
            <v>#N/A</v>
          </cell>
          <cell r="AC75" t="e">
            <v>#N/A</v>
          </cell>
          <cell r="AD75" t="str">
            <v>0162-04</v>
          </cell>
          <cell r="AE75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76">
          <cell r="A76" t="str">
            <v>163-04</v>
          </cell>
          <cell r="B76">
            <v>4038</v>
          </cell>
          <cell r="C76" t="str">
            <v>DE.1.0.7.0</v>
          </cell>
          <cell r="D76" t="str">
            <v>204:464</v>
          </cell>
          <cell r="E76">
            <v>42617.476145833331</v>
          </cell>
          <cell r="F76">
            <v>42617.479861111111</v>
          </cell>
          <cell r="G76">
            <v>2</v>
          </cell>
          <cell r="H76" t="str">
            <v>204:233280</v>
          </cell>
          <cell r="I76">
            <v>42617.505185185182</v>
          </cell>
          <cell r="J76">
            <v>0</v>
          </cell>
          <cell r="K76" t="str">
            <v>4037/4038</v>
          </cell>
          <cell r="L76" t="str">
            <v>BRUDER</v>
          </cell>
          <cell r="M76">
            <v>2.5324074071249925E-2</v>
          </cell>
          <cell r="N76">
            <v>36.466666662599891</v>
          </cell>
          <cell r="S76">
            <v>1</v>
          </cell>
          <cell r="T76" t="str">
            <v>NorthBound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https://search-rtdc-monitor-bjffxe2xuh6vdkpspy63sjmuny.us-east-1.es.amazonaws.com/_plugin/kibana/#/discover/Steve-Slow-Train-Analysis-(2080s-and-2083s)?_g=(refreshInterval:(display:Off,section:0,value:0),time:(from:'2016-09-04 10:25:39-0600',mode:absolute,to:'2016-09-04 13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76" t="str">
            <v>N</v>
          </cell>
          <cell r="X76">
            <v>1</v>
          </cell>
          <cell r="Y76">
            <v>4.6399999999999997E-2</v>
          </cell>
          <cell r="Z76">
            <v>23.327999999999999</v>
          </cell>
          <cell r="AA76">
            <v>23.281600000000001</v>
          </cell>
          <cell r="AB76" t="e">
            <v>#N/A</v>
          </cell>
          <cell r="AC76" t="e">
            <v>#N/A</v>
          </cell>
          <cell r="AD76" t="str">
            <v>0163-04</v>
          </cell>
          <cell r="AE76" t="str">
    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    </cell>
        </row>
        <row r="77">
          <cell r="A77" t="str">
            <v>164-04</v>
          </cell>
          <cell r="B77">
            <v>4037</v>
          </cell>
          <cell r="C77" t="str">
            <v>DE.1.0.7.0</v>
          </cell>
          <cell r="D77" t="str">
            <v>204:232994</v>
          </cell>
          <cell r="E77">
            <v>42617.511956018519</v>
          </cell>
          <cell r="F77">
            <v>42617.518263888887</v>
          </cell>
          <cell r="G77">
            <v>1</v>
          </cell>
          <cell r="H77" t="str">
            <v>204:152</v>
          </cell>
          <cell r="I77">
            <v>42617.547222222223</v>
          </cell>
          <cell r="J77">
            <v>0</v>
          </cell>
          <cell r="K77" t="str">
            <v>4037/4038</v>
          </cell>
          <cell r="L77" t="str">
            <v>BRUDER</v>
          </cell>
          <cell r="M77">
            <v>2.8958333336049691E-2</v>
          </cell>
          <cell r="N77">
            <v>41.700000003911555</v>
          </cell>
          <cell r="S77">
            <v>1</v>
          </cell>
          <cell r="T77" t="str">
            <v>Southbound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https://search-rtdc-monitor-bjffxe2xuh6vdkpspy63sjmuny.us-east-1.es.amazonaws.com/_plugin/kibana/#/discover/Steve-Slow-Train-Analysis-(2080s-and-2083s)?_g=(refreshInterval:(display:Off,section:0,value:0),time:(from:'2016-09-04 11:17:13-0600',mode:absolute,to:'2016-09-04 14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77" t="str">
            <v>N</v>
          </cell>
          <cell r="X77">
            <v>1</v>
          </cell>
          <cell r="Y77">
            <v>23.299399999999999</v>
          </cell>
          <cell r="Z77">
            <v>1.52E-2</v>
          </cell>
          <cell r="AA77">
            <v>23.284199999999998</v>
          </cell>
          <cell r="AB77" t="e">
            <v>#N/A</v>
          </cell>
          <cell r="AC77" t="e">
            <v>#N/A</v>
          </cell>
          <cell r="AD77" t="str">
            <v>0164-04</v>
          </cell>
          <cell r="AE77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78">
          <cell r="A78" t="str">
            <v>165-04</v>
          </cell>
          <cell r="B78">
            <v>4002</v>
          </cell>
          <cell r="C78" t="str">
            <v>DE.1.0.7.0</v>
          </cell>
          <cell r="D78" t="str">
            <v>204:455</v>
          </cell>
          <cell r="E78">
            <v>42617.486261574071</v>
          </cell>
          <cell r="F78">
            <v>42617.490532407406</v>
          </cell>
          <cell r="G78">
            <v>3</v>
          </cell>
          <cell r="H78" t="str">
            <v>204:233274</v>
          </cell>
          <cell r="I78">
            <v>42617.516053240739</v>
          </cell>
          <cell r="J78">
            <v>0</v>
          </cell>
          <cell r="K78" t="str">
            <v>4001/4002</v>
          </cell>
          <cell r="L78" t="str">
            <v>MOSES</v>
          </cell>
          <cell r="M78">
            <v>2.5520833332848269E-2</v>
          </cell>
          <cell r="N78">
            <v>36.749999999301508</v>
          </cell>
          <cell r="S78">
            <v>1</v>
          </cell>
          <cell r="T78" t="str">
            <v>NorthBound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https://search-rtdc-monitor-bjffxe2xuh6vdkpspy63sjmuny.us-east-1.es.amazonaws.com/_plugin/kibana/#/discover/Steve-Slow-Train-Analysis-(2080s-and-2083s)?_g=(refreshInterval:(display:Off,section:0,value:0),time:(from:'2016-09-04 10:40:13-0600',mode:absolute,to:'2016-09-04 13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78" t="str">
            <v>N</v>
          </cell>
          <cell r="X78">
            <v>1</v>
          </cell>
          <cell r="Y78">
            <v>4.5499999999999999E-2</v>
          </cell>
          <cell r="Z78">
            <v>23.327400000000001</v>
          </cell>
          <cell r="AA78">
            <v>23.2819</v>
          </cell>
          <cell r="AB78" t="e">
            <v>#N/A</v>
          </cell>
          <cell r="AC78" t="e">
            <v>#N/A</v>
          </cell>
          <cell r="AD78" t="str">
            <v>0165-04</v>
          </cell>
          <cell r="AE78" t="str">
    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    </cell>
        </row>
        <row r="79">
          <cell r="A79" t="str">
            <v>166-04</v>
          </cell>
          <cell r="B79">
            <v>4001</v>
          </cell>
          <cell r="C79" t="str">
            <v>DE.1.0.7.0</v>
          </cell>
          <cell r="D79" t="str">
            <v>204:232973</v>
          </cell>
          <cell r="E79">
            <v>42617.526296296295</v>
          </cell>
          <cell r="F79">
            <v>42617.528703703705</v>
          </cell>
          <cell r="G79">
            <v>1</v>
          </cell>
          <cell r="H79" t="str">
            <v>204:132</v>
          </cell>
          <cell r="I79">
            <v>42617.558206018519</v>
          </cell>
          <cell r="J79">
            <v>0</v>
          </cell>
          <cell r="K79" t="str">
            <v>4001/4002</v>
          </cell>
          <cell r="L79" t="str">
            <v>MOSES</v>
          </cell>
          <cell r="M79">
            <v>2.9502314813726116E-2</v>
          </cell>
          <cell r="N79">
            <v>42.483333331765607</v>
          </cell>
          <cell r="S79">
            <v>1</v>
          </cell>
          <cell r="T79" t="str">
            <v>Southbound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https://search-rtdc-monitor-bjffxe2xuh6vdkpspy63sjmuny.us-east-1.es.amazonaws.com/_plugin/kibana/#/discover/Steve-Slow-Train-Analysis-(2080s-and-2083s)?_g=(refreshInterval:(display:Off,section:0,value:0),time:(from:'2016-09-04 11:37:52-0600',mode:absolute,to:'2016-09-04 14:23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79" t="str">
            <v>N</v>
          </cell>
          <cell r="X79">
            <v>1</v>
          </cell>
          <cell r="Y79">
            <v>23.2973</v>
          </cell>
          <cell r="Z79">
            <v>1.32E-2</v>
          </cell>
          <cell r="AA79">
            <v>23.284099999999999</v>
          </cell>
          <cell r="AB79" t="e">
            <v>#N/A</v>
          </cell>
          <cell r="AC79" t="e">
            <v>#N/A</v>
          </cell>
          <cell r="AD79" t="str">
            <v>0166-04</v>
          </cell>
          <cell r="AE79" t="str">
    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    </cell>
        </row>
        <row r="80">
          <cell r="A80" t="str">
            <v>167-04</v>
          </cell>
          <cell r="B80">
            <v>4046</v>
          </cell>
          <cell r="C80" t="str">
            <v>DE.1.0.7.0</v>
          </cell>
          <cell r="D80" t="str">
            <v>204:467</v>
          </cell>
          <cell r="E80">
            <v>42617.498229166667</v>
          </cell>
          <cell r="F80">
            <v>42617.500196759262</v>
          </cell>
          <cell r="G80">
            <v>1</v>
          </cell>
          <cell r="H80" t="str">
            <v>204:233310</v>
          </cell>
          <cell r="I80">
            <v>42617.528541666667</v>
          </cell>
          <cell r="J80">
            <v>0</v>
          </cell>
          <cell r="K80" t="str">
            <v>4045/4046</v>
          </cell>
          <cell r="L80" t="str">
            <v>YOUNG</v>
          </cell>
          <cell r="M80">
            <v>2.8344907404971309E-2</v>
          </cell>
          <cell r="N80">
            <v>40.816666663158685</v>
          </cell>
          <cell r="S80">
            <v>1</v>
          </cell>
          <cell r="T80" t="str">
            <v>NorthBound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https://search-rtdc-monitor-bjffxe2xuh6vdkpspy63sjmuny.us-east-1.es.amazonaws.com/_plugin/kibana/#/discover/Steve-Slow-Train-Analysis-(2080s-and-2083s)?_g=(refreshInterval:(display:Off,section:0,value:0),time:(from:'2016-09-04 10:57:27-0600',mode:absolute,to:'2016-09-04 13:41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80" t="str">
            <v>N</v>
          </cell>
          <cell r="X80">
            <v>1</v>
          </cell>
          <cell r="Y80">
            <v>4.6699999999999998E-2</v>
          </cell>
          <cell r="Z80">
            <v>23.331</v>
          </cell>
          <cell r="AA80">
            <v>23.284299999999998</v>
          </cell>
          <cell r="AB80" t="e">
            <v>#N/A</v>
          </cell>
          <cell r="AC80" t="e">
            <v>#N/A</v>
          </cell>
          <cell r="AD80" t="str">
            <v>0167-04</v>
          </cell>
          <cell r="AE80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81">
          <cell r="A81" t="str">
            <v>168-04</v>
          </cell>
          <cell r="B81">
            <v>4045</v>
          </cell>
          <cell r="C81" t="str">
            <v>DE.1.0.7.0</v>
          </cell>
          <cell r="D81" t="str">
            <v>204:232998</v>
          </cell>
          <cell r="E81">
            <v>42617.530289351853</v>
          </cell>
          <cell r="F81">
            <v>42617.539305555554</v>
          </cell>
          <cell r="G81">
            <v>1</v>
          </cell>
          <cell r="H81" t="str">
            <v>204:181</v>
          </cell>
          <cell r="I81">
            <v>42617.574641203704</v>
          </cell>
          <cell r="J81">
            <v>0</v>
          </cell>
          <cell r="K81" t="str">
            <v>4045/4046</v>
          </cell>
          <cell r="L81" t="str">
            <v>YOUNG</v>
          </cell>
          <cell r="M81">
            <v>3.5335648150066845E-2</v>
          </cell>
          <cell r="N81">
            <v>50.883333336096257</v>
          </cell>
          <cell r="S81">
            <v>1</v>
          </cell>
          <cell r="T81" t="str">
            <v>Southbound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https://search-rtdc-monitor-bjffxe2xuh6vdkpspy63sjmuny.us-east-1.es.amazonaws.com/_plugin/kibana/#/discover/Steve-Slow-Train-Analysis-(2080s-and-2083s)?_g=(refreshInterval:(display:Off,section:0,value:0),time:(from:'2016-09-04 11:43:37-0600',mode:absolute,to:'2016-09-04 14:47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81" t="str">
            <v>N</v>
          </cell>
          <cell r="X81">
            <v>1</v>
          </cell>
          <cell r="Y81">
            <v>23.299800000000001</v>
          </cell>
          <cell r="Z81">
            <v>1.8100000000000002E-2</v>
          </cell>
          <cell r="AA81">
            <v>23.281700000000001</v>
          </cell>
          <cell r="AB81" t="e">
            <v>#N/A</v>
          </cell>
          <cell r="AC81" t="e">
            <v>#N/A</v>
          </cell>
          <cell r="AD81" t="str">
            <v>0168-04</v>
          </cell>
          <cell r="AE81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82">
          <cell r="A82" t="str">
            <v>169-04</v>
          </cell>
          <cell r="B82">
            <v>4009</v>
          </cell>
          <cell r="C82" t="str">
            <v>DE.1.0.7.0</v>
          </cell>
          <cell r="D82" t="str">
            <v>204:457</v>
          </cell>
          <cell r="E82">
            <v>42617.507118055553</v>
          </cell>
          <cell r="F82">
            <v>42617.511006944442</v>
          </cell>
          <cell r="G82">
            <v>1</v>
          </cell>
          <cell r="H82" t="str">
            <v>204:233316</v>
          </cell>
          <cell r="I82">
            <v>42617.537245370368</v>
          </cell>
          <cell r="J82">
            <v>0</v>
          </cell>
          <cell r="K82" t="str">
            <v>4009/4010</v>
          </cell>
          <cell r="L82" t="str">
            <v>CLARK</v>
          </cell>
          <cell r="M82">
            <v>2.6238425925839692E-2</v>
          </cell>
          <cell r="N82">
            <v>37.783333333209157</v>
          </cell>
          <cell r="S82">
            <v>1</v>
          </cell>
          <cell r="T82" t="str">
            <v>NorthBound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https://search-rtdc-monitor-bjffxe2xuh6vdkpspy63sjmuny.us-east-1.es.amazonaws.com/_plugin/kibana/#/discover/Steve-Slow-Train-Analysis-(2080s-and-2083s)?_g=(refreshInterval:(display:Off,section:0,value:0),time:(from:'2016-09-04 11:10:15-0600',mode:absolute,to:'2016-09-04 13:53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82" t="str">
            <v>N</v>
          </cell>
          <cell r="X82">
            <v>1</v>
          </cell>
          <cell r="Y82">
            <v>4.5699999999999998E-2</v>
          </cell>
          <cell r="Z82">
            <v>23.331600000000002</v>
          </cell>
          <cell r="AA82">
            <v>23.285900000000002</v>
          </cell>
          <cell r="AB82" t="e">
            <v>#N/A</v>
          </cell>
          <cell r="AC82" t="e">
            <v>#N/A</v>
          </cell>
          <cell r="AD82" t="str">
            <v>0169-04</v>
          </cell>
          <cell r="AE82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83">
          <cell r="A83" t="str">
            <v>170-04</v>
          </cell>
          <cell r="B83">
            <v>4010</v>
          </cell>
          <cell r="C83" t="str">
            <v>DE.1.0.7.0</v>
          </cell>
          <cell r="D83" t="str">
            <v>204:232996</v>
          </cell>
          <cell r="E83">
            <v>42617.543946759259</v>
          </cell>
          <cell r="F83">
            <v>42617.54954861111</v>
          </cell>
          <cell r="G83">
            <v>1</v>
          </cell>
          <cell r="H83" t="str">
            <v>204:181</v>
          </cell>
          <cell r="I83">
            <v>42617.580451388887</v>
          </cell>
          <cell r="J83">
            <v>0</v>
          </cell>
          <cell r="K83" t="str">
            <v>4009/4010</v>
          </cell>
          <cell r="L83" t="str">
            <v>CLARK</v>
          </cell>
          <cell r="M83">
            <v>3.0902777776645962E-2</v>
          </cell>
          <cell r="N83">
            <v>44.499999998370185</v>
          </cell>
          <cell r="S83">
            <v>1</v>
          </cell>
          <cell r="T83" t="str">
            <v>Southbound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https://search-rtdc-monitor-bjffxe2xuh6vdkpspy63sjmuny.us-east-1.es.amazonaws.com/_plugin/kibana/#/discover/Steve-Slow-Train-Analysis-(2080s-and-2083s)?_g=(refreshInterval:(display:Off,section:0,value:0),time:(from:'2016-09-04 12:03:17-0600',mode:absolute,to:'2016-09-04 14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83" t="str">
            <v>N</v>
          </cell>
          <cell r="X83">
            <v>1</v>
          </cell>
          <cell r="Y83">
            <v>23.299600000000002</v>
          </cell>
          <cell r="Z83">
            <v>1.8100000000000002E-2</v>
          </cell>
          <cell r="AA83">
            <v>23.281500000000001</v>
          </cell>
          <cell r="AB83">
            <v>191108</v>
          </cell>
          <cell r="AC83" t="str">
            <v>PERMANENT SPEED RESTRICTION</v>
          </cell>
          <cell r="AD83" t="str">
            <v>0170-04</v>
          </cell>
          <cell r="AE83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84">
          <cell r="A84" t="str">
            <v>171-04</v>
          </cell>
          <cell r="B84">
            <v>4016</v>
          </cell>
          <cell r="C84" t="str">
            <v>DE.1.0.7.0</v>
          </cell>
          <cell r="D84" t="str">
            <v>204:464</v>
          </cell>
          <cell r="E84">
            <v>42617.515092592592</v>
          </cell>
          <cell r="F84">
            <v>42617.521064814813</v>
          </cell>
          <cell r="G84">
            <v>1</v>
          </cell>
          <cell r="H84" t="str">
            <v>204:233334</v>
          </cell>
          <cell r="I84">
            <v>42617.548900462964</v>
          </cell>
          <cell r="J84">
            <v>0</v>
          </cell>
          <cell r="K84" t="str">
            <v>4015/4016</v>
          </cell>
          <cell r="L84" t="str">
            <v>SHOOK</v>
          </cell>
          <cell r="M84">
            <v>2.7835648150357883E-2</v>
          </cell>
          <cell r="N84">
            <v>40.083333336515352</v>
          </cell>
          <cell r="S84">
            <v>1</v>
          </cell>
          <cell r="T84" t="str">
            <v>NorthBound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https://search-rtdc-monitor-bjffxe2xuh6vdkpspy63sjmuny.us-east-1.es.amazonaws.com/_plugin/kibana/#/discover/Steve-Slow-Train-Analysis-(2080s-and-2083s)?_g=(refreshInterval:(display:Off,section:0,value:0),time:(from:'2016-09-04 11:21:44-0600',mode:absolute,to:'2016-09-04 14:10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84" t="str">
            <v>N</v>
          </cell>
          <cell r="X84">
            <v>1</v>
          </cell>
          <cell r="Y84">
            <v>4.6399999999999997E-2</v>
          </cell>
          <cell r="Z84">
            <v>23.333400000000001</v>
          </cell>
          <cell r="AA84">
            <v>23.287000000000003</v>
          </cell>
          <cell r="AB84">
            <v>30830</v>
          </cell>
          <cell r="AC84" t="str">
            <v>GRADE CROSSING</v>
          </cell>
          <cell r="AD84" t="str">
            <v>0171-04</v>
          </cell>
          <cell r="AE84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85">
          <cell r="A85" t="str">
            <v>172-04</v>
          </cell>
          <cell r="B85">
            <v>4015</v>
          </cell>
          <cell r="C85" t="str">
            <v>DE.1.0.7.0</v>
          </cell>
          <cell r="D85" t="str">
            <v>204:233019</v>
          </cell>
          <cell r="E85">
            <v>42617.556134259263</v>
          </cell>
          <cell r="F85">
            <v>42617.560011574074</v>
          </cell>
          <cell r="G85">
            <v>1</v>
          </cell>
          <cell r="H85" t="str">
            <v>204:156</v>
          </cell>
          <cell r="I85">
            <v>42617.592268518521</v>
          </cell>
          <cell r="J85">
            <v>0</v>
          </cell>
          <cell r="K85" t="str">
            <v>4015/4016</v>
          </cell>
          <cell r="L85" t="str">
            <v>SHOOK</v>
          </cell>
          <cell r="M85">
            <v>3.2256944446999114E-2</v>
          </cell>
          <cell r="N85">
            <v>46.450000003678724</v>
          </cell>
          <cell r="S85">
            <v>1</v>
          </cell>
          <cell r="T85" t="str">
            <v>Southbound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https://search-rtdc-monitor-bjffxe2xuh6vdkpspy63sjmuny.us-east-1.es.amazonaws.com/_plugin/kibana/#/discover/Steve-Slow-Train-Analysis-(2080s-and-2083s)?_g=(refreshInterval:(display:Off,section:0,value:0),time:(from:'2016-09-04 12:20:50-0600',mode:absolute,to:'2016-09-04 15:12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85" t="str">
            <v>N</v>
          </cell>
          <cell r="X85">
            <v>1</v>
          </cell>
          <cell r="Y85">
            <v>23.3019</v>
          </cell>
          <cell r="Z85">
            <v>1.5599999999999999E-2</v>
          </cell>
          <cell r="AA85">
            <v>23.286300000000001</v>
          </cell>
          <cell r="AB85" t="e">
            <v>#N/A</v>
          </cell>
          <cell r="AC85" t="e">
            <v>#N/A</v>
          </cell>
          <cell r="AD85" t="str">
            <v>0172-04</v>
          </cell>
          <cell r="AE85" t="str">
    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    </cell>
        </row>
        <row r="86">
          <cell r="A86" t="str">
            <v>173-04</v>
          </cell>
          <cell r="B86">
            <v>4031</v>
          </cell>
          <cell r="C86" t="str">
            <v>DE.1.0.7.0</v>
          </cell>
          <cell r="D86" t="str">
            <v>204:466</v>
          </cell>
          <cell r="E86">
            <v>42617.528391203705</v>
          </cell>
          <cell r="F86">
            <v>42617.531504629631</v>
          </cell>
          <cell r="G86">
            <v>1</v>
          </cell>
          <cell r="H86" t="str">
            <v>204:233368</v>
          </cell>
          <cell r="I86">
            <v>42617.556481481479</v>
          </cell>
          <cell r="J86">
            <v>0</v>
          </cell>
          <cell r="K86" t="str">
            <v>4031/4032</v>
          </cell>
          <cell r="L86" t="str">
            <v>STEWART</v>
          </cell>
          <cell r="M86">
            <v>2.4976851847895887E-2</v>
          </cell>
          <cell r="N86">
            <v>35.966666660970077</v>
          </cell>
          <cell r="S86">
            <v>1</v>
          </cell>
          <cell r="T86" t="str">
            <v>NorthBound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https://search-rtdc-monitor-bjffxe2xuh6vdkpspy63sjmuny.us-east-1.es.amazonaws.com/_plugin/kibana/#/discover/Steve-Slow-Train-Analysis-(2080s-and-2083s)?_g=(refreshInterval:(display:Off,section:0,value:0),time:(from:'2016-09-04 11:40:53-0600',mode:absolute,to:'2016-09-04 14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86" t="str">
            <v>N</v>
          </cell>
          <cell r="X86">
            <v>1</v>
          </cell>
          <cell r="Y86">
            <v>4.6600000000000003E-2</v>
          </cell>
          <cell r="Z86">
            <v>23.3368</v>
          </cell>
          <cell r="AA86">
            <v>23.290199999999999</v>
          </cell>
          <cell r="AB86" t="e">
            <v>#N/A</v>
          </cell>
          <cell r="AC86" t="e">
            <v>#N/A</v>
          </cell>
          <cell r="AD86" t="str">
            <v>0173-04</v>
          </cell>
          <cell r="AE86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87">
          <cell r="A87" t="str">
            <v>174-04</v>
          </cell>
          <cell r="B87">
            <v>4032</v>
          </cell>
          <cell r="C87" t="str">
            <v>DE.1.0.7.0</v>
          </cell>
          <cell r="D87" t="str">
            <v>204:233009</v>
          </cell>
          <cell r="E87">
            <v>42617.567893518521</v>
          </cell>
          <cell r="F87">
            <v>42617.570659722223</v>
          </cell>
          <cell r="G87">
            <v>1</v>
          </cell>
          <cell r="H87" t="str">
            <v>204:161</v>
          </cell>
          <cell r="I87">
            <v>42617.600324074076</v>
          </cell>
          <cell r="J87">
            <v>0</v>
          </cell>
          <cell r="K87" t="str">
            <v>4031/4032</v>
          </cell>
          <cell r="L87" t="str">
            <v>STEWART</v>
          </cell>
          <cell r="M87">
            <v>2.9664351852261461E-2</v>
          </cell>
          <cell r="N87">
            <v>42.716666667256504</v>
          </cell>
          <cell r="S87">
            <v>1</v>
          </cell>
          <cell r="T87" t="str">
            <v>Southbound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https://search-rtdc-monitor-bjffxe2xuh6vdkpspy63sjmuny.us-east-1.es.amazonaws.com/_plugin/kibana/#/discover/Steve-Slow-Train-Analysis-(2080s-and-2083s)?_g=(refreshInterval:(display:Off,section:0,value:0),time:(from:'2016-09-04 12:37:46-0600',mode:absolute,to:'2016-09-04 15:24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87" t="str">
            <v>N</v>
          </cell>
          <cell r="X87">
            <v>1</v>
          </cell>
          <cell r="Y87">
            <v>23.300899999999999</v>
          </cell>
          <cell r="Z87">
            <v>1.61E-2</v>
          </cell>
          <cell r="AA87">
            <v>23.284799999999997</v>
          </cell>
          <cell r="AB87" t="e">
            <v>#N/A</v>
          </cell>
          <cell r="AC87" t="e">
            <v>#N/A</v>
          </cell>
          <cell r="AD87" t="str">
            <v>0174-04</v>
          </cell>
          <cell r="AE87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88">
          <cell r="A88" t="str">
            <v>176-04</v>
          </cell>
          <cell r="B88">
            <v>4017</v>
          </cell>
          <cell r="C88" t="str">
            <v>DE.1.0.7.0</v>
          </cell>
          <cell r="D88" t="str">
            <v>204:232994</v>
          </cell>
          <cell r="E88">
            <v>42617.583969907406</v>
          </cell>
          <cell r="F88">
            <v>42617.585138888891</v>
          </cell>
          <cell r="G88">
            <v>1</v>
          </cell>
          <cell r="H88" t="str">
            <v>204:136</v>
          </cell>
          <cell r="I88">
            <v>42617.611817129633</v>
          </cell>
          <cell r="J88">
            <v>0</v>
          </cell>
          <cell r="K88" t="str">
            <v>4017/4018</v>
          </cell>
          <cell r="L88" t="str">
            <v>BARTLETT</v>
          </cell>
          <cell r="M88">
            <v>2.6678240741603076E-2</v>
          </cell>
          <cell r="N88">
            <v>38.41666666790843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https://search-rtdc-monitor-bjffxe2xuh6vdkpspy63sjmuny.us-east-1.es.amazonaws.com/_plugin/kibana/#/discover/Steve-Slow-Train-Analysis-(2080s-and-2083s)?_g=(refreshInterval:(display:Off,section:0,value:0),time:(from:'2016-09-04 13:00:55-0600',mode:absolute,to:'2016-09-04 15:41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88" t="str">
            <v>N</v>
          </cell>
          <cell r="X88">
            <v>2</v>
          </cell>
          <cell r="Y88">
            <v>23.299399999999999</v>
          </cell>
          <cell r="Z88">
            <v>1.3599999999999999E-2</v>
          </cell>
          <cell r="AA88">
            <v>23.285799999999998</v>
          </cell>
          <cell r="AB88" t="e">
            <v>#N/A</v>
          </cell>
          <cell r="AC88" t="e">
            <v>#N/A</v>
          </cell>
          <cell r="AD88" t="str">
            <v>0176-04</v>
          </cell>
          <cell r="AE88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89">
          <cell r="A89" t="str">
            <v>177-04</v>
          </cell>
          <cell r="B89">
            <v>4038</v>
          </cell>
          <cell r="C89" t="str">
            <v>DE.1.0.7.0</v>
          </cell>
          <cell r="D89" t="str">
            <v>204:464</v>
          </cell>
          <cell r="E89">
            <v>42617.548425925925</v>
          </cell>
          <cell r="F89">
            <v>42617.55232638889</v>
          </cell>
          <cell r="G89">
            <v>1</v>
          </cell>
          <cell r="H89" t="str">
            <v>204:233314</v>
          </cell>
          <cell r="I89">
            <v>42617.585844907408</v>
          </cell>
          <cell r="J89">
            <v>0</v>
          </cell>
          <cell r="K89" t="str">
            <v>4037/4038</v>
          </cell>
          <cell r="L89" t="str">
            <v>BRUDER</v>
          </cell>
          <cell r="M89">
            <v>3.3518518517666962E-2</v>
          </cell>
          <cell r="N89">
            <v>48.266666665440425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https://search-rtdc-monitor-bjffxe2xuh6vdkpspy63sjmuny.us-east-1.es.amazonaws.com/_plugin/kibana/#/discover/Steve-Slow-Train-Analysis-(2080s-and-2083s)?_g=(refreshInterval:(display:Off,section:0,value:0),time:(from:'2016-09-04 12:09:44-0600',mode:absolute,to:'2016-09-04 15:03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89" t="str">
            <v>N</v>
          </cell>
          <cell r="X89">
            <v>1</v>
          </cell>
          <cell r="Y89">
            <v>4.6399999999999997E-2</v>
          </cell>
          <cell r="Z89">
            <v>23.331399999999999</v>
          </cell>
          <cell r="AA89">
            <v>23.285</v>
          </cell>
          <cell r="AB89" t="e">
            <v>#N/A</v>
          </cell>
          <cell r="AC89" t="e">
            <v>#N/A</v>
          </cell>
          <cell r="AD89" t="str">
            <v>0177-04</v>
          </cell>
          <cell r="AE89" t="str">
    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    </cell>
        </row>
        <row r="90">
          <cell r="A90" t="str">
            <v>178-04</v>
          </cell>
          <cell r="B90">
            <v>4037</v>
          </cell>
          <cell r="C90" t="str">
            <v>DE.1.0.7.0</v>
          </cell>
          <cell r="D90" t="str">
            <v>204:232980</v>
          </cell>
          <cell r="E90">
            <v>42617.587418981479</v>
          </cell>
          <cell r="F90">
            <v>42617.591168981482</v>
          </cell>
          <cell r="G90">
            <v>1</v>
          </cell>
          <cell r="H90" t="str">
            <v>204:149</v>
          </cell>
          <cell r="I90">
            <v>42617.617708333331</v>
          </cell>
          <cell r="J90">
            <v>0</v>
          </cell>
          <cell r="K90" t="str">
            <v>4037/4038</v>
          </cell>
          <cell r="L90" t="str">
            <v>BRUDER</v>
          </cell>
          <cell r="M90">
            <v>2.6539351849351078E-2</v>
          </cell>
          <cell r="N90">
            <v>38.216666663065553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https://search-rtdc-monitor-bjffxe2xuh6vdkpspy63sjmuny.us-east-1.es.amazonaws.com/_plugin/kibana/#/discover/Steve-Slow-Train-Analysis-(2080s-and-2083s)?_g=(refreshInterval:(display:Off,section:0,value:0),time:(from:'2016-09-04 13:05:53-0600',mode:absolute,to:'2016-09-04 15:49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90" t="str">
            <v>N</v>
          </cell>
          <cell r="X90">
            <v>1</v>
          </cell>
          <cell r="Y90">
            <v>23.297999999999998</v>
          </cell>
          <cell r="Z90">
            <v>1.49E-2</v>
          </cell>
          <cell r="AA90">
            <v>23.283099999999997</v>
          </cell>
          <cell r="AB90" t="e">
            <v>#N/A</v>
          </cell>
          <cell r="AC90" t="e">
            <v>#N/A</v>
          </cell>
          <cell r="AD90" t="str">
            <v>0178-04</v>
          </cell>
          <cell r="AE90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91">
          <cell r="A91" t="str">
            <v>179-04</v>
          </cell>
          <cell r="B91">
            <v>4002</v>
          </cell>
          <cell r="C91" t="str">
            <v>DE.1.0.7.0</v>
          </cell>
          <cell r="D91" t="str">
            <v>204:447</v>
          </cell>
          <cell r="E91">
            <v>42617.56082175926</v>
          </cell>
          <cell r="F91">
            <v>42617.564791666664</v>
          </cell>
          <cell r="G91">
            <v>1</v>
          </cell>
          <cell r="H91" t="str">
            <v>204:233310</v>
          </cell>
          <cell r="I91">
            <v>42617.590914351851</v>
          </cell>
          <cell r="J91">
            <v>0</v>
          </cell>
          <cell r="K91" t="str">
            <v>4001/4002</v>
          </cell>
          <cell r="L91" t="str">
            <v>MOSES</v>
          </cell>
          <cell r="M91">
            <v>2.6122685187146999E-2</v>
          </cell>
          <cell r="N91">
            <v>37.616666669491678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https://search-rtdc-monitor-bjffxe2xuh6vdkpspy63sjmuny.us-east-1.es.amazonaws.com/_plugin/kibana/#/discover/Steve-Slow-Train-Analysis-(2080s-and-2083s)?_g=(refreshInterval:(display:Off,section:0,value:0),time:(from:'2016-09-04 12:27:35-0600',mode:absolute,to:'2016-09-04 15:10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91" t="str">
            <v>N</v>
          </cell>
          <cell r="X91">
            <v>1</v>
          </cell>
          <cell r="Y91">
            <v>4.4699999999999997E-2</v>
          </cell>
          <cell r="Z91">
            <v>23.331</v>
          </cell>
          <cell r="AA91">
            <v>23.286300000000001</v>
          </cell>
          <cell r="AB91" t="e">
            <v>#N/A</v>
          </cell>
          <cell r="AC91" t="e">
            <v>#N/A</v>
          </cell>
          <cell r="AD91" t="str">
            <v>0179-04</v>
          </cell>
          <cell r="AE91" t="str">
    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    </cell>
        </row>
        <row r="92">
          <cell r="A92" t="str">
            <v>180-04</v>
          </cell>
          <cell r="B92">
            <v>4001</v>
          </cell>
          <cell r="C92" t="str">
            <v>DE.1.0.7.0</v>
          </cell>
          <cell r="D92" t="str">
            <v>204:232979</v>
          </cell>
          <cell r="E92">
            <v>42617.597280092596</v>
          </cell>
          <cell r="F92">
            <v>42617.601840277777</v>
          </cell>
          <cell r="G92">
            <v>1</v>
          </cell>
          <cell r="H92" t="str">
            <v>204:138</v>
          </cell>
          <cell r="I92">
            <v>42617.630439814813</v>
          </cell>
          <cell r="J92">
            <v>0</v>
          </cell>
          <cell r="K92" t="str">
            <v>4001/4002</v>
          </cell>
          <cell r="L92" t="str">
            <v>MOSES</v>
          </cell>
          <cell r="M92">
            <v>2.8599537035916001E-2</v>
          </cell>
          <cell r="N92">
            <v>41.183333331719041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https://search-rtdc-monitor-bjffxe2xuh6vdkpspy63sjmuny.us-east-1.es.amazonaws.com/_plugin/kibana/#/discover/Steve-Slow-Train-Analysis-(2080s-and-2083s)?_g=(refreshInterval:(display:Off,section:0,value:0),time:(from:'2016-09-04 13:20:05-0600',mode:absolute,to:'2016-09-04 16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92" t="str">
            <v>N</v>
          </cell>
          <cell r="X92">
            <v>1</v>
          </cell>
          <cell r="Y92">
            <v>23.297899999999998</v>
          </cell>
          <cell r="Z92">
            <v>1.38E-2</v>
          </cell>
          <cell r="AA92">
            <v>23.284099999999999</v>
          </cell>
          <cell r="AB92" t="e">
            <v>#N/A</v>
          </cell>
          <cell r="AC92" t="e">
            <v>#N/A</v>
          </cell>
          <cell r="AD92" t="str">
            <v>0180-04</v>
          </cell>
          <cell r="AE92" t="str">
    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    </cell>
        </row>
        <row r="93">
          <cell r="A93" t="str">
            <v>181-04</v>
          </cell>
          <cell r="B93">
            <v>4046</v>
          </cell>
          <cell r="C93" t="str">
            <v>DE.1.0.7.0</v>
          </cell>
          <cell r="D93" t="str">
            <v>204:475</v>
          </cell>
          <cell r="E93">
            <v>42617.576550925929</v>
          </cell>
          <cell r="F93">
            <v>42617.578263888892</v>
          </cell>
          <cell r="G93">
            <v>1</v>
          </cell>
          <cell r="H93" t="str">
            <v>204:233311</v>
          </cell>
          <cell r="I93">
            <v>42617.604583333334</v>
          </cell>
          <cell r="J93">
            <v>0</v>
          </cell>
          <cell r="K93" t="str">
            <v>4045/4046</v>
          </cell>
          <cell r="L93" t="str">
            <v>YOUNG</v>
          </cell>
          <cell r="M93">
            <v>2.6319444441469386E-2</v>
          </cell>
          <cell r="N93">
            <v>37.899999995715916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https://search-rtdc-monitor-bjffxe2xuh6vdkpspy63sjmuny.us-east-1.es.amazonaws.com/_plugin/kibana/#/discover/Steve-Slow-Train-Analysis-(2080s-and-2083s)?_g=(refreshInterval:(display:Off,section:0,value:0),time:(from:'2016-09-04 12:50:14-0600',mode:absolute,to:'2016-09-04 15:30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93" t="str">
            <v>N</v>
          </cell>
          <cell r="X93">
            <v>1</v>
          </cell>
          <cell r="Y93">
            <v>4.7500000000000001E-2</v>
          </cell>
          <cell r="Z93">
            <v>23.331099999999999</v>
          </cell>
          <cell r="AA93">
            <v>23.2836</v>
          </cell>
          <cell r="AB93" t="e">
            <v>#N/A</v>
          </cell>
          <cell r="AC93" t="e">
            <v>#N/A</v>
          </cell>
          <cell r="AD93" t="str">
            <v>0181-04</v>
          </cell>
          <cell r="AE93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94">
          <cell r="A94" t="str">
            <v>182-04</v>
          </cell>
          <cell r="B94">
            <v>4045</v>
          </cell>
          <cell r="C94" t="str">
            <v>DE.1.0.7.0</v>
          </cell>
          <cell r="D94" t="str">
            <v>204:232986</v>
          </cell>
          <cell r="E94">
            <v>42617.606585648151</v>
          </cell>
          <cell r="F94">
            <v>42617.612546296295</v>
          </cell>
          <cell r="G94">
            <v>1</v>
          </cell>
          <cell r="H94" t="str">
            <v>204:174</v>
          </cell>
          <cell r="I94">
            <v>42617.641087962962</v>
          </cell>
          <cell r="J94">
            <v>0</v>
          </cell>
          <cell r="K94" t="str">
            <v>4045/4046</v>
          </cell>
          <cell r="L94" t="str">
            <v>YOUNG</v>
          </cell>
          <cell r="M94">
            <v>2.8541666666569654E-2</v>
          </cell>
          <cell r="N94">
            <v>41.099999999860302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https://search-rtdc-monitor-bjffxe2xuh6vdkpspy63sjmuny.us-east-1.es.amazonaws.com/_plugin/kibana/#/discover/Steve-Slow-Train-Analysis-(2080s-and-2083s)?_g=(refreshInterval:(display:Off,section:0,value:0),time:(from:'2016-09-04 13:33:29-0600',mode:absolute,to:'2016-09-04 16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94" t="str">
            <v>N</v>
          </cell>
          <cell r="X94">
            <v>1</v>
          </cell>
          <cell r="Y94">
            <v>23.2986</v>
          </cell>
          <cell r="Z94">
            <v>1.7399999999999999E-2</v>
          </cell>
          <cell r="AA94">
            <v>23.281200000000002</v>
          </cell>
          <cell r="AB94" t="e">
            <v>#N/A</v>
          </cell>
          <cell r="AC94" t="e">
            <v>#N/A</v>
          </cell>
          <cell r="AD94" t="str">
            <v>0182-04</v>
          </cell>
          <cell r="AE94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95">
          <cell r="A95" t="str">
            <v>183-04</v>
          </cell>
          <cell r="B95">
            <v>4009</v>
          </cell>
          <cell r="C95" t="str">
            <v>DE.1.0.7.0</v>
          </cell>
          <cell r="D95" t="str">
            <v>204:489</v>
          </cell>
          <cell r="E95">
            <v>42617.58222222222</v>
          </cell>
          <cell r="F95">
            <v>42617.584467592591</v>
          </cell>
          <cell r="G95">
            <v>1</v>
          </cell>
          <cell r="H95" t="str">
            <v>204:233325</v>
          </cell>
          <cell r="I95">
            <v>42617.610937500001</v>
          </cell>
          <cell r="J95">
            <v>0</v>
          </cell>
          <cell r="K95" t="str">
            <v>4009/4010</v>
          </cell>
          <cell r="L95" t="str">
            <v>CLARK</v>
          </cell>
          <cell r="M95">
            <v>2.6469907410501037E-2</v>
          </cell>
          <cell r="N95">
            <v>38.116666671121493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https://search-rtdc-monitor-bjffxe2xuh6vdkpspy63sjmuny.us-east-1.es.amazonaws.com/_plugin/kibana/#/discover/Steve-Slow-Train-Analysis-(2080s-and-2083s)?_g=(refreshInterval:(display:Off,section:0,value:0),time:(from:'2016-09-04 12:58:24-0600',mode:absolute,to:'2016-09-04 15:39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95" t="str">
            <v>N</v>
          </cell>
          <cell r="X95">
            <v>1</v>
          </cell>
          <cell r="Y95">
            <v>4.8899999999999999E-2</v>
          </cell>
          <cell r="Z95">
            <v>23.3325</v>
          </cell>
          <cell r="AA95">
            <v>23.2836</v>
          </cell>
          <cell r="AB95" t="e">
            <v>#N/A</v>
          </cell>
          <cell r="AC95" t="e">
            <v>#N/A</v>
          </cell>
          <cell r="AD95" t="str">
            <v>0183-04</v>
          </cell>
          <cell r="AE95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96">
          <cell r="A96" t="str">
            <v>184-04</v>
          </cell>
          <cell r="B96">
            <v>4010</v>
          </cell>
          <cell r="C96" t="str">
            <v>DE.1.0.7.0</v>
          </cell>
          <cell r="D96" t="str">
            <v>204:233002</v>
          </cell>
          <cell r="E96">
            <v>42617.6174537037</v>
          </cell>
          <cell r="F96">
            <v>42617.622430555559</v>
          </cell>
          <cell r="G96">
            <v>1</v>
          </cell>
          <cell r="H96" t="str">
            <v>204:152</v>
          </cell>
          <cell r="I96">
            <v>42617.65053240741</v>
          </cell>
          <cell r="J96">
            <v>0</v>
          </cell>
          <cell r="K96" t="str">
            <v>4009/4010</v>
          </cell>
          <cell r="L96" t="str">
            <v>CLARK</v>
          </cell>
          <cell r="M96">
            <v>2.810185185080627E-2</v>
          </cell>
          <cell r="N96">
            <v>40.466666665161029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https://search-rtdc-monitor-bjffxe2xuh6vdkpspy63sjmuny.us-east-1.es.amazonaws.com/_plugin/kibana/#/discover/Steve-Slow-Train-Analysis-(2080s-and-2083s)?_g=(refreshInterval:(display:Off,section:0,value:0),time:(from:'2016-09-04 13:49:08-0600',mode:absolute,to:'2016-09-04 16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96" t="str">
            <v>N</v>
          </cell>
          <cell r="X96">
            <v>1</v>
          </cell>
          <cell r="Y96">
            <v>23.3002</v>
          </cell>
          <cell r="Z96">
            <v>1.52E-2</v>
          </cell>
          <cell r="AA96">
            <v>23.285</v>
          </cell>
          <cell r="AB96" t="e">
            <v>#N/A</v>
          </cell>
          <cell r="AC96" t="e">
            <v>#N/A</v>
          </cell>
          <cell r="AD96" t="str">
            <v>0184-04</v>
          </cell>
          <cell r="AE96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97">
          <cell r="A97" t="str">
            <v>185-04</v>
          </cell>
          <cell r="B97">
            <v>4016</v>
          </cell>
          <cell r="C97" t="str">
            <v>DE.1.0.7.0</v>
          </cell>
          <cell r="D97" t="str">
            <v>204:462</v>
          </cell>
          <cell r="E97">
            <v>42617.593206018515</v>
          </cell>
          <cell r="F97">
            <v>42617.594965277778</v>
          </cell>
          <cell r="G97">
            <v>1</v>
          </cell>
          <cell r="H97" t="str">
            <v>204:233357</v>
          </cell>
          <cell r="I97">
            <v>42617.62027777778</v>
          </cell>
          <cell r="J97">
            <v>0</v>
          </cell>
          <cell r="K97" t="str">
            <v>4015/4016</v>
          </cell>
          <cell r="L97" t="str">
            <v>SHOOK</v>
          </cell>
          <cell r="M97">
            <v>2.531250000174623E-2</v>
          </cell>
          <cell r="N97">
            <v>36.450000002514571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https://search-rtdc-monitor-bjffxe2xuh6vdkpspy63sjmuny.us-east-1.es.amazonaws.com/_plugin/kibana/#/discover/Steve-Slow-Train-Analysis-(2080s-and-2083s)?_g=(refreshInterval:(display:Off,section:0,value:0),time:(from:'2016-09-04 13:14:13-0600',mode:absolute,to:'2016-09-04 15:53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97" t="str">
            <v>N</v>
          </cell>
          <cell r="X97">
            <v>1</v>
          </cell>
          <cell r="Y97">
            <v>4.6199999999999998E-2</v>
          </cell>
          <cell r="Z97">
            <v>23.335699999999999</v>
          </cell>
          <cell r="AA97">
            <v>23.2895</v>
          </cell>
          <cell r="AB97" t="e">
            <v>#N/A</v>
          </cell>
          <cell r="AC97" t="e">
            <v>#N/A</v>
          </cell>
          <cell r="AD97" t="str">
            <v>0185-04</v>
          </cell>
          <cell r="AE97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98">
          <cell r="A98" t="str">
            <v>187-04</v>
          </cell>
          <cell r="B98">
            <v>4031</v>
          </cell>
          <cell r="C98" t="str">
            <v>DE.1.0.7.0</v>
          </cell>
          <cell r="D98" t="str">
            <v>204:466</v>
          </cell>
          <cell r="E98">
            <v>42617.602407407408</v>
          </cell>
          <cell r="F98">
            <v>42617.604456018518</v>
          </cell>
          <cell r="G98">
            <v>1</v>
          </cell>
          <cell r="H98" t="str">
            <v>204:233359</v>
          </cell>
          <cell r="I98">
            <v>42617.629629629628</v>
          </cell>
          <cell r="J98">
            <v>0</v>
          </cell>
          <cell r="K98" t="str">
            <v>4031/4032</v>
          </cell>
          <cell r="L98" t="str">
            <v>STEWART</v>
          </cell>
          <cell r="M98">
            <v>2.5173611109494232E-2</v>
          </cell>
          <cell r="N98">
            <v>36.249999997671694</v>
          </cell>
          <cell r="S98">
            <v>1</v>
          </cell>
          <cell r="T98" t="str">
            <v>NorthBound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https://search-rtdc-monitor-bjffxe2xuh6vdkpspy63sjmuny.us-east-1.es.amazonaws.com/_plugin/kibana/#/discover/Steve-Slow-Train-Analysis-(2080s-and-2083s)?_g=(refreshInterval:(display:Off,section:0,value:0),time:(from:'2016-09-04 13:27:28-0600',mode:absolute,to:'2016-09-04 16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98" t="str">
            <v>N</v>
          </cell>
          <cell r="X98">
            <v>2</v>
          </cell>
          <cell r="Y98">
            <v>4.6600000000000003E-2</v>
          </cell>
          <cell r="Z98">
            <v>23.335899999999999</v>
          </cell>
          <cell r="AA98">
            <v>23.289299999999997</v>
          </cell>
          <cell r="AB98" t="e">
            <v>#N/A</v>
          </cell>
          <cell r="AC98" t="e">
            <v>#N/A</v>
          </cell>
          <cell r="AD98" t="str">
            <v>0187-04</v>
          </cell>
          <cell r="AE98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99">
          <cell r="A99" t="str">
            <v>188-04</v>
          </cell>
          <cell r="B99">
            <v>4032</v>
          </cell>
          <cell r="C99" t="str">
            <v>DE.1.0.7.0</v>
          </cell>
          <cell r="D99" t="str">
            <v>204:233049</v>
          </cell>
          <cell r="E99">
            <v>42617.641886574071</v>
          </cell>
          <cell r="F99">
            <v>42617.643599537034</v>
          </cell>
          <cell r="G99">
            <v>1</v>
          </cell>
          <cell r="H99" t="str">
            <v>204:145</v>
          </cell>
          <cell r="I99">
            <v>42617.669745370367</v>
          </cell>
          <cell r="J99">
            <v>0</v>
          </cell>
          <cell r="K99" t="str">
            <v>4031/4032</v>
          </cell>
          <cell r="L99" t="str">
            <v>STEWART</v>
          </cell>
          <cell r="M99">
            <v>2.6145833333430346E-2</v>
          </cell>
          <cell r="N99">
            <v>37.650000000139698</v>
          </cell>
          <cell r="S99">
            <v>1</v>
          </cell>
          <cell r="T99" t="str">
            <v>Southbound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https://search-rtdc-monitor-bjffxe2xuh6vdkpspy63sjmuny.us-east-1.es.amazonaws.com/_plugin/kibana/#/discover/Steve-Slow-Train-Analysis-(2080s-and-2083s)?_g=(refreshInterval:(display:Off,section:0,value:0),time:(from:'2016-09-04 14:24:19-0600',mode:absolute,to:'2016-09-04 17:04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99" t="str">
            <v>N</v>
          </cell>
          <cell r="X99">
            <v>1</v>
          </cell>
          <cell r="Y99">
            <v>23.3049</v>
          </cell>
          <cell r="Z99">
            <v>1.4500000000000001E-2</v>
          </cell>
          <cell r="AA99">
            <v>23.290399999999998</v>
          </cell>
          <cell r="AB99" t="e">
            <v>#N/A</v>
          </cell>
          <cell r="AC99" t="e">
            <v>#N/A</v>
          </cell>
          <cell r="AD99" t="str">
            <v>0188-04</v>
          </cell>
          <cell r="AE99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100">
          <cell r="A100" t="str">
            <v>189-04</v>
          </cell>
          <cell r="B100">
            <v>4018</v>
          </cell>
          <cell r="C100" t="str">
            <v>DE.1.0.7.0</v>
          </cell>
          <cell r="D100" t="str">
            <v>204:458</v>
          </cell>
          <cell r="E100">
            <v>42617.613680555558</v>
          </cell>
          <cell r="F100">
            <v>42617.615393518521</v>
          </cell>
          <cell r="G100">
            <v>1</v>
          </cell>
          <cell r="H100" t="str">
            <v>204:233336</v>
          </cell>
          <cell r="I100">
            <v>42617.640428240738</v>
          </cell>
          <cell r="J100">
            <v>0</v>
          </cell>
          <cell r="K100" t="str">
            <v>4017/4018</v>
          </cell>
          <cell r="L100" t="str">
            <v>BARTLETT</v>
          </cell>
          <cell r="M100">
            <v>2.5034722217242233E-2</v>
          </cell>
          <cell r="N100">
            <v>36.049999992828816</v>
          </cell>
          <cell r="S100">
            <v>1</v>
          </cell>
          <cell r="T100" t="str">
            <v>NorthBound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https://search-rtdc-monitor-bjffxe2xuh6vdkpspy63sjmuny.us-east-1.es.amazonaws.com/_plugin/kibana/#/discover/Steve-Slow-Train-Analysis-(2080s-and-2083s)?_g=(refreshInterval:(display:Off,section:0,value:0),time:(from:'2016-09-04 13:43:42-0600',mode:absolute,to:'2016-09-04 16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00" t="str">
            <v>N</v>
          </cell>
          <cell r="X100">
            <v>1</v>
          </cell>
          <cell r="Y100">
            <v>4.58E-2</v>
          </cell>
          <cell r="Z100">
            <v>23.333600000000001</v>
          </cell>
          <cell r="AA100">
            <v>23.287800000000001</v>
          </cell>
          <cell r="AB100" t="e">
            <v>#N/A</v>
          </cell>
          <cell r="AC100" t="e">
            <v>#N/A</v>
          </cell>
          <cell r="AD100" t="str">
            <v>0189-04</v>
          </cell>
          <cell r="AE100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101">
          <cell r="A101" t="str">
            <v>190-04</v>
          </cell>
          <cell r="B101">
            <v>4017</v>
          </cell>
          <cell r="C101" t="str">
            <v>DE.1.0.7.0</v>
          </cell>
          <cell r="D101" t="str">
            <v>204:233015</v>
          </cell>
          <cell r="E101">
            <v>42617.650752314818</v>
          </cell>
          <cell r="F101">
            <v>42617.653865740744</v>
          </cell>
          <cell r="G101">
            <v>1</v>
          </cell>
          <cell r="H101" t="str">
            <v>204:150</v>
          </cell>
          <cell r="I101">
            <v>42617.681354166663</v>
          </cell>
          <cell r="J101">
            <v>0</v>
          </cell>
          <cell r="K101" t="str">
            <v>4017/4018</v>
          </cell>
          <cell r="L101" t="str">
            <v>BARTLETT</v>
          </cell>
          <cell r="M101">
            <v>2.7488425919727888E-2</v>
          </cell>
          <cell r="N101">
            <v>39.583333324408159</v>
          </cell>
          <cell r="S101">
            <v>1</v>
          </cell>
          <cell r="T101" t="str">
            <v>Southbound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https://search-rtdc-monitor-bjffxe2xuh6vdkpspy63sjmuny.us-east-1.es.amazonaws.com/_plugin/kibana/#/discover/Steve-Slow-Train-Analysis-(2080s-and-2083s)?_g=(refreshInterval:(display:Off,section:0,value:0),time:(from:'2016-09-04 14:37:05-0600',mode:absolute,to:'2016-09-04 17:21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01" t="str">
            <v>N</v>
          </cell>
          <cell r="X101">
            <v>1</v>
          </cell>
          <cell r="Y101">
            <v>23.301500000000001</v>
          </cell>
          <cell r="Z101">
            <v>1.4999999999999999E-2</v>
          </cell>
          <cell r="AA101">
            <v>23.2865</v>
          </cell>
          <cell r="AB101" t="e">
            <v>#N/A</v>
          </cell>
          <cell r="AC101" t="e">
            <v>#N/A</v>
          </cell>
          <cell r="AD101" t="str">
            <v>0190-04</v>
          </cell>
          <cell r="AE101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102">
          <cell r="A102" t="str">
            <v>191-04</v>
          </cell>
          <cell r="B102">
            <v>4038</v>
          </cell>
          <cell r="C102" t="str">
            <v>DE.1.0.7.0</v>
          </cell>
          <cell r="D102" t="str">
            <v>204:460</v>
          </cell>
          <cell r="E102">
            <v>42617.619710648149</v>
          </cell>
          <cell r="F102">
            <v>42617.625162037039</v>
          </cell>
          <cell r="G102">
            <v>1</v>
          </cell>
          <cell r="H102" t="str">
            <v>204:233297</v>
          </cell>
          <cell r="I102">
            <v>42617.649525462963</v>
          </cell>
          <cell r="J102">
            <v>0</v>
          </cell>
          <cell r="K102" t="str">
            <v>4037/4038</v>
          </cell>
          <cell r="L102" t="str">
            <v>BRUDER</v>
          </cell>
          <cell r="M102">
            <v>2.4363425924093463E-2</v>
          </cell>
          <cell r="N102">
            <v>35.083333330694586</v>
          </cell>
          <cell r="S102">
            <v>1</v>
          </cell>
          <cell r="T102" t="str">
            <v>NorthBound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https://search-rtdc-monitor-bjffxe2xuh6vdkpspy63sjmuny.us-east-1.es.amazonaws.com/_plugin/kibana/#/discover/Steve-Slow-Train-Analysis-(2080s-and-2083s)?_g=(refreshInterval:(display:Off,section:0,value:0),time:(from:'2016-09-04 13:52:23-0600',mode:absolute,to:'2016-09-04 16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02" t="str">
            <v>N</v>
          </cell>
          <cell r="X102">
            <v>1</v>
          </cell>
          <cell r="Y102">
            <v>4.5999999999999999E-2</v>
          </cell>
          <cell r="Z102">
            <v>23.329699999999999</v>
          </cell>
          <cell r="AA102">
            <v>23.2837</v>
          </cell>
          <cell r="AB102" t="e">
            <v>#N/A</v>
          </cell>
          <cell r="AC102" t="e">
            <v>#N/A</v>
          </cell>
          <cell r="AD102" t="str">
            <v>0191-04</v>
          </cell>
          <cell r="AE102" t="str">
    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    </cell>
        </row>
        <row r="103">
          <cell r="A103" t="str">
            <v>192-04</v>
          </cell>
          <cell r="B103">
            <v>4037</v>
          </cell>
          <cell r="C103" t="str">
            <v>DE.1.0.7.0</v>
          </cell>
          <cell r="D103" t="str">
            <v>204:232987</v>
          </cell>
          <cell r="E103">
            <v>42617.658576388887</v>
          </cell>
          <cell r="F103">
            <v>42617.664189814815</v>
          </cell>
          <cell r="G103">
            <v>1</v>
          </cell>
          <cell r="H103" t="str">
            <v>204:138</v>
          </cell>
          <cell r="I103">
            <v>42617.691979166666</v>
          </cell>
          <cell r="J103">
            <v>0</v>
          </cell>
          <cell r="K103" t="str">
            <v>4037/4038</v>
          </cell>
          <cell r="L103" t="str">
            <v>BRUDER</v>
          </cell>
          <cell r="M103">
            <v>2.7789351850515231E-2</v>
          </cell>
          <cell r="N103">
            <v>40.016666664741933</v>
          </cell>
          <cell r="S103">
            <v>1</v>
          </cell>
          <cell r="T103" t="str">
            <v>Southbound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https://search-rtdc-monitor-bjffxe2xuh6vdkpspy63sjmuny.us-east-1.es.amazonaws.com/_plugin/kibana/#/discover/Steve-Slow-Train-Analysis-(2080s-and-2083s)?_g=(refreshInterval:(display:Off,section:0,value:0),time:(from:'2016-09-04 14:48:21-0600',mode:absolute,to:'2016-09-04 17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03" t="str">
            <v>N</v>
          </cell>
          <cell r="X103">
            <v>1</v>
          </cell>
          <cell r="Y103">
            <v>23.2987</v>
          </cell>
          <cell r="Z103">
            <v>1.38E-2</v>
          </cell>
          <cell r="AA103">
            <v>23.2849</v>
          </cell>
          <cell r="AB103" t="e">
            <v>#N/A</v>
          </cell>
          <cell r="AC103" t="e">
            <v>#N/A</v>
          </cell>
          <cell r="AD103" t="str">
            <v>0192-04</v>
          </cell>
          <cell r="AE103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104">
          <cell r="A104" t="str">
            <v>193-04</v>
          </cell>
          <cell r="B104">
            <v>4002</v>
          </cell>
          <cell r="C104" t="str">
            <v>DE.1.0.7.0</v>
          </cell>
          <cell r="D104" t="str">
            <v>204:449</v>
          </cell>
          <cell r="E104">
            <v>42617.632997685185</v>
          </cell>
          <cell r="F104">
            <v>42617.635821759257</v>
          </cell>
          <cell r="G104">
            <v>3</v>
          </cell>
          <cell r="H104" t="str">
            <v>204:233291</v>
          </cell>
          <cell r="I104">
            <v>42617.661122685182</v>
          </cell>
          <cell r="J104">
            <v>0</v>
          </cell>
          <cell r="K104" t="str">
            <v>4001/4002</v>
          </cell>
          <cell r="L104" t="str">
            <v>MOSES</v>
          </cell>
          <cell r="M104">
            <v>2.5300925924966577E-2</v>
          </cell>
          <cell r="N104">
            <v>36.433333331951872</v>
          </cell>
          <cell r="S104">
            <v>1</v>
          </cell>
          <cell r="T104" t="str">
            <v>NorthBound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https://search-rtdc-monitor-bjffxe2xuh6vdkpspy63sjmuny.us-east-1.es.amazonaws.com/_plugin/kibana/#/discover/Steve-Slow-Train-Analysis-(2080s-and-2083s)?_g=(refreshInterval:(display:Off,section:0,value:0),time:(from:'2016-09-04 14:11:31-0600',mode:absolute,to:'2016-09-04 16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04" t="str">
            <v>N</v>
          </cell>
          <cell r="X104">
            <v>1</v>
          </cell>
          <cell r="Y104">
            <v>4.4900000000000002E-2</v>
          </cell>
          <cell r="Z104">
            <v>23.3291</v>
          </cell>
          <cell r="AA104">
            <v>23.284200000000002</v>
          </cell>
          <cell r="AB104" t="e">
            <v>#N/A</v>
          </cell>
          <cell r="AC104" t="e">
            <v>#N/A</v>
          </cell>
          <cell r="AD104" t="str">
            <v>0193-04</v>
          </cell>
          <cell r="AE104" t="str">
    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    </cell>
        </row>
        <row r="105">
          <cell r="A105" t="str">
            <v>194-04</v>
          </cell>
          <cell r="B105">
            <v>4001</v>
          </cell>
          <cell r="C105" t="str">
            <v>DE.1.0.7.0</v>
          </cell>
          <cell r="D105" t="str">
            <v>204:232984</v>
          </cell>
          <cell r="E105">
            <v>42617.67046296296</v>
          </cell>
          <cell r="F105">
            <v>42617.674467592595</v>
          </cell>
          <cell r="G105">
            <v>1</v>
          </cell>
          <cell r="H105" t="str">
            <v>204:143</v>
          </cell>
          <cell r="I105">
            <v>42617.704004629632</v>
          </cell>
          <cell r="J105">
            <v>0</v>
          </cell>
          <cell r="K105" t="str">
            <v>4001/4002</v>
          </cell>
          <cell r="L105" t="str">
            <v>MOSES</v>
          </cell>
          <cell r="M105">
            <v>2.9537037036789116E-2</v>
          </cell>
          <cell r="N105">
            <v>42.533333332976326</v>
          </cell>
          <cell r="S105">
            <v>1</v>
          </cell>
          <cell r="T105" t="str">
            <v>Southbound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https://search-rtdc-monitor-bjffxe2xuh6vdkpspy63sjmuny.us-east-1.es.amazonaws.com/_plugin/kibana/#/discover/Steve-Slow-Train-Analysis-(2080s-and-2083s)?_g=(refreshInterval:(display:Off,section:0,value:0),time:(from:'2016-09-04 15:05:28-0600',mode:absolute,to:'2016-09-04 17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05" t="str">
            <v>N</v>
          </cell>
          <cell r="X105">
            <v>1</v>
          </cell>
          <cell r="Y105">
            <v>23.298400000000001</v>
          </cell>
          <cell r="Z105">
            <v>1.43E-2</v>
          </cell>
          <cell r="AA105">
            <v>23.284100000000002</v>
          </cell>
          <cell r="AB105" t="e">
            <v>#N/A</v>
          </cell>
          <cell r="AC105" t="e">
            <v>#N/A</v>
          </cell>
          <cell r="AD105" t="str">
            <v>0194-04</v>
          </cell>
          <cell r="AE105" t="str">
    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    </cell>
        </row>
        <row r="106">
          <cell r="A106" t="str">
            <v>195-04</v>
          </cell>
          <cell r="B106">
            <v>4046</v>
          </cell>
          <cell r="C106" t="str">
            <v>DE.1.0.7.0</v>
          </cell>
          <cell r="D106" t="str">
            <v>204:478</v>
          </cell>
          <cell r="E106">
            <v>42617.642696759256</v>
          </cell>
          <cell r="F106">
            <v>42617.646099537036</v>
          </cell>
          <cell r="G106">
            <v>1</v>
          </cell>
          <cell r="H106" t="str">
            <v>204:233312</v>
          </cell>
          <cell r="I106">
            <v>42617.673263888886</v>
          </cell>
          <cell r="J106">
            <v>0</v>
          </cell>
          <cell r="K106" t="str">
            <v>4045/4046</v>
          </cell>
          <cell r="L106" t="str">
            <v>YOUNG</v>
          </cell>
          <cell r="M106">
            <v>2.7164351849933155E-2</v>
          </cell>
          <cell r="N106">
            <v>39.116666663903743</v>
          </cell>
          <cell r="S106">
            <v>1</v>
          </cell>
          <cell r="T106" t="str">
            <v>NorthBound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https://search-rtdc-monitor-bjffxe2xuh6vdkpspy63sjmuny.us-east-1.es.amazonaws.com/_plugin/kibana/#/discover/Steve-Slow-Train-Analysis-(2080s-and-2083s)?_g=(refreshInterval:(display:Off,section:0,value:0),time:(from:'2016-09-04 14:25:29-0600',mode:absolute,to:'2016-09-04 17:09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06" t="str">
            <v>N</v>
          </cell>
          <cell r="X106">
            <v>1</v>
          </cell>
          <cell r="Y106">
            <v>4.7800000000000002E-2</v>
          </cell>
          <cell r="Z106">
            <v>23.331199999999999</v>
          </cell>
          <cell r="AA106">
            <v>23.2834</v>
          </cell>
          <cell r="AB106" t="e">
            <v>#N/A</v>
          </cell>
          <cell r="AC106" t="e">
            <v>#N/A</v>
          </cell>
          <cell r="AD106" t="str">
            <v>0195-04</v>
          </cell>
          <cell r="AE106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107">
          <cell r="A107" t="str">
            <v>196-04</v>
          </cell>
          <cell r="B107">
            <v>4045</v>
          </cell>
          <cell r="C107" t="str">
            <v>DE.1.0.7.0</v>
          </cell>
          <cell r="D107" t="str">
            <v>204:233019</v>
          </cell>
          <cell r="E107">
            <v>42617.676458333335</v>
          </cell>
          <cell r="F107">
            <v>42617.685034722221</v>
          </cell>
          <cell r="G107">
            <v>1</v>
          </cell>
          <cell r="H107" t="str">
            <v>204:203</v>
          </cell>
          <cell r="I107">
            <v>42617.715798611112</v>
          </cell>
          <cell r="J107">
            <v>0</v>
          </cell>
          <cell r="K107" t="str">
            <v>4045/4046</v>
          </cell>
          <cell r="L107" t="str">
            <v>YOUNG</v>
          </cell>
          <cell r="M107">
            <v>3.0763888891669922E-2</v>
          </cell>
          <cell r="N107">
            <v>44.300000004004687</v>
          </cell>
          <cell r="S107">
            <v>1</v>
          </cell>
          <cell r="T107" t="str">
            <v>Southbound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https://search-rtdc-monitor-bjffxe2xuh6vdkpspy63sjmuny.us-east-1.es.amazonaws.com/_plugin/kibana/#/discover/Steve-Slow-Train-Analysis-(2080s-and-2083s)?_g=(refreshInterval:(display:Off,section:0,value:0),time:(from:'2016-09-04 15:14:06-0600',mode:absolute,to:'2016-09-04 18:10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07" t="str">
            <v>N</v>
          </cell>
          <cell r="X107">
            <v>1</v>
          </cell>
          <cell r="Y107">
            <v>23.3019</v>
          </cell>
          <cell r="Z107">
            <v>2.0299999999999999E-2</v>
          </cell>
          <cell r="AA107">
            <v>23.281600000000001</v>
          </cell>
          <cell r="AB107" t="e">
            <v>#N/A</v>
          </cell>
          <cell r="AC107" t="e">
            <v>#N/A</v>
          </cell>
          <cell r="AD107" t="str">
            <v>0196-04</v>
          </cell>
          <cell r="AE107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108">
          <cell r="A108" t="str">
            <v>197-04</v>
          </cell>
          <cell r="B108">
            <v>4009</v>
          </cell>
          <cell r="C108" t="str">
            <v>DE.1.0.7.0</v>
          </cell>
          <cell r="D108" t="str">
            <v>204:447</v>
          </cell>
          <cell r="E108">
            <v>42617.653831018521</v>
          </cell>
          <cell r="F108">
            <v>42617.657210648147</v>
          </cell>
          <cell r="G108">
            <v>1</v>
          </cell>
          <cell r="H108" t="str">
            <v>204:233307</v>
          </cell>
          <cell r="I108">
            <v>42617.683194444442</v>
          </cell>
          <cell r="J108">
            <v>0</v>
          </cell>
          <cell r="K108" t="str">
            <v>4009/4010</v>
          </cell>
          <cell r="L108" t="str">
            <v>CLARK</v>
          </cell>
          <cell r="M108">
            <v>2.5983796294895001E-2</v>
          </cell>
          <cell r="N108">
            <v>37.416666664648801</v>
          </cell>
          <cell r="S108">
            <v>1</v>
          </cell>
          <cell r="T108" t="str">
            <v>NorthBound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https://search-rtdc-monitor-bjffxe2xuh6vdkpspy63sjmuny.us-east-1.es.amazonaws.com/_plugin/kibana/#/discover/Steve-Slow-Train-Analysis-(2080s-and-2083s)?_g=(refreshInterval:(display:Off,section:0,value:0),time:(from:'2016-09-04 14:41:31-0600',mode:absolute,to:'2016-09-04 17:23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08" t="str">
            <v>N</v>
          </cell>
          <cell r="X108">
            <v>1</v>
          </cell>
          <cell r="Y108">
            <v>4.4699999999999997E-2</v>
          </cell>
          <cell r="Z108">
            <v>23.3307</v>
          </cell>
          <cell r="AA108">
            <v>23.286000000000001</v>
          </cell>
          <cell r="AB108" t="e">
            <v>#N/A</v>
          </cell>
          <cell r="AC108" t="e">
            <v>#N/A</v>
          </cell>
          <cell r="AD108" t="str">
            <v>0197-04</v>
          </cell>
          <cell r="AE108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109">
          <cell r="A109" t="str">
            <v>198-04</v>
          </cell>
          <cell r="B109">
            <v>4010</v>
          </cell>
          <cell r="C109" t="str">
            <v>DE.1.0.7.0</v>
          </cell>
          <cell r="D109" t="str">
            <v>204:127867</v>
          </cell>
          <cell r="E109">
            <v>42617.719097222223</v>
          </cell>
          <cell r="F109">
            <v>42617.720995370371</v>
          </cell>
          <cell r="G109">
            <v>1</v>
          </cell>
          <cell r="H109" t="str">
            <v>204:149</v>
          </cell>
          <cell r="I109">
            <v>42617.739594907405</v>
          </cell>
          <cell r="J109">
            <v>0</v>
          </cell>
          <cell r="K109" t="str">
            <v>4009/4010</v>
          </cell>
          <cell r="L109" t="str">
            <v>CLARK</v>
          </cell>
          <cell r="M109">
            <v>1.8599537033878732E-2</v>
          </cell>
          <cell r="P109">
            <v>26.783333328785375</v>
          </cell>
          <cell r="R109" t="str">
            <v>78th 4S stuck at STOP… possible equipment failure?</v>
          </cell>
          <cell r="S109">
            <v>1</v>
          </cell>
          <cell r="T109" t="str">
            <v>Southbound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https://search-rtdc-monitor-bjffxe2xuh6vdkpspy63sjmuny.us-east-1.es.amazonaws.com/_plugin/kibana/#/discover/Steve-Slow-Train-Analysis-(2080s-and-2083s)?_g=(refreshInterval:(display:Off,section:0,value:0),time:(from:'2016-09-04 16:15:30-0600',mode:absolute,to:'2016-09-04 18:45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09" t="str">
            <v>Y</v>
          </cell>
          <cell r="X109">
            <v>1</v>
          </cell>
          <cell r="Y109">
            <v>12.7867</v>
          </cell>
          <cell r="Z109">
            <v>1.49E-2</v>
          </cell>
          <cell r="AA109">
            <v>12.771799999999999</v>
          </cell>
          <cell r="AB109" t="e">
            <v>#N/A</v>
          </cell>
          <cell r="AC109" t="e">
            <v>#N/A</v>
          </cell>
          <cell r="AD109" t="str">
            <v>0198-04</v>
          </cell>
          <cell r="AE109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110">
          <cell r="A110" t="str">
            <v>198-04</v>
          </cell>
          <cell r="B110">
            <v>4010</v>
          </cell>
          <cell r="C110" t="str">
            <v>DE.1.0.7.0</v>
          </cell>
          <cell r="D110" t="str">
            <v>204:232971</v>
          </cell>
          <cell r="E110">
            <v>42617.690335648149</v>
          </cell>
          <cell r="F110">
            <v>42617.720995370371</v>
          </cell>
          <cell r="G110">
            <v>1</v>
          </cell>
          <cell r="H110" t="str">
            <v>204:225188</v>
          </cell>
          <cell r="I110">
            <v>42617.739594907405</v>
          </cell>
          <cell r="J110">
            <v>0</v>
          </cell>
          <cell r="K110" t="str">
            <v>4009/4010</v>
          </cell>
          <cell r="L110" t="str">
            <v>CLARK</v>
          </cell>
          <cell r="M110">
            <v>1.8599537033878732E-2</v>
          </cell>
          <cell r="S110">
            <v>0</v>
          </cell>
          <cell r="T110" t="str">
            <v>Southbound</v>
          </cell>
          <cell r="U110">
            <v>0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https://search-rtdc-monitor-bjffxe2xuh6vdkpspy63sjmuny.us-east-1.es.amazonaws.com/_plugin/kibana/#/discover/Steve-Slow-Train-Analysis-(2080s-and-2083s)?_g=(refreshInterval:(display:Off,section:0,value:0),time:(from:'2016-09-04 15:34:05-0600',mode:absolute,to:'2016-09-04 18:45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10" t="str">
            <v>Y</v>
          </cell>
          <cell r="X110">
            <v>0</v>
          </cell>
          <cell r="Y110">
            <v>23.2971</v>
          </cell>
          <cell r="Z110">
            <v>22.518799999999999</v>
          </cell>
          <cell r="AA110">
            <v>0.77830000000000155</v>
          </cell>
          <cell r="AB110" t="e">
            <v>#N/A</v>
          </cell>
          <cell r="AC110" t="e">
            <v>#N/A</v>
          </cell>
          <cell r="AD110" t="str">
            <v>0198-04</v>
          </cell>
          <cell r="AE110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111">
          <cell r="A111" t="str">
            <v>199-04</v>
          </cell>
          <cell r="B111">
            <v>4016</v>
          </cell>
          <cell r="C111" t="str">
            <v>DE.1.0.7.0</v>
          </cell>
          <cell r="D111" t="str">
            <v>204:453</v>
          </cell>
          <cell r="E111">
            <v>42617.662638888891</v>
          </cell>
          <cell r="F111">
            <v>42617.66684027778</v>
          </cell>
          <cell r="G111">
            <v>1</v>
          </cell>
          <cell r="H111" t="str">
            <v>204:233364</v>
          </cell>
          <cell r="I111">
            <v>42617.692152777781</v>
          </cell>
          <cell r="J111">
            <v>0</v>
          </cell>
          <cell r="K111" t="str">
            <v>4015/4016</v>
          </cell>
          <cell r="L111" t="str">
            <v>SHOOK</v>
          </cell>
          <cell r="M111">
            <v>2.531250000174623E-2</v>
          </cell>
          <cell r="N111">
            <v>36.450000002514571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https://search-rtdc-monitor-bjffxe2xuh6vdkpspy63sjmuny.us-east-1.es.amazonaws.com/_plugin/kibana/#/discover/Steve-Slow-Train-Analysis-(2080s-and-2083s)?_g=(refreshInterval:(display:Off,section:0,value:0),time:(from:'2016-09-04 14:54:12-0600',mode:absolute,to:'2016-09-04 17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11" t="str">
            <v>N</v>
          </cell>
          <cell r="X111">
            <v>1</v>
          </cell>
          <cell r="Y111">
            <v>4.53E-2</v>
          </cell>
          <cell r="Z111">
            <v>23.336400000000001</v>
          </cell>
          <cell r="AA111">
            <v>23.2911</v>
          </cell>
          <cell r="AB111" t="e">
            <v>#N/A</v>
          </cell>
          <cell r="AC111" t="e">
            <v>#N/A</v>
          </cell>
          <cell r="AD111" t="str">
            <v>0199-04</v>
          </cell>
          <cell r="AE111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112">
          <cell r="A112" t="str">
            <v>201-04</v>
          </cell>
          <cell r="B112">
            <v>4031</v>
          </cell>
          <cell r="C112" t="str">
            <v>DE.1.0.7.0</v>
          </cell>
          <cell r="D112" t="str">
            <v>204:464</v>
          </cell>
          <cell r="E112">
            <v>42617.672372685185</v>
          </cell>
          <cell r="F112">
            <v>42617.677453703705</v>
          </cell>
          <cell r="G112">
            <v>2</v>
          </cell>
          <cell r="H112" t="str">
            <v>204:155046</v>
          </cell>
          <cell r="I112">
            <v>42617.695925925924</v>
          </cell>
          <cell r="J112">
            <v>0</v>
          </cell>
          <cell r="K112" t="str">
            <v>4031/4032</v>
          </cell>
          <cell r="L112" t="str">
            <v>STEWART</v>
          </cell>
          <cell r="M112">
            <v>1.8472222218406387E-2</v>
          </cell>
          <cell r="P112">
            <v>26.599999994505197</v>
          </cell>
          <cell r="R112" t="str">
            <v>Power Outage across EC</v>
          </cell>
          <cell r="S112">
            <v>1</v>
          </cell>
          <cell r="T112" t="str">
            <v>NorthBound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https://search-rtdc-monitor-bjffxe2xuh6vdkpspy63sjmuny.us-east-1.es.amazonaws.com/_plugin/kibana/#/discover/Steve-Slow-Train-Analysis-(2080s-and-2083s)?_g=(refreshInterval:(display:Off,section:0,value:0),time:(from:'2016-09-04 15:08:13-0600',mode:absolute,to:'2016-09-04 17:42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12" t="str">
            <v>Y</v>
          </cell>
          <cell r="X112">
            <v>2</v>
          </cell>
          <cell r="Y112">
            <v>4.6399999999999997E-2</v>
          </cell>
          <cell r="Z112">
            <v>15.5046</v>
          </cell>
          <cell r="AA112">
            <v>15.4582</v>
          </cell>
          <cell r="AB112" t="e">
            <v>#N/A</v>
          </cell>
          <cell r="AC112" t="e">
            <v>#N/A</v>
          </cell>
          <cell r="AD112" t="str">
            <v>0201-04</v>
          </cell>
          <cell r="AE112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113">
          <cell r="A113" t="str">
            <v>202-04</v>
          </cell>
          <cell r="B113">
            <v>4032</v>
          </cell>
          <cell r="C113" t="str">
            <v>DE.1.0.7.0</v>
          </cell>
          <cell r="D113" t="str">
            <v>204:232994</v>
          </cell>
          <cell r="E113">
            <v>42617.718518518515</v>
          </cell>
          <cell r="F113">
            <v>42617.722442129627</v>
          </cell>
          <cell r="G113">
            <v>1</v>
          </cell>
          <cell r="H113" t="str">
            <v>204:73062</v>
          </cell>
          <cell r="I113">
            <v>42617.738807870373</v>
          </cell>
          <cell r="J113">
            <v>0</v>
          </cell>
          <cell r="K113" t="str">
            <v>4031/4032</v>
          </cell>
          <cell r="L113" t="str">
            <v>STEWART</v>
          </cell>
          <cell r="M113">
            <v>1.6365740746550728E-2</v>
          </cell>
          <cell r="P113">
            <v>23.566666675033048</v>
          </cell>
          <cell r="R113" t="str">
            <v>Sand Creek 4S needed to wait until Ulster gates were down to clear?</v>
          </cell>
          <cell r="S113">
            <v>0.25</v>
          </cell>
          <cell r="T113" t="str">
            <v>Southbound</v>
          </cell>
          <cell r="U113">
            <v>3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https://search-rtdc-monitor-bjffxe2xuh6vdkpspy63sjmuny.us-east-1.es.amazonaws.com/_plugin/kibana/#/discover/Steve-Slow-Train-Analysis-(2080s-and-2083s)?_g=(refreshInterval:(display:Off,section:0,value:0),time:(from:'2016-09-04 16:14:40-0600',mode:absolute,to:'2016-09-04 18:43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13" t="str">
            <v>Y</v>
          </cell>
          <cell r="X113">
            <v>1</v>
          </cell>
          <cell r="Y113">
            <v>23.299399999999999</v>
          </cell>
          <cell r="Z113">
            <v>7.3061999999999996</v>
          </cell>
          <cell r="AA113">
            <v>15.993199999999998</v>
          </cell>
          <cell r="AB113" t="e">
            <v>#N/A</v>
          </cell>
          <cell r="AC113" t="e">
            <v>#N/A</v>
          </cell>
          <cell r="AD113" t="str">
            <v>0202-04</v>
          </cell>
          <cell r="AE113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114">
          <cell r="A114" t="str">
            <v>203-04</v>
          </cell>
          <cell r="B114">
            <v>4018</v>
          </cell>
          <cell r="C114" t="str">
            <v>DE.1.0.7.0</v>
          </cell>
          <cell r="D114" t="str">
            <v>204:449</v>
          </cell>
          <cell r="E114">
            <v>42617.683229166665</v>
          </cell>
          <cell r="F114">
            <v>42617.687754629631</v>
          </cell>
          <cell r="G114">
            <v>1</v>
          </cell>
          <cell r="H114" t="str">
            <v>204:233283</v>
          </cell>
          <cell r="I114">
            <v>42617.722013888888</v>
          </cell>
          <cell r="J114">
            <v>0</v>
          </cell>
          <cell r="K114" t="str">
            <v>4017/4018</v>
          </cell>
          <cell r="L114" t="str">
            <v>BARTLETT</v>
          </cell>
          <cell r="M114">
            <v>3.4259259256941732E-2</v>
          </cell>
          <cell r="N114">
            <v>49.333333329996094</v>
          </cell>
          <cell r="S114">
            <v>1</v>
          </cell>
          <cell r="T114" t="str">
            <v>NorthBound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https://search-rtdc-monitor-bjffxe2xuh6vdkpspy63sjmuny.us-east-1.es.amazonaws.com/_plugin/kibana/#/discover/Steve-Slow-Train-Analysis-(2080s-and-2083s)?_g=(refreshInterval:(display:Off,section:0,value:0),time:(from:'2016-09-04 15:23:51-0600',mode:absolute,to:'2016-09-04 18:19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14" t="str">
            <v>N</v>
          </cell>
          <cell r="X114">
            <v>1</v>
          </cell>
          <cell r="Y114">
            <v>4.4900000000000002E-2</v>
          </cell>
          <cell r="Z114">
            <v>23.328299999999999</v>
          </cell>
          <cell r="AA114">
            <v>23.2834</v>
          </cell>
          <cell r="AB114" t="e">
            <v>#N/A</v>
          </cell>
          <cell r="AC114" t="e">
            <v>#N/A</v>
          </cell>
          <cell r="AD114" t="str">
            <v>0203-04</v>
          </cell>
          <cell r="AE114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115">
          <cell r="A115" t="str">
            <v>204-04</v>
          </cell>
          <cell r="B115">
            <v>4017</v>
          </cell>
          <cell r="C115" t="str">
            <v>DE.1.0.7.0</v>
          </cell>
          <cell r="D115" t="str">
            <v>204:232968</v>
          </cell>
          <cell r="E115">
            <v>42617.723680555559</v>
          </cell>
          <cell r="F115">
            <v>42617.726643518516</v>
          </cell>
          <cell r="G115">
            <v>4</v>
          </cell>
          <cell r="H115" t="str">
            <v>204:149</v>
          </cell>
          <cell r="I115">
            <v>42617.756608796299</v>
          </cell>
          <cell r="J115">
            <v>0</v>
          </cell>
          <cell r="K115" t="str">
            <v>4017/4018</v>
          </cell>
          <cell r="L115" t="str">
            <v>BARTLETT</v>
          </cell>
          <cell r="M115">
            <v>2.9965277783048805E-2</v>
          </cell>
          <cell r="N115">
            <v>43.150000007590279</v>
          </cell>
          <cell r="S115">
            <v>1</v>
          </cell>
          <cell r="T115" t="str">
            <v>Southbound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https://search-rtdc-monitor-bjffxe2xuh6vdkpspy63sjmuny.us-east-1.es.amazonaws.com/_plugin/kibana/#/discover/Steve-Slow-Train-Analysis-(2080s-and-2083s)?_g=(refreshInterval:(display:Off,section:0,value:0),time:(from:'2016-09-04 16:22:06-0600',mode:absolute,to:'2016-09-04 19:09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15" t="str">
            <v>N</v>
          </cell>
          <cell r="X115">
            <v>1</v>
          </cell>
          <cell r="Y115">
            <v>23.296800000000001</v>
          </cell>
          <cell r="Z115">
            <v>1.49E-2</v>
          </cell>
          <cell r="AA115">
            <v>23.2819</v>
          </cell>
          <cell r="AB115" t="e">
            <v>#N/A</v>
          </cell>
          <cell r="AC115" t="e">
            <v>#N/A</v>
          </cell>
          <cell r="AD115" t="str">
            <v>0204-04</v>
          </cell>
          <cell r="AE115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116">
          <cell r="A116" t="str">
            <v>205-04</v>
          </cell>
          <cell r="B116">
            <v>4038</v>
          </cell>
          <cell r="C116" t="str">
            <v>DE.1.0.7.0</v>
          </cell>
          <cell r="D116" t="str">
            <v>204:451</v>
          </cell>
          <cell r="E116">
            <v>42617.693715277775</v>
          </cell>
          <cell r="F116">
            <v>42617.698425925926</v>
          </cell>
          <cell r="G116">
            <v>1</v>
          </cell>
          <cell r="H116" t="str">
            <v>204:233301</v>
          </cell>
          <cell r="I116">
            <v>42617.72965277778</v>
          </cell>
          <cell r="J116">
            <v>0</v>
          </cell>
          <cell r="K116" t="str">
            <v>4037/4038</v>
          </cell>
          <cell r="L116" t="str">
            <v>BRUDER</v>
          </cell>
          <cell r="M116">
            <v>3.1226851853716653E-2</v>
          </cell>
          <cell r="N116">
            <v>44.96666666935198</v>
          </cell>
          <cell r="S116">
            <v>1</v>
          </cell>
          <cell r="T116" t="str">
            <v>NorthBound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https://search-rtdc-monitor-bjffxe2xuh6vdkpspy63sjmuny.us-east-1.es.amazonaws.com/_plugin/kibana/#/discover/Steve-Slow-Train-Analysis-(2080s-and-2083s)?_g=(refreshInterval:(display:Off,section:0,value:0),time:(from:'2016-09-04 15:38:57-0600',mode:absolute,to:'2016-09-04 18:30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16" t="str">
            <v>N</v>
          </cell>
          <cell r="X116">
            <v>1</v>
          </cell>
          <cell r="Y116">
            <v>4.5100000000000001E-2</v>
          </cell>
          <cell r="Z116">
            <v>23.330100000000002</v>
          </cell>
          <cell r="AA116">
            <v>23.285</v>
          </cell>
          <cell r="AB116" t="e">
            <v>#N/A</v>
          </cell>
          <cell r="AC116" t="e">
            <v>#N/A</v>
          </cell>
          <cell r="AD116" t="str">
            <v>0205-04</v>
          </cell>
          <cell r="AE116" t="str">
            <v>aws s3 cp s3://rtdc.mdm.uploadarchive/RTDC4038/2016-09-04/ "%USERPROFILE%\AppData\Local\Temp\OnboardLogs"\RTDC4038\2016-09-04 --recursive &amp; "%USERPROFILE%\Documents\GitHub\mrs-test-scripts\Headless Mode &amp; Sideloading\WalkAndUnGZ.bat" "%USERPROFILE%\AppData\Local\Temp\OnboardLogs"\RTDC4038\2016-09-04 &amp; 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</v>
          </cell>
        </row>
        <row r="117">
          <cell r="A117" t="str">
            <v>206-04</v>
          </cell>
          <cell r="B117">
            <v>4037</v>
          </cell>
          <cell r="C117" t="str">
            <v>DE.1.0.7.0</v>
          </cell>
          <cell r="D117" t="str">
            <v>204:232978</v>
          </cell>
          <cell r="E117">
            <v>42617.73196759259</v>
          </cell>
          <cell r="F117">
            <v>42617.736990740741</v>
          </cell>
          <cell r="G117">
            <v>1</v>
          </cell>
          <cell r="H117" t="str">
            <v>204:150</v>
          </cell>
          <cell r="I117">
            <v>42617.768703703703</v>
          </cell>
          <cell r="J117">
            <v>0</v>
          </cell>
          <cell r="K117" t="str">
            <v>4037/4038</v>
          </cell>
          <cell r="L117" t="str">
            <v>BRUDER</v>
          </cell>
          <cell r="M117">
            <v>3.1712962962046731E-2</v>
          </cell>
          <cell r="N117">
            <v>45.666666665347293</v>
          </cell>
          <cell r="S117">
            <v>1</v>
          </cell>
          <cell r="T117" t="str">
            <v>Southbound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https://search-rtdc-monitor-bjffxe2xuh6vdkpspy63sjmuny.us-east-1.es.amazonaws.com/_plugin/kibana/#/discover/Steve-Slow-Train-Analysis-(2080s-and-2083s)?_g=(refreshInterval:(display:Off,section:0,value:0),time:(from:'2016-09-04 16:34:02-0600',mode:absolute,to:'2016-09-04 19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17" t="str">
            <v>N</v>
          </cell>
          <cell r="X117">
            <v>1</v>
          </cell>
          <cell r="Y117">
            <v>23.297799999999999</v>
          </cell>
          <cell r="Z117">
            <v>1.4999999999999999E-2</v>
          </cell>
          <cell r="AA117">
            <v>23.282799999999998</v>
          </cell>
          <cell r="AB117" t="e">
            <v>#N/A</v>
          </cell>
          <cell r="AC117" t="e">
            <v>#N/A</v>
          </cell>
          <cell r="AD117" t="str">
            <v>0206-04</v>
          </cell>
          <cell r="AE117" t="str">
    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    </cell>
        </row>
        <row r="118">
          <cell r="A118" t="str">
            <v>207-04</v>
          </cell>
          <cell r="B118">
            <v>4002</v>
          </cell>
          <cell r="C118" t="str">
            <v>DE.1.0.7.0</v>
          </cell>
          <cell r="D118" t="str">
            <v>204:447</v>
          </cell>
          <cell r="E118">
            <v>42617.70826388889</v>
          </cell>
          <cell r="F118">
            <v>42617.709965277776</v>
          </cell>
          <cell r="G118">
            <v>1</v>
          </cell>
          <cell r="H118" t="str">
            <v>204:193645</v>
          </cell>
          <cell r="I118">
            <v>42617.736793981479</v>
          </cell>
          <cell r="J118">
            <v>0</v>
          </cell>
          <cell r="K118" t="str">
            <v>4001/4002</v>
          </cell>
          <cell r="L118" t="str">
            <v>MOSES</v>
          </cell>
          <cell r="M118">
            <v>2.6828703703358769E-2</v>
          </cell>
          <cell r="P118">
            <v>38.633333332836628</v>
          </cell>
          <cell r="R118" t="str">
            <v>Pena 2N premature downgrade</v>
          </cell>
          <cell r="S118">
            <v>1</v>
          </cell>
          <cell r="T118" t="str">
            <v>NorthBound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https://search-rtdc-monitor-bjffxe2xuh6vdkpspy63sjmuny.us-east-1.es.amazonaws.com/_plugin/kibana/#/discover/Steve-Slow-Train-Analysis-(2080s-and-2083s)?_g=(refreshInterval:(display:Off,section:0,value:0),time:(from:'2016-09-04 15:59:54-0600',mode:absolute,to:'2016-09-04 18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18" t="str">
            <v>Y</v>
          </cell>
          <cell r="X118">
            <v>1</v>
          </cell>
          <cell r="Y118">
            <v>4.4699999999999997E-2</v>
          </cell>
          <cell r="Z118">
            <v>19.3645</v>
          </cell>
          <cell r="AA118">
            <v>19.319800000000001</v>
          </cell>
          <cell r="AB118" t="e">
            <v>#N/A</v>
          </cell>
          <cell r="AC118" t="e">
            <v>#N/A</v>
          </cell>
          <cell r="AD118" t="str">
            <v>0207-04</v>
          </cell>
          <cell r="AE118" t="str">
    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    </cell>
        </row>
        <row r="119">
          <cell r="A119" t="str">
            <v>208-04</v>
          </cell>
          <cell r="B119">
            <v>4001</v>
          </cell>
          <cell r="C119" t="str">
            <v>DE.1.0.7.0</v>
          </cell>
          <cell r="D119" t="str">
            <v>204:233008</v>
          </cell>
          <cell r="E119">
            <v>42617.747349537036</v>
          </cell>
          <cell r="F119">
            <v>42617.748749999999</v>
          </cell>
          <cell r="G119">
            <v>1</v>
          </cell>
          <cell r="H119" t="str">
            <v>204:325</v>
          </cell>
          <cell r="I119">
            <v>42617.783391203702</v>
          </cell>
          <cell r="J119">
            <v>0</v>
          </cell>
          <cell r="K119" t="str">
            <v>4001/4002</v>
          </cell>
          <cell r="L119" t="str">
            <v>MOSES</v>
          </cell>
          <cell r="M119">
            <v>3.4641203703358769E-2</v>
          </cell>
          <cell r="N119">
            <v>49.883333332836628</v>
          </cell>
          <cell r="S119">
            <v>1</v>
          </cell>
          <cell r="T119" t="str">
            <v>Southbound</v>
          </cell>
          <cell r="U119">
            <v>12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https://search-rtdc-monitor-bjffxe2xuh6vdkpspy63sjmuny.us-east-1.es.amazonaws.com/_plugin/kibana/#/discover/Steve-Slow-Train-Analysis-(2080s-and-2083s)?_g=(refreshInterval:(display:Off,section:0,value:0),time:(from:'2016-09-04 16:56:11-0600',mode:absolute,to:'2016-09-04 19:48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19" t="str">
            <v>N</v>
          </cell>
          <cell r="X119">
            <v>1</v>
          </cell>
          <cell r="Y119">
            <v>23.300799999999999</v>
          </cell>
          <cell r="Z119">
            <v>3.2500000000000001E-2</v>
          </cell>
          <cell r="AA119">
            <v>23.2683</v>
          </cell>
          <cell r="AB119" t="e">
            <v>#N/A</v>
          </cell>
          <cell r="AC119" t="e">
            <v>#N/A</v>
          </cell>
          <cell r="AD119" t="str">
            <v>0208-04</v>
          </cell>
          <cell r="AE119" t="str">
    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    </cell>
        </row>
        <row r="120">
          <cell r="A120" t="str">
            <v>209-04</v>
          </cell>
          <cell r="B120">
            <v>4046</v>
          </cell>
          <cell r="C120" t="str">
            <v>DE.1.0.7.0</v>
          </cell>
          <cell r="D120" t="str">
            <v>204:528</v>
          </cell>
          <cell r="E120">
            <v>42617.718680555554</v>
          </cell>
          <cell r="F120">
            <v>42617.720868055556</v>
          </cell>
          <cell r="G120">
            <v>1</v>
          </cell>
          <cell r="H120" t="str">
            <v>204:233280</v>
          </cell>
          <cell r="I120">
            <v>42617.752222222225</v>
          </cell>
          <cell r="J120">
            <v>0</v>
          </cell>
          <cell r="K120" t="str">
            <v>4045/4046</v>
          </cell>
          <cell r="L120" t="str">
            <v>LEVERE</v>
          </cell>
          <cell r="M120">
            <v>3.1354166669188999E-2</v>
          </cell>
          <cell r="N120">
            <v>45.150000003632158</v>
          </cell>
          <cell r="S120">
            <v>1</v>
          </cell>
          <cell r="T120" t="str">
            <v>NorthBound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https://search-rtdc-monitor-bjffxe2xuh6vdkpspy63sjmuny.us-east-1.es.amazonaws.com/_plugin/kibana/#/discover/Steve-Slow-Train-Analysis-(2080s-and-2083s)?_g=(refreshInterval:(display:Off,section:0,value:0),time:(from:'2016-09-04 16:14:54-0600',mode:absolute,to:'2016-09-04 19:03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20" t="str">
            <v>N</v>
          </cell>
          <cell r="X120">
            <v>1</v>
          </cell>
          <cell r="Y120">
            <v>5.28E-2</v>
          </cell>
          <cell r="Z120">
            <v>23.327999999999999</v>
          </cell>
          <cell r="AA120">
            <v>23.275199999999998</v>
          </cell>
          <cell r="AB120" t="e">
            <v>#N/A</v>
          </cell>
          <cell r="AC120" t="e">
            <v>#N/A</v>
          </cell>
          <cell r="AD120" t="str">
            <v>0209-04</v>
          </cell>
          <cell r="AE120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121">
          <cell r="A121" t="str">
            <v>210-04</v>
          </cell>
          <cell r="B121">
            <v>4045</v>
          </cell>
          <cell r="C121" t="str">
            <v>DE.1.0.7.0</v>
          </cell>
          <cell r="D121" t="str">
            <v>204:232973</v>
          </cell>
          <cell r="E121">
            <v>42617.755196759259</v>
          </cell>
          <cell r="F121">
            <v>42617.760231481479</v>
          </cell>
          <cell r="G121">
            <v>1</v>
          </cell>
          <cell r="H121" t="str">
            <v>204:183</v>
          </cell>
          <cell r="I121">
            <v>42617.786365740743</v>
          </cell>
          <cell r="J121">
            <v>0</v>
          </cell>
          <cell r="K121" t="str">
            <v>4045/4046</v>
          </cell>
          <cell r="L121" t="str">
            <v>LEVERE</v>
          </cell>
          <cell r="M121">
            <v>2.6134259263926651E-2</v>
          </cell>
          <cell r="N121">
            <v>37.633333340054378</v>
          </cell>
          <cell r="S121">
            <v>1</v>
          </cell>
          <cell r="T121" t="str">
            <v>Southbound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https://search-rtdc-monitor-bjffxe2xuh6vdkpspy63sjmuny.us-east-1.es.amazonaws.com/_plugin/kibana/#/discover/Steve-Slow-Train-Analysis-(2080s-and-2083s)?_g=(refreshInterval:(display:Off,section:0,value:0),time:(from:'2016-09-04 17:07:29-0600',mode:absolute,to:'2016-09-04 19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21" t="str">
            <v>N</v>
          </cell>
          <cell r="X121">
            <v>1</v>
          </cell>
          <cell r="Y121">
            <v>23.2973</v>
          </cell>
          <cell r="Z121">
            <v>1.83E-2</v>
          </cell>
          <cell r="AA121">
            <v>23.279</v>
          </cell>
          <cell r="AB121" t="e">
            <v>#N/A</v>
          </cell>
          <cell r="AC121" t="e">
            <v>#N/A</v>
          </cell>
          <cell r="AD121" t="str">
            <v>0210-04</v>
          </cell>
          <cell r="AE121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122">
          <cell r="A122" t="str">
            <v>211-04</v>
          </cell>
          <cell r="B122">
            <v>4044</v>
          </cell>
          <cell r="C122" t="str">
            <v>DE.1.0.7.0</v>
          </cell>
          <cell r="D122" t="str">
            <v>204:1481</v>
          </cell>
          <cell r="E122">
            <v>42617.72452546296</v>
          </cell>
          <cell r="F122">
            <v>42617.743784722225</v>
          </cell>
          <cell r="G122">
            <v>1</v>
          </cell>
          <cell r="H122" t="str">
            <v>204:54771</v>
          </cell>
          <cell r="I122">
            <v>42617.759953703702</v>
          </cell>
          <cell r="J122">
            <v>0</v>
          </cell>
          <cell r="K122" t="str">
            <v>4043/4044</v>
          </cell>
          <cell r="L122" t="str">
            <v>YOUNG</v>
          </cell>
          <cell r="M122">
            <v>1.6168981477676425E-2</v>
          </cell>
          <cell r="P122">
            <v>23.283333327854052</v>
          </cell>
          <cell r="R122" t="str">
            <v>Quebec 2N signal unable to clear</v>
          </cell>
          <cell r="S122">
            <v>0.75</v>
          </cell>
          <cell r="T122" t="str">
            <v>NorthBound</v>
          </cell>
          <cell r="U122">
            <v>6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https://search-rtdc-monitor-bjffxe2xuh6vdkpspy63sjmuny.us-east-1.es.amazonaws.com/_plugin/kibana/#/discover/Steve-Slow-Train-Analysis-(2080s-and-2083s)?_g=(refreshInterval:(display:Off,section:0,value:0),time:(from:'2016-09-04 16:23:19-0600',mode:absolute,to:'2016-09-04 19:14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22" t="str">
            <v>Y</v>
          </cell>
          <cell r="X122">
            <v>1</v>
          </cell>
          <cell r="Y122">
            <v>0.14810000000000001</v>
          </cell>
          <cell r="Z122">
            <v>5.4771000000000001</v>
          </cell>
          <cell r="AA122">
            <v>5.3289999999999997</v>
          </cell>
          <cell r="AB122" t="e">
            <v>#N/A</v>
          </cell>
          <cell r="AC122" t="e">
            <v>#N/A</v>
          </cell>
          <cell r="AD122" t="str">
            <v>0211-04</v>
          </cell>
          <cell r="AE122" t="str">
            <v>aws s3 cp s3://rtdc.mdm.uploadarchive/RTDC4044/2016-09-04/ "%USERPROFILE%\AppData\Local\Temp\OnboardLogs"\RTDC4044\2016-09-04 --recursive &amp; "%USERPROFILE%\Documents\GitHub\mrs-test-scripts\Headless Mode &amp; Sideloading\WalkAndUnGZ.bat" "%USERPROFILE%\AppData\Local\Temp\OnboardLogs"\RTDC4044\2016-09-04 &amp; 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</v>
          </cell>
        </row>
        <row r="123">
          <cell r="A123" t="str">
            <v>211-04</v>
          </cell>
          <cell r="B123">
            <v>4044</v>
          </cell>
          <cell r="C123" t="str">
            <v>DE.1.0.7.0</v>
          </cell>
          <cell r="D123" t="str">
            <v>204:64704</v>
          </cell>
          <cell r="E123">
            <v>42617.742777777778</v>
          </cell>
          <cell r="F123">
            <v>42617.743784722225</v>
          </cell>
          <cell r="G123">
            <v>0</v>
          </cell>
          <cell r="H123" t="str">
            <v>204:233306</v>
          </cell>
          <cell r="I123">
            <v>42617.759953703702</v>
          </cell>
          <cell r="J123">
            <v>0</v>
          </cell>
          <cell r="K123" t="str">
            <v>4043/4044</v>
          </cell>
          <cell r="L123" t="str">
            <v>YOUNG</v>
          </cell>
          <cell r="M123">
            <v>1.6168981477676425E-2</v>
          </cell>
          <cell r="T123" t="str">
            <v>NorthBound</v>
          </cell>
          <cell r="U123">
            <v>3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https://search-rtdc-monitor-bjffxe2xuh6vdkpspy63sjmuny.us-east-1.es.amazonaws.com/_plugin/kibana/#/discover/Steve-Slow-Train-Analysis-(2080s-and-2083s)?_g=(refreshInterval:(display:Off,section:0,value:0),time:(from:'2016-09-04 16:49:36-0600',mode:absolute,to:'2016-09-04 19:14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23" t="str">
            <v>Y</v>
          </cell>
          <cell r="X123">
            <v>0</v>
          </cell>
          <cell r="Y123">
            <v>6.4703999999999997</v>
          </cell>
          <cell r="Z123">
            <v>23.3306</v>
          </cell>
          <cell r="AA123">
            <v>16.860199999999999</v>
          </cell>
          <cell r="AB123" t="e">
            <v>#N/A</v>
          </cell>
          <cell r="AC123" t="e">
            <v>#N/A</v>
          </cell>
          <cell r="AD123" t="str">
            <v>0211-04</v>
          </cell>
          <cell r="AE123" t="str">
            <v>aws s3 cp s3://rtdc.mdm.uploadarchive/RTDC4044/2016-09-04/ "%USERPROFILE%\AppData\Local\Temp\OnboardLogs"\RTDC4044\2016-09-04 --recursive &amp; "%USERPROFILE%\Documents\GitHub\mrs-test-scripts\Headless Mode &amp; Sideloading\WalkAndUnGZ.bat" "%USERPROFILE%\AppData\Local\Temp\OnboardLogs"\RTDC4044\2016-09-04 &amp; 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</v>
          </cell>
        </row>
        <row r="124">
          <cell r="A124" t="str">
            <v>212-04</v>
          </cell>
          <cell r="B124">
            <v>4043</v>
          </cell>
          <cell r="C124" t="str">
            <v>DE.1.0.7.0</v>
          </cell>
          <cell r="D124" t="str">
            <v>204:233008</v>
          </cell>
          <cell r="E124">
            <v>42617.762164351851</v>
          </cell>
          <cell r="F124">
            <v>42617.768750000003</v>
          </cell>
          <cell r="G124">
            <v>2</v>
          </cell>
          <cell r="H124" t="str">
            <v>204:141</v>
          </cell>
          <cell r="I124">
            <v>42617.79824074074</v>
          </cell>
          <cell r="J124">
            <v>0</v>
          </cell>
          <cell r="K124" t="str">
            <v>4043/4044</v>
          </cell>
          <cell r="L124" t="str">
            <v>YOUNG</v>
          </cell>
          <cell r="M124">
            <v>2.9490740736946464E-2</v>
          </cell>
          <cell r="N124">
            <v>42.466666661202908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https://search-rtdc-monitor-bjffxe2xuh6vdkpspy63sjmuny.us-east-1.es.amazonaws.com/_plugin/kibana/#/discover/Steve-Slow-Train-Analysis-(2080s-and-2083s)?_g=(refreshInterval:(display:Off,section:0,value:0),time:(from:'2016-09-04 17:17:31-0600',mode:absolute,to:'2016-09-04 20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24" t="str">
            <v>N</v>
          </cell>
          <cell r="X124">
            <v>1</v>
          </cell>
          <cell r="Y124">
            <v>23.300799999999999</v>
          </cell>
          <cell r="Z124">
            <v>1.41E-2</v>
          </cell>
          <cell r="AA124">
            <v>23.2867</v>
          </cell>
          <cell r="AB124" t="e">
            <v>#N/A</v>
          </cell>
          <cell r="AC124" t="e">
            <v>#N/A</v>
          </cell>
          <cell r="AD124" t="str">
            <v>0212-04</v>
          </cell>
          <cell r="AE124" t="str">
            <v>aws s3 cp s3://rtdc.mdm.uploadarchive/RTDC4043/2016-09-04/ "%USERPROFILE%\AppData\Local\Temp\OnboardLogs"\RTDC4043\2016-09-04 --recursive &amp; "%USERPROFILE%\Documents\GitHub\mrs-test-scripts\Headless Mode &amp; Sideloading\WalkAndUnGZ.bat" "%USERPROFILE%\AppData\Local\Temp\OnboardLogs"\RTDC4043\2016-09-04 &amp; 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</v>
          </cell>
        </row>
        <row r="125">
          <cell r="A125" t="str">
            <v>213-04</v>
          </cell>
          <cell r="B125">
            <v>4009</v>
          </cell>
          <cell r="C125" t="str">
            <v>DE.1.0.7.0</v>
          </cell>
          <cell r="D125" t="str">
            <v>204:449</v>
          </cell>
          <cell r="E125">
            <v>42617.741585648146</v>
          </cell>
          <cell r="F125">
            <v>42617.7575462963</v>
          </cell>
          <cell r="G125">
            <v>2</v>
          </cell>
          <cell r="H125" t="str">
            <v>204:55480</v>
          </cell>
          <cell r="I125">
            <v>42617.773379629631</v>
          </cell>
          <cell r="J125">
            <v>0</v>
          </cell>
          <cell r="K125" t="str">
            <v>4009/4010</v>
          </cell>
          <cell r="L125" t="str">
            <v>COOLAHAN</v>
          </cell>
          <cell r="M125">
            <v>1.583333333110204E-2</v>
          </cell>
          <cell r="P125">
            <v>22.799999996786937</v>
          </cell>
          <cell r="R125" t="str">
            <v>Quebec 2N signal unable to clear</v>
          </cell>
          <cell r="S125">
            <v>0.75</v>
          </cell>
          <cell r="T125" t="str">
            <v>NorthBound</v>
          </cell>
          <cell r="U125">
            <v>6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https://search-rtdc-monitor-bjffxe2xuh6vdkpspy63sjmuny.us-east-1.es.amazonaws.com/_plugin/kibana/#/discover/Steve-Slow-Train-Analysis-(2080s-and-2083s)?_g=(refreshInterval:(display:Off,section:0,value:0),time:(from:'2016-09-04 16:47:53-0600',mode:absolute,to:'2016-09-04 19:33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25" t="str">
            <v>Y</v>
          </cell>
          <cell r="X125">
            <v>1</v>
          </cell>
          <cell r="Y125">
            <v>4.4900000000000002E-2</v>
          </cell>
          <cell r="Z125">
            <v>5.548</v>
          </cell>
          <cell r="AA125">
            <v>5.5030999999999999</v>
          </cell>
          <cell r="AB125" t="e">
            <v>#N/A</v>
          </cell>
          <cell r="AC125" t="e">
            <v>#N/A</v>
          </cell>
          <cell r="AD125" t="str">
            <v>0213-04</v>
          </cell>
          <cell r="AE125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126">
          <cell r="A126" t="str">
            <v>213-04</v>
          </cell>
          <cell r="B126">
            <v>4009</v>
          </cell>
          <cell r="C126" t="str">
            <v>DE.1.0.7.0</v>
          </cell>
          <cell r="D126" t="str">
            <v>204:64682</v>
          </cell>
          <cell r="E126">
            <v>42617.756643518522</v>
          </cell>
          <cell r="F126">
            <v>42617.7575462963</v>
          </cell>
          <cell r="G126">
            <v>1</v>
          </cell>
          <cell r="H126" t="str">
            <v>204:233278</v>
          </cell>
          <cell r="I126">
            <v>42617.773379629631</v>
          </cell>
          <cell r="J126">
            <v>0</v>
          </cell>
          <cell r="K126" t="str">
            <v>4009/4010</v>
          </cell>
          <cell r="L126" t="str">
            <v>COOLAHAN</v>
          </cell>
          <cell r="M126">
            <v>1.583333333110204E-2</v>
          </cell>
          <cell r="T126" t="str">
            <v>NorthBound</v>
          </cell>
          <cell r="U126">
            <v>3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https://search-rtdc-monitor-bjffxe2xuh6vdkpspy63sjmuny.us-east-1.es.amazonaws.com/_plugin/kibana/#/discover/Steve-Slow-Train-Analysis-(2080s-and-2083s)?_g=(refreshInterval:(display:Off,section:0,value:0),time:(from:'2016-09-04 17:09:34-0600',mode:absolute,to:'2016-09-04 19:33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26" t="str">
            <v>Y</v>
          </cell>
          <cell r="X126">
            <v>0</v>
          </cell>
          <cell r="Y126">
            <v>6.4682000000000004</v>
          </cell>
          <cell r="Z126">
            <v>23.3278</v>
          </cell>
          <cell r="AA126">
            <v>16.8596</v>
          </cell>
          <cell r="AB126" t="e">
            <v>#N/A</v>
          </cell>
          <cell r="AC126" t="e">
            <v>#N/A</v>
          </cell>
          <cell r="AD126" t="str">
            <v>0213-04</v>
          </cell>
          <cell r="AE126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127">
          <cell r="A127" t="str">
            <v>214-04</v>
          </cell>
          <cell r="B127">
            <v>4010</v>
          </cell>
          <cell r="C127" t="str">
            <v>DE.1.0.7.0</v>
          </cell>
          <cell r="D127" t="str">
            <v>204:232938</v>
          </cell>
          <cell r="E127">
            <v>42617.776284722226</v>
          </cell>
          <cell r="F127">
            <v>42617.779548611114</v>
          </cell>
          <cell r="G127">
            <v>2</v>
          </cell>
          <cell r="H127" t="str">
            <v>204:136</v>
          </cell>
          <cell r="I127">
            <v>42617.80568287037</v>
          </cell>
          <cell r="J127">
            <v>0</v>
          </cell>
          <cell r="K127" t="str">
            <v>4009/4010</v>
          </cell>
          <cell r="L127" t="str">
            <v>COOLAHAN</v>
          </cell>
          <cell r="M127">
            <v>2.6134259256650694E-2</v>
          </cell>
          <cell r="N127">
            <v>37.633333329576999</v>
          </cell>
          <cell r="S127">
            <v>1</v>
          </cell>
          <cell r="T127" t="str">
            <v>Southbound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https://search-rtdc-monitor-bjffxe2xuh6vdkpspy63sjmuny.us-east-1.es.amazonaws.com/_plugin/kibana/#/discover/Steve-Slow-Train-Analysis-(2080s-and-2083s)?_g=(refreshInterval:(display:Off,section:0,value:0),time:(from:'2016-09-04 17:37:51-0600',mode:absolute,to:'2016-09-04 20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27" t="str">
            <v>N</v>
          </cell>
          <cell r="X127">
            <v>1</v>
          </cell>
          <cell r="Y127">
            <v>23.293800000000001</v>
          </cell>
          <cell r="Z127">
            <v>1.3599999999999999E-2</v>
          </cell>
          <cell r="AA127">
            <v>23.280200000000001</v>
          </cell>
          <cell r="AB127">
            <v>21848</v>
          </cell>
          <cell r="AC127" t="str">
            <v>PERMANENT SPEED RESTRICTION</v>
          </cell>
          <cell r="AD127" t="str">
            <v>0214-04</v>
          </cell>
          <cell r="AE127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128">
          <cell r="A128" t="str">
            <v>215-04</v>
          </cell>
          <cell r="B128">
            <v>4016</v>
          </cell>
          <cell r="C128" t="str">
            <v>DE.1.0.7.0</v>
          </cell>
          <cell r="D128" t="str">
            <v>204:473</v>
          </cell>
          <cell r="E128">
            <v>42617.745925925927</v>
          </cell>
          <cell r="F128">
            <v>42617.750162037039</v>
          </cell>
          <cell r="G128">
            <v>1</v>
          </cell>
          <cell r="H128" t="str">
            <v>204:24729</v>
          </cell>
          <cell r="I128">
            <v>42617.754872685182</v>
          </cell>
          <cell r="J128">
            <v>0</v>
          </cell>
          <cell r="K128" t="str">
            <v>4015/4016</v>
          </cell>
          <cell r="L128" t="str">
            <v>SHOOK</v>
          </cell>
          <cell r="M128">
            <v>4.7106481433729641E-3</v>
          </cell>
          <cell r="P128">
            <v>6.7833333264570683</v>
          </cell>
          <cell r="R128" t="str">
            <v>EC0286RH 21-1T 1N was STOP &amp; PROCEED.</v>
          </cell>
          <cell r="S128">
            <v>0</v>
          </cell>
          <cell r="T128" t="str">
            <v>NorthBound</v>
          </cell>
          <cell r="U128">
            <v>0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https://search-rtdc-monitor-bjffxe2xuh6vdkpspy63sjmuny.us-east-1.es.amazonaws.com/_plugin/kibana/#/discover/Steve-Slow-Train-Analysis-(2080s-and-2083s)?_g=(refreshInterval:(display:Off,section:0,value:0),time:(from:'2016-09-04 16:54:08-0600',mode:absolute,to:'2016-09-04 19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28" t="str">
            <v>Y</v>
          </cell>
          <cell r="X128">
            <v>1</v>
          </cell>
          <cell r="Y128">
            <v>4.7300000000000002E-2</v>
          </cell>
          <cell r="Z128">
            <v>2.4729000000000001</v>
          </cell>
          <cell r="AA128">
            <v>2.4256000000000002</v>
          </cell>
          <cell r="AB128" t="e">
            <v>#N/A</v>
          </cell>
          <cell r="AC128" t="e">
            <v>#N/A</v>
          </cell>
          <cell r="AD128" t="str">
            <v>0215-04</v>
          </cell>
          <cell r="AE128" t="str">
    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    </cell>
        </row>
        <row r="129">
          <cell r="A129" t="str">
            <v>217-04</v>
          </cell>
          <cell r="B129">
            <v>4018</v>
          </cell>
          <cell r="C129" t="str">
            <v>DE.1.0.7.0</v>
          </cell>
          <cell r="D129" t="str">
            <v>204:464</v>
          </cell>
          <cell r="E129">
            <v>42617.759143518517</v>
          </cell>
          <cell r="F129">
            <v>42617.783437500002</v>
          </cell>
          <cell r="G129">
            <v>1</v>
          </cell>
          <cell r="H129" t="str">
            <v>204:56174</v>
          </cell>
          <cell r="I129">
            <v>42617.796006944445</v>
          </cell>
          <cell r="J129">
            <v>0</v>
          </cell>
          <cell r="K129" t="str">
            <v>4017/4018</v>
          </cell>
          <cell r="L129" t="str">
            <v>NEWELL</v>
          </cell>
          <cell r="M129">
            <v>1.2569444443215616E-2</v>
          </cell>
          <cell r="P129">
            <v>18.099999998230487</v>
          </cell>
          <cell r="R129" t="str">
            <v>Quebec 2N signal unable to clear</v>
          </cell>
          <cell r="S129">
            <v>0.66666666666666663</v>
          </cell>
          <cell r="T129" t="str">
            <v>NorthBound</v>
          </cell>
          <cell r="U129">
            <v>6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https://search-rtdc-monitor-bjffxe2xuh6vdkpspy63sjmuny.us-east-1.es.amazonaws.com/_plugin/kibana/#/discover/Steve-Slow-Train-Analysis-(2080s-and-2083s)?_g=(refreshInterval:(display:Off,section:0,value:0),time:(from:'2016-09-04 17:13:10-0600',mode:absolute,to:'2016-09-04 20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29" t="str">
            <v>Y</v>
          </cell>
          <cell r="X129">
            <v>2</v>
          </cell>
          <cell r="Y129">
            <v>4.6399999999999997E-2</v>
          </cell>
          <cell r="Z129">
            <v>5.6173999999999999</v>
          </cell>
          <cell r="AA129">
            <v>5.5709999999999997</v>
          </cell>
          <cell r="AB129" t="e">
            <v>#N/A</v>
          </cell>
          <cell r="AC129" t="e">
            <v>#N/A</v>
          </cell>
          <cell r="AD129" t="str">
            <v>0217-04</v>
          </cell>
          <cell r="AE129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130">
          <cell r="A130" t="str">
            <v>217-04</v>
          </cell>
          <cell r="B130">
            <v>4018</v>
          </cell>
          <cell r="C130" t="str">
            <v>DE.1.0.7.0</v>
          </cell>
          <cell r="D130" t="str">
            <v>204:86375</v>
          </cell>
          <cell r="E130">
            <v>42617.782604166663</v>
          </cell>
          <cell r="F130">
            <v>42617.783437500002</v>
          </cell>
          <cell r="G130">
            <v>0</v>
          </cell>
          <cell r="H130" t="str">
            <v>204:233323</v>
          </cell>
          <cell r="I130">
            <v>42617.796006944445</v>
          </cell>
          <cell r="J130">
            <v>0</v>
          </cell>
          <cell r="K130" t="str">
            <v>4017/4018</v>
          </cell>
          <cell r="L130" t="str">
            <v>NEWELL</v>
          </cell>
          <cell r="M130">
            <v>1.2569444443215616E-2</v>
          </cell>
          <cell r="T130" t="str">
            <v>NorthBound</v>
          </cell>
          <cell r="U130">
            <v>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https://search-rtdc-monitor-bjffxe2xuh6vdkpspy63sjmuny.us-east-1.es.amazonaws.com/_plugin/kibana/#/discover/Steve-Slow-Train-Analysis-(2080s-and-2083s)?_g=(refreshInterval:(display:Off,section:0,value:0),time:(from:'2016-09-04 17:46:57-0600',mode:absolute,to:'2016-09-04 20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30" t="str">
            <v>Y</v>
          </cell>
          <cell r="X130">
            <v>0</v>
          </cell>
          <cell r="Y130">
            <v>8.6374999999999993</v>
          </cell>
          <cell r="Z130">
            <v>23.3323</v>
          </cell>
          <cell r="AA130">
            <v>14.694800000000001</v>
          </cell>
          <cell r="AB130" t="e">
            <v>#N/A</v>
          </cell>
          <cell r="AC130" t="e">
            <v>#N/A</v>
          </cell>
          <cell r="AD130" t="str">
            <v>0217-04</v>
          </cell>
          <cell r="AE130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131">
          <cell r="A131" t="str">
            <v>218-04</v>
          </cell>
          <cell r="B131">
            <v>4017</v>
          </cell>
          <cell r="C131" t="str">
            <v>DE.1.0.7.0</v>
          </cell>
          <cell r="D131" t="str">
            <v>204:233000</v>
          </cell>
          <cell r="E131">
            <v>42617.797939814816</v>
          </cell>
          <cell r="F131">
            <v>42617.799490740741</v>
          </cell>
          <cell r="G131">
            <v>1</v>
          </cell>
          <cell r="H131" t="str">
            <v>204:143</v>
          </cell>
          <cell r="I131">
            <v>42617.826504629629</v>
          </cell>
          <cell r="J131">
            <v>0</v>
          </cell>
          <cell r="K131" t="str">
            <v>4017/4018</v>
          </cell>
          <cell r="L131" t="str">
            <v>NEWELL</v>
          </cell>
          <cell r="M131">
            <v>2.7013888888177462E-2</v>
          </cell>
          <cell r="N131">
            <v>38.899999998975545</v>
          </cell>
          <cell r="S131">
            <v>1</v>
          </cell>
          <cell r="T131" t="str">
            <v>Southbound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https://search-rtdc-monitor-bjffxe2xuh6vdkpspy63sjmuny.us-east-1.es.amazonaws.com/_plugin/kibana/#/discover/Steve-Slow-Train-Analysis-(2080s-and-2083s)?_g=(refreshInterval:(display:Off,section:0,value:0),time:(from:'2016-09-04 18:09:02-0600',mode:absolute,to:'2016-09-04 20:50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31" t="str">
            <v>N</v>
          </cell>
          <cell r="X131">
            <v>1</v>
          </cell>
          <cell r="Y131">
            <v>23.3</v>
          </cell>
          <cell r="Z131">
            <v>1.43E-2</v>
          </cell>
          <cell r="AA131">
            <v>23.285700000000002</v>
          </cell>
          <cell r="AB131" t="e">
            <v>#N/A</v>
          </cell>
          <cell r="AC131" t="e">
            <v>#N/A</v>
          </cell>
          <cell r="AD131" t="str">
            <v>0218-04</v>
          </cell>
          <cell r="AE131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132">
          <cell r="A132" t="str">
            <v>219-04</v>
          </cell>
          <cell r="B132">
            <v>4031</v>
          </cell>
          <cell r="C132" t="str">
            <v>DE.1.0.7.0</v>
          </cell>
          <cell r="D132" t="str">
            <v>204:1490</v>
          </cell>
          <cell r="E132">
            <v>42617.772094907406</v>
          </cell>
          <cell r="F132">
            <v>42617.773287037038</v>
          </cell>
          <cell r="G132">
            <v>1</v>
          </cell>
          <cell r="H132" t="str">
            <v>204:1989</v>
          </cell>
          <cell r="I132">
            <v>42617.7734375</v>
          </cell>
          <cell r="J132">
            <v>0</v>
          </cell>
          <cell r="K132" t="str">
            <v>4031/4032</v>
          </cell>
          <cell r="L132" t="str">
            <v>CHANDLER</v>
          </cell>
          <cell r="M132">
            <v>1.5046296175569296E-4</v>
          </cell>
          <cell r="P132">
            <v>0.21666666492819786</v>
          </cell>
          <cell r="R132" t="str">
            <v>Departure from DUS Main 3</v>
          </cell>
          <cell r="S132">
            <v>0</v>
          </cell>
          <cell r="T132" t="str">
            <v>NorthBound</v>
          </cell>
          <cell r="U132">
            <v>0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https://search-rtdc-monitor-bjffxe2xuh6vdkpspy63sjmuny.us-east-1.es.amazonaws.com/_plugin/kibana/#/discover/Steve-Slow-Train-Analysis-(2080s-and-2083s)?_g=(refreshInterval:(display:Off,section:0,value:0),time:(from:'2016-09-04 17:31:49-0600',mode:absolute,to:'2016-09-04 19:33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32" t="str">
            <v>Y</v>
          </cell>
          <cell r="X132">
            <v>1</v>
          </cell>
          <cell r="Y132">
            <v>0.14899999999999999</v>
          </cell>
          <cell r="Z132">
            <v>0.19889999999999999</v>
          </cell>
          <cell r="AA132">
            <v>4.99E-2</v>
          </cell>
          <cell r="AB132" t="e">
            <v>#N/A</v>
          </cell>
          <cell r="AC132" t="e">
            <v>#N/A</v>
          </cell>
          <cell r="AD132" t="str">
            <v>0219-04</v>
          </cell>
          <cell r="AE132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133">
          <cell r="A133" t="str">
            <v>220-04</v>
          </cell>
          <cell r="B133">
            <v>4032</v>
          </cell>
          <cell r="C133" t="str">
            <v>DE.1.0.7.0</v>
          </cell>
          <cell r="D133" t="str">
            <v>204:232985</v>
          </cell>
          <cell r="E133">
            <v>42617.810937499999</v>
          </cell>
          <cell r="F133">
            <v>42617.8122337963</v>
          </cell>
          <cell r="G133">
            <v>1</v>
          </cell>
          <cell r="H133" t="str">
            <v>204:167</v>
          </cell>
          <cell r="I133">
            <v>42617.839965277781</v>
          </cell>
          <cell r="J133">
            <v>0</v>
          </cell>
          <cell r="K133" t="str">
            <v>4031/4032</v>
          </cell>
          <cell r="L133" t="str">
            <v>CHANDLER</v>
          </cell>
          <cell r="M133">
            <v>2.7731481481168885E-2</v>
          </cell>
          <cell r="N133">
            <v>39.933333332883194</v>
          </cell>
          <cell r="S133">
            <v>1</v>
          </cell>
          <cell r="T133" t="str">
            <v>Southbound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https://search-rtdc-monitor-bjffxe2xuh6vdkpspy63sjmuny.us-east-1.es.amazonaws.com/_plugin/kibana/#/discover/Steve-Slow-Train-Analysis-(2080s-and-2083s)?_g=(refreshInterval:(display:Off,section:0,value:0),time:(from:'2016-09-04 18:27:45-0600',mode:absolute,to:'2016-09-04 21:09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33" t="str">
            <v>N</v>
          </cell>
          <cell r="X133">
            <v>1</v>
          </cell>
          <cell r="Y133">
            <v>23.298500000000001</v>
          </cell>
          <cell r="Z133">
            <v>1.67E-2</v>
          </cell>
          <cell r="AA133">
            <v>23.2818</v>
          </cell>
          <cell r="AB133" t="e">
            <v>#N/A</v>
          </cell>
          <cell r="AC133" t="e">
            <v>#N/A</v>
          </cell>
          <cell r="AD133" t="str">
            <v>0220-04</v>
          </cell>
          <cell r="AE133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134">
          <cell r="A134" t="str">
            <v>221-04</v>
          </cell>
          <cell r="B134">
            <v>4046</v>
          </cell>
          <cell r="C134" t="str">
            <v>DE.1.0.7.0</v>
          </cell>
          <cell r="D134" t="str">
            <v>204:502</v>
          </cell>
          <cell r="E134">
            <v>42617.788993055554</v>
          </cell>
          <cell r="F134">
            <v>42617.791851851849</v>
          </cell>
          <cell r="G134">
            <v>1</v>
          </cell>
          <cell r="H134" t="str">
            <v>204:54724</v>
          </cell>
          <cell r="I134">
            <v>42617.800682870373</v>
          </cell>
          <cell r="J134">
            <v>0</v>
          </cell>
          <cell r="K134" t="str">
            <v>4045/4046</v>
          </cell>
          <cell r="L134" t="str">
            <v>LEVERE</v>
          </cell>
          <cell r="M134">
            <v>8.8310185237787664E-3</v>
          </cell>
          <cell r="P134">
            <v>12.716666674241424</v>
          </cell>
          <cell r="R134" t="str">
            <v>Quebec 2N signal unable to clear</v>
          </cell>
          <cell r="S134">
            <v>0.5</v>
          </cell>
          <cell r="T134" t="str">
            <v>NorthBound</v>
          </cell>
          <cell r="U134">
            <v>6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https://search-rtdc-monitor-bjffxe2xuh6vdkpspy63sjmuny.us-east-1.es.amazonaws.com/_plugin/kibana/#/discover/Steve-Slow-Train-Analysis-(2080s-and-2083s)?_g=(refreshInterval:(display:Off,section:0,value:0),time:(from:'2016-09-04 17:56:09-0600',mode:absolute,to:'2016-09-04 20:12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34" t="str">
            <v>Y</v>
          </cell>
          <cell r="X134">
            <v>1</v>
          </cell>
          <cell r="Y134">
            <v>5.0200000000000002E-2</v>
          </cell>
          <cell r="Z134">
            <v>5.4724000000000004</v>
          </cell>
          <cell r="AA134">
            <v>5.4222000000000001</v>
          </cell>
          <cell r="AB134" t="e">
            <v>#N/A</v>
          </cell>
          <cell r="AC134" t="e">
            <v>#N/A</v>
          </cell>
          <cell r="AD134" t="str">
            <v>0221-04</v>
          </cell>
          <cell r="AE134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135">
          <cell r="A135" t="str">
            <v>222-04</v>
          </cell>
          <cell r="B135">
            <v>4045</v>
          </cell>
          <cell r="C135" t="str">
            <v>DE.1.0.7.0</v>
          </cell>
          <cell r="D135" t="str">
            <v>204:232985</v>
          </cell>
          <cell r="E135">
            <v>42617.829895833333</v>
          </cell>
          <cell r="F135">
            <v>42617.832048611112</v>
          </cell>
          <cell r="G135">
            <v>2</v>
          </cell>
          <cell r="H135" t="str">
            <v>204:147</v>
          </cell>
          <cell r="I135">
            <v>42617.859571759262</v>
          </cell>
          <cell r="J135">
            <v>0</v>
          </cell>
          <cell r="K135" t="str">
            <v>4045/4046</v>
          </cell>
          <cell r="L135" t="str">
            <v>LEVERE</v>
          </cell>
          <cell r="M135">
            <v>2.7523148150066845E-2</v>
          </cell>
          <cell r="N135">
            <v>39.633333336096257</v>
          </cell>
          <cell r="S135">
            <v>1</v>
          </cell>
          <cell r="T135" t="str">
            <v>Southbound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https://search-rtdc-monitor-bjffxe2xuh6vdkpspy63sjmuny.us-east-1.es.amazonaws.com/_plugin/kibana/#/discover/Steve-Slow-Train-Analysis-(2080s-and-2083s)?_g=(refreshInterval:(display:Off,section:0,value:0),time:(from:'2016-09-04 18:55:03-0600',mode:absolute,to:'2016-09-04 21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35" t="str">
            <v>N</v>
          </cell>
          <cell r="X135">
            <v>1</v>
          </cell>
          <cell r="Y135">
            <v>23.298500000000001</v>
          </cell>
          <cell r="Z135">
            <v>1.47E-2</v>
          </cell>
          <cell r="AA135">
            <v>23.283799999999999</v>
          </cell>
          <cell r="AB135" t="e">
            <v>#N/A</v>
          </cell>
          <cell r="AC135" t="e">
            <v>#N/A</v>
          </cell>
          <cell r="AD135" t="str">
            <v>0222-04</v>
          </cell>
          <cell r="AE135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136">
          <cell r="A136" t="str">
            <v>223-04</v>
          </cell>
          <cell r="B136">
            <v>4009</v>
          </cell>
          <cell r="C136" t="str">
            <v>DE.1.0.7.0</v>
          </cell>
          <cell r="D136" t="str">
            <v>204:427</v>
          </cell>
          <cell r="E136">
            <v>42617.809039351851</v>
          </cell>
          <cell r="F136">
            <v>42617.828842592593</v>
          </cell>
          <cell r="G136">
            <v>1</v>
          </cell>
          <cell r="H136" t="str">
            <v>204:37182</v>
          </cell>
          <cell r="I136">
            <v>42617.845416666663</v>
          </cell>
          <cell r="J136">
            <v>0</v>
          </cell>
          <cell r="K136" t="str">
            <v>4009/4010</v>
          </cell>
          <cell r="L136" t="str">
            <v>COOLAHAN</v>
          </cell>
          <cell r="M136">
            <v>1.657407407037681E-2</v>
          </cell>
          <cell r="P136">
            <v>23.866666661342606</v>
          </cell>
          <cell r="R136" t="str">
            <v>Quebec 2N signal unable to clear</v>
          </cell>
          <cell r="S136">
            <v>0.5</v>
          </cell>
          <cell r="T136" t="str">
            <v>NorthBound</v>
          </cell>
          <cell r="U136">
            <v>3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https://search-rtdc-monitor-bjffxe2xuh6vdkpspy63sjmuny.us-east-1.es.amazonaws.com/_plugin/kibana/#/discover/Steve-Slow-Train-Analysis-(2080s-and-2083s)?_g=(refreshInterval:(display:Off,section:0,value:0),time:(from:'2016-09-04 18:25:01-0600',mode:absolute,to:'2016-09-04 21:17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36" t="str">
            <v>Y</v>
          </cell>
          <cell r="X136">
            <v>1</v>
          </cell>
          <cell r="Y136">
            <v>4.2700000000000002E-2</v>
          </cell>
          <cell r="Z136">
            <v>3.7181999999999999</v>
          </cell>
          <cell r="AA136">
            <v>3.6755</v>
          </cell>
          <cell r="AB136" t="e">
            <v>#N/A</v>
          </cell>
          <cell r="AC136" t="e">
            <v>#N/A</v>
          </cell>
          <cell r="AD136" t="str">
            <v>0223-04</v>
          </cell>
          <cell r="AE136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137">
          <cell r="A137" t="str">
            <v>223-04</v>
          </cell>
          <cell r="B137">
            <v>4009</v>
          </cell>
          <cell r="C137" t="str">
            <v>DE.1.0.7.0</v>
          </cell>
          <cell r="D137" t="str">
            <v>204:64677</v>
          </cell>
          <cell r="E137">
            <v>42617.827881944446</v>
          </cell>
          <cell r="F137">
            <v>42617.828842592593</v>
          </cell>
          <cell r="G137">
            <v>0</v>
          </cell>
          <cell r="H137" t="str">
            <v>204:233300</v>
          </cell>
          <cell r="I137">
            <v>42617.845416666663</v>
          </cell>
          <cell r="J137">
            <v>0</v>
          </cell>
          <cell r="K137" t="str">
            <v>4009/4010</v>
          </cell>
          <cell r="L137" t="str">
            <v>COOLAHAN</v>
          </cell>
          <cell r="M137">
            <v>1.657407407037681E-2</v>
          </cell>
          <cell r="T137" t="str">
            <v>NorthBound</v>
          </cell>
          <cell r="U137">
            <v>3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https://search-rtdc-monitor-bjffxe2xuh6vdkpspy63sjmuny.us-east-1.es.amazonaws.com/_plugin/kibana/#/discover/Steve-Slow-Train-Analysis-(2080s-and-2083s)?_g=(refreshInterval:(display:Off,section:0,value:0),time:(from:'2016-09-04 18:52:09-0600',mode:absolute,to:'2016-09-04 21:17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37" t="str">
            <v>Y</v>
          </cell>
          <cell r="X137">
            <v>0</v>
          </cell>
          <cell r="Y137">
            <v>6.4676999999999998</v>
          </cell>
          <cell r="Z137">
            <v>23.33</v>
          </cell>
          <cell r="AA137">
            <v>16.862299999999998</v>
          </cell>
          <cell r="AB137" t="e">
            <v>#N/A</v>
          </cell>
          <cell r="AC137" t="e">
            <v>#N/A</v>
          </cell>
          <cell r="AD137" t="str">
            <v>0223-04</v>
          </cell>
          <cell r="AE137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138">
          <cell r="A138" t="str">
            <v>224-04</v>
          </cell>
          <cell r="B138">
            <v>4010</v>
          </cell>
          <cell r="C138" t="str">
            <v>DE.1.0.7.0</v>
          </cell>
          <cell r="D138" t="str">
            <v>204:232981</v>
          </cell>
          <cell r="E138">
            <v>42617.849363425928</v>
          </cell>
          <cell r="F138">
            <v>42617.851689814815</v>
          </cell>
          <cell r="G138">
            <v>1</v>
          </cell>
          <cell r="H138" t="str">
            <v>204:147</v>
          </cell>
          <cell r="I138">
            <v>42617.878657407404</v>
          </cell>
          <cell r="J138">
            <v>0</v>
          </cell>
          <cell r="K138" t="str">
            <v>4009/4010</v>
          </cell>
          <cell r="L138" t="str">
            <v>COOLAHAN</v>
          </cell>
          <cell r="M138">
            <v>2.696759258833481E-2</v>
          </cell>
          <cell r="N138">
            <v>38.833333327202126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https://search-rtdc-monitor-bjffxe2xuh6vdkpspy63sjmuny.us-east-1.es.amazonaws.com/_plugin/kibana/#/discover/Steve-Slow-Train-Analysis-(2080s-and-2083s)?_g=(refreshInterval:(display:Off,section:0,value:0),time:(from:'2016-09-04 19:23:05-0600',mode:absolute,to:'2016-09-04 22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38" t="str">
            <v>N</v>
          </cell>
          <cell r="X138">
            <v>1</v>
          </cell>
          <cell r="Y138">
            <v>23.298100000000002</v>
          </cell>
          <cell r="Z138">
            <v>1.47E-2</v>
          </cell>
          <cell r="AA138">
            <v>23.2834</v>
          </cell>
          <cell r="AB138" t="e">
            <v>#N/A</v>
          </cell>
          <cell r="AC138" t="e">
            <v>#N/A</v>
          </cell>
          <cell r="AD138" t="str">
            <v>0224-04</v>
          </cell>
          <cell r="AE138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139">
          <cell r="A139" t="str">
            <v>225-04</v>
          </cell>
          <cell r="B139">
            <v>4018</v>
          </cell>
          <cell r="C139" t="str">
            <v>DE.1.0.7.0</v>
          </cell>
          <cell r="D139" t="str">
            <v>204:449</v>
          </cell>
          <cell r="E139">
            <v>42617.828587962962</v>
          </cell>
          <cell r="F139">
            <v>42617.833541666667</v>
          </cell>
          <cell r="G139">
            <v>1</v>
          </cell>
          <cell r="H139" t="str">
            <v>204:233329</v>
          </cell>
          <cell r="I139">
            <v>42617.859861111108</v>
          </cell>
          <cell r="J139">
            <v>0</v>
          </cell>
          <cell r="K139" t="str">
            <v>4017/4018</v>
          </cell>
          <cell r="L139" t="str">
            <v>NEWELL</v>
          </cell>
          <cell r="M139">
            <v>2.6319444441469386E-2</v>
          </cell>
          <cell r="N139">
            <v>37.899999995715916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https://search-rtdc-monitor-bjffxe2xuh6vdkpspy63sjmuny.us-east-1.es.amazonaws.com/_plugin/kibana/#/discover/Steve-Slow-Train-Analysis-(2080s-and-2083s)?_g=(refreshInterval:(display:Off,section:0,value:0),time:(from:'2016-09-04 18:53:10-0600',mode:absolute,to:'2016-09-04 21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39" t="str">
            <v>N</v>
          </cell>
          <cell r="X139">
            <v>1</v>
          </cell>
          <cell r="Y139">
            <v>4.4900000000000002E-2</v>
          </cell>
          <cell r="Z139">
            <v>23.332899999999999</v>
          </cell>
          <cell r="AA139">
            <v>23.288</v>
          </cell>
          <cell r="AB139" t="e">
            <v>#N/A</v>
          </cell>
          <cell r="AC139" t="e">
            <v>#N/A</v>
          </cell>
          <cell r="AD139" t="str">
            <v>0225-04</v>
          </cell>
          <cell r="AE139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140">
          <cell r="A140" t="str">
            <v>226-04</v>
          </cell>
          <cell r="B140">
            <v>4017</v>
          </cell>
          <cell r="C140" t="str">
            <v>DE.1.0.7.0</v>
          </cell>
          <cell r="D140" t="str">
            <v>204:233008</v>
          </cell>
          <cell r="E140">
            <v>42617.867326388892</v>
          </cell>
          <cell r="F140">
            <v>42617.872523148151</v>
          </cell>
          <cell r="G140">
            <v>1</v>
          </cell>
          <cell r="H140" t="str">
            <v>204:161</v>
          </cell>
          <cell r="I140">
            <v>42617.900034722225</v>
          </cell>
          <cell r="J140">
            <v>0</v>
          </cell>
          <cell r="K140" t="str">
            <v>4017/4018</v>
          </cell>
          <cell r="L140" t="str">
            <v>NEWELL</v>
          </cell>
          <cell r="M140">
            <v>2.7511574073287193E-2</v>
          </cell>
          <cell r="N140">
            <v>39.616666665533558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https://search-rtdc-monitor-bjffxe2xuh6vdkpspy63sjmuny.us-east-1.es.amazonaws.com/_plugin/kibana/#/discover/Steve-Slow-Train-Analysis-(2080s-and-2083s)?_g=(refreshInterval:(display:Off,section:0,value:0),time:(from:'2016-09-04 19:48:57-0600',mode:absolute,to:'2016-09-04 22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40" t="str">
            <v>N</v>
          </cell>
          <cell r="X140">
            <v>1</v>
          </cell>
          <cell r="Y140">
            <v>23.300799999999999</v>
          </cell>
          <cell r="Z140">
            <v>1.61E-2</v>
          </cell>
          <cell r="AA140">
            <v>23.284699999999997</v>
          </cell>
          <cell r="AB140" t="e">
            <v>#N/A</v>
          </cell>
          <cell r="AC140" t="e">
            <v>#N/A</v>
          </cell>
          <cell r="AD140" t="str">
            <v>0226-04</v>
          </cell>
          <cell r="AE140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141">
          <cell r="A141" t="str">
            <v>227-04</v>
          </cell>
          <cell r="B141">
            <v>4031</v>
          </cell>
          <cell r="C141" t="str">
            <v>DE.1.0.7.0</v>
          </cell>
          <cell r="D141" t="str">
            <v>204:473</v>
          </cell>
          <cell r="E141">
            <v>42617.853460648148</v>
          </cell>
          <cell r="F141">
            <v>42617.855023148149</v>
          </cell>
          <cell r="G141">
            <v>1</v>
          </cell>
          <cell r="H141" t="str">
            <v>204:233298</v>
          </cell>
          <cell r="I141">
            <v>42617.881030092591</v>
          </cell>
          <cell r="J141">
            <v>0</v>
          </cell>
          <cell r="K141" t="str">
            <v>4031/4032</v>
          </cell>
          <cell r="L141" t="str">
            <v>CHANDLER</v>
          </cell>
          <cell r="M141">
            <v>2.6006944441178348E-2</v>
          </cell>
          <cell r="N141">
            <v>37.449999995296821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https://search-rtdc-monitor-bjffxe2xuh6vdkpspy63sjmuny.us-east-1.es.amazonaws.com/_plugin/kibana/#/discover/Steve-Slow-Train-Analysis-(2080s-and-2083s)?_g=(refreshInterval:(display:Off,section:0,value:0),time:(from:'2016-09-04 19:28:59-0600',mode:absolute,to:'2016-09-04 22:08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41" t="str">
            <v>N</v>
          </cell>
          <cell r="X141">
            <v>1</v>
          </cell>
          <cell r="Y141">
            <v>4.7300000000000002E-2</v>
          </cell>
          <cell r="Z141">
            <v>23.329799999999999</v>
          </cell>
          <cell r="AA141">
            <v>23.282499999999999</v>
          </cell>
          <cell r="AB141" t="e">
            <v>#N/A</v>
          </cell>
          <cell r="AC141" t="e">
            <v>#N/A</v>
          </cell>
          <cell r="AD141" t="str">
            <v>0227-04</v>
          </cell>
          <cell r="AE141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142">
          <cell r="A142" t="str">
            <v>228-04</v>
          </cell>
          <cell r="B142">
            <v>4032</v>
          </cell>
          <cell r="C142" t="str">
            <v>DE.1.0.7.0</v>
          </cell>
          <cell r="D142" t="str">
            <v>204:232977</v>
          </cell>
          <cell r="E142">
            <v>42617.891041666669</v>
          </cell>
          <cell r="F142">
            <v>42617.893564814818</v>
          </cell>
          <cell r="G142">
            <v>1</v>
          </cell>
          <cell r="H142" t="str">
            <v>204:160</v>
          </cell>
          <cell r="I142">
            <v>42617.923703703702</v>
          </cell>
          <cell r="J142">
            <v>0</v>
          </cell>
          <cell r="K142" t="str">
            <v>4031/4032</v>
          </cell>
          <cell r="L142" t="str">
            <v>CHANDLER</v>
          </cell>
          <cell r="M142">
            <v>3.0138888883811887E-2</v>
          </cell>
          <cell r="N142">
            <v>43.399999992689118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https://search-rtdc-monitor-bjffxe2xuh6vdkpspy63sjmuny.us-east-1.es.amazonaws.com/_plugin/kibana/#/discover/Steve-Slow-Train-Analysis-(2080s-and-2083s)?_g=(refreshInterval:(display:Off,section:0,value:0),time:(from:'2016-09-04 20:23:06-0600',mode:absolute,to:'2016-09-04 23:10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42" t="str">
            <v>N</v>
          </cell>
          <cell r="X142">
            <v>1</v>
          </cell>
          <cell r="Y142">
            <v>23.297699999999999</v>
          </cell>
          <cell r="Z142">
            <v>1.6E-2</v>
          </cell>
          <cell r="AA142">
            <v>23.281700000000001</v>
          </cell>
          <cell r="AB142" t="e">
            <v>#N/A</v>
          </cell>
          <cell r="AC142" t="e">
            <v>#N/A</v>
          </cell>
          <cell r="AD142" t="str">
            <v>0228-04</v>
          </cell>
          <cell r="AE142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143">
          <cell r="A143" t="str">
            <v>229-04</v>
          </cell>
          <cell r="B143">
            <v>4046</v>
          </cell>
          <cell r="C143" t="str">
            <v>DE.1.0.7.0</v>
          </cell>
          <cell r="D143" t="str">
            <v>204:469</v>
          </cell>
          <cell r="E143">
            <v>42617.868298611109</v>
          </cell>
          <cell r="F143">
            <v>42617.875231481485</v>
          </cell>
          <cell r="G143">
            <v>1</v>
          </cell>
          <cell r="H143" t="str">
            <v>204:233293</v>
          </cell>
          <cell r="I143">
            <v>42617.902743055558</v>
          </cell>
          <cell r="J143">
            <v>0</v>
          </cell>
          <cell r="K143" t="str">
            <v>4045/4046</v>
          </cell>
          <cell r="L143" t="str">
            <v>LEVERE</v>
          </cell>
          <cell r="M143">
            <v>2.7511574073287193E-2</v>
          </cell>
          <cell r="N143">
            <v>39.616666665533558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https://search-rtdc-monitor-bjffxe2xuh6vdkpspy63sjmuny.us-east-1.es.amazonaws.com/_plugin/kibana/#/discover/Steve-Slow-Train-Analysis-(2080s-and-2083s)?_g=(refreshInterval:(display:Off,section:0,value:0),time:(from:'2016-09-04 19:50:21-0600',mode:absolute,to:'2016-09-04 22:39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43" t="str">
            <v>N</v>
          </cell>
          <cell r="X143">
            <v>1</v>
          </cell>
          <cell r="Y143">
            <v>4.6899999999999997E-2</v>
          </cell>
          <cell r="Z143">
            <v>23.3293</v>
          </cell>
          <cell r="AA143">
            <v>23.282399999999999</v>
          </cell>
          <cell r="AB143" t="e">
            <v>#N/A</v>
          </cell>
          <cell r="AC143" t="e">
            <v>#N/A</v>
          </cell>
          <cell r="AD143" t="str">
            <v>0229-04</v>
          </cell>
          <cell r="AE143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144">
          <cell r="A144" t="str">
            <v>230-04</v>
          </cell>
          <cell r="B144">
            <v>4045</v>
          </cell>
          <cell r="C144" t="str">
            <v>DE.1.0.7.0</v>
          </cell>
          <cell r="D144" t="str">
            <v>204:232972</v>
          </cell>
          <cell r="E144">
            <v>42617.908946759257</v>
          </cell>
          <cell r="F144">
            <v>42617.914305555554</v>
          </cell>
          <cell r="G144">
            <v>1</v>
          </cell>
          <cell r="H144" t="str">
            <v>204:156</v>
          </cell>
          <cell r="I144">
            <v>42617.942997685182</v>
          </cell>
          <cell r="J144">
            <v>0</v>
          </cell>
          <cell r="K144" t="str">
            <v>4045/4046</v>
          </cell>
          <cell r="L144" t="str">
            <v>LEVERE</v>
          </cell>
          <cell r="M144">
            <v>2.8692129628325347E-2</v>
          </cell>
          <cell r="N144">
            <v>41.316666664788499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https://search-rtdc-monitor-bjffxe2xuh6vdkpspy63sjmuny.us-east-1.es.amazonaws.com/_plugin/kibana/#/discover/Steve-Slow-Train-Analysis-(2080s-and-2083s)?_g=(refreshInterval:(display:Off,section:0,value:0),time:(from:'2016-09-04 20:48:53-0600',mode:absolute,to:'2016-09-04 23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44" t="str">
            <v>N</v>
          </cell>
          <cell r="X144">
            <v>1</v>
          </cell>
          <cell r="Y144">
            <v>23.2972</v>
          </cell>
          <cell r="Z144">
            <v>1.5599999999999999E-2</v>
          </cell>
          <cell r="AA144">
            <v>23.281600000000001</v>
          </cell>
          <cell r="AB144" t="e">
            <v>#N/A</v>
          </cell>
          <cell r="AC144" t="e">
            <v>#N/A</v>
          </cell>
          <cell r="AD144" t="str">
            <v>0230-04</v>
          </cell>
          <cell r="AE144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145">
          <cell r="A145" t="str">
            <v>231-04</v>
          </cell>
          <cell r="B145">
            <v>4009</v>
          </cell>
          <cell r="C145" t="str">
            <v>DE.1.0.7.0</v>
          </cell>
          <cell r="D145" t="str">
            <v>204:444</v>
          </cell>
          <cell r="E145">
            <v>42617.892407407409</v>
          </cell>
          <cell r="F145">
            <v>42617.896053240744</v>
          </cell>
          <cell r="G145">
            <v>5</v>
          </cell>
          <cell r="H145" t="str">
            <v>204:233308</v>
          </cell>
          <cell r="I145">
            <v>42617.920914351853</v>
          </cell>
          <cell r="J145">
            <v>0</v>
          </cell>
          <cell r="K145" t="str">
            <v>4009/4010</v>
          </cell>
          <cell r="L145" t="str">
            <v>COOLAHAN</v>
          </cell>
          <cell r="M145">
            <v>2.4861111109203193E-2</v>
          </cell>
          <cell r="N145">
            <v>35.799999997252598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https://search-rtdc-monitor-bjffxe2xuh6vdkpspy63sjmuny.us-east-1.es.amazonaws.com/_plugin/kibana/#/discover/Steve-Slow-Train-Analysis-(2080s-and-2083s)?_g=(refreshInterval:(display:Off,section:0,value:0),time:(from:'2016-09-04 20:25:04-0600',mode:absolute,to:'2016-09-04 23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45" t="str">
            <v>N</v>
          </cell>
          <cell r="X145">
            <v>1</v>
          </cell>
          <cell r="Y145">
            <v>4.4400000000000002E-2</v>
          </cell>
          <cell r="Z145">
            <v>23.3308</v>
          </cell>
          <cell r="AA145">
            <v>23.2864</v>
          </cell>
          <cell r="AB145" t="e">
            <v>#N/A</v>
          </cell>
          <cell r="AC145" t="e">
            <v>#N/A</v>
          </cell>
          <cell r="AD145" t="str">
            <v>0231-04</v>
          </cell>
          <cell r="AE145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146">
          <cell r="A146" t="str">
            <v>232-04</v>
          </cell>
          <cell r="B146">
            <v>4010</v>
          </cell>
          <cell r="C146" t="str">
            <v>DE.1.0.7.0</v>
          </cell>
          <cell r="D146" t="str">
            <v>204:232993</v>
          </cell>
          <cell r="E146">
            <v>42617.929826388892</v>
          </cell>
          <cell r="F146">
            <v>42617.934965277775</v>
          </cell>
          <cell r="G146">
            <v>7</v>
          </cell>
          <cell r="H146" t="str">
            <v>204:160</v>
          </cell>
          <cell r="I146">
            <v>42617.964062500003</v>
          </cell>
          <cell r="J146">
            <v>0</v>
          </cell>
          <cell r="K146" t="str">
            <v>4009/4010</v>
          </cell>
          <cell r="L146" t="str">
            <v>COOLAHAN</v>
          </cell>
          <cell r="M146">
            <v>2.9097222228301689E-2</v>
          </cell>
          <cell r="N146">
            <v>41.900000008754432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https://search-rtdc-monitor-bjffxe2xuh6vdkpspy63sjmuny.us-east-1.es.amazonaws.com/_plugin/kibana/#/discover/Steve-Slow-Train-Analysis-(2080s-and-2083s)?_g=(refreshInterval:(display:Off,section:0,value:0),time:(from:'2016-09-04 21:18:57-0600',mode:absolute,to:'2016-09-05 00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46" t="str">
            <v>N</v>
          </cell>
          <cell r="X146">
            <v>1</v>
          </cell>
          <cell r="Y146">
            <v>23.299299999999999</v>
          </cell>
          <cell r="Z146">
            <v>1.6E-2</v>
          </cell>
          <cell r="AA146">
            <v>23.283300000000001</v>
          </cell>
          <cell r="AB146" t="e">
            <v>#N/A</v>
          </cell>
          <cell r="AC146" t="e">
            <v>#N/A</v>
          </cell>
          <cell r="AD146" t="str">
            <v>0232-04</v>
          </cell>
          <cell r="AE146" t="str">
    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    </cell>
        </row>
        <row r="147">
          <cell r="A147" t="str">
            <v>233-04</v>
          </cell>
          <cell r="B147">
            <v>4018</v>
          </cell>
          <cell r="C147" t="str">
            <v>DE.1.0.7.0</v>
          </cell>
          <cell r="D147" t="str">
            <v>204:462</v>
          </cell>
          <cell r="E147">
            <v>42617.90425925926</v>
          </cell>
          <cell r="F147">
            <v>42617.916851851849</v>
          </cell>
          <cell r="G147">
            <v>0</v>
          </cell>
          <cell r="H147" t="str">
            <v>204:233314</v>
          </cell>
          <cell r="I147">
            <v>42617.941550925927</v>
          </cell>
          <cell r="J147">
            <v>0</v>
          </cell>
          <cell r="K147" t="str">
            <v>4017/4018</v>
          </cell>
          <cell r="L147" t="str">
            <v>NEWELL</v>
          </cell>
          <cell r="M147">
            <v>2.4699074077943806E-2</v>
          </cell>
          <cell r="N147">
            <v>35.56666667223908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https://search-rtdc-monitor-bjffxe2xuh6vdkpspy63sjmuny.us-east-1.es.amazonaws.com/_plugin/kibana/#/discover/Steve-Slow-Train-Analysis-(2080s-and-2083s)?_g=(refreshInterval:(display:Off,section:0,value:0),time:(from:'2016-09-04 20:42:08-0600',mode:absolute,to:'2016-09-04 23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47" t="str">
            <v>N</v>
          </cell>
          <cell r="X147">
            <v>1</v>
          </cell>
          <cell r="Y147">
            <v>4.6199999999999998E-2</v>
          </cell>
          <cell r="Z147">
            <v>23.331399999999999</v>
          </cell>
          <cell r="AA147">
            <v>23.2852</v>
          </cell>
          <cell r="AB147" t="e">
            <v>#N/A</v>
          </cell>
          <cell r="AC147" t="e">
            <v>#N/A</v>
          </cell>
          <cell r="AD147" t="str">
            <v>0233-04</v>
          </cell>
          <cell r="AE147" t="str">
            <v>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 &amp; 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</v>
          </cell>
        </row>
        <row r="148">
          <cell r="A148" t="str">
            <v>234-04</v>
          </cell>
          <cell r="B148">
            <v>4017</v>
          </cell>
          <cell r="C148" t="str">
            <v>DE.1.0.7.0</v>
          </cell>
          <cell r="D148" t="str">
            <v>204:232980</v>
          </cell>
          <cell r="E148">
            <v>42617.945532407408</v>
          </cell>
          <cell r="F148">
            <v>42617.955706018518</v>
          </cell>
          <cell r="G148">
            <v>1</v>
          </cell>
          <cell r="H148" t="str">
            <v>204:109</v>
          </cell>
          <cell r="I148">
            <v>42617.98238425926</v>
          </cell>
          <cell r="J148">
            <v>0</v>
          </cell>
          <cell r="K148" t="str">
            <v>4017/4018</v>
          </cell>
          <cell r="L148" t="str">
            <v>NEWELL</v>
          </cell>
          <cell r="M148">
            <v>2.6678240741603076E-2</v>
          </cell>
          <cell r="N148">
            <v>38.41666666790843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https://search-rtdc-monitor-bjffxe2xuh6vdkpspy63sjmuny.us-east-1.es.amazonaws.com/_plugin/kibana/#/discover/Steve-Slow-Train-Analysis-(2080s-and-2083s)?_g=(refreshInterval:(display:Off,section:0,value:0),time:(from:'2016-09-04 21:41:34-0600',mode:absolute,to:'2016-09-05 00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48" t="str">
            <v>N</v>
          </cell>
          <cell r="X148">
            <v>1</v>
          </cell>
          <cell r="Y148">
            <v>23.297999999999998</v>
          </cell>
          <cell r="Z148">
            <v>1.09E-2</v>
          </cell>
          <cell r="AA148">
            <v>23.287099999999999</v>
          </cell>
          <cell r="AB148" t="e">
            <v>#N/A</v>
          </cell>
          <cell r="AC148" t="e">
            <v>#N/A</v>
          </cell>
          <cell r="AD148" t="str">
            <v>0234-04</v>
          </cell>
          <cell r="AE148" t="str">
            <v>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 &amp; 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</v>
          </cell>
        </row>
        <row r="149">
          <cell r="A149" t="str">
            <v>235-04</v>
          </cell>
          <cell r="B149">
            <v>4031</v>
          </cell>
          <cell r="C149" t="str">
            <v>DE.1.0.7.0</v>
          </cell>
          <cell r="D149" t="str">
            <v>204:458</v>
          </cell>
          <cell r="E149">
            <v>42617.936226851853</v>
          </cell>
          <cell r="F149">
            <v>42617.937847222223</v>
          </cell>
          <cell r="G149">
            <v>1</v>
          </cell>
          <cell r="H149" t="str">
            <v>204:233234</v>
          </cell>
          <cell r="I149">
            <v>42617.963067129633</v>
          </cell>
          <cell r="J149">
            <v>0</v>
          </cell>
          <cell r="K149" t="str">
            <v>4031/4032</v>
          </cell>
          <cell r="L149" t="str">
            <v>CHANDLER</v>
          </cell>
          <cell r="M149">
            <v>2.5219907409336884E-2</v>
          </cell>
          <cell r="N149">
            <v>36.316666669445112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https://search-rtdc-monitor-bjffxe2xuh6vdkpspy63sjmuny.us-east-1.es.amazonaws.com/_plugin/kibana/#/discover/Steve-Slow-Train-Analysis-(2080s-and-2083s)?_g=(refreshInterval:(display:Off,section:0,value:0),time:(from:'2016-09-04 21:28:10-0600',mode:absolute,to:'2016-09-05 00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49" t="str">
            <v>N</v>
          </cell>
          <cell r="X149">
            <v>1</v>
          </cell>
          <cell r="Y149">
            <v>4.58E-2</v>
          </cell>
          <cell r="Z149">
            <v>23.323399999999999</v>
          </cell>
          <cell r="AA149">
            <v>23.2776</v>
          </cell>
          <cell r="AB149" t="e">
            <v>#N/A</v>
          </cell>
          <cell r="AC149" t="e">
            <v>#N/A</v>
          </cell>
          <cell r="AD149" t="str">
            <v>0235-04</v>
          </cell>
          <cell r="AE149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150">
          <cell r="A150" t="str">
            <v>236-04</v>
          </cell>
          <cell r="B150">
            <v>4032</v>
          </cell>
          <cell r="C150" t="str">
            <v>DE.1.0.7.0</v>
          </cell>
          <cell r="D150" t="str">
            <v>204:232915</v>
          </cell>
          <cell r="E150">
            <v>42617.975011574075</v>
          </cell>
          <cell r="F150">
            <v>42617.976851851854</v>
          </cell>
          <cell r="G150">
            <v>1</v>
          </cell>
          <cell r="H150" t="str">
            <v>204:176</v>
          </cell>
          <cell r="I150">
            <v>42618.008657407408</v>
          </cell>
          <cell r="J150">
            <v>0</v>
          </cell>
          <cell r="K150" t="str">
            <v>4031/4032</v>
          </cell>
          <cell r="L150" t="str">
            <v>CHANDLER</v>
          </cell>
          <cell r="M150">
            <v>3.1805555554456078E-2</v>
          </cell>
          <cell r="N150">
            <v>45.799999998416752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https://search-rtdc-monitor-bjffxe2xuh6vdkpspy63sjmuny.us-east-1.es.amazonaws.com/_plugin/kibana/#/discover/Steve-Slow-Train-Analysis-(2080s-and-2083s)?_g=(refreshInterval:(display:Off,section:0,value:0),time:(from:'2016-09-04 22:24:01-0600',mode:absolute,to:'2016-09-05 01:12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50" t="str">
            <v>N</v>
          </cell>
          <cell r="X150">
            <v>1</v>
          </cell>
          <cell r="Y150">
            <v>23.291499999999999</v>
          </cell>
          <cell r="Z150">
            <v>1.7600000000000001E-2</v>
          </cell>
          <cell r="AA150">
            <v>23.273899999999998</v>
          </cell>
          <cell r="AB150" t="e">
            <v>#N/A</v>
          </cell>
          <cell r="AC150" t="e">
            <v>#N/A</v>
          </cell>
          <cell r="AD150" t="str">
            <v>0236-04</v>
          </cell>
          <cell r="AE150" t="str">
    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    </cell>
        </row>
        <row r="151">
          <cell r="A151" t="str">
            <v>237-04</v>
          </cell>
          <cell r="B151">
            <v>4046</v>
          </cell>
          <cell r="C151" t="str">
            <v>DE.1.0.7.0</v>
          </cell>
          <cell r="D151" t="str">
            <v>204:467</v>
          </cell>
          <cell r="E151">
            <v>42617.956435185188</v>
          </cell>
          <cell r="F151">
            <v>42617.960509259261</v>
          </cell>
          <cell r="G151">
            <v>2</v>
          </cell>
          <cell r="H151" t="str">
            <v>204:233293</v>
          </cell>
          <cell r="I151">
            <v>42617.987037037034</v>
          </cell>
          <cell r="J151">
            <v>0</v>
          </cell>
          <cell r="K151" t="str">
            <v>4045/4046</v>
          </cell>
          <cell r="L151" t="str">
            <v>LEVERE</v>
          </cell>
          <cell r="M151">
            <v>2.6527777772571426E-2</v>
          </cell>
          <cell r="N151">
            <v>38.199999992502853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https://search-rtdc-monitor-bjffxe2xuh6vdkpspy63sjmuny.us-east-1.es.amazonaws.com/_plugin/kibana/#/discover/Steve-Slow-Train-Analysis-(2080s-and-2083s)?_g=(refreshInterval:(display:Off,section:0,value:0),time:(from:'2016-09-04 21:57:16-0600',mode:absolute,to:'2016-09-05 00:41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51" t="str">
            <v>N</v>
          </cell>
          <cell r="X151">
            <v>1</v>
          </cell>
          <cell r="Y151">
            <v>4.6699999999999998E-2</v>
          </cell>
          <cell r="Z151">
            <v>23.3293</v>
          </cell>
          <cell r="AA151">
            <v>23.282599999999999</v>
          </cell>
          <cell r="AB151" t="e">
            <v>#N/A</v>
          </cell>
          <cell r="AC151" t="e">
            <v>#N/A</v>
          </cell>
          <cell r="AD151" t="str">
            <v>0237-04</v>
          </cell>
          <cell r="AE151" t="str">
    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    </cell>
        </row>
        <row r="152">
          <cell r="A152" t="str">
            <v>238-04</v>
          </cell>
          <cell r="B152">
            <v>4045</v>
          </cell>
          <cell r="C152" t="str">
            <v>DE.1.0.7.0</v>
          </cell>
          <cell r="D152" t="str">
            <v>204:232982</v>
          </cell>
          <cell r="E152">
            <v>42617.991539351853</v>
          </cell>
          <cell r="F152">
            <v>42617.997407407405</v>
          </cell>
          <cell r="G152">
            <v>1</v>
          </cell>
          <cell r="H152" t="str">
            <v>204:156</v>
          </cell>
          <cell r="I152">
            <v>42618.024895833332</v>
          </cell>
          <cell r="J152">
            <v>0</v>
          </cell>
          <cell r="K152" t="str">
            <v>4045/4046</v>
          </cell>
          <cell r="L152" t="str">
            <v>LEVERE</v>
          </cell>
          <cell r="M152">
            <v>2.7488425927003846E-2</v>
          </cell>
          <cell r="N152">
            <v>39.583333334885538</v>
          </cell>
          <cell r="S152">
            <v>1</v>
          </cell>
          <cell r="T152" t="str">
            <v>Southbound</v>
          </cell>
          <cell r="U152">
            <v>12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https://search-rtdc-monitor-bjffxe2xuh6vdkpspy63sjmuny.us-east-1.es.amazonaws.com/_plugin/kibana/#/discover/Steve-Slow-Train-Analysis-(2080s-and-2083s)?_g=(refreshInterval:(display:Off,section:0,value:0),time:(from:'2016-09-04 22:47:49-0600',mode:absolute,to:'2016-09-05 01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    </cell>
          <cell r="W152" t="str">
            <v>N</v>
          </cell>
          <cell r="X152">
            <v>1</v>
          </cell>
          <cell r="Y152">
            <v>23.298200000000001</v>
          </cell>
          <cell r="Z152">
            <v>1.5599999999999999E-2</v>
          </cell>
          <cell r="AA152">
            <v>23.282600000000002</v>
          </cell>
          <cell r="AB152" t="e">
            <v>#N/A</v>
          </cell>
          <cell r="AC152" t="e">
            <v>#N/A</v>
          </cell>
          <cell r="AD152" t="str">
            <v>0238-04</v>
          </cell>
          <cell r="AE152" t="str">
    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    </cell>
        </row>
        <row r="153">
          <cell r="A153" t="str">
            <v>239-04</v>
          </cell>
          <cell r="B153">
            <v>4009</v>
          </cell>
          <cell r="C153" t="str">
            <v>DE.1.0.7.0</v>
          </cell>
          <cell r="D153" t="str">
            <v>204:457</v>
          </cell>
          <cell r="E153">
            <v>42617.975324074076</v>
          </cell>
          <cell r="F153">
            <v>42617.979409722226</v>
          </cell>
          <cell r="G153">
            <v>1</v>
          </cell>
          <cell r="H153" t="str">
            <v>204:233303</v>
          </cell>
          <cell r="I153">
            <v>42618.004548611112</v>
          </cell>
          <cell r="J153">
            <v>0</v>
          </cell>
          <cell r="K153" t="str">
            <v>4009/4010</v>
          </cell>
          <cell r="L153" t="str">
            <v>COOLAHAN</v>
          </cell>
          <cell r="M153">
            <v>2.5138888886431232E-2</v>
          </cell>
          <cell r="N153">
            <v>36.199999996460974</v>
          </cell>
          <cell r="S153">
            <v>1</v>
          </cell>
          <cell r="T153" t="str">
            <v>NorthBound</v>
          </cell>
          <cell r="U153">
            <v>12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https://search-rtdc-monitor-bjffxe2xuh6vdkpspy63sjmuny.us-east-1.es.amazonaws.com/_plugin/kibana/#/discover/Steve-Slow-Train-Analysis-(2080s-and-2083s)?_g=(refreshInterval:(display:Off,section:0,value:0),time:(from:'2016-09-04 22:24:28-0600',mode:absolute,to:'2016-09-05 01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53" t="str">
            <v>N</v>
          </cell>
          <cell r="X153">
            <v>1</v>
          </cell>
          <cell r="Y153">
            <v>4.5699999999999998E-2</v>
          </cell>
          <cell r="Z153">
            <v>23.330300000000001</v>
          </cell>
          <cell r="AA153">
            <v>23.284600000000001</v>
          </cell>
          <cell r="AB153" t="e">
            <v>#N/A</v>
          </cell>
          <cell r="AC153" t="e">
            <v>#N/A</v>
          </cell>
          <cell r="AD153" t="str">
            <v>0239-04</v>
          </cell>
          <cell r="AE153" t="str">
            <v>aws s3 cp s3://rtdc.mdm.uploadarchive/RTDC4009/2016-09-04/ "%USERPROFILE%\AppData\Local\Temp\OnboardLogs"\RTDC4009\2016-09-04 --recursive &amp; "%USERPROFILE%\Documents\GitHub\mrs-test-scripts\Headless Mode &amp; Sideloading\WalkAndUnGZ.bat" "%USERPROFILE%\AppData\Local\Temp\OnboardLogs"\RTDC4009\2016-09-04 &amp; aws s3 cp s3://rtdc.mdm.uploadarchive/RTDC4009/2016-09-05/ "%USERPROFILE%\AppData\Local\Temp\OnboardLogs"\RTDC4009\2016-09-05 --recursive &amp; "%USERPROFILE%\Documents\GitHub\mrs-test-scripts\Headless Mode &amp; Sideloading\WalkAndUnGZ.bat" "%USERPROFILE%\AppData\Local\Temp\OnboardLogs"\RTDC4009\2016-09-05</v>
          </cell>
        </row>
        <row r="154">
          <cell r="A154" t="str">
            <v>240-04</v>
          </cell>
          <cell r="B154">
            <v>4010</v>
          </cell>
          <cell r="C154" t="str">
            <v>DE.1.0.7.0</v>
          </cell>
          <cell r="D154" t="str">
            <v>204:232982</v>
          </cell>
          <cell r="E154">
            <v>42618.010752314818</v>
          </cell>
          <cell r="F154">
            <v>42618.018229166664</v>
          </cell>
          <cell r="G154">
            <v>1</v>
          </cell>
          <cell r="H154" t="str">
            <v>204:192</v>
          </cell>
          <cell r="I154">
            <v>42618.044108796297</v>
          </cell>
          <cell r="J154">
            <v>0</v>
          </cell>
          <cell r="K154" t="str">
            <v>4009/4010</v>
          </cell>
          <cell r="L154" t="str">
            <v>COOLAHAN</v>
          </cell>
          <cell r="M154">
            <v>2.587962963298196E-2</v>
          </cell>
          <cell r="N154">
            <v>37.266666671494022</v>
          </cell>
          <cell r="S154">
            <v>1</v>
          </cell>
          <cell r="T154" t="str">
            <v>Southbound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https://search-rtdc-monitor-bjffxe2xuh6vdkpspy63sjmuny.us-east-1.es.amazonaws.com/_plugin/kibana/#/discover/Steve-Slow-Train-Analysis-(2080s-and-2083s)?_g=(refreshInterval:(display:Off,section:0,value:0),time:(from:'2016-09-04 23:15:29-0600',mode:absolute,to:'2016-09-05 02:03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    </cell>
          <cell r="W154" t="str">
            <v>N</v>
          </cell>
          <cell r="X154">
            <v>1</v>
          </cell>
          <cell r="Y154">
            <v>23.298200000000001</v>
          </cell>
          <cell r="Z154">
            <v>1.9199999999999998E-2</v>
          </cell>
          <cell r="AA154">
            <v>23.279</v>
          </cell>
          <cell r="AB154" t="e">
            <v>#N/A</v>
          </cell>
          <cell r="AC154" t="e">
            <v>#N/A</v>
          </cell>
          <cell r="AD154" t="str">
            <v>0240-04</v>
          </cell>
          <cell r="AE154" t="str">
            <v>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 &amp; 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</v>
          </cell>
        </row>
        <row r="155">
          <cell r="A155" t="str">
            <v>241-04</v>
          </cell>
          <cell r="B155">
            <v>4018</v>
          </cell>
          <cell r="C155" t="str">
            <v>DE.1.0.7.0</v>
          </cell>
          <cell r="D155" t="str">
            <v>204:422</v>
          </cell>
          <cell r="E155">
            <v>42617.9846412037</v>
          </cell>
          <cell r="F155">
            <v>42618.000358796293</v>
          </cell>
          <cell r="G155">
            <v>1</v>
          </cell>
          <cell r="H155" t="str">
            <v>204:233334</v>
          </cell>
          <cell r="I155">
            <v>42618.024791666663</v>
          </cell>
          <cell r="J155">
            <v>0</v>
          </cell>
          <cell r="K155" t="str">
            <v>4017/4018</v>
          </cell>
          <cell r="L155" t="str">
            <v>NEWELL</v>
          </cell>
          <cell r="M155">
            <v>2.4432870370219462E-2</v>
          </cell>
          <cell r="N155">
            <v>35.183333333116025</v>
          </cell>
          <cell r="S155">
            <v>1</v>
          </cell>
          <cell r="T155" t="str">
            <v>NorthBound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https://search-rtdc-monitor-bjffxe2xuh6vdkpspy63sjmuny.us-east-1.es.amazonaws.com/_plugin/kibana/#/discover/Steve-Slow-Train-Analysis-(2080s-and-2083s)?_g=(refreshInterval:(display:Off,section:0,value:0),time:(from:'2016-09-04 22:37:53-0600',mode:absolute,to:'2016-09-05 01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55" t="str">
            <v>N</v>
          </cell>
          <cell r="X155">
            <v>1</v>
          </cell>
          <cell r="Y155">
            <v>4.2200000000000001E-2</v>
          </cell>
          <cell r="Z155">
            <v>23.333400000000001</v>
          </cell>
          <cell r="AA155">
            <v>23.2912</v>
          </cell>
          <cell r="AB155" t="e">
            <v>#N/A</v>
          </cell>
          <cell r="AC155" t="e">
            <v>#N/A</v>
          </cell>
          <cell r="AD155" t="str">
            <v>0241-04</v>
          </cell>
          <cell r="AE155" t="str">
            <v>aws s3 cp s3://rtdc.mdm.uploadarchive/RTDC4018/2016-09-05/ "%USERPROFILE%\AppData\Local\Temp\OnboardLogs"\RTDC4018\2016-09-05 --recursive &amp; "%USERPROFILE%\Documents\GitHub\mrs-test-scripts\Headless Mode &amp; Sideloading\WalkAndUnGZ.bat" "%USERPROFILE%\AppData\Local\Temp\OnboardLogs"\RTDC4018\2016-09-05 &amp; 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</v>
          </cell>
        </row>
        <row r="156">
          <cell r="A156" t="str">
            <v>242-04</v>
          </cell>
          <cell r="B156">
            <v>4017</v>
          </cell>
          <cell r="C156" t="str">
            <v>DE.1.0.7.0</v>
          </cell>
          <cell r="D156" t="str">
            <v>204:232996</v>
          </cell>
          <cell r="E156">
            <v>42618.036354166667</v>
          </cell>
          <cell r="F156">
            <v>42618.054120370369</v>
          </cell>
          <cell r="G156">
            <v>1</v>
          </cell>
          <cell r="H156" t="str">
            <v>204:105213</v>
          </cell>
          <cell r="I156">
            <v>42618.067233796297</v>
          </cell>
          <cell r="J156">
            <v>0</v>
          </cell>
          <cell r="K156" t="str">
            <v>4017/4018</v>
          </cell>
          <cell r="L156" t="str">
            <v>NEWELL</v>
          </cell>
          <cell r="M156">
            <v>1.3113425928167999E-2</v>
          </cell>
          <cell r="P156">
            <v>18.883333336561918</v>
          </cell>
          <cell r="R156" t="str">
            <v>Wi-MAX outage</v>
          </cell>
          <cell r="S156">
            <v>0.91666666666666663</v>
          </cell>
          <cell r="T156" t="str">
            <v>Southbound</v>
          </cell>
          <cell r="U156">
            <v>1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https://search-rtdc-monitor-bjffxe2xuh6vdkpspy63sjmuny.us-east-1.es.amazonaws.com/_plugin/kibana/#/discover/Steve-Slow-Train-Analysis-(2080s-and-2083s)?_g=(refreshInterval:(display:Off,section:0,value:0),time:(from:'2016-09-04 23:52:21-0600',mode:absolute,to:'2016-09-05 02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56" t="str">
            <v>Y</v>
          </cell>
          <cell r="X156">
            <v>1</v>
          </cell>
          <cell r="Y156">
            <v>23.299600000000002</v>
          </cell>
          <cell r="Z156">
            <v>10.5213</v>
          </cell>
          <cell r="AA156">
            <v>12.778300000000002</v>
          </cell>
          <cell r="AB156" t="e">
            <v>#N/A</v>
          </cell>
          <cell r="AC156" t="e">
            <v>#N/A</v>
          </cell>
          <cell r="AD156" t="str">
            <v>0242-04</v>
          </cell>
          <cell r="AE156" t="str">
            <v>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 &amp; 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</v>
          </cell>
        </row>
        <row r="157">
          <cell r="A157" t="str">
            <v>242-04</v>
          </cell>
          <cell r="B157">
            <v>4017</v>
          </cell>
          <cell r="C157" t="str">
            <v>DE.1.0.7.0</v>
          </cell>
          <cell r="D157" t="str">
            <v>204:86351</v>
          </cell>
          <cell r="E157">
            <v>42618.053287037037</v>
          </cell>
          <cell r="F157">
            <v>42618.054120370369</v>
          </cell>
          <cell r="G157">
            <v>0</v>
          </cell>
          <cell r="H157" t="str">
            <v>204:134</v>
          </cell>
          <cell r="I157">
            <v>42618.067233796297</v>
          </cell>
          <cell r="J157">
            <v>0</v>
          </cell>
          <cell r="K157" t="str">
            <v>4017/4018</v>
          </cell>
          <cell r="L157" t="str">
            <v>NEWELL</v>
          </cell>
          <cell r="M157">
            <v>1.3113425928167999E-2</v>
          </cell>
          <cell r="T157" t="str">
            <v>Southbound</v>
          </cell>
          <cell r="U157">
            <v>10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https://search-rtdc-monitor-bjffxe2xuh6vdkpspy63sjmuny.us-east-1.es.amazonaws.com/_plugin/kibana/#/discover/Steve-Slow-Train-Analysis-(2080s-and-2083s)?_g=(refreshInterval:(display:Off,section:0,value:0),time:(from:'2016-09-05 00:16:44-0600',mode:absolute,to:'2016-09-05 02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    </cell>
          <cell r="W157" t="str">
            <v>Y</v>
          </cell>
          <cell r="X157">
            <v>0</v>
          </cell>
          <cell r="Y157">
            <v>8.6350999999999996</v>
          </cell>
          <cell r="Z157">
            <v>1.34E-2</v>
          </cell>
          <cell r="AA157">
            <v>8.6216999999999988</v>
          </cell>
          <cell r="AB157" t="e">
            <v>#N/A</v>
          </cell>
          <cell r="AC157" t="e">
            <v>#N/A</v>
          </cell>
          <cell r="AD157" t="str">
            <v>0242-04</v>
          </cell>
          <cell r="AE157" t="str">
            <v>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 &amp; 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</v>
          </cell>
        </row>
        <row r="158">
          <cell r="A158" t="str">
            <v>243-04</v>
          </cell>
          <cell r="B158">
            <v>4031</v>
          </cell>
          <cell r="C158" t="str">
            <v>DE.1.0.7.0</v>
          </cell>
          <cell r="D158" t="str">
            <v>204:488</v>
          </cell>
          <cell r="E158">
            <v>42618.018645833334</v>
          </cell>
          <cell r="F158">
            <v>42618.021111111113</v>
          </cell>
          <cell r="G158">
            <v>1</v>
          </cell>
          <cell r="H158" t="str">
            <v>204:233299</v>
          </cell>
          <cell r="I158">
            <v>42618.046631944446</v>
          </cell>
          <cell r="J158">
            <v>0</v>
          </cell>
          <cell r="K158" t="str">
            <v>4031/4032</v>
          </cell>
          <cell r="L158" t="str">
            <v>CHANDLER</v>
          </cell>
          <cell r="M158">
            <v>2.5520833332848269E-2</v>
          </cell>
          <cell r="N158">
            <v>36.749999999301508</v>
          </cell>
          <cell r="S158">
            <v>1</v>
          </cell>
          <cell r="T158" t="str">
            <v>NorthBound</v>
          </cell>
          <cell r="U158">
            <v>12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https://search-rtdc-monitor-bjffxe2xuh6vdkpspy63sjmuny.us-east-1.es.amazonaws.com/_plugin/kibana/#/discover/Steve-Slow-Train-Analysis-(2080s-and-2083s)?_g=(refreshInterval:(display:Off,section:0,value:0),time:(from:'2016-09-04 23:26:51-0600',mode:absolute,to:'2016-09-05 02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158" t="str">
            <v>N</v>
          </cell>
          <cell r="X158">
            <v>1</v>
          </cell>
          <cell r="Y158">
            <v>4.8800000000000003E-2</v>
          </cell>
          <cell r="Z158">
            <v>23.329899999999999</v>
          </cell>
          <cell r="AA158">
            <v>23.281099999999999</v>
          </cell>
          <cell r="AB158" t="e">
            <v>#N/A</v>
          </cell>
          <cell r="AC158" t="e">
            <v>#N/A</v>
          </cell>
          <cell r="AD158" t="str">
            <v>0243-04</v>
          </cell>
          <cell r="AE158" t="str">
            <v>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 &amp; aws s3 cp s3://rtdc.mdm.uploadarchive/RTDC4031/2016-09-06/ "%USERPROFILE%\AppData\Local\Temp\OnboardLogs"\RTDC4031\2016-09-06 --recursive &amp; "%USERPROFILE%\Documents\GitHub\mrs-test-scripts\Headless Mode &amp; Sideloading\WalkAndUnGZ.bat" "%USERPROFILE%\AppData\Local\Temp\OnboardLogs"\RTDC4031\2016-09-06</v>
          </cell>
        </row>
        <row r="159">
          <cell r="A159" t="str">
            <v>244-04</v>
          </cell>
          <cell r="B159">
            <v>4032</v>
          </cell>
          <cell r="C159" t="str">
            <v>DE.1.0.7.0</v>
          </cell>
          <cell r="D159" t="str">
            <v>204:232969</v>
          </cell>
          <cell r="E159">
            <v>42618.05877314815</v>
          </cell>
          <cell r="F159">
            <v>42618.060104166667</v>
          </cell>
          <cell r="G159">
            <v>1</v>
          </cell>
          <cell r="H159" t="str">
            <v>204:167</v>
          </cell>
          <cell r="I159">
            <v>42618.088333333333</v>
          </cell>
          <cell r="J159">
            <v>0</v>
          </cell>
          <cell r="K159" t="str">
            <v>4031/4032</v>
          </cell>
          <cell r="L159" t="str">
            <v>CHANDLER</v>
          </cell>
          <cell r="M159">
            <v>2.8229166666278616E-2</v>
          </cell>
          <cell r="N159">
            <v>40.649999999441206</v>
          </cell>
          <cell r="S159">
            <v>1</v>
          </cell>
          <cell r="T159" t="str">
            <v>Southbound</v>
          </cell>
          <cell r="U159">
            <v>12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https://search-rtdc-monitor-bjffxe2xuh6vdkpspy63sjmuny.us-east-1.es.amazonaws.com/_plugin/kibana/#/discover/Steve-Slow-Train-Analysis-(2080s-and-2083s)?_g=(refreshInterval:(display:Off,section:0,value:0),time:(from:'2016-09-05 00:24:38-0600',mode:absolute,to:'2016-09-05 03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    </cell>
          <cell r="W159" t="str">
            <v>N</v>
          </cell>
          <cell r="X159">
            <v>1</v>
          </cell>
          <cell r="Y159">
            <v>23.296900000000001</v>
          </cell>
          <cell r="Z159">
            <v>1.67E-2</v>
          </cell>
          <cell r="AA159">
            <v>23.280200000000001</v>
          </cell>
          <cell r="AB159" t="e">
            <v>#N/A</v>
          </cell>
          <cell r="AC159" t="e">
            <v>#N/A</v>
          </cell>
          <cell r="AD159" t="str">
            <v>0244-04</v>
          </cell>
          <cell r="AE159" t="str">
            <v>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 &amp; aws s3 cp s3://rtdc.mdm.uploadarchive/RTDC4032/2016-09-06/ "%USERPROFILE%\AppData\Local\Temp\OnboardLogs"\RTDC4032\2016-09-06 --recursive &amp; "%USERPROFILE%\Documents\GitHub\mrs-test-scripts\Headless Mode &amp; Sideloading\WalkAndUnGZ.bat" "%USERPROFILE%\AppData\Local\Temp\OnboardLogs"\RTDC4032\2016-09-06</v>
          </cell>
        </row>
        <row r="160">
          <cell r="A160" t="str">
            <v>1800-04</v>
          </cell>
          <cell r="B160">
            <v>4030</v>
          </cell>
          <cell r="C160" t="str">
            <v>DE.1.0.7.0</v>
          </cell>
          <cell r="D160" t="str">
            <v>300:57354</v>
          </cell>
          <cell r="E160">
            <v>42617.237708333334</v>
          </cell>
          <cell r="F160">
            <v>42617.238761574074</v>
          </cell>
          <cell r="G160">
            <v>1</v>
          </cell>
          <cell r="H160" t="str">
            <v>204:696</v>
          </cell>
          <cell r="I160">
            <v>42617.249293981484</v>
          </cell>
          <cell r="J160">
            <v>0</v>
          </cell>
          <cell r="K160" t="str">
            <v>4029/4030</v>
          </cell>
          <cell r="L160" t="str">
            <v>STARKS</v>
          </cell>
          <cell r="M160">
            <v>1.0532407410209998E-2</v>
          </cell>
          <cell r="N160">
            <v>15.166666670702398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https://search-rtdc-monitor-bjffxe2xuh6vdkpspy63sjmuny.us-east-1.es.amazonaws.com/_plugin/kibana/#/discover/Steve-Slow-Train-Analysis-(2080s-and-2083s)?_g=(refreshInterval:(display:Off,section:0,value:0),time:(from:'2016-09-04 04:42:18-0600',mode:absolute,to:'2016-09-04 06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60" t="str">
            <v>N</v>
          </cell>
          <cell r="X160">
            <v>1556</v>
          </cell>
          <cell r="Y160">
            <v>5.7354000000000003</v>
          </cell>
          <cell r="Z160">
            <v>6.9599999999999995E-2</v>
          </cell>
          <cell r="AA160">
            <v>5.6657999999999999</v>
          </cell>
          <cell r="AB160" t="e">
            <v>#N/A</v>
          </cell>
          <cell r="AC160" t="e">
            <v>#N/A</v>
          </cell>
          <cell r="AD160" t="str">
            <v>1800-04</v>
          </cell>
          <cell r="AE160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61">
          <cell r="A161" t="str">
            <v>1801-04</v>
          </cell>
          <cell r="B161">
            <v>4029</v>
          </cell>
          <cell r="C161" t="str">
            <v>DE.1.0.7.0</v>
          </cell>
          <cell r="D161" t="str">
            <v>204:993</v>
          </cell>
          <cell r="E161">
            <v>42617.261574074073</v>
          </cell>
          <cell r="F161">
            <v>42617.264814814815</v>
          </cell>
          <cell r="G161">
            <v>1</v>
          </cell>
          <cell r="H161" t="str">
            <v>300:58944</v>
          </cell>
          <cell r="I161">
            <v>42617.274884259263</v>
          </cell>
          <cell r="J161">
            <v>0</v>
          </cell>
          <cell r="K161" t="str">
            <v>4029/4030</v>
          </cell>
          <cell r="L161" t="str">
            <v>STARKS</v>
          </cell>
          <cell r="M161">
            <v>1.0069444448163267E-2</v>
          </cell>
          <cell r="N161">
            <v>14.500000005355105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https://search-rtdc-monitor-bjffxe2xuh6vdkpspy63sjmuny.us-east-1.es.amazonaws.com/_plugin/kibana/#/discover/Steve-Slow-Train-Analysis-(2080s-and-2083s)?_g=(refreshInterval:(display:Off,section:0,value:0),time:(from:'2016-09-04 05:16:40-0600',mode:absolute,to:'2016-09-04 07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1" t="str">
            <v>N</v>
          </cell>
          <cell r="X161">
            <v>1</v>
          </cell>
          <cell r="Y161">
            <v>9.9299999999999999E-2</v>
          </cell>
          <cell r="Z161">
            <v>5.8944000000000001</v>
          </cell>
          <cell r="AA161">
            <v>5.7950999999999997</v>
          </cell>
          <cell r="AB161" t="e">
            <v>#N/A</v>
          </cell>
          <cell r="AC161" t="e">
            <v>#N/A</v>
          </cell>
          <cell r="AD161" t="str">
            <v>1801-04</v>
          </cell>
          <cell r="AE161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62">
          <cell r="A162" t="str">
            <v>1802-04</v>
          </cell>
          <cell r="B162">
            <v>4030</v>
          </cell>
          <cell r="C162" t="str">
            <v>DE.1.0.7.0</v>
          </cell>
          <cell r="D162" t="str">
            <v>300:58623</v>
          </cell>
          <cell r="E162">
            <v>42617.275925925926</v>
          </cell>
          <cell r="F162">
            <v>42617.277291666665</v>
          </cell>
          <cell r="G162">
            <v>1</v>
          </cell>
          <cell r="H162" t="str">
            <v>204:659</v>
          </cell>
          <cell r="I162">
            <v>42617.288761574076</v>
          </cell>
          <cell r="J162">
            <v>0</v>
          </cell>
          <cell r="K162" t="str">
            <v>4029/4030</v>
          </cell>
          <cell r="L162" t="str">
            <v>STARKS</v>
          </cell>
          <cell r="M162">
            <v>1.1469907411083113E-2</v>
          </cell>
          <cell r="N162">
            <v>16.516666671959683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https://search-rtdc-monitor-bjffxe2xuh6vdkpspy63sjmuny.us-east-1.es.amazonaws.com/_plugin/kibana/#/discover/Steve-Slow-Train-Analysis-(2080s-and-2083s)?_g=(refreshInterval:(display:Off,section:0,value:0),time:(from:'2016-09-04 05:37:20-0600',mode:absolute,to:'2016-09-04 07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62" t="str">
            <v>N</v>
          </cell>
          <cell r="X162">
            <v>1</v>
          </cell>
          <cell r="Y162">
            <v>5.8623000000000003</v>
          </cell>
          <cell r="Z162">
            <v>6.59E-2</v>
          </cell>
          <cell r="AA162">
            <v>5.7964000000000002</v>
          </cell>
          <cell r="AB162" t="e">
            <v>#N/A</v>
          </cell>
          <cell r="AC162" t="e">
            <v>#N/A</v>
          </cell>
          <cell r="AD162" t="str">
            <v>1802-04</v>
          </cell>
          <cell r="AE162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63">
          <cell r="A163" t="str">
            <v>1803-04</v>
          </cell>
          <cell r="B163">
            <v>4029</v>
          </cell>
          <cell r="C163" t="str">
            <v>DE.1.0.7.0</v>
          </cell>
          <cell r="D163" t="str">
            <v>204:951</v>
          </cell>
          <cell r="E163">
            <v>42617.303877314815</v>
          </cell>
          <cell r="F163">
            <v>42617.306643518517</v>
          </cell>
          <cell r="G163">
            <v>1</v>
          </cell>
          <cell r="H163" t="str">
            <v>300:58937</v>
          </cell>
          <cell r="I163">
            <v>42617.316296296296</v>
          </cell>
          <cell r="J163">
            <v>0</v>
          </cell>
          <cell r="K163" t="str">
            <v>4029/4030</v>
          </cell>
          <cell r="L163" t="str">
            <v>STARKS</v>
          </cell>
          <cell r="M163">
            <v>9.6527777786832303E-3</v>
          </cell>
          <cell r="N163">
            <v>13.900000001303852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https://search-rtdc-monitor-bjffxe2xuh6vdkpspy63sjmuny.us-east-1.es.amazonaws.com/_plugin/kibana/#/discover/Steve-Slow-Train-Analysis-(2080s-and-2083s)?_g=(refreshInterval:(display:Off,section:0,value:0),time:(from:'2016-09-04 06:17:35-0600',mode:absolute,to:'2016-09-04 08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3" t="str">
            <v>N</v>
          </cell>
          <cell r="X163">
            <v>1</v>
          </cell>
          <cell r="Y163">
            <v>9.5100000000000004E-2</v>
          </cell>
          <cell r="Z163">
            <v>5.8936999999999999</v>
          </cell>
          <cell r="AA163">
            <v>5.7985999999999995</v>
          </cell>
          <cell r="AB163" t="e">
            <v>#N/A</v>
          </cell>
          <cell r="AC163" t="e">
            <v>#N/A</v>
          </cell>
          <cell r="AD163" t="str">
            <v>1803-04</v>
          </cell>
          <cell r="AE163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64">
          <cell r="A164" t="str">
            <v>1804-04</v>
          </cell>
          <cell r="B164">
            <v>4030</v>
          </cell>
          <cell r="C164" t="str">
            <v>DE.1.0.7.0</v>
          </cell>
          <cell r="D164" t="str">
            <v>300:58623</v>
          </cell>
          <cell r="E164">
            <v>42617.317337962966</v>
          </cell>
          <cell r="F164">
            <v>42617.318703703706</v>
          </cell>
          <cell r="G164">
            <v>1</v>
          </cell>
          <cell r="H164" t="str">
            <v>204:696</v>
          </cell>
          <cell r="I164">
            <v>42617.330428240741</v>
          </cell>
          <cell r="J164">
            <v>0</v>
          </cell>
          <cell r="K164" t="str">
            <v>4029/4030</v>
          </cell>
          <cell r="L164" t="str">
            <v>STARKS</v>
          </cell>
          <cell r="M164">
            <v>1.1724537034751847E-2</v>
          </cell>
          <cell r="N164">
            <v>16.88333333004266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https://search-rtdc-monitor-bjffxe2xuh6vdkpspy63sjmuny.us-east-1.es.amazonaws.com/_plugin/kibana/#/discover/Steve-Slow-Train-Analysis-(2080s-and-2083s)?_g=(refreshInterval:(display:Off,section:0,value:0),time:(from:'2016-09-04 06:36:58-0600',mode:absolute,to:'2016-09-04 08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64" t="str">
            <v>N</v>
          </cell>
          <cell r="X164">
            <v>1</v>
          </cell>
          <cell r="Y164">
            <v>5.8623000000000003</v>
          </cell>
          <cell r="Z164">
            <v>6.9599999999999995E-2</v>
          </cell>
          <cell r="AA164">
            <v>5.7927</v>
          </cell>
          <cell r="AB164" t="e">
            <v>#N/A</v>
          </cell>
          <cell r="AC164" t="e">
            <v>#N/A</v>
          </cell>
          <cell r="AD164" t="str">
            <v>1804-04</v>
          </cell>
          <cell r="AE164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65">
          <cell r="A165" t="str">
            <v>1805-04</v>
          </cell>
          <cell r="B165">
            <v>4029</v>
          </cell>
          <cell r="C165" t="str">
            <v>DE.1.0.7.0</v>
          </cell>
          <cell r="D165" t="str">
            <v>204:1000</v>
          </cell>
          <cell r="E165">
            <v>42617.344756944447</v>
          </cell>
          <cell r="F165">
            <v>42617.348240740743</v>
          </cell>
          <cell r="G165">
            <v>1</v>
          </cell>
          <cell r="H165" t="str">
            <v>300:58929</v>
          </cell>
          <cell r="I165">
            <v>42617.357974537037</v>
          </cell>
          <cell r="J165">
            <v>0</v>
          </cell>
          <cell r="K165" t="str">
            <v>4029/4030</v>
          </cell>
          <cell r="L165" t="str">
            <v>STARKS</v>
          </cell>
          <cell r="M165">
            <v>9.7337962943129241E-3</v>
          </cell>
          <cell r="N165">
            <v>14.016666663810611</v>
          </cell>
          <cell r="S165">
            <v>1</v>
          </cell>
          <cell r="T165" t="str">
            <v>NorthBound</v>
          </cell>
          <cell r="U165">
            <v>1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https://search-rtdc-monitor-bjffxe2xuh6vdkpspy63sjmuny.us-east-1.es.amazonaws.com/_plugin/kibana/#/discover/Steve-Slow-Train-Analysis-(2080s-and-2083s)?_g=(refreshInterval:(display:Off,section:0,value:0),time:(from:'2016-09-04 07:16:27-0600',mode:absolute,to:'2016-09-04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5" t="str">
            <v>N</v>
          </cell>
          <cell r="X165">
            <v>1</v>
          </cell>
          <cell r="Y165">
            <v>0.1</v>
          </cell>
          <cell r="Z165">
            <v>5.8929</v>
          </cell>
          <cell r="AA165">
            <v>5.7929000000000004</v>
          </cell>
          <cell r="AB165" t="e">
            <v>#N/A</v>
          </cell>
          <cell r="AC165" t="e">
            <v>#N/A</v>
          </cell>
          <cell r="AD165" t="str">
            <v>1805-04</v>
          </cell>
          <cell r="AE165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66">
          <cell r="A166" t="str">
            <v>1806-04</v>
          </cell>
          <cell r="B166">
            <v>4030</v>
          </cell>
          <cell r="C166" t="str">
            <v>DE.1.0.7.0</v>
          </cell>
          <cell r="D166" t="str">
            <v>300:58609</v>
          </cell>
          <cell r="E166">
            <v>42617.359340277777</v>
          </cell>
          <cell r="F166">
            <v>42617.360972222225</v>
          </cell>
          <cell r="G166">
            <v>1</v>
          </cell>
          <cell r="H166" t="str">
            <v>204:757</v>
          </cell>
          <cell r="I166">
            <v>42617.37127314815</v>
          </cell>
          <cell r="J166">
            <v>0</v>
          </cell>
          <cell r="K166" t="str">
            <v>4029/4030</v>
          </cell>
          <cell r="L166" t="str">
            <v>STARKS</v>
          </cell>
          <cell r="M166">
            <v>1.0300925925548654E-2</v>
          </cell>
          <cell r="N166">
            <v>14.833333332790062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https://search-rtdc-monitor-bjffxe2xuh6vdkpspy63sjmuny.us-east-1.es.amazonaws.com/_plugin/kibana/#/discover/Steve-Slow-Train-Analysis-(2080s-and-2083s)?_g=(refreshInterval:(display:Off,section:0,value:0),time:(from:'2016-09-04 07:37:27-0600',mode:absolute,to:'2016-09-04 09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66" t="str">
            <v>N</v>
          </cell>
          <cell r="X166">
            <v>1</v>
          </cell>
          <cell r="Y166">
            <v>5.8609</v>
          </cell>
          <cell r="Z166">
            <v>7.5700000000000003E-2</v>
          </cell>
          <cell r="AA166">
            <v>5.7851999999999997</v>
          </cell>
          <cell r="AB166" t="e">
            <v>#N/A</v>
          </cell>
          <cell r="AC166" t="e">
            <v>#N/A</v>
          </cell>
          <cell r="AD166" t="str">
            <v>1806-04</v>
          </cell>
          <cell r="AE166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67">
          <cell r="A167" t="str">
            <v>1807-04</v>
          </cell>
          <cell r="B167">
            <v>4029</v>
          </cell>
          <cell r="C167" t="str">
            <v>DE.1.0.7.0</v>
          </cell>
          <cell r="D167" t="str">
            <v>204:1048</v>
          </cell>
          <cell r="E167">
            <v>42617.387708333335</v>
          </cell>
          <cell r="F167">
            <v>42617.390023148146</v>
          </cell>
          <cell r="G167">
            <v>1</v>
          </cell>
          <cell r="H167" t="str">
            <v>300:58928</v>
          </cell>
          <cell r="I167">
            <v>42617.401238425926</v>
          </cell>
          <cell r="J167">
            <v>0</v>
          </cell>
          <cell r="K167" t="str">
            <v>4029/4030</v>
          </cell>
          <cell r="L167" t="str">
            <v>STARKS</v>
          </cell>
          <cell r="M167">
            <v>1.1215277780138422E-2</v>
          </cell>
          <cell r="N167">
            <v>16.150000003399327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https://search-rtdc-monitor-bjffxe2xuh6vdkpspy63sjmuny.us-east-1.es.amazonaws.com/_plugin/kibana/#/discover/Steve-Slow-Train-Analysis-(2080s-and-2083s)?_g=(refreshInterval:(display:Off,section:0,value:0),time:(from:'2016-09-04 08:18:18-0600',mode:absolute,to:'2016-09-04 10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7" t="str">
            <v>N</v>
          </cell>
          <cell r="X167">
            <v>1</v>
          </cell>
          <cell r="Y167">
            <v>0.1048</v>
          </cell>
          <cell r="Z167">
            <v>5.8928000000000003</v>
          </cell>
          <cell r="AA167">
            <v>5.7880000000000003</v>
          </cell>
          <cell r="AB167" t="e">
            <v>#N/A</v>
          </cell>
          <cell r="AC167" t="e">
            <v>#N/A</v>
          </cell>
          <cell r="AD167" t="str">
            <v>1807-04</v>
          </cell>
          <cell r="AE167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68">
          <cell r="A168" t="str">
            <v>1808-04</v>
          </cell>
          <cell r="B168">
            <v>4030</v>
          </cell>
          <cell r="C168" t="str">
            <v>DE.1.0.7.0</v>
          </cell>
          <cell r="D168" t="str">
            <v>300:58619</v>
          </cell>
          <cell r="E168">
            <v>42617.402094907404</v>
          </cell>
          <cell r="F168">
            <v>42617.403321759259</v>
          </cell>
          <cell r="G168">
            <v>1</v>
          </cell>
          <cell r="H168" t="str">
            <v>204:762</v>
          </cell>
          <cell r="I168">
            <v>42617.414953703701</v>
          </cell>
          <cell r="J168">
            <v>0</v>
          </cell>
          <cell r="K168" t="str">
            <v>4029/4030</v>
          </cell>
          <cell r="L168" t="str">
            <v>STARKS</v>
          </cell>
          <cell r="M168">
            <v>1.1631944442342501E-2</v>
          </cell>
          <cell r="N168">
            <v>16.749999996973202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https://search-rtdc-monitor-bjffxe2xuh6vdkpspy63sjmuny.us-east-1.es.amazonaws.com/_plugin/kibana/#/discover/Steve-Slow-Train-Analysis-(2080s-and-2083s)?_g=(refreshInterval:(display:Off,section:0,value:0),time:(from:'2016-09-04 08:39:01-0600',mode:absolute,to:'2016-09-04 10:57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68" t="str">
            <v>N</v>
          </cell>
          <cell r="X168">
            <v>1</v>
          </cell>
          <cell r="Y168">
            <v>5.8619000000000003</v>
          </cell>
          <cell r="Z168">
            <v>7.6200000000000004E-2</v>
          </cell>
          <cell r="AA168">
            <v>5.7857000000000003</v>
          </cell>
          <cell r="AB168" t="e">
            <v>#N/A</v>
          </cell>
          <cell r="AC168" t="e">
            <v>#N/A</v>
          </cell>
          <cell r="AD168" t="str">
            <v>1808-04</v>
          </cell>
          <cell r="AE168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69">
          <cell r="A169" t="str">
            <v>1809-04</v>
          </cell>
          <cell r="B169">
            <v>4029</v>
          </cell>
          <cell r="C169" t="str">
            <v>DE.1.0.7.0</v>
          </cell>
          <cell r="D169" t="str">
            <v>204:1023</v>
          </cell>
          <cell r="E169">
            <v>42617.429583333331</v>
          </cell>
          <cell r="F169">
            <v>42617.431562500002</v>
          </cell>
          <cell r="G169">
            <v>1</v>
          </cell>
          <cell r="H169" t="str">
            <v>300:58933</v>
          </cell>
          <cell r="I169">
            <v>42617.440775462965</v>
          </cell>
          <cell r="J169">
            <v>0</v>
          </cell>
          <cell r="K169" t="str">
            <v>4029/4030</v>
          </cell>
          <cell r="L169" t="str">
            <v>STARKS</v>
          </cell>
          <cell r="M169">
            <v>9.2129629629198462E-3</v>
          </cell>
          <cell r="N169">
            <v>13.266666666604578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https://search-rtdc-monitor-bjffxe2xuh6vdkpspy63sjmuny.us-east-1.es.amazonaws.com/_plugin/kibana/#/discover/Steve-Slow-Train-Analysis-(2080s-and-2083s)?_g=(refreshInterval:(display:Off,section:0,value:0),time:(from:'2016-09-04 09:18:36-0600',mode:absolute,to:'2016-09-04 11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9" t="str">
            <v>N</v>
          </cell>
          <cell r="X169">
            <v>1</v>
          </cell>
          <cell r="Y169">
            <v>0.1023</v>
          </cell>
          <cell r="Z169">
            <v>5.8933</v>
          </cell>
          <cell r="AA169">
            <v>5.7910000000000004</v>
          </cell>
          <cell r="AB169" t="e">
            <v>#N/A</v>
          </cell>
          <cell r="AC169" t="e">
            <v>#N/A</v>
          </cell>
          <cell r="AD169" t="str">
            <v>1809-04</v>
          </cell>
          <cell r="AE169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70">
          <cell r="A170" t="str">
            <v>1810-04</v>
          </cell>
          <cell r="B170">
            <v>4030</v>
          </cell>
          <cell r="C170" t="str">
            <v>DE.1.0.7.0</v>
          </cell>
          <cell r="D170" t="str">
            <v>300:58617</v>
          </cell>
          <cell r="E170">
            <v>42617.441631944443</v>
          </cell>
          <cell r="F170">
            <v>42617.443113425928</v>
          </cell>
          <cell r="G170">
            <v>1</v>
          </cell>
          <cell r="H170" t="str">
            <v>204:724</v>
          </cell>
          <cell r="I170">
            <v>42617.455543981479</v>
          </cell>
          <cell r="J170">
            <v>0</v>
          </cell>
          <cell r="K170" t="str">
            <v>4029/4030</v>
          </cell>
          <cell r="L170" t="str">
            <v>STARKS</v>
          </cell>
          <cell r="M170">
            <v>1.2430555550963618E-2</v>
          </cell>
          <cell r="N170">
            <v>17.89999999338761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https://search-rtdc-monitor-bjffxe2xuh6vdkpspy63sjmuny.us-east-1.es.amazonaws.com/_plugin/kibana/#/discover/Steve-Slow-Train-Analysis-(2080s-and-2083s)?_g=(refreshInterval:(display:Off,section:0,value:0),time:(from:'2016-09-04 09:35:57-0600',mode:absolute,to:'2016-09-04 11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0" t="str">
            <v>N</v>
          </cell>
          <cell r="X170">
            <v>1</v>
          </cell>
          <cell r="Y170">
            <v>5.8616999999999999</v>
          </cell>
          <cell r="Z170">
            <v>7.2400000000000006E-2</v>
          </cell>
          <cell r="AA170">
            <v>5.7892999999999999</v>
          </cell>
          <cell r="AB170" t="e">
            <v>#N/A</v>
          </cell>
          <cell r="AC170" t="e">
            <v>#N/A</v>
          </cell>
          <cell r="AD170" t="str">
            <v>1810-04</v>
          </cell>
          <cell r="AE170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71">
          <cell r="A171" t="str">
            <v>1811-04</v>
          </cell>
          <cell r="B171">
            <v>4029</v>
          </cell>
          <cell r="C171" t="str">
            <v>DE.1.0.7.0</v>
          </cell>
          <cell r="D171" t="str">
            <v>204:1014</v>
          </cell>
          <cell r="E171">
            <v>42617.468784722223</v>
          </cell>
          <cell r="F171">
            <v>42617.486979166664</v>
          </cell>
          <cell r="G171">
            <v>1</v>
          </cell>
          <cell r="H171" t="str">
            <v>300:58943</v>
          </cell>
          <cell r="I171">
            <v>42617.496921296297</v>
          </cell>
          <cell r="J171">
            <v>0</v>
          </cell>
          <cell r="K171" t="str">
            <v>4029/4030</v>
          </cell>
          <cell r="L171" t="str">
            <v>STARKS</v>
          </cell>
          <cell r="M171">
            <v>9.9421296326909214E-3</v>
          </cell>
          <cell r="N171">
            <v>14.316666671074927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https://search-rtdc-monitor-bjffxe2xuh6vdkpspy63sjmuny.us-east-1.es.amazonaws.com/_plugin/kibana/#/discover/Steve-Slow-Train-Analysis-(2080s-and-2083s)?_g=(refreshInterval:(display:Off,section:0,value:0),time:(from:'2016-09-04 10:15:03-0600',mode:absolute,to:'2016-09-04 12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1" t="str">
            <v>N</v>
          </cell>
          <cell r="X171">
            <v>1</v>
          </cell>
          <cell r="Y171">
            <v>0.1014</v>
          </cell>
          <cell r="Z171">
            <v>5.8943000000000003</v>
          </cell>
          <cell r="AA171">
            <v>5.7929000000000004</v>
          </cell>
          <cell r="AB171" t="e">
            <v>#N/A</v>
          </cell>
          <cell r="AC171" t="e">
            <v>#N/A</v>
          </cell>
          <cell r="AD171" t="str">
            <v>1811-04</v>
          </cell>
          <cell r="AE171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72">
          <cell r="A172" t="str">
            <v>1812-04</v>
          </cell>
          <cell r="B172">
            <v>4030</v>
          </cell>
          <cell r="C172" t="str">
            <v>DE.1.0.7.0</v>
          </cell>
          <cell r="D172" t="str">
            <v>300:58626</v>
          </cell>
          <cell r="E172">
            <v>42617.485625000001</v>
          </cell>
          <cell r="F172">
            <v>42617.486979166664</v>
          </cell>
          <cell r="G172">
            <v>1</v>
          </cell>
          <cell r="H172" t="str">
            <v>204:713</v>
          </cell>
          <cell r="I172">
            <v>42617.496921296297</v>
          </cell>
          <cell r="J172">
            <v>0</v>
          </cell>
          <cell r="K172" t="str">
            <v>4029/4030</v>
          </cell>
          <cell r="L172" t="str">
            <v>STARKS</v>
          </cell>
          <cell r="M172">
            <v>9.9421296326909214E-3</v>
          </cell>
          <cell r="N172">
            <v>14.316666671074927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https://search-rtdc-monitor-bjffxe2xuh6vdkpspy63sjmuny.us-east-1.es.amazonaws.com/_plugin/kibana/#/discover/Steve-Slow-Train-Analysis-(2080s-and-2083s)?_g=(refreshInterval:(display:Off,section:0,value:0),time:(from:'2016-09-04 10:39:18-0600',mode:absolute,to:'2016-09-04 12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2" t="str">
            <v>N</v>
          </cell>
          <cell r="X172">
            <v>1</v>
          </cell>
          <cell r="Y172">
            <v>5.8625999999999996</v>
          </cell>
          <cell r="Z172">
            <v>7.1300000000000002E-2</v>
          </cell>
          <cell r="AA172">
            <v>5.7912999999999997</v>
          </cell>
          <cell r="AB172" t="e">
            <v>#N/A</v>
          </cell>
          <cell r="AC172" t="e">
            <v>#N/A</v>
          </cell>
          <cell r="AD172" t="str">
            <v>1812-04</v>
          </cell>
          <cell r="AE172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73">
          <cell r="A173" t="str">
            <v>1813-04</v>
          </cell>
          <cell r="B173">
            <v>4029</v>
          </cell>
          <cell r="C173" t="str">
            <v>DE.1.0.7.0</v>
          </cell>
          <cell r="D173" t="str">
            <v>204:1020</v>
          </cell>
          <cell r="E173">
            <v>42617.512673611112</v>
          </cell>
          <cell r="F173">
            <v>42617.515127314815</v>
          </cell>
          <cell r="G173">
            <v>1</v>
          </cell>
          <cell r="H173" t="str">
            <v>300:58933</v>
          </cell>
          <cell r="I173">
            <v>42617.524976851855</v>
          </cell>
          <cell r="J173">
            <v>0</v>
          </cell>
          <cell r="K173" t="str">
            <v>4029/4030</v>
          </cell>
          <cell r="L173" t="str">
            <v>STARKS</v>
          </cell>
          <cell r="M173">
            <v>9.8495370402815752E-3</v>
          </cell>
          <cell r="N173">
            <v>14.183333338005468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https://search-rtdc-monitor-bjffxe2xuh6vdkpspy63sjmuny.us-east-1.es.amazonaws.com/_plugin/kibana/#/discover/Steve-Slow-Train-Analysis-(2080s-and-2083s)?_g=(refreshInterval:(display:Off,section:0,value:0),time:(from:'2016-09-04 11:18:15-0600',mode:absolute,to:'2016-09-04 13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3" t="str">
            <v>N</v>
          </cell>
          <cell r="X173">
            <v>1</v>
          </cell>
          <cell r="Y173">
            <v>0.10199999999999999</v>
          </cell>
          <cell r="Z173">
            <v>5.8933</v>
          </cell>
          <cell r="AA173">
            <v>5.7912999999999997</v>
          </cell>
          <cell r="AB173" t="e">
            <v>#N/A</v>
          </cell>
          <cell r="AC173" t="e">
            <v>#N/A</v>
          </cell>
          <cell r="AD173" t="str">
            <v>1813-04</v>
          </cell>
          <cell r="AE173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74">
          <cell r="A174" t="str">
            <v>1814-04</v>
          </cell>
          <cell r="B174">
            <v>4030</v>
          </cell>
          <cell r="C174" t="str">
            <v>DE.1.0.7.0</v>
          </cell>
          <cell r="D174" t="str">
            <v>300:58628</v>
          </cell>
          <cell r="E174">
            <v>42617.525879629633</v>
          </cell>
          <cell r="F174">
            <v>42617.527060185188</v>
          </cell>
          <cell r="G174">
            <v>1</v>
          </cell>
          <cell r="H174" t="str">
            <v>204:708</v>
          </cell>
          <cell r="I174">
            <v>42617.538993055554</v>
          </cell>
          <cell r="J174">
            <v>0</v>
          </cell>
          <cell r="K174" t="str">
            <v>4029/4030</v>
          </cell>
          <cell r="L174" t="str">
            <v>STARKS</v>
          </cell>
          <cell r="M174">
            <v>1.1932870365853887E-2</v>
          </cell>
          <cell r="N174">
            <v>17.183333326829597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https://search-rtdc-monitor-bjffxe2xuh6vdkpspy63sjmuny.us-east-1.es.amazonaws.com/_plugin/kibana/#/discover/Steve-Slow-Train-Analysis-(2080s-and-2083s)?_g=(refreshInterval:(display:Off,section:0,value:0),time:(from:'2016-09-04 11:37:16-0600',mode:absolute,to:'2016-09-04 13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4" t="str">
            <v>N</v>
          </cell>
          <cell r="X174">
            <v>1</v>
          </cell>
          <cell r="Y174">
            <v>5.8628</v>
          </cell>
          <cell r="Z174">
            <v>7.0800000000000002E-2</v>
          </cell>
          <cell r="AA174">
            <v>5.7919999999999998</v>
          </cell>
          <cell r="AB174" t="e">
            <v>#N/A</v>
          </cell>
          <cell r="AC174" t="e">
            <v>#N/A</v>
          </cell>
          <cell r="AD174" t="str">
            <v>1814-04</v>
          </cell>
          <cell r="AE174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75">
          <cell r="A175" t="str">
            <v>1815-04</v>
          </cell>
          <cell r="B175">
            <v>4029</v>
          </cell>
          <cell r="C175" t="str">
            <v>DE.1.0.7.0</v>
          </cell>
          <cell r="D175" t="str">
            <v>204:1009</v>
          </cell>
          <cell r="E175">
            <v>42617.554525462961</v>
          </cell>
          <cell r="F175">
            <v>42617.556435185186</v>
          </cell>
          <cell r="G175">
            <v>0</v>
          </cell>
          <cell r="H175" t="str">
            <v>300:58922</v>
          </cell>
          <cell r="I175">
            <v>42617.566701388889</v>
          </cell>
          <cell r="J175">
            <v>0</v>
          </cell>
          <cell r="K175" t="str">
            <v>4029/4030</v>
          </cell>
          <cell r="L175" t="str">
            <v>STARKS</v>
          </cell>
          <cell r="M175">
            <v>1.0266203702485655E-2</v>
          </cell>
          <cell r="N175">
            <v>14.783333331579342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https://search-rtdc-monitor-bjffxe2xuh6vdkpspy63sjmuny.us-east-1.es.amazonaws.com/_plugin/kibana/#/discover/Steve-Slow-Train-Analysis-(2080s-and-2083s)?_g=(refreshInterval:(display:Off,section:0,value:0),time:(from:'2016-09-04 12:18:31-0600',mode:absolute,to:'2016-09-04 14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5" t="str">
            <v>N</v>
          </cell>
          <cell r="X175">
            <v>1</v>
          </cell>
          <cell r="Y175">
            <v>0.1009</v>
          </cell>
          <cell r="Z175">
            <v>5.8921999999999999</v>
          </cell>
          <cell r="AA175">
            <v>5.7912999999999997</v>
          </cell>
          <cell r="AB175" t="e">
            <v>#N/A</v>
          </cell>
          <cell r="AC175" t="e">
            <v>#N/A</v>
          </cell>
          <cell r="AD175" t="str">
            <v>1815-04</v>
          </cell>
          <cell r="AE175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76">
          <cell r="A176" t="str">
            <v>1816-04</v>
          </cell>
          <cell r="B176">
            <v>4030</v>
          </cell>
          <cell r="C176" t="str">
            <v>DE.1.0.7.0</v>
          </cell>
          <cell r="D176" t="str">
            <v>300:58608</v>
          </cell>
          <cell r="E176">
            <v>42617.567627314813</v>
          </cell>
          <cell r="F176">
            <v>42617.568888888891</v>
          </cell>
          <cell r="G176">
            <v>1</v>
          </cell>
          <cell r="H176" t="str">
            <v>204:708</v>
          </cell>
          <cell r="I176">
            <v>42617.580150462964</v>
          </cell>
          <cell r="J176">
            <v>0</v>
          </cell>
          <cell r="K176" t="str">
            <v>4029/4030</v>
          </cell>
          <cell r="L176" t="str">
            <v>STARKS</v>
          </cell>
          <cell r="M176">
            <v>1.1261574072705116E-2</v>
          </cell>
          <cell r="N176">
            <v>16.216666664695367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https://search-rtdc-monitor-bjffxe2xuh6vdkpspy63sjmuny.us-east-1.es.amazonaws.com/_plugin/kibana/#/discover/Steve-Slow-Train-Analysis-(2080s-and-2083s)?_g=(refreshInterval:(display:Off,section:0,value:0),time:(from:'2016-09-04 12:37:23-0600',mode:absolute,to:'2016-09-04 14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6" t="str">
            <v>N</v>
          </cell>
          <cell r="X176">
            <v>1</v>
          </cell>
          <cell r="Y176">
            <v>5.8608000000000002</v>
          </cell>
          <cell r="Z176">
            <v>7.0800000000000002E-2</v>
          </cell>
          <cell r="AA176">
            <v>5.79</v>
          </cell>
          <cell r="AB176" t="e">
            <v>#N/A</v>
          </cell>
          <cell r="AC176" t="e">
            <v>#N/A</v>
          </cell>
          <cell r="AD176" t="str">
            <v>1816-04</v>
          </cell>
          <cell r="AE176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77">
          <cell r="A177" t="str">
            <v>1817-04</v>
          </cell>
          <cell r="B177">
            <v>4029</v>
          </cell>
          <cell r="C177" t="str">
            <v>DE.1.0.7.0</v>
          </cell>
          <cell r="D177" t="str">
            <v>204:1021</v>
          </cell>
          <cell r="E177">
            <v>42617.587997685187</v>
          </cell>
          <cell r="F177">
            <v>42617.598090277781</v>
          </cell>
          <cell r="G177">
            <v>1</v>
          </cell>
          <cell r="H177" t="str">
            <v>300:58960</v>
          </cell>
          <cell r="I177">
            <v>42617.607592592591</v>
          </cell>
          <cell r="J177">
            <v>0</v>
          </cell>
          <cell r="K177" t="str">
            <v>4029/4030</v>
          </cell>
          <cell r="L177" t="str">
            <v>ISHMAEL</v>
          </cell>
          <cell r="M177">
            <v>9.5023148096515797E-3</v>
          </cell>
          <cell r="N177">
            <v>13.683333325898275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https://search-rtdc-monitor-bjffxe2xuh6vdkpspy63sjmuny.us-east-1.es.amazonaws.com/_plugin/kibana/#/discover/Steve-Slow-Train-Analysis-(2080s-and-2083s)?_g=(refreshInterval:(display:Off,section:0,value:0),time:(from:'2016-09-04 13:06:43-0600',mode:absolute,to:'2016-09-04 15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7" t="str">
            <v>N</v>
          </cell>
          <cell r="X177">
            <v>1</v>
          </cell>
          <cell r="Y177">
            <v>0.1021</v>
          </cell>
          <cell r="Z177">
            <v>5.8959999999999999</v>
          </cell>
          <cell r="AA177">
            <v>5.7938999999999998</v>
          </cell>
          <cell r="AB177" t="e">
            <v>#N/A</v>
          </cell>
          <cell r="AC177" t="e">
            <v>#N/A</v>
          </cell>
          <cell r="AD177" t="str">
            <v>1817-04</v>
          </cell>
          <cell r="AE177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78">
          <cell r="A178" t="str">
            <v>1818-04</v>
          </cell>
          <cell r="B178">
            <v>4030</v>
          </cell>
          <cell r="C178" t="str">
            <v>DE.1.0.7.0</v>
          </cell>
          <cell r="D178" t="str">
            <v>300:58632</v>
          </cell>
          <cell r="E178">
            <v>42617.608472222222</v>
          </cell>
          <cell r="F178">
            <v>42617.609837962962</v>
          </cell>
          <cell r="G178">
            <v>1</v>
          </cell>
          <cell r="H178" t="str">
            <v>204:664</v>
          </cell>
          <cell r="I178">
            <v>42617.62159722222</v>
          </cell>
          <cell r="J178">
            <v>0</v>
          </cell>
          <cell r="K178" t="str">
            <v>4029/4030</v>
          </cell>
          <cell r="L178" t="str">
            <v>ISHMAEL</v>
          </cell>
          <cell r="M178">
            <v>1.1759259257814847E-2</v>
          </cell>
          <cell r="N178">
            <v>16.93333333125338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https://search-rtdc-monitor-bjffxe2xuh6vdkpspy63sjmuny.us-east-1.es.amazonaws.com/_plugin/kibana/#/discover/Steve-Slow-Train-Analysis-(2080s-and-2083s)?_g=(refreshInterval:(display:Off,section:0,value:0),time:(from:'2016-09-04 13:36:12-0600',mode:absolute,to:'2016-09-04 15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8" t="str">
            <v>N</v>
          </cell>
          <cell r="X178">
            <v>1</v>
          </cell>
          <cell r="Y178">
            <v>5.8632</v>
          </cell>
          <cell r="Z178">
            <v>6.6400000000000001E-2</v>
          </cell>
          <cell r="AA178">
            <v>5.7968000000000002</v>
          </cell>
          <cell r="AB178" t="e">
            <v>#N/A</v>
          </cell>
          <cell r="AC178" t="e">
            <v>#N/A</v>
          </cell>
          <cell r="AD178" t="str">
            <v>1818-04</v>
          </cell>
          <cell r="AE178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79">
          <cell r="A179" t="str">
            <v>1819-04</v>
          </cell>
          <cell r="B179">
            <v>4029</v>
          </cell>
          <cell r="C179" t="str">
            <v>DE.1.0.7.0</v>
          </cell>
          <cell r="D179" t="str">
            <v>204:965</v>
          </cell>
          <cell r="E179">
            <v>42617.626273148147</v>
          </cell>
          <cell r="F179">
            <v>42617.63994212963</v>
          </cell>
          <cell r="G179">
            <v>1</v>
          </cell>
          <cell r="H179" t="str">
            <v>300:58933</v>
          </cell>
          <cell r="I179">
            <v>42617.649178240739</v>
          </cell>
          <cell r="J179">
            <v>0</v>
          </cell>
          <cell r="K179" t="str">
            <v>4029/4030</v>
          </cell>
          <cell r="L179" t="str">
            <v>ISHMAEL</v>
          </cell>
          <cell r="M179">
            <v>9.2361111092031933E-3</v>
          </cell>
          <cell r="N179">
            <v>13.299999997252598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https://search-rtdc-monitor-bjffxe2xuh6vdkpspy63sjmuny.us-east-1.es.amazonaws.com/_plugin/kibana/#/discover/Steve-Slow-Train-Analysis-(2080s-and-2083s)?_g=(refreshInterval:(display:Off,section:0,value:0),time:(from:'2016-09-04 14:01:50-0600',mode:absolute,to:'2016-09-04 16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9" t="str">
            <v>N</v>
          </cell>
          <cell r="X179">
            <v>1</v>
          </cell>
          <cell r="Y179">
            <v>9.6500000000000002E-2</v>
          </cell>
          <cell r="Z179">
            <v>5.8933</v>
          </cell>
          <cell r="AA179">
            <v>5.7968000000000002</v>
          </cell>
          <cell r="AB179" t="e">
            <v>#N/A</v>
          </cell>
          <cell r="AC179" t="e">
            <v>#N/A</v>
          </cell>
          <cell r="AD179" t="str">
            <v>1819-04</v>
          </cell>
          <cell r="AE179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80">
          <cell r="A180" t="str">
            <v>1820-04</v>
          </cell>
          <cell r="B180">
            <v>4030</v>
          </cell>
          <cell r="C180" t="str">
            <v>DE.1.0.7.0</v>
          </cell>
          <cell r="D180" t="str">
            <v>300:58613</v>
          </cell>
          <cell r="E180">
            <v>42617.65</v>
          </cell>
          <cell r="F180">
            <v>42617.651400462964</v>
          </cell>
          <cell r="G180">
            <v>1</v>
          </cell>
          <cell r="H180" t="str">
            <v>204:691</v>
          </cell>
          <cell r="I180">
            <v>42617.66302083333</v>
          </cell>
          <cell r="J180">
            <v>0</v>
          </cell>
          <cell r="K180" t="str">
            <v>4029/4030</v>
          </cell>
          <cell r="L180" t="str">
            <v>ISHMAEL</v>
          </cell>
          <cell r="M180">
            <v>1.1620370365562849E-2</v>
          </cell>
          <cell r="N180">
            <v>16.733333326410502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https://search-rtdc-monitor-bjffxe2xuh6vdkpspy63sjmuny.us-east-1.es.amazonaws.com/_plugin/kibana/#/discover/Steve-Slow-Train-Analysis-(2080s-and-2083s)?_g=(refreshInterval:(display:Off,section:0,value:0),time:(from:'2016-09-04 14:36:00-0600',mode:absolute,to:'2016-09-04 16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0" t="str">
            <v>N</v>
          </cell>
          <cell r="X180">
            <v>1</v>
          </cell>
          <cell r="Y180">
            <v>5.8613</v>
          </cell>
          <cell r="Z180">
            <v>6.9099999999999995E-2</v>
          </cell>
          <cell r="AA180">
            <v>5.7922000000000002</v>
          </cell>
          <cell r="AB180" t="e">
            <v>#N/A</v>
          </cell>
          <cell r="AC180" t="e">
            <v>#N/A</v>
          </cell>
          <cell r="AD180" t="str">
            <v>1820-04</v>
          </cell>
          <cell r="AE180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81">
          <cell r="A181" t="str">
            <v>1821-04</v>
          </cell>
          <cell r="B181">
            <v>4029</v>
          </cell>
          <cell r="C181" t="str">
            <v>DE.1.0.7.0</v>
          </cell>
          <cell r="D181" t="str">
            <v>204:971</v>
          </cell>
          <cell r="E181">
            <v>42617.672997685186</v>
          </cell>
          <cell r="F181">
            <v>42617.681493055556</v>
          </cell>
          <cell r="G181">
            <v>1</v>
          </cell>
          <cell r="H181" t="str">
            <v>300:58922</v>
          </cell>
          <cell r="I181">
            <v>42617.691111111111</v>
          </cell>
          <cell r="J181">
            <v>0</v>
          </cell>
          <cell r="K181" t="str">
            <v>4029/4030</v>
          </cell>
          <cell r="L181" t="str">
            <v>ISHMAEL</v>
          </cell>
          <cell r="M181">
            <v>9.6180555556202307E-3</v>
          </cell>
          <cell r="N181">
            <v>13.850000000093132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https://search-rtdc-monitor-bjffxe2xuh6vdkpspy63sjmuny.us-east-1.es.amazonaws.com/_plugin/kibana/#/discover/Steve-Slow-Train-Analysis-(2080s-and-2083s)?_g=(refreshInterval:(display:Off,section:0,value:0),time:(from:'2016-09-04 15:09:07-0600',mode:absolute,to:'2016-09-04 17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81" t="str">
            <v>N</v>
          </cell>
          <cell r="X181">
            <v>1</v>
          </cell>
          <cell r="Y181">
            <v>9.7100000000000006E-2</v>
          </cell>
          <cell r="Z181">
            <v>5.8921999999999999</v>
          </cell>
          <cell r="AA181">
            <v>5.7950999999999997</v>
          </cell>
          <cell r="AB181" t="e">
            <v>#N/A</v>
          </cell>
          <cell r="AC181" t="e">
            <v>#N/A</v>
          </cell>
          <cell r="AD181" t="str">
            <v>1821-04</v>
          </cell>
          <cell r="AE181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82">
          <cell r="A182" t="str">
            <v>1822-04</v>
          </cell>
          <cell r="B182">
            <v>4030</v>
          </cell>
          <cell r="C182" t="str">
            <v>DE.1.0.7.0</v>
          </cell>
          <cell r="D182" t="str">
            <v>300:58594</v>
          </cell>
          <cell r="E182">
            <v>42617.691979166666</v>
          </cell>
          <cell r="F182">
            <v>42617.693356481483</v>
          </cell>
          <cell r="G182">
            <v>1</v>
          </cell>
          <cell r="H182" t="str">
            <v>204:687</v>
          </cell>
          <cell r="I182">
            <v>42617.704976851855</v>
          </cell>
          <cell r="J182">
            <v>0</v>
          </cell>
          <cell r="K182" t="str">
            <v>4029/4030</v>
          </cell>
          <cell r="L182" t="str">
            <v>ISHMAEL</v>
          </cell>
          <cell r="M182">
            <v>1.1620370372838806E-2</v>
          </cell>
          <cell r="N182">
            <v>16.733333336887881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https://search-rtdc-monitor-bjffxe2xuh6vdkpspy63sjmuny.us-east-1.es.amazonaws.com/_plugin/kibana/#/discover/Steve-Slow-Train-Analysis-(2080s-and-2083s)?_g=(refreshInterval:(display:Off,section:0,value:0),time:(from:'2016-09-04 15:36:27-0600',mode:absolute,to:'2016-09-04 17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2" t="str">
            <v>N</v>
          </cell>
          <cell r="X182">
            <v>1</v>
          </cell>
          <cell r="Y182">
            <v>5.8593999999999999</v>
          </cell>
          <cell r="Z182">
            <v>6.8699999999999997E-2</v>
          </cell>
          <cell r="AA182">
            <v>5.7907000000000002</v>
          </cell>
          <cell r="AB182" t="e">
            <v>#N/A</v>
          </cell>
          <cell r="AC182" t="e">
            <v>#N/A</v>
          </cell>
          <cell r="AD182" t="str">
            <v>1822-04</v>
          </cell>
          <cell r="AE182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83">
          <cell r="A183" t="str">
            <v>1823-04</v>
          </cell>
          <cell r="B183">
            <v>4029</v>
          </cell>
          <cell r="C183" t="str">
            <v>DE.1.0.7.0</v>
          </cell>
          <cell r="D183" t="str">
            <v>204:965</v>
          </cell>
          <cell r="E183">
            <v>42617.714143518519</v>
          </cell>
          <cell r="F183">
            <v>42617.723113425927</v>
          </cell>
          <cell r="G183">
            <v>1</v>
          </cell>
          <cell r="H183" t="str">
            <v>300:58943</v>
          </cell>
          <cell r="I183">
            <v>42617.732789351852</v>
          </cell>
          <cell r="J183">
            <v>0</v>
          </cell>
          <cell r="K183" t="str">
            <v>4029/4030</v>
          </cell>
          <cell r="L183" t="str">
            <v>ISHMAEL</v>
          </cell>
          <cell r="M183">
            <v>9.6759259249665774E-3</v>
          </cell>
          <cell r="N183">
            <v>13.933333331951872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https://search-rtdc-monitor-bjffxe2xuh6vdkpspy63sjmuny.us-east-1.es.amazonaws.com/_plugin/kibana/#/discover/Steve-Slow-Train-Analysis-(2080s-and-2083s)?_g=(refreshInterval:(display:Off,section:0,value:0),time:(from:'2016-09-04 16:08:22-0600',mode:absolute,to:'2016-09-04 18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83" t="str">
            <v>N</v>
          </cell>
          <cell r="X183">
            <v>1</v>
          </cell>
          <cell r="Y183">
            <v>9.6500000000000002E-2</v>
          </cell>
          <cell r="Z183">
            <v>5.8943000000000003</v>
          </cell>
          <cell r="AA183">
            <v>5.7978000000000005</v>
          </cell>
          <cell r="AB183" t="e">
            <v>#N/A</v>
          </cell>
          <cell r="AC183" t="e">
            <v>#N/A</v>
          </cell>
          <cell r="AD183" t="str">
            <v>1823-04</v>
          </cell>
          <cell r="AE183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84">
          <cell r="A184" t="str">
            <v>1824-04</v>
          </cell>
          <cell r="B184">
            <v>4030</v>
          </cell>
          <cell r="C184" t="str">
            <v>DE.1.0.7.0</v>
          </cell>
          <cell r="D184" t="str">
            <v>300:58634</v>
          </cell>
          <cell r="E184">
            <v>42617.733888888892</v>
          </cell>
          <cell r="F184">
            <v>42617.735092592593</v>
          </cell>
          <cell r="G184">
            <v>1</v>
          </cell>
          <cell r="H184" t="str">
            <v>204:663</v>
          </cell>
          <cell r="I184">
            <v>42617.746655092589</v>
          </cell>
          <cell r="J184">
            <v>0</v>
          </cell>
          <cell r="K184" t="str">
            <v>4029/4030</v>
          </cell>
          <cell r="L184" t="str">
            <v>ISHMAEL</v>
          </cell>
          <cell r="M184">
            <v>1.1562499996216502E-2</v>
          </cell>
          <cell r="N184">
            <v>16.649999994551763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https://search-rtdc-monitor-bjffxe2xuh6vdkpspy63sjmuny.us-east-1.es.amazonaws.com/_plugin/kibana/#/discover/Steve-Slow-Train-Analysis-(2080s-and-2083s)?_g=(refreshInterval:(display:Off,section:0,value:0),time:(from:'2016-09-04 16:36:48-0600',mode:absolute,to:'2016-09-04 18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4" t="str">
            <v>N</v>
          </cell>
          <cell r="X184">
            <v>1</v>
          </cell>
          <cell r="Y184">
            <v>5.8634000000000004</v>
          </cell>
          <cell r="Z184">
            <v>6.6299999999999998E-2</v>
          </cell>
          <cell r="AA184">
            <v>5.7971000000000004</v>
          </cell>
          <cell r="AB184" t="e">
            <v>#N/A</v>
          </cell>
          <cell r="AC184" t="e">
            <v>#N/A</v>
          </cell>
          <cell r="AD184" t="str">
            <v>1824-04</v>
          </cell>
          <cell r="AE184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85">
          <cell r="A185" t="str">
            <v>1825-04</v>
          </cell>
          <cell r="B185">
            <v>4029</v>
          </cell>
          <cell r="C185" t="str">
            <v>DE.1.0.7.0</v>
          </cell>
          <cell r="D185" t="str">
            <v>204:951</v>
          </cell>
          <cell r="E185">
            <v>42617.753564814811</v>
          </cell>
          <cell r="F185">
            <v>42617.765011574076</v>
          </cell>
          <cell r="G185">
            <v>2</v>
          </cell>
          <cell r="H185" t="str">
            <v>300:58922</v>
          </cell>
          <cell r="I185">
            <v>42617.776018518518</v>
          </cell>
          <cell r="J185">
            <v>0</v>
          </cell>
          <cell r="K185" t="str">
            <v>4029/4030</v>
          </cell>
          <cell r="L185" t="str">
            <v>ISHMAEL</v>
          </cell>
          <cell r="M185">
            <v>1.1006944441760425E-2</v>
          </cell>
          <cell r="N185">
            <v>15.849999996135011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https://search-rtdc-monitor-bjffxe2xuh6vdkpspy63sjmuny.us-east-1.es.amazonaws.com/_plugin/kibana/#/discover/Steve-Slow-Train-Analysis-(2080s-and-2083s)?_g=(refreshInterval:(display:Off,section:0,value:0),time:(from:'2016-09-04 17:05:08-0600',mode:absolute,to:'2016-09-04 19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85" t="str">
            <v>N</v>
          </cell>
          <cell r="X185">
            <v>1</v>
          </cell>
          <cell r="Y185">
            <v>9.5100000000000004E-2</v>
          </cell>
          <cell r="Z185">
            <v>5.8921999999999999</v>
          </cell>
          <cell r="AA185">
            <v>5.7970999999999995</v>
          </cell>
          <cell r="AB185" t="e">
            <v>#N/A</v>
          </cell>
          <cell r="AC185" t="e">
            <v>#N/A</v>
          </cell>
          <cell r="AD185" t="str">
            <v>1825-04</v>
          </cell>
          <cell r="AE185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86">
          <cell r="A186" t="str">
            <v>1826-04</v>
          </cell>
          <cell r="B186">
            <v>4030</v>
          </cell>
          <cell r="C186" t="str">
            <v>DE.1.0.7.0</v>
          </cell>
          <cell r="D186" t="str">
            <v>300:58598</v>
          </cell>
          <cell r="E186">
            <v>42617.776875000003</v>
          </cell>
          <cell r="F186">
            <v>42617.778437499997</v>
          </cell>
          <cell r="G186">
            <v>1</v>
          </cell>
          <cell r="H186" t="str">
            <v>204:668</v>
          </cell>
          <cell r="I186">
            <v>42617.789282407408</v>
          </cell>
          <cell r="J186">
            <v>0</v>
          </cell>
          <cell r="K186" t="str">
            <v>4029/4030</v>
          </cell>
          <cell r="L186" t="str">
            <v>ISHMAEL</v>
          </cell>
          <cell r="M186">
            <v>1.0844907410501037E-2</v>
          </cell>
          <cell r="N186">
            <v>15.616666671121493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https://search-rtdc-monitor-bjffxe2xuh6vdkpspy63sjmuny.us-east-1.es.amazonaws.com/_plugin/kibana/#/discover/Steve-Slow-Train-Analysis-(2080s-and-2083s)?_g=(refreshInterval:(display:Off,section:0,value:0),time:(from:'2016-09-04 17:38:42-0600',mode:absolute,to:'2016-09-04 19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6" t="str">
            <v>N</v>
          </cell>
          <cell r="X186">
            <v>1</v>
          </cell>
          <cell r="Y186">
            <v>5.8597999999999999</v>
          </cell>
          <cell r="Z186">
            <v>6.6799999999999998E-2</v>
          </cell>
          <cell r="AA186">
            <v>5.7930000000000001</v>
          </cell>
          <cell r="AB186" t="e">
            <v>#N/A</v>
          </cell>
          <cell r="AC186" t="e">
            <v>#N/A</v>
          </cell>
          <cell r="AD186" t="str">
            <v>1826-04</v>
          </cell>
          <cell r="AE186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87">
          <cell r="A187" t="str">
            <v>1827-04</v>
          </cell>
          <cell r="B187">
            <v>4029</v>
          </cell>
          <cell r="C187" t="str">
            <v>DE.1.0.7.0</v>
          </cell>
          <cell r="D187" t="str">
            <v>204:967</v>
          </cell>
          <cell r="E187">
            <v>42617.801469907405</v>
          </cell>
          <cell r="F187">
            <v>42617.806469907409</v>
          </cell>
          <cell r="G187">
            <v>1</v>
          </cell>
          <cell r="H187" t="str">
            <v>300:58929</v>
          </cell>
          <cell r="I187">
            <v>42617.817430555559</v>
          </cell>
          <cell r="J187">
            <v>0</v>
          </cell>
          <cell r="K187" t="str">
            <v>4029/4030</v>
          </cell>
          <cell r="L187" t="str">
            <v>ISHMAEL</v>
          </cell>
          <cell r="M187">
            <v>1.096064814919373E-2</v>
          </cell>
          <cell r="N187">
            <v>15.783333334838971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https://search-rtdc-monitor-bjffxe2xuh6vdkpspy63sjmuny.us-east-1.es.amazonaws.com/_plugin/kibana/#/discover/Steve-Slow-Train-Analysis-(2080s-and-2083s)?_g=(refreshInterval:(display:Off,section:0,value:0),time:(from:'2016-09-04 18:14:07-0600',mode:absolute,to:'2016-09-04 20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87" t="str">
            <v>N</v>
          </cell>
          <cell r="X187">
            <v>1</v>
          </cell>
          <cell r="Y187">
            <v>9.6699999999999994E-2</v>
          </cell>
          <cell r="Z187">
            <v>5.8929</v>
          </cell>
          <cell r="AA187">
            <v>5.7961999999999998</v>
          </cell>
          <cell r="AB187" t="e">
            <v>#N/A</v>
          </cell>
          <cell r="AC187" t="e">
            <v>#N/A</v>
          </cell>
          <cell r="AD187" t="str">
            <v>1827-04</v>
          </cell>
          <cell r="AE187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88">
          <cell r="A188" t="str">
            <v>1828-04</v>
          </cell>
          <cell r="B188">
            <v>4030</v>
          </cell>
          <cell r="C188" t="str">
            <v>DE.1.0.7.0</v>
          </cell>
          <cell r="D188" t="str">
            <v>300:58609</v>
          </cell>
          <cell r="E188">
            <v>42617.818310185183</v>
          </cell>
          <cell r="F188">
            <v>42617.81962962963</v>
          </cell>
          <cell r="G188">
            <v>1</v>
          </cell>
          <cell r="H188" t="str">
            <v>204:684</v>
          </cell>
          <cell r="I188">
            <v>42617.832673611112</v>
          </cell>
          <cell r="J188">
            <v>0</v>
          </cell>
          <cell r="K188" t="str">
            <v>4029/4030</v>
          </cell>
          <cell r="L188" t="str">
            <v>ISHMAEL</v>
          </cell>
          <cell r="M188">
            <v>1.3043981482042E-2</v>
          </cell>
          <cell r="N188">
            <v>18.78333333414048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https://search-rtdc-monitor-bjffxe2xuh6vdkpspy63sjmuny.us-east-1.es.amazonaws.com/_plugin/kibana/#/discover/Steve-Slow-Train-Analysis-(2080s-and-2083s)?_g=(refreshInterval:(display:Off,section:0,value:0),time:(from:'2016-09-04 18:38:22-0600',mode:absolute,to:'2016-09-04 20:59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8" t="str">
            <v>N</v>
          </cell>
          <cell r="X188">
            <v>1</v>
          </cell>
          <cell r="Y188">
            <v>5.8609</v>
          </cell>
          <cell r="Z188">
            <v>6.8400000000000002E-2</v>
          </cell>
          <cell r="AA188">
            <v>5.7925000000000004</v>
          </cell>
          <cell r="AB188" t="e">
            <v>#N/A</v>
          </cell>
          <cell r="AC188" t="e">
            <v>#N/A</v>
          </cell>
          <cell r="AD188" t="str">
            <v>1828-04</v>
          </cell>
          <cell r="AE188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89">
          <cell r="A189" t="str">
            <v>1829-04</v>
          </cell>
          <cell r="B189">
            <v>4029</v>
          </cell>
          <cell r="C189" t="str">
            <v>DE.1.0.7.0</v>
          </cell>
          <cell r="D189" t="str">
            <v>204:971</v>
          </cell>
          <cell r="E189">
            <v>42617.841793981483</v>
          </cell>
          <cell r="F189">
            <v>42617.84815972222</v>
          </cell>
          <cell r="G189">
            <v>1</v>
          </cell>
          <cell r="H189" t="str">
            <v>300:58941</v>
          </cell>
          <cell r="I189">
            <v>42617.858136574076</v>
          </cell>
          <cell r="J189">
            <v>0</v>
          </cell>
          <cell r="K189" t="str">
            <v>4029/4030</v>
          </cell>
          <cell r="L189" t="str">
            <v>ISHMAEL</v>
          </cell>
          <cell r="M189">
            <v>9.976851855753921E-3</v>
          </cell>
          <cell r="N189">
            <v>14.366666672285646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https://search-rtdc-monitor-bjffxe2xuh6vdkpspy63sjmuny.us-east-1.es.amazonaws.com/_plugin/kibana/#/discover/Steve-Slow-Train-Analysis-(2080s-and-2083s)?_g=(refreshInterval:(display:Off,section:0,value:0),time:(from:'2016-09-04 19:12:11-0600',mode:absolute,to:'2016-09-04 21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89" t="str">
            <v>N</v>
          </cell>
          <cell r="X189">
            <v>1</v>
          </cell>
          <cell r="Y189">
            <v>9.7100000000000006E-2</v>
          </cell>
          <cell r="Z189">
            <v>5.8940999999999999</v>
          </cell>
          <cell r="AA189">
            <v>5.7969999999999997</v>
          </cell>
          <cell r="AB189" t="e">
            <v>#N/A</v>
          </cell>
          <cell r="AC189" t="e">
            <v>#N/A</v>
          </cell>
          <cell r="AD189" t="str">
            <v>1829-04</v>
          </cell>
          <cell r="AE189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90">
          <cell r="A190" t="str">
            <v>1830-04</v>
          </cell>
          <cell r="B190">
            <v>4030</v>
          </cell>
          <cell r="C190" t="str">
            <v>DE.1.0.7.0</v>
          </cell>
          <cell r="D190" t="str">
            <v>300:58625</v>
          </cell>
          <cell r="E190">
            <v>42617.859085648146</v>
          </cell>
          <cell r="F190">
            <v>42617.860578703701</v>
          </cell>
          <cell r="G190">
            <v>1</v>
          </cell>
          <cell r="H190" t="str">
            <v>204:684</v>
          </cell>
          <cell r="I190">
            <v>42617.871736111112</v>
          </cell>
          <cell r="J190">
            <v>0</v>
          </cell>
          <cell r="K190" t="str">
            <v>4029/4030</v>
          </cell>
          <cell r="L190" t="str">
            <v>ISHMAEL</v>
          </cell>
          <cell r="M190">
            <v>1.1157407410792075E-2</v>
          </cell>
          <cell r="N190">
            <v>16.066666671540588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https://search-rtdc-monitor-bjffxe2xuh6vdkpspy63sjmuny.us-east-1.es.amazonaws.com/_plugin/kibana/#/discover/Steve-Slow-Train-Analysis-(2080s-and-2083s)?_g=(refreshInterval:(display:Off,section:0,value:0),time:(from:'2016-09-04 19:37:05-0600',mode:absolute,to:'2016-09-04 21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90" t="str">
            <v>N</v>
          </cell>
          <cell r="X190">
            <v>1</v>
          </cell>
          <cell r="Y190">
            <v>5.8624999999999998</v>
          </cell>
          <cell r="Z190">
            <v>6.8400000000000002E-2</v>
          </cell>
          <cell r="AA190">
            <v>5.7941000000000003</v>
          </cell>
          <cell r="AB190" t="e">
            <v>#N/A</v>
          </cell>
          <cell r="AC190" t="e">
            <v>#N/A</v>
          </cell>
          <cell r="AD190" t="str">
            <v>1830-04</v>
          </cell>
          <cell r="AE190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91">
          <cell r="A191" t="str">
            <v>1831-04</v>
          </cell>
          <cell r="B191">
            <v>4029</v>
          </cell>
          <cell r="C191" t="str">
            <v>DE.1.0.7.0</v>
          </cell>
          <cell r="D191" t="str">
            <v>204:969</v>
          </cell>
          <cell r="E191">
            <v>42617.876458333332</v>
          </cell>
          <cell r="F191">
            <v>42617.889791666668</v>
          </cell>
          <cell r="G191">
            <v>1</v>
          </cell>
          <cell r="H191" t="str">
            <v>300:58929</v>
          </cell>
          <cell r="I191">
            <v>42617.900196759256</v>
          </cell>
          <cell r="J191">
            <v>0</v>
          </cell>
          <cell r="K191" t="str">
            <v>4029/4030</v>
          </cell>
          <cell r="L191" t="str">
            <v>ISHMAEL</v>
          </cell>
          <cell r="M191">
            <v>1.0405092587461695E-2</v>
          </cell>
          <cell r="N191">
            <v>14.983333325944841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https://search-rtdc-monitor-bjffxe2xuh6vdkpspy63sjmuny.us-east-1.es.amazonaws.com/_plugin/kibana/#/discover/Steve-Slow-Train-Analysis-(2080s-and-2083s)?_g=(refreshInterval:(display:Off,section:0,value:0),time:(from:'2016-09-04 20:02:06-0600',mode:absolute,to:'2016-09-04 22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91" t="str">
            <v>N</v>
          </cell>
          <cell r="X191">
            <v>1</v>
          </cell>
          <cell r="Y191">
            <v>9.69E-2</v>
          </cell>
          <cell r="Z191">
            <v>5.8929</v>
          </cell>
          <cell r="AA191">
            <v>5.7960000000000003</v>
          </cell>
          <cell r="AB191" t="e">
            <v>#N/A</v>
          </cell>
          <cell r="AC191" t="e">
            <v>#N/A</v>
          </cell>
          <cell r="AD191" t="str">
            <v>1831-04</v>
          </cell>
          <cell r="AE191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92">
          <cell r="A192" t="str">
            <v>1832-04</v>
          </cell>
          <cell r="B192">
            <v>4030</v>
          </cell>
          <cell r="C192" t="str">
            <v>DE.1.0.7.0</v>
          </cell>
          <cell r="D192" t="str">
            <v>300:58608</v>
          </cell>
          <cell r="E192">
            <v>42617.901550925926</v>
          </cell>
          <cell r="F192">
            <v>42617.902962962966</v>
          </cell>
          <cell r="G192">
            <v>1</v>
          </cell>
          <cell r="H192" t="str">
            <v>204:696</v>
          </cell>
          <cell r="I192">
            <v>42617.915462962963</v>
          </cell>
          <cell r="J192">
            <v>0</v>
          </cell>
          <cell r="K192" t="str">
            <v>4029/4030</v>
          </cell>
          <cell r="L192" t="str">
            <v>ISHMAEL</v>
          </cell>
          <cell r="M192">
            <v>1.2499999997089617E-2</v>
          </cell>
          <cell r="N192">
            <v>17.999999995809048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https://search-rtdc-monitor-bjffxe2xuh6vdkpspy63sjmuny.us-east-1.es.amazonaws.com/_plugin/kibana/#/discover/Steve-Slow-Train-Analysis-(2080s-and-2083s)?_g=(refreshInterval:(display:Off,section:0,value:0),time:(from:'2016-09-04 20:38:14-0600',mode:absolute,to:'2016-09-04 22:58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92" t="str">
            <v>N</v>
          </cell>
          <cell r="X192">
            <v>1</v>
          </cell>
          <cell r="Y192">
            <v>5.8608000000000002</v>
          </cell>
          <cell r="Z192">
            <v>6.9599999999999995E-2</v>
          </cell>
          <cell r="AA192">
            <v>5.7911999999999999</v>
          </cell>
          <cell r="AB192" t="e">
            <v>#N/A</v>
          </cell>
          <cell r="AC192" t="e">
            <v>#N/A</v>
          </cell>
          <cell r="AD192" t="str">
            <v>1832-04</v>
          </cell>
          <cell r="AE192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193">
          <cell r="A193" t="str">
            <v>1833-04</v>
          </cell>
          <cell r="B193">
            <v>4029</v>
          </cell>
          <cell r="C193" t="str">
            <v>DE.1.0.7.0</v>
          </cell>
          <cell r="D193" t="str">
            <v>204:972</v>
          </cell>
          <cell r="E193">
            <v>42617.923738425925</v>
          </cell>
          <cell r="F193">
            <v>42617.931504629632</v>
          </cell>
          <cell r="G193">
            <v>1</v>
          </cell>
          <cell r="H193" t="str">
            <v>300:58929</v>
          </cell>
          <cell r="I193">
            <v>42617.942893518521</v>
          </cell>
          <cell r="J193">
            <v>0</v>
          </cell>
          <cell r="K193" t="str">
            <v>4029/4030</v>
          </cell>
          <cell r="L193" t="str">
            <v>ISHMAEL</v>
          </cell>
          <cell r="M193">
            <v>1.1388888888177462E-2</v>
          </cell>
          <cell r="N193">
            <v>16.399999998975545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https://search-rtdc-monitor-bjffxe2xuh6vdkpspy63sjmuny.us-east-1.es.amazonaws.com/_plugin/kibana/#/discover/Steve-Slow-Train-Analysis-(2080s-and-2083s)?_g=(refreshInterval:(display:Off,section:0,value:0),time:(from:'2016-09-04 21:10:11-0600',mode:absolute,to:'2016-09-04 23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93" t="str">
            <v>N</v>
          </cell>
          <cell r="X193">
            <v>1</v>
          </cell>
          <cell r="Y193">
            <v>9.7199999999999995E-2</v>
          </cell>
          <cell r="Z193">
            <v>5.8929</v>
          </cell>
          <cell r="AA193">
            <v>5.7957000000000001</v>
          </cell>
          <cell r="AB193" t="e">
            <v>#N/A</v>
          </cell>
          <cell r="AC193" t="e">
            <v>#N/A</v>
          </cell>
          <cell r="AD193" t="str">
            <v>1833-04</v>
          </cell>
          <cell r="AE193" t="str">
    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    </cell>
        </row>
        <row r="194">
          <cell r="A194" t="str">
            <v>307-04</v>
          </cell>
          <cell r="B194">
            <v>4016</v>
          </cell>
          <cell r="C194" t="str">
            <v>DE.1.0.7.0</v>
          </cell>
          <cell r="D194" t="str">
            <v>204:464</v>
          </cell>
          <cell r="E194">
            <v>42617.820173611108</v>
          </cell>
          <cell r="F194">
            <v>25568.958333333332</v>
          </cell>
          <cell r="G194">
            <v>1</v>
          </cell>
          <cell r="H194" t="str">
            <v>300:23306</v>
          </cell>
          <cell r="I194">
            <v>25568.958333333332</v>
          </cell>
          <cell r="J194">
            <v>0</v>
          </cell>
          <cell r="K194" t="str">
            <v>4015/4016</v>
          </cell>
          <cell r="L194" t="str">
            <v>SHOOK</v>
          </cell>
          <cell r="M194">
            <v>0</v>
          </cell>
          <cell r="N194">
            <v>0</v>
          </cell>
          <cell r="S194">
            <v>1</v>
          </cell>
          <cell r="T194" t="str">
            <v>NorthBound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https://search-rtdc-monitor-bjffxe2xuh6vdkpspy63sjmuny.us-east-1.es.amazonaws.com/_plugin/kibana/#/discover/Steve-Slow-Train-Analysis-(2080s-and-2083s)?_g=(refreshInterval:(display:Off,section:0,value:0),time:(from:'2016-09-04 18:41:03-0600',mode:absolute,to:'1970-01-01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94" t="str">
            <v>Y</v>
          </cell>
          <cell r="X194">
            <v>-1526</v>
          </cell>
          <cell r="Y194">
            <v>4.6399999999999997E-2</v>
          </cell>
          <cell r="Z194">
            <v>2.3306</v>
          </cell>
          <cell r="AA194">
            <v>2.2842000000000002</v>
          </cell>
          <cell r="AB194" t="e">
            <v>#N/A</v>
          </cell>
          <cell r="AC194" t="e">
            <v>#N/A</v>
          </cell>
          <cell r="AD194" t="str">
            <v>0307-04</v>
          </cell>
          <cell r="AE194" t="str">
            <v>aws s3 cp s3://rtdc.mdm.uploadarchive/RTDC4016/1969-12-31/ "%USERPROFILE%\AppData\Local\Temp\OnboardLogs"\RTDC4016\1969-12-31 --recursive &amp; "%USERPROFILE%\Documents\GitHub\mrs-test-scripts\Headless Mode &amp; Sideloading\WalkAndUnGZ.bat" "%USERPROFILE%\AppData\Local\Temp\OnboardLogs"\RTDC4016\1969-12-31 &amp; aws s3 cp s3://rtdc.mdm.uploadarchive/RTDC4016/1970-01-01/ "%USERPROFILE%\AppData\Local\Temp\OnboardLogs"\RTDC4016\1970-01-01 --recursive &amp; "%USERPROFILE%\Documents\GitHub\mrs-test-scripts\Headless Mode &amp; Sideloading\WalkAndUnGZ.bat" "%USERPROFILE%\AppData\Local\Temp\OnboardLogs"\RTDC4016\1970-01-01</v>
          </cell>
        </row>
        <row r="195">
          <cell r="A195" t="str">
            <v>309-04</v>
          </cell>
          <cell r="B195">
            <v>4046</v>
          </cell>
          <cell r="C195" t="str">
            <v>DE.1.0.7.0</v>
          </cell>
          <cell r="D195" t="str">
            <v>204:460</v>
          </cell>
          <cell r="E195">
            <v>42618.027048611111</v>
          </cell>
          <cell r="F195">
            <v>42618.029178240744</v>
          </cell>
          <cell r="G195">
            <v>1</v>
          </cell>
          <cell r="H195" t="str">
            <v>300:22113</v>
          </cell>
          <cell r="I195">
            <v>42618.034201388888</v>
          </cell>
          <cell r="J195">
            <v>0</v>
          </cell>
          <cell r="K195" t="str">
            <v>4045/4046</v>
          </cell>
          <cell r="L195" t="str">
            <v>LEVERE</v>
          </cell>
          <cell r="M195">
            <v>5.0231481436640024E-3</v>
          </cell>
          <cell r="N195">
            <v>7.2333333268761635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https://search-rtdc-monitor-bjffxe2xuh6vdkpspy63sjmuny.us-east-1.es.amazonaws.com/_plugin/kibana/#/discover/Steve-Slow-Train-Analysis-(2080s-and-2083s)?_g=(refreshInterval:(display:Off,section:0,value:0),time:(from:'2016-09-04 23:38:57-0600',mode:absolute,to:'2016-09-05 01:49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    </cell>
          <cell r="W195" t="str">
            <v>Y</v>
          </cell>
          <cell r="X195">
            <v>2</v>
          </cell>
          <cell r="Y195">
            <v>4.5999999999999999E-2</v>
          </cell>
          <cell r="Z195">
            <v>2.2113</v>
          </cell>
          <cell r="AA195">
            <v>2.1653000000000002</v>
          </cell>
          <cell r="AB195" t="e">
            <v>#N/A</v>
          </cell>
          <cell r="AC195" t="e">
            <v>#N/A</v>
          </cell>
          <cell r="AD195" t="str">
            <v>0309-04</v>
          </cell>
          <cell r="AE195" t="str">
            <v>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 &amp; aws s3 cp s3://rtdc.mdm.uploadarchive/RTDC4046/2016-09-06/ "%USERPROFILE%\AppData\Local\Temp\OnboardLogs"\RTDC4046\2016-09-06 --recursive &amp; "%USERPROFILE%\Documents\GitHub\mrs-test-scripts\Headless Mode &amp; Sideloading\WalkAndUnGZ.bat" "%USERPROFILE%\AppData\Local\Temp\OnboardLogs"\RTDC4046\2016-09-06</v>
          </cell>
        </row>
        <row r="196">
          <cell r="A196" t="str">
            <v>311-04</v>
          </cell>
          <cell r="B196">
            <v>4009</v>
          </cell>
          <cell r="C196" t="str">
            <v>DE.1.0.7.0</v>
          </cell>
          <cell r="D196" t="str">
            <v>204:504</v>
          </cell>
          <cell r="E196">
            <v>42618.0468287037</v>
          </cell>
          <cell r="F196">
            <v>25568.958333333332</v>
          </cell>
          <cell r="G196">
            <v>2</v>
          </cell>
          <cell r="H196" t="str">
            <v>300:23064</v>
          </cell>
          <cell r="I196">
            <v>25568.958333333332</v>
          </cell>
          <cell r="J196">
            <v>0</v>
          </cell>
          <cell r="K196" t="str">
            <v>4009/4010</v>
          </cell>
          <cell r="L196" t="str">
            <v>COOLAHAN</v>
          </cell>
          <cell r="M196">
            <v>0</v>
          </cell>
          <cell r="N196">
            <v>0</v>
          </cell>
          <cell r="S196">
            <v>1</v>
          </cell>
          <cell r="T196" t="str">
            <v>NorthBound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https://search-rtdc-monitor-bjffxe2xuh6vdkpspy63sjmuny.us-east-1.es.amazonaws.com/_plugin/kibana/#/discover/Steve-Slow-Train-Analysis-(2080s-and-2083s)?_g=(refreshInterval:(display:Off,section:0,value:0),time:(from:'2016-09-05 00:07:26-0600',mode:absolute,to:'1970-01-01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    </cell>
          <cell r="W196" t="str">
            <v>Y</v>
          </cell>
          <cell r="X196">
            <v>2</v>
          </cell>
          <cell r="Y196">
            <v>5.04E-2</v>
          </cell>
          <cell r="Z196">
            <v>2.3064</v>
          </cell>
          <cell r="AA196">
            <v>2.2560000000000002</v>
          </cell>
          <cell r="AB196" t="e">
            <v>#N/A</v>
          </cell>
          <cell r="AC196" t="e">
            <v>#N/A</v>
          </cell>
          <cell r="AD196" t="str">
            <v>0311-04</v>
          </cell>
          <cell r="AE196" t="str">
    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    </cell>
        </row>
        <row r="197">
          <cell r="A197" t="str">
            <v>313-03</v>
          </cell>
          <cell r="B197">
            <v>4014</v>
          </cell>
          <cell r="C197" t="str">
            <v>DE.1.0.7.0</v>
          </cell>
          <cell r="D197" t="str">
            <v>204:473</v>
          </cell>
          <cell r="E197">
            <v>42617.090451388889</v>
          </cell>
          <cell r="F197">
            <v>42617.092002314814</v>
          </cell>
          <cell r="G197">
            <v>1</v>
          </cell>
          <cell r="H197" t="str">
            <v>300:23310</v>
          </cell>
          <cell r="I197">
            <v>42617.098032407404</v>
          </cell>
          <cell r="J197">
            <v>0</v>
          </cell>
          <cell r="K197" t="str">
            <v>4013/4014</v>
          </cell>
          <cell r="L197" t="str">
            <v>STURGEON</v>
          </cell>
          <cell r="M197">
            <v>6.0300925906631164E-3</v>
          </cell>
          <cell r="N197">
            <v>8.6833333305548877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https://search-rtdc-monitor-bjffxe2xuh6vdkpspy63sjmuny.us-east-1.es.amazonaws.com/_plugin/kibana/#/discover/Steve-Slow-Train-Analysis-(2080s-and-2083s)?_g=(refreshInterval:(display:Off,section:0,value:0),time:(from:'2016-09-04 01:10:15-0600',mode:absolute,to:'2016-09-04 03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97" t="str">
            <v>Y</v>
          </cell>
          <cell r="X197">
            <v>2</v>
          </cell>
          <cell r="Y197">
            <v>4.7300000000000002E-2</v>
          </cell>
          <cell r="Z197">
            <v>2.331</v>
          </cell>
          <cell r="AA197">
            <v>2.2837000000000001</v>
          </cell>
          <cell r="AB197" t="e">
            <v>#N/A</v>
          </cell>
          <cell r="AC197" t="e">
            <v>#N/A</v>
          </cell>
          <cell r="AD197" t="str">
            <v>0313-03</v>
          </cell>
          <cell r="AE197" t="str">
            <v>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 &amp; 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</v>
          </cell>
        </row>
        <row r="198">
          <cell r="A198" t="str">
            <v>313-04</v>
          </cell>
          <cell r="B198">
            <v>4018</v>
          </cell>
          <cell r="C198" t="str">
            <v>DE.1.0.7.0</v>
          </cell>
          <cell r="D198" t="str">
            <v>204:446</v>
          </cell>
          <cell r="E198">
            <v>42618.071030092593</v>
          </cell>
          <cell r="F198">
            <v>25568.958333333332</v>
          </cell>
          <cell r="G198">
            <v>1</v>
          </cell>
          <cell r="H198" t="str">
            <v>300:23308</v>
          </cell>
          <cell r="I198">
            <v>25568.958333333332</v>
          </cell>
          <cell r="J198">
            <v>0</v>
          </cell>
          <cell r="K198" t="str">
            <v>4017/4018</v>
          </cell>
          <cell r="L198" t="str">
            <v>NEWELL</v>
          </cell>
          <cell r="M198">
            <v>0</v>
          </cell>
          <cell r="N198">
            <v>0</v>
          </cell>
          <cell r="S198">
            <v>1</v>
          </cell>
          <cell r="T198" t="str">
            <v>NorthBound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https://search-rtdc-monitor-bjffxe2xuh6vdkpspy63sjmuny.us-east-1.es.amazonaws.com/_plugin/kibana/#/discover/Steve-Slow-Train-Analysis-(2080s-and-2083s)?_g=(refreshInterval:(display:Off,section:0,value:0),time:(from:'2016-09-05 00:42:17-0600',mode:absolute,to:'1970-01-01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    </cell>
          <cell r="W198" t="str">
            <v>Y</v>
          </cell>
          <cell r="X198">
            <v>0</v>
          </cell>
          <cell r="Y198">
            <v>4.4600000000000001E-2</v>
          </cell>
          <cell r="Z198">
            <v>2.3308</v>
          </cell>
          <cell r="AA198">
            <v>2.2862</v>
          </cell>
          <cell r="AB198" t="e">
            <v>#N/A</v>
          </cell>
          <cell r="AC198" t="e">
            <v>#N/A</v>
          </cell>
          <cell r="AD198" t="str">
            <v>0313-04</v>
          </cell>
          <cell r="AE198" t="str">
    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    </cell>
        </row>
        <row r="199">
          <cell r="A199" t="str">
            <v>315-03</v>
          </cell>
          <cell r="B199">
            <v>4020</v>
          </cell>
          <cell r="C199" t="str">
            <v>DE.1.0.7.0</v>
          </cell>
          <cell r="D199" t="str">
            <v>204:442</v>
          </cell>
          <cell r="E199">
            <v>42617.109606481485</v>
          </cell>
          <cell r="F199">
            <v>42617.110868055555</v>
          </cell>
          <cell r="G199">
            <v>1</v>
          </cell>
          <cell r="H199" t="str">
            <v>300:23346</v>
          </cell>
          <cell r="I199">
            <v>42617.115682870368</v>
          </cell>
          <cell r="J199">
            <v>0</v>
          </cell>
          <cell r="K199" t="str">
            <v>4019/4020</v>
          </cell>
          <cell r="L199" t="str">
            <v>HAITHCOX</v>
          </cell>
          <cell r="M199">
            <v>4.8148148125619628E-3</v>
          </cell>
          <cell r="N199">
            <v>6.9333333300892264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https://search-rtdc-monitor-bjffxe2xuh6vdkpspy63sjmuny.us-east-1.es.amazonaws.com/_plugin/kibana/#/discover/Steve-Slow-Train-Analysis-(2080s-and-2083s)?_g=(refreshInterval:(display:Off,section:0,value:0),time:(from:'2016-09-04 01:37:50-0600',mode:absolute,to:'2016-09-04 03:46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99" t="str">
            <v>Y</v>
          </cell>
          <cell r="X199">
            <v>2</v>
          </cell>
          <cell r="Y199">
            <v>4.4200000000000003E-2</v>
          </cell>
          <cell r="Z199">
            <v>2.3346</v>
          </cell>
          <cell r="AA199">
            <v>2.2904</v>
          </cell>
          <cell r="AB199" t="e">
            <v>#N/A</v>
          </cell>
          <cell r="AC199" t="e">
            <v>#N/A</v>
          </cell>
          <cell r="AD199" t="str">
            <v>0315-03</v>
          </cell>
          <cell r="AE199" t="str">
            <v>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 &amp; 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</v>
          </cell>
        </row>
        <row r="200">
          <cell r="A200" t="str">
            <v>315-04</v>
          </cell>
          <cell r="B200">
            <v>4031</v>
          </cell>
          <cell r="C200" t="str">
            <v>DE.1.0.7.0</v>
          </cell>
          <cell r="D200" t="str">
            <v>204:466</v>
          </cell>
          <cell r="E200">
            <v>42618.090879629628</v>
          </cell>
          <cell r="F200">
            <v>42618.092164351852</v>
          </cell>
          <cell r="G200">
            <v>1</v>
          </cell>
          <cell r="H200" t="str">
            <v>300:22856</v>
          </cell>
          <cell r="I200">
            <v>42618.098182870373</v>
          </cell>
          <cell r="J200">
            <v>0</v>
          </cell>
          <cell r="K200" t="str">
            <v>4031/4032</v>
          </cell>
          <cell r="L200" t="str">
            <v>CHANDLER</v>
          </cell>
          <cell r="M200">
            <v>6.0185185211594217E-3</v>
          </cell>
          <cell r="N200">
            <v>8.6666666704695672</v>
          </cell>
          <cell r="S200">
            <v>1</v>
          </cell>
          <cell r="T200" t="str">
            <v>NorthBound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https://search-rtdc-monitor-bjffxe2xuh6vdkpspy63sjmuny.us-east-1.es.amazonaws.com/_plugin/kibana/#/discover/Steve-Slow-Train-Analysis-(2080s-and-2083s)?_g=(refreshInterval:(display:Off,section:0,value:0),time:(from:'2016-09-05 01:10:52-0600',mode:absolute,to:'2016-09-05 03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00" t="str">
            <v>Y</v>
          </cell>
          <cell r="X200">
            <v>0</v>
          </cell>
          <cell r="Y200">
            <v>4.6600000000000003E-2</v>
          </cell>
          <cell r="Z200">
            <v>2.2856000000000001</v>
          </cell>
          <cell r="AA200">
            <v>2.2389999999999999</v>
          </cell>
          <cell r="AB200" t="e">
            <v>#N/A</v>
          </cell>
          <cell r="AC200" t="e">
            <v>#N/A</v>
          </cell>
          <cell r="AD200" t="str">
            <v>0315-04</v>
          </cell>
          <cell r="AE200" t="str">
            <v>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 &amp; aws s3 cp s3://rtdc.mdm.uploadarchive/RTDC4031/2016-09-06/ "%USERPROFILE%\AppData\Local\Temp\OnboardLogs"\RTDC4031\2016-09-06 --recursive &amp; "%USERPROFILE%\Documents\GitHub\mrs-test-scripts\Headless Mode &amp; Sideloading\WalkAndUnGZ.bat" "%USERPROFILE%\AppData\Local\Temp\OnboardLogs"\RTDC4031\2016-09-06</v>
          </cell>
        </row>
        <row r="201">
          <cell r="A201" t="str">
            <v>1902-04</v>
          </cell>
          <cell r="B201">
            <v>4030</v>
          </cell>
          <cell r="C201" t="str">
            <v>DE.1.0.7.0</v>
          </cell>
          <cell r="D201" t="str">
            <v>300:58613</v>
          </cell>
          <cell r="E201">
            <v>42617.943958333337</v>
          </cell>
          <cell r="F201">
            <v>42617.945208333331</v>
          </cell>
          <cell r="G201">
            <v>1</v>
          </cell>
          <cell r="H201" t="str">
            <v>300:21850</v>
          </cell>
          <cell r="I201">
            <v>42617.950486111113</v>
          </cell>
          <cell r="J201">
            <v>0</v>
          </cell>
          <cell r="K201" t="str">
            <v>4029/4030</v>
          </cell>
          <cell r="L201" t="str">
            <v>ISHMAEL</v>
          </cell>
          <cell r="M201">
            <v>5.2777777818846516E-3</v>
          </cell>
          <cell r="N201">
            <v>7.6000000059138983</v>
          </cell>
          <cell r="S201">
            <v>0</v>
          </cell>
          <cell r="T201" t="str">
            <v>Southbound</v>
          </cell>
          <cell r="U201">
            <v>0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https://search-rtdc-monitor-bjffxe2xuh6vdkpspy63sjmuny.us-east-1.es.amazonaws.com/_plugin/kibana/#/discover/Steve-Slow-Train-Analysis-(2080s-and-2083s)?_g=(refreshInterval:(display:Off,section:0,value:0),time:(from:'2016-09-04 21:39:18-0600',mode:absolute,to:'2016-09-04 23:48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201" t="str">
            <v>Y</v>
          </cell>
          <cell r="X201">
            <v>1587</v>
          </cell>
          <cell r="Y201">
            <v>5.8613</v>
          </cell>
          <cell r="Z201">
            <v>2.1850000000000001</v>
          </cell>
          <cell r="AA201">
            <v>3.6762999999999999</v>
          </cell>
          <cell r="AB201" t="e">
            <v>#N/A</v>
          </cell>
          <cell r="AC201" t="e">
            <v>#N/A</v>
          </cell>
          <cell r="AD201" t="str">
            <v>1902-04</v>
          </cell>
          <cell r="AE201" t="str">
    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    </cell>
        </row>
        <row r="202">
          <cell r="A202" t="str">
            <v>56-04</v>
          </cell>
          <cell r="B202">
            <v>4031</v>
          </cell>
          <cell r="C202" t="str">
            <v>DE.1.0.7.0</v>
          </cell>
          <cell r="D202" t="str">
            <v>204:1488</v>
          </cell>
          <cell r="E202">
            <v>42617.759270833332</v>
          </cell>
          <cell r="F202">
            <v>42617.777314814812</v>
          </cell>
          <cell r="G202">
            <v>2</v>
          </cell>
          <cell r="H202" t="str">
            <v>204:1492</v>
          </cell>
          <cell r="I202">
            <v>42617.785115740742</v>
          </cell>
          <cell r="J202">
            <v>0</v>
          </cell>
          <cell r="K202" t="str">
            <v>4031/4032</v>
          </cell>
          <cell r="L202" t="str">
            <v>STEWART</v>
          </cell>
          <cell r="M202">
            <v>7.8009259304963052E-3</v>
          </cell>
          <cell r="N202">
            <v>11.23333333991468</v>
          </cell>
          <cell r="S202">
            <v>0</v>
          </cell>
          <cell r="T202" t="e">
            <v>#VALUE!</v>
          </cell>
          <cell r="U202">
            <v>0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https://search-rtdc-monitor-bjffxe2xuh6vdkpspy63sjmuny.us-east-1.es.amazonaws.com/_plugin/kibana/#/discover/Steve-Slow-Train-Analysis-(2080s-and-2083s)?_g=(refreshInterval:(display:Off,section:0,value:0),time:(from:'2016-09-04 17:13:21-0600',mode:absolute,to:'2016-09-04 19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02" t="str">
            <v>Y</v>
          </cell>
          <cell r="X202" t="e">
            <v>#VALUE!</v>
          </cell>
          <cell r="Y202">
            <v>0.14879999999999999</v>
          </cell>
          <cell r="Z202">
            <v>0.1492</v>
          </cell>
          <cell r="AA202">
            <v>4.0000000000001146E-4</v>
          </cell>
          <cell r="AB202" t="e">
            <v>#N/A</v>
          </cell>
          <cell r="AC202" t="e">
            <v>#N/A</v>
          </cell>
          <cell r="AD202" t="str">
            <v>56-04</v>
          </cell>
          <cell r="AE202" t="str">
    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    </cell>
        </row>
        <row r="203">
          <cell r="A203" t="str">
            <v>57-04</v>
          </cell>
          <cell r="B203">
            <v>4002</v>
          </cell>
          <cell r="C203" t="str">
            <v>DE.1.0.7.0</v>
          </cell>
          <cell r="D203" t="str">
            <v>204:641</v>
          </cell>
          <cell r="E203">
            <v>42617.790775462963</v>
          </cell>
          <cell r="F203">
            <v>25568.958333333332</v>
          </cell>
          <cell r="G203">
            <v>1</v>
          </cell>
          <cell r="H203" t="str">
            <v>300:23310</v>
          </cell>
          <cell r="I203">
            <v>25568.958333333332</v>
          </cell>
          <cell r="J203">
            <v>0</v>
          </cell>
          <cell r="K203" t="str">
            <v>4001/4002</v>
          </cell>
          <cell r="L203" t="str">
            <v>MOSES</v>
          </cell>
          <cell r="M203">
            <v>0</v>
          </cell>
          <cell r="N203">
            <v>0</v>
          </cell>
          <cell r="S203">
            <v>0</v>
          </cell>
          <cell r="T203" t="e">
            <v>#VALUE!</v>
          </cell>
          <cell r="U203">
            <v>0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https://search-rtdc-monitor-bjffxe2xuh6vdkpspy63sjmuny.us-east-1.es.amazonaws.com/_plugin/kibana/#/discover/Steve-Slow-Train-Analysis-(2080s-and-2083s)?_g=(refreshInterval:(display:Off,section:0,value:0),time:(from:'2016-09-04 17:58:43-0600',mode:absolute,to:'1970-01-01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03" t="str">
            <v>Y</v>
          </cell>
          <cell r="X203" t="e">
            <v>#VALUE!</v>
          </cell>
          <cell r="Y203">
            <v>6.4100000000000004E-2</v>
          </cell>
          <cell r="Z203">
            <v>2.331</v>
          </cell>
          <cell r="AA203">
            <v>2.2669000000000001</v>
          </cell>
          <cell r="AB203" t="e">
            <v>#N/A</v>
          </cell>
          <cell r="AC203" t="e">
            <v>#N/A</v>
          </cell>
          <cell r="AD203" t="str">
            <v>57-04</v>
          </cell>
          <cell r="AE203" t="str">
    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    </cell>
        </row>
      </sheetData>
      <sheetData sheetId="1" refreshError="1"/>
      <sheetData sheetId="2" refreshError="1"/>
      <sheetData sheetId="3">
        <row r="1">
          <cell r="C1" t="str">
            <v>Train ID</v>
          </cell>
          <cell r="D1" t="str">
            <v>Employee Identifier</v>
          </cell>
          <cell r="E1" t="str">
            <v>Employee Last Name</v>
          </cell>
        </row>
        <row r="2">
          <cell r="C2" t="str">
            <v>245-03</v>
          </cell>
          <cell r="D2">
            <v>2090000</v>
          </cell>
          <cell r="E2" t="str">
            <v>HAITHCOX</v>
          </cell>
        </row>
        <row r="3">
          <cell r="C3" t="str">
            <v>242-03</v>
          </cell>
          <cell r="D3">
            <v>1800000</v>
          </cell>
          <cell r="E3" t="str">
            <v>CHANDLER</v>
          </cell>
        </row>
        <row r="4">
          <cell r="C4" t="str">
            <v>309-03</v>
          </cell>
          <cell r="D4">
            <v>1810000</v>
          </cell>
          <cell r="E4" t="str">
            <v>NEWELL</v>
          </cell>
        </row>
        <row r="5">
          <cell r="C5" t="str">
            <v>244-03</v>
          </cell>
          <cell r="D5">
            <v>1480000</v>
          </cell>
          <cell r="E5" t="str">
            <v>STURGEON</v>
          </cell>
        </row>
        <row r="6">
          <cell r="C6" t="str">
            <v>311-03</v>
          </cell>
          <cell r="D6">
            <v>1800000</v>
          </cell>
          <cell r="E6" t="str">
            <v>CHANDLER</v>
          </cell>
        </row>
        <row r="7">
          <cell r="C7" t="str">
            <v>246-03</v>
          </cell>
          <cell r="D7">
            <v>2090000</v>
          </cell>
          <cell r="E7" t="str">
            <v>HAITHCOX</v>
          </cell>
        </row>
        <row r="8">
          <cell r="C8" t="str">
            <v>313-03</v>
          </cell>
          <cell r="D8">
            <v>1480000</v>
          </cell>
          <cell r="E8" t="str">
            <v>STURGEON</v>
          </cell>
        </row>
        <row r="9">
          <cell r="C9" t="str">
            <v>315-03</v>
          </cell>
          <cell r="D9">
            <v>2090000</v>
          </cell>
          <cell r="E9" t="str">
            <v>HAITHCOX</v>
          </cell>
        </row>
        <row r="10">
          <cell r="C10" t="str">
            <v>101-04</v>
          </cell>
          <cell r="D10">
            <v>2030000</v>
          </cell>
          <cell r="E10" t="str">
            <v>KILLION</v>
          </cell>
        </row>
        <row r="11">
          <cell r="C11" t="str">
            <v>101-04</v>
          </cell>
          <cell r="D11">
            <v>2030000</v>
          </cell>
          <cell r="E11" t="str">
            <v>KILLION</v>
          </cell>
        </row>
        <row r="12">
          <cell r="C12" t="str">
            <v>103-04</v>
          </cell>
          <cell r="D12">
            <v>1260000</v>
          </cell>
          <cell r="E12" t="str">
            <v>ACKERMAN</v>
          </cell>
        </row>
        <row r="13">
          <cell r="C13" t="str">
            <v>102-04</v>
          </cell>
          <cell r="D13">
            <v>2030000</v>
          </cell>
          <cell r="E13" t="str">
            <v>KILLION</v>
          </cell>
        </row>
        <row r="14">
          <cell r="C14" t="str">
            <v>105-04</v>
          </cell>
          <cell r="D14">
            <v>2010000</v>
          </cell>
          <cell r="E14" t="str">
            <v>MAELZER</v>
          </cell>
        </row>
        <row r="15">
          <cell r="C15" t="str">
            <v>107-04</v>
          </cell>
          <cell r="D15">
            <v>1990000</v>
          </cell>
          <cell r="E15" t="str">
            <v>DAVIS</v>
          </cell>
        </row>
        <row r="16">
          <cell r="C16" t="str">
            <v>104-04</v>
          </cell>
          <cell r="D16">
            <v>1260000</v>
          </cell>
          <cell r="E16" t="str">
            <v>ACKERMAN</v>
          </cell>
        </row>
        <row r="17">
          <cell r="C17" t="str">
            <v>109-04</v>
          </cell>
          <cell r="D17">
            <v>1310000</v>
          </cell>
          <cell r="E17" t="str">
            <v>MALAVE</v>
          </cell>
        </row>
        <row r="18">
          <cell r="C18" t="str">
            <v>111-04</v>
          </cell>
          <cell r="D18">
            <v>1760000</v>
          </cell>
          <cell r="E18" t="str">
            <v>STRICKLAND</v>
          </cell>
        </row>
        <row r="19">
          <cell r="C19" t="str">
            <v>113-04</v>
          </cell>
          <cell r="D19">
            <v>2030000</v>
          </cell>
          <cell r="E19" t="str">
            <v>KILLION</v>
          </cell>
        </row>
        <row r="20">
          <cell r="C20" t="str">
            <v>106-04</v>
          </cell>
          <cell r="D20">
            <v>2010000</v>
          </cell>
          <cell r="E20" t="str">
            <v>MAELZER</v>
          </cell>
        </row>
        <row r="21">
          <cell r="C21" t="str">
            <v>108-04</v>
          </cell>
          <cell r="D21">
            <v>1990000</v>
          </cell>
          <cell r="E21" t="str">
            <v>DAVIS</v>
          </cell>
        </row>
        <row r="22">
          <cell r="C22" t="str">
            <v>115-04</v>
          </cell>
          <cell r="D22">
            <v>1830000</v>
          </cell>
          <cell r="E22" t="str">
            <v>YORK</v>
          </cell>
        </row>
        <row r="23">
          <cell r="C23" t="str">
            <v>117-04</v>
          </cell>
          <cell r="D23">
            <v>1260000</v>
          </cell>
          <cell r="E23" t="str">
            <v>ACKERMAN</v>
          </cell>
        </row>
        <row r="24">
          <cell r="C24" t="str">
            <v>1800-04</v>
          </cell>
          <cell r="D24">
            <v>1110000</v>
          </cell>
          <cell r="E24" t="str">
            <v>STARKS</v>
          </cell>
        </row>
        <row r="25">
          <cell r="C25" t="str">
            <v>1800-04</v>
          </cell>
          <cell r="D25">
            <v>1110000</v>
          </cell>
          <cell r="E25" t="str">
            <v>STARKS</v>
          </cell>
        </row>
        <row r="26">
          <cell r="C26" t="str">
            <v>110-04</v>
          </cell>
          <cell r="D26">
            <v>1310000</v>
          </cell>
          <cell r="E26" t="str">
            <v>MALAVE</v>
          </cell>
        </row>
        <row r="27">
          <cell r="C27" t="str">
            <v>1800-04</v>
          </cell>
          <cell r="D27">
            <v>1110000</v>
          </cell>
          <cell r="E27" t="str">
            <v>STARKS</v>
          </cell>
        </row>
        <row r="28">
          <cell r="C28" t="str">
            <v>112-04</v>
          </cell>
          <cell r="D28">
            <v>1760000</v>
          </cell>
          <cell r="E28" t="str">
            <v>STRICKLAND</v>
          </cell>
        </row>
        <row r="29">
          <cell r="C29" t="str">
            <v>119-04</v>
          </cell>
          <cell r="D29">
            <v>2010000</v>
          </cell>
          <cell r="E29" t="str">
            <v>MAELZER</v>
          </cell>
        </row>
        <row r="30">
          <cell r="C30" t="str">
            <v>114-04</v>
          </cell>
          <cell r="D30">
            <v>2030000</v>
          </cell>
          <cell r="E30" t="str">
            <v>KILLION</v>
          </cell>
        </row>
        <row r="31">
          <cell r="C31" t="str">
            <v>116-04</v>
          </cell>
          <cell r="D31">
            <v>1830000</v>
          </cell>
          <cell r="E31" t="str">
            <v>YORK</v>
          </cell>
        </row>
        <row r="32">
          <cell r="C32" t="str">
            <v>121-04</v>
          </cell>
          <cell r="D32">
            <v>1990000</v>
          </cell>
          <cell r="E32" t="str">
            <v>DAVIS</v>
          </cell>
        </row>
        <row r="33">
          <cell r="C33" t="str">
            <v>1801-04</v>
          </cell>
          <cell r="D33">
            <v>1110000</v>
          </cell>
          <cell r="E33" t="str">
            <v>STARKS</v>
          </cell>
        </row>
        <row r="34">
          <cell r="C34" t="str">
            <v>123-04</v>
          </cell>
          <cell r="D34">
            <v>1310000</v>
          </cell>
          <cell r="E34" t="str">
            <v>MALAVE</v>
          </cell>
        </row>
        <row r="35">
          <cell r="C35" t="str">
            <v>118-04</v>
          </cell>
          <cell r="D35">
            <v>1260000</v>
          </cell>
          <cell r="E35" t="str">
            <v>ACKERMAN</v>
          </cell>
        </row>
        <row r="36">
          <cell r="C36" t="str">
            <v>1802-04</v>
          </cell>
          <cell r="D36">
            <v>1110000</v>
          </cell>
          <cell r="E36" t="str">
            <v>STARKS</v>
          </cell>
        </row>
        <row r="37">
          <cell r="C37" t="str">
            <v>125-04</v>
          </cell>
          <cell r="D37">
            <v>1760000</v>
          </cell>
          <cell r="E37" t="str">
            <v>STRICKLAND</v>
          </cell>
        </row>
        <row r="38">
          <cell r="C38" t="str">
            <v>120-04</v>
          </cell>
          <cell r="D38">
            <v>2010000</v>
          </cell>
          <cell r="E38" t="str">
            <v>MAELZER</v>
          </cell>
        </row>
        <row r="39">
          <cell r="C39" t="str">
            <v>127-04</v>
          </cell>
          <cell r="D39">
            <v>2030000</v>
          </cell>
          <cell r="E39" t="str">
            <v>KILLION</v>
          </cell>
        </row>
        <row r="40">
          <cell r="C40" t="str">
            <v>125-04</v>
          </cell>
          <cell r="D40">
            <v>1760000</v>
          </cell>
          <cell r="E40" t="str">
            <v>STRICKLAND</v>
          </cell>
        </row>
        <row r="41">
          <cell r="C41" t="str">
            <v>122-04</v>
          </cell>
          <cell r="D41">
            <v>1990000</v>
          </cell>
          <cell r="E41" t="str">
            <v>DAVIS</v>
          </cell>
        </row>
        <row r="42">
          <cell r="C42" t="str">
            <v>129-04</v>
          </cell>
          <cell r="D42">
            <v>1830000</v>
          </cell>
          <cell r="E42" t="str">
            <v>YORK</v>
          </cell>
        </row>
        <row r="43">
          <cell r="C43" t="str">
            <v>1803-04</v>
          </cell>
          <cell r="D43">
            <v>1110000</v>
          </cell>
          <cell r="E43" t="str">
            <v>STARKS</v>
          </cell>
        </row>
        <row r="44">
          <cell r="C44" t="str">
            <v>124-04</v>
          </cell>
          <cell r="D44">
            <v>1310000</v>
          </cell>
          <cell r="E44" t="str">
            <v>MALAVE</v>
          </cell>
        </row>
        <row r="45">
          <cell r="C45" t="str">
            <v>131-04</v>
          </cell>
          <cell r="D45">
            <v>1260000</v>
          </cell>
          <cell r="E45" t="str">
            <v>ACKERMAN</v>
          </cell>
        </row>
        <row r="46">
          <cell r="C46" t="str">
            <v>1804-04</v>
          </cell>
          <cell r="D46">
            <v>1110000</v>
          </cell>
          <cell r="E46" t="str">
            <v>STARKS</v>
          </cell>
        </row>
        <row r="47">
          <cell r="C47" t="str">
            <v>133-04</v>
          </cell>
          <cell r="D47">
            <v>2010000</v>
          </cell>
          <cell r="E47" t="str">
            <v>MAELZER</v>
          </cell>
        </row>
        <row r="48">
          <cell r="C48" t="str">
            <v>128-04</v>
          </cell>
          <cell r="D48">
            <v>2030000</v>
          </cell>
          <cell r="E48" t="str">
            <v>KILLION</v>
          </cell>
        </row>
        <row r="49">
          <cell r="C49" t="str">
            <v>130-04</v>
          </cell>
          <cell r="D49">
            <v>1830000</v>
          </cell>
          <cell r="E49" t="str">
            <v>YORK</v>
          </cell>
        </row>
        <row r="50">
          <cell r="C50" t="str">
            <v>135-04</v>
          </cell>
          <cell r="D50">
            <v>1990000</v>
          </cell>
          <cell r="E50" t="str">
            <v>DAVIS</v>
          </cell>
        </row>
        <row r="51">
          <cell r="C51" t="str">
            <v>137-04</v>
          </cell>
          <cell r="D51">
            <v>1310000</v>
          </cell>
          <cell r="E51" t="str">
            <v>MALAVE</v>
          </cell>
        </row>
        <row r="52">
          <cell r="C52" t="str">
            <v>1805-04</v>
          </cell>
          <cell r="D52">
            <v>1110000</v>
          </cell>
          <cell r="E52" t="str">
            <v>STARKS</v>
          </cell>
        </row>
        <row r="53">
          <cell r="C53" t="str">
            <v>132-04</v>
          </cell>
          <cell r="D53">
            <v>1260000</v>
          </cell>
          <cell r="E53" t="str">
            <v>ACKERMAN</v>
          </cell>
        </row>
        <row r="54">
          <cell r="C54" t="str">
            <v>139-04</v>
          </cell>
          <cell r="D54">
            <v>2110000</v>
          </cell>
          <cell r="E54" t="str">
            <v>OUN</v>
          </cell>
        </row>
        <row r="55">
          <cell r="C55" t="str">
            <v>139-04</v>
          </cell>
          <cell r="D55">
            <v>2110000</v>
          </cell>
          <cell r="E55" t="str">
            <v>OUN</v>
          </cell>
        </row>
        <row r="56">
          <cell r="C56" t="str">
            <v>139-04</v>
          </cell>
          <cell r="D56">
            <v>2110000</v>
          </cell>
          <cell r="E56" t="str">
            <v>OUN</v>
          </cell>
        </row>
        <row r="57">
          <cell r="C57" t="str">
            <v>134-04</v>
          </cell>
          <cell r="D57">
            <v>2010000</v>
          </cell>
          <cell r="E57" t="str">
            <v>MAELZER</v>
          </cell>
        </row>
        <row r="58">
          <cell r="C58" t="str">
            <v>1806-04</v>
          </cell>
          <cell r="D58">
            <v>1110000</v>
          </cell>
          <cell r="E58" t="str">
            <v>STARKS</v>
          </cell>
        </row>
        <row r="59">
          <cell r="C59" t="str">
            <v>141-04</v>
          </cell>
          <cell r="D59">
            <v>2030000</v>
          </cell>
          <cell r="E59" t="str">
            <v>KILLION</v>
          </cell>
        </row>
        <row r="60">
          <cell r="C60" t="str">
            <v>136-04</v>
          </cell>
          <cell r="D60">
            <v>1990000</v>
          </cell>
          <cell r="E60" t="str">
            <v>DAVIS</v>
          </cell>
        </row>
        <row r="61">
          <cell r="C61" t="str">
            <v>143-04</v>
          </cell>
          <cell r="D61">
            <v>1830000</v>
          </cell>
          <cell r="E61" t="str">
            <v>YORK</v>
          </cell>
        </row>
        <row r="62">
          <cell r="C62" t="str">
            <v>138-04</v>
          </cell>
          <cell r="D62">
            <v>1310000</v>
          </cell>
          <cell r="E62" t="str">
            <v>MALAVE</v>
          </cell>
        </row>
        <row r="63">
          <cell r="C63" t="str">
            <v>145-04</v>
          </cell>
          <cell r="D63">
            <v>1260000</v>
          </cell>
          <cell r="E63" t="str">
            <v>ACKERMAN</v>
          </cell>
        </row>
        <row r="64">
          <cell r="C64" t="str">
            <v>140-04</v>
          </cell>
          <cell r="D64">
            <v>1760000</v>
          </cell>
          <cell r="E64" t="str">
            <v>STRICKLAND</v>
          </cell>
        </row>
        <row r="65">
          <cell r="C65" t="str">
            <v>1807-04</v>
          </cell>
          <cell r="D65">
            <v>1110000</v>
          </cell>
          <cell r="E65" t="str">
            <v>STARKS</v>
          </cell>
        </row>
        <row r="66">
          <cell r="C66" t="str">
            <v>136-04</v>
          </cell>
          <cell r="D66">
            <v>1990000</v>
          </cell>
          <cell r="E66" t="str">
            <v>DAVIS</v>
          </cell>
        </row>
        <row r="67">
          <cell r="C67" t="str">
            <v>147-04</v>
          </cell>
          <cell r="D67">
            <v>2010000</v>
          </cell>
          <cell r="E67" t="str">
            <v>MAELZER</v>
          </cell>
        </row>
        <row r="68">
          <cell r="C68" t="str">
            <v>142-04</v>
          </cell>
          <cell r="D68">
            <v>2030000</v>
          </cell>
          <cell r="E68" t="str">
            <v>KILLION</v>
          </cell>
        </row>
        <row r="69">
          <cell r="C69" t="str">
            <v>144-04</v>
          </cell>
          <cell r="D69">
            <v>1830000</v>
          </cell>
          <cell r="E69" t="str">
            <v>YORK</v>
          </cell>
        </row>
        <row r="70">
          <cell r="C70" t="str">
            <v>1808-04</v>
          </cell>
          <cell r="D70">
            <v>1110000</v>
          </cell>
          <cell r="E70" t="str">
            <v>STARKS</v>
          </cell>
        </row>
        <row r="71">
          <cell r="C71" t="str">
            <v>149-04</v>
          </cell>
          <cell r="D71">
            <v>1990000</v>
          </cell>
          <cell r="E71" t="str">
            <v>DAVIS</v>
          </cell>
        </row>
        <row r="72">
          <cell r="C72" t="str">
            <v>151-04</v>
          </cell>
          <cell r="D72">
            <v>1310000</v>
          </cell>
          <cell r="E72" t="str">
            <v>MALAVE</v>
          </cell>
        </row>
        <row r="73">
          <cell r="C73" t="str">
            <v>145-04</v>
          </cell>
          <cell r="D73">
            <v>1260000</v>
          </cell>
          <cell r="E73" t="str">
            <v>ACKERMAN</v>
          </cell>
        </row>
        <row r="74">
          <cell r="C74" t="str">
            <v>146-04</v>
          </cell>
          <cell r="D74">
            <v>1260000</v>
          </cell>
          <cell r="E74" t="str">
            <v>ACKERMAN</v>
          </cell>
        </row>
        <row r="75">
          <cell r="C75" t="str">
            <v>153-04</v>
          </cell>
          <cell r="D75">
            <v>1760000</v>
          </cell>
          <cell r="E75" t="str">
            <v>STRICKLAND</v>
          </cell>
        </row>
        <row r="76">
          <cell r="C76" t="str">
            <v>1809-04</v>
          </cell>
          <cell r="D76">
            <v>1110000</v>
          </cell>
          <cell r="E76" t="str">
            <v>STARKS</v>
          </cell>
        </row>
        <row r="77">
          <cell r="C77" t="str">
            <v>148-04</v>
          </cell>
          <cell r="D77">
            <v>2010000</v>
          </cell>
          <cell r="E77" t="str">
            <v>MAELZER</v>
          </cell>
        </row>
        <row r="78">
          <cell r="C78" t="str">
            <v>155-04</v>
          </cell>
          <cell r="D78">
            <v>930000</v>
          </cell>
          <cell r="E78" t="str">
            <v>CLARK</v>
          </cell>
        </row>
        <row r="79">
          <cell r="C79" t="str">
            <v>150-04</v>
          </cell>
          <cell r="D79">
            <v>1990000</v>
          </cell>
          <cell r="E79" t="str">
            <v>DAVIS</v>
          </cell>
        </row>
        <row r="80">
          <cell r="C80" t="str">
            <v>157-04</v>
          </cell>
          <cell r="D80">
            <v>1830000</v>
          </cell>
          <cell r="E80" t="str">
            <v>YORK</v>
          </cell>
        </row>
        <row r="81">
          <cell r="C81" t="str">
            <v>1810-04</v>
          </cell>
          <cell r="D81">
            <v>1110000</v>
          </cell>
          <cell r="E81" t="str">
            <v>STARKS</v>
          </cell>
        </row>
        <row r="82">
          <cell r="C82" t="str">
            <v>157-04</v>
          </cell>
          <cell r="D82">
            <v>1830000</v>
          </cell>
          <cell r="E82" t="str">
            <v>YORK</v>
          </cell>
        </row>
        <row r="83">
          <cell r="C83" t="str">
            <v>151-04</v>
          </cell>
          <cell r="D83">
            <v>1310000</v>
          </cell>
          <cell r="E83" t="str">
            <v>MALAVE</v>
          </cell>
        </row>
        <row r="84">
          <cell r="C84" t="str">
            <v>159-04</v>
          </cell>
          <cell r="D84">
            <v>880000</v>
          </cell>
          <cell r="E84" t="str">
            <v>STEWART</v>
          </cell>
        </row>
        <row r="85">
          <cell r="C85" t="str">
            <v>152-04</v>
          </cell>
          <cell r="D85">
            <v>1310000</v>
          </cell>
          <cell r="E85" t="str">
            <v>MALAVE</v>
          </cell>
        </row>
        <row r="86">
          <cell r="C86" t="str">
            <v>154-04</v>
          </cell>
          <cell r="D86">
            <v>1760000</v>
          </cell>
          <cell r="E86" t="str">
            <v>STRICKLAND</v>
          </cell>
        </row>
        <row r="87">
          <cell r="C87" t="str">
            <v>161-04</v>
          </cell>
          <cell r="D87">
            <v>1280000</v>
          </cell>
          <cell r="E87" t="str">
            <v>BARTLETT</v>
          </cell>
        </row>
        <row r="88">
          <cell r="C88" t="str">
            <v>1811-04</v>
          </cell>
          <cell r="D88">
            <v>1110000</v>
          </cell>
          <cell r="E88" t="str">
            <v>STARKS</v>
          </cell>
        </row>
        <row r="89">
          <cell r="C89" t="str">
            <v>156-04</v>
          </cell>
          <cell r="D89">
            <v>930000</v>
          </cell>
          <cell r="E89" t="str">
            <v>CLARK</v>
          </cell>
        </row>
        <row r="90">
          <cell r="C90" t="str">
            <v>158-04</v>
          </cell>
          <cell r="D90">
            <v>1830000</v>
          </cell>
          <cell r="E90" t="str">
            <v>YORK</v>
          </cell>
        </row>
        <row r="91">
          <cell r="C91" t="str">
            <v>163-04</v>
          </cell>
          <cell r="D91">
            <v>1770000</v>
          </cell>
          <cell r="E91" t="str">
            <v>BRUDER</v>
          </cell>
        </row>
        <row r="92">
          <cell r="C92" t="str">
            <v>1811-04</v>
          </cell>
          <cell r="D92">
            <v>1110000</v>
          </cell>
          <cell r="E92" t="str">
            <v>STARKS</v>
          </cell>
        </row>
        <row r="93">
          <cell r="C93" t="str">
            <v>1811-04</v>
          </cell>
          <cell r="D93">
            <v>1110000</v>
          </cell>
          <cell r="E93" t="str">
            <v>STARKS</v>
          </cell>
        </row>
        <row r="94">
          <cell r="C94" t="str">
            <v>1812-04</v>
          </cell>
          <cell r="D94">
            <v>1110000</v>
          </cell>
          <cell r="E94" t="str">
            <v>STARKS</v>
          </cell>
        </row>
        <row r="95">
          <cell r="C95" t="str">
            <v>165-04</v>
          </cell>
          <cell r="D95">
            <v>2040000</v>
          </cell>
          <cell r="E95" t="str">
            <v>MOSES</v>
          </cell>
        </row>
        <row r="96">
          <cell r="C96" t="str">
            <v>160-04</v>
          </cell>
          <cell r="D96">
            <v>880000</v>
          </cell>
          <cell r="E96" t="str">
            <v>STEWART</v>
          </cell>
        </row>
        <row r="97">
          <cell r="C97" t="str">
            <v>162-04</v>
          </cell>
          <cell r="D97">
            <v>1280000</v>
          </cell>
          <cell r="E97" t="str">
            <v>BARTLETT</v>
          </cell>
        </row>
        <row r="98">
          <cell r="C98" t="str">
            <v>167-04</v>
          </cell>
          <cell r="D98">
            <v>1140000</v>
          </cell>
          <cell r="E98" t="str">
            <v>YOUNG</v>
          </cell>
        </row>
        <row r="99">
          <cell r="C99" t="str">
            <v>169-04</v>
          </cell>
          <cell r="D99">
            <v>930000</v>
          </cell>
          <cell r="E99" t="str">
            <v>CLARK</v>
          </cell>
        </row>
        <row r="100">
          <cell r="C100" t="str">
            <v>164-04</v>
          </cell>
          <cell r="D100">
            <v>1770000</v>
          </cell>
          <cell r="E100" t="str">
            <v>BRUDER</v>
          </cell>
        </row>
        <row r="101">
          <cell r="C101" t="str">
            <v>1813-04</v>
          </cell>
          <cell r="D101">
            <v>1110000</v>
          </cell>
          <cell r="E101" t="str">
            <v>STARKS</v>
          </cell>
        </row>
        <row r="102">
          <cell r="C102" t="str">
            <v>171-04</v>
          </cell>
          <cell r="D102">
            <v>2020000</v>
          </cell>
          <cell r="E102" t="str">
            <v>SHOOK</v>
          </cell>
        </row>
        <row r="103">
          <cell r="C103" t="str">
            <v>1814-04</v>
          </cell>
          <cell r="D103">
            <v>1110000</v>
          </cell>
          <cell r="E103" t="str">
            <v>STARKS</v>
          </cell>
        </row>
        <row r="104">
          <cell r="C104" t="str">
            <v>166-04</v>
          </cell>
          <cell r="D104">
            <v>2040000</v>
          </cell>
          <cell r="E104" t="str">
            <v>MOSES</v>
          </cell>
        </row>
        <row r="105">
          <cell r="C105" t="str">
            <v>173-04</v>
          </cell>
          <cell r="D105">
            <v>880000</v>
          </cell>
          <cell r="E105" t="str">
            <v>STEWART</v>
          </cell>
        </row>
        <row r="106">
          <cell r="C106" t="str">
            <v>168-04</v>
          </cell>
          <cell r="D106">
            <v>1140000</v>
          </cell>
          <cell r="E106" t="str">
            <v>YOUNG</v>
          </cell>
        </row>
        <row r="107">
          <cell r="C107" t="str">
            <v>170-04</v>
          </cell>
          <cell r="D107">
            <v>930000</v>
          </cell>
          <cell r="E107" t="str">
            <v>CLARK</v>
          </cell>
        </row>
        <row r="108">
          <cell r="C108" t="str">
            <v>177-04</v>
          </cell>
          <cell r="D108">
            <v>1770000</v>
          </cell>
          <cell r="E108" t="str">
            <v>BRUDER</v>
          </cell>
        </row>
        <row r="109">
          <cell r="C109" t="str">
            <v>1815-04</v>
          </cell>
          <cell r="D109">
            <v>1110000</v>
          </cell>
          <cell r="E109" t="str">
            <v>STARKS</v>
          </cell>
        </row>
        <row r="110">
          <cell r="C110" t="str">
            <v>172-04</v>
          </cell>
          <cell r="D110">
            <v>2020000</v>
          </cell>
          <cell r="E110" t="str">
            <v>SHOOK</v>
          </cell>
        </row>
        <row r="111">
          <cell r="C111" t="str">
            <v>179-04</v>
          </cell>
          <cell r="D111">
            <v>2040000</v>
          </cell>
          <cell r="E111" t="str">
            <v>MOSES</v>
          </cell>
        </row>
        <row r="112">
          <cell r="C112" t="str">
            <v>1816-04</v>
          </cell>
          <cell r="D112">
            <v>1110000</v>
          </cell>
          <cell r="E112" t="str">
            <v>STARKS</v>
          </cell>
        </row>
        <row r="113">
          <cell r="C113" t="str">
            <v>174-04</v>
          </cell>
          <cell r="D113">
            <v>880000</v>
          </cell>
          <cell r="E113" t="str">
            <v>STEWART</v>
          </cell>
        </row>
        <row r="114">
          <cell r="C114" t="str">
            <v>181-04</v>
          </cell>
          <cell r="D114">
            <v>1140000</v>
          </cell>
          <cell r="E114" t="str">
            <v>YOUNG</v>
          </cell>
        </row>
        <row r="115">
          <cell r="C115" t="str">
            <v>183-04</v>
          </cell>
          <cell r="D115">
            <v>930000</v>
          </cell>
          <cell r="E115" t="str">
            <v>CLARK</v>
          </cell>
        </row>
        <row r="116">
          <cell r="C116" t="str">
            <v>176-04</v>
          </cell>
          <cell r="D116">
            <v>1280000</v>
          </cell>
          <cell r="E116" t="str">
            <v>BARTLETT</v>
          </cell>
        </row>
        <row r="117">
          <cell r="C117" t="str">
            <v>178-04</v>
          </cell>
          <cell r="D117">
            <v>1770000</v>
          </cell>
          <cell r="E117" t="str">
            <v>BRUDER</v>
          </cell>
        </row>
        <row r="118">
          <cell r="C118" t="str">
            <v>1817-04</v>
          </cell>
          <cell r="D118">
            <v>2100000</v>
          </cell>
          <cell r="E118" t="str">
            <v>ISHMAEL</v>
          </cell>
        </row>
        <row r="119">
          <cell r="C119" t="str">
            <v>185-04</v>
          </cell>
          <cell r="D119">
            <v>2020000</v>
          </cell>
          <cell r="E119" t="str">
            <v>SHOOK</v>
          </cell>
        </row>
        <row r="120">
          <cell r="C120" t="str">
            <v>180-04</v>
          </cell>
          <cell r="D120">
            <v>2040000</v>
          </cell>
          <cell r="E120" t="str">
            <v>MOSES</v>
          </cell>
        </row>
        <row r="121">
          <cell r="C121" t="str">
            <v>187-04</v>
          </cell>
          <cell r="D121">
            <v>880000</v>
          </cell>
          <cell r="E121" t="str">
            <v>STEWART</v>
          </cell>
        </row>
        <row r="122">
          <cell r="C122" t="str">
            <v>182-04</v>
          </cell>
          <cell r="D122">
            <v>1140000</v>
          </cell>
          <cell r="E122" t="str">
            <v>YOUNG</v>
          </cell>
        </row>
        <row r="123">
          <cell r="C123" t="str">
            <v>1818-04</v>
          </cell>
          <cell r="D123">
            <v>2100000</v>
          </cell>
          <cell r="E123" t="str">
            <v>ISHMAEL</v>
          </cell>
        </row>
        <row r="124">
          <cell r="C124" t="str">
            <v>189-04</v>
          </cell>
          <cell r="D124">
            <v>1280000</v>
          </cell>
          <cell r="E124" t="str">
            <v>BARTLETT</v>
          </cell>
        </row>
        <row r="125">
          <cell r="C125" t="str">
            <v>184-04</v>
          </cell>
          <cell r="D125">
            <v>930000</v>
          </cell>
          <cell r="E125" t="str">
            <v>CLARK</v>
          </cell>
        </row>
        <row r="126">
          <cell r="C126" t="str">
            <v>191-04</v>
          </cell>
          <cell r="D126">
            <v>1770000</v>
          </cell>
          <cell r="E126" t="str">
            <v>BRUDER</v>
          </cell>
        </row>
        <row r="127">
          <cell r="C127" t="str">
            <v>1819-04</v>
          </cell>
          <cell r="D127">
            <v>2100000</v>
          </cell>
          <cell r="E127" t="str">
            <v>ISHMAEL</v>
          </cell>
        </row>
        <row r="128">
          <cell r="C128" t="str">
            <v>186-04</v>
          </cell>
          <cell r="D128">
            <v>2020000</v>
          </cell>
          <cell r="E128" t="str">
            <v>SHOOK</v>
          </cell>
        </row>
        <row r="129">
          <cell r="C129" t="str">
            <v>193-04</v>
          </cell>
          <cell r="D129">
            <v>2040000</v>
          </cell>
          <cell r="E129" t="str">
            <v>MOSES</v>
          </cell>
        </row>
        <row r="130">
          <cell r="C130" t="str">
            <v>188-04</v>
          </cell>
          <cell r="D130">
            <v>880000</v>
          </cell>
          <cell r="E130" t="str">
            <v>STEWART</v>
          </cell>
        </row>
        <row r="131">
          <cell r="C131" t="str">
            <v>195-04</v>
          </cell>
          <cell r="D131">
            <v>1140000</v>
          </cell>
          <cell r="E131" t="str">
            <v>YOUNG</v>
          </cell>
        </row>
        <row r="132">
          <cell r="C132" t="str">
            <v>186-04</v>
          </cell>
          <cell r="D132">
            <v>2020000</v>
          </cell>
          <cell r="E132" t="str">
            <v>SHOOK</v>
          </cell>
        </row>
        <row r="133">
          <cell r="C133" t="str">
            <v>1820-04</v>
          </cell>
          <cell r="D133">
            <v>2100000</v>
          </cell>
          <cell r="E133" t="str">
            <v>ISHMAEL</v>
          </cell>
        </row>
        <row r="134">
          <cell r="C134" t="str">
            <v>190-04</v>
          </cell>
          <cell r="D134">
            <v>1280000</v>
          </cell>
          <cell r="E134" t="str">
            <v>BARTLETT</v>
          </cell>
        </row>
        <row r="135">
          <cell r="C135" t="str">
            <v>197-04</v>
          </cell>
          <cell r="D135">
            <v>930000</v>
          </cell>
          <cell r="E135" t="str">
            <v>CLARK</v>
          </cell>
        </row>
        <row r="136">
          <cell r="C136" t="str">
            <v>192-04</v>
          </cell>
          <cell r="D136">
            <v>1770000</v>
          </cell>
          <cell r="E136" t="str">
            <v>BRUDER</v>
          </cell>
        </row>
        <row r="137">
          <cell r="C137" t="str">
            <v>199-04</v>
          </cell>
          <cell r="D137">
            <v>2020000</v>
          </cell>
          <cell r="E137" t="str">
            <v>SHOOK</v>
          </cell>
        </row>
        <row r="138">
          <cell r="C138" t="str">
            <v>194-04</v>
          </cell>
          <cell r="D138">
            <v>2040000</v>
          </cell>
          <cell r="E138" t="str">
            <v>MOSES</v>
          </cell>
        </row>
        <row r="139">
          <cell r="C139" t="str">
            <v>201-04</v>
          </cell>
          <cell r="D139">
            <v>880000</v>
          </cell>
          <cell r="E139" t="str">
            <v>STEWART</v>
          </cell>
        </row>
        <row r="140">
          <cell r="C140" t="str">
            <v>1821-04</v>
          </cell>
          <cell r="D140">
            <v>2100000</v>
          </cell>
          <cell r="E140" t="str">
            <v>ISHMAEL</v>
          </cell>
        </row>
        <row r="141">
          <cell r="C141" t="str">
            <v>196-04</v>
          </cell>
          <cell r="D141">
            <v>1140000</v>
          </cell>
          <cell r="E141" t="str">
            <v>YOUNG</v>
          </cell>
        </row>
        <row r="142">
          <cell r="C142" t="str">
            <v>203-04</v>
          </cell>
          <cell r="D142">
            <v>1280000</v>
          </cell>
          <cell r="E142" t="str">
            <v>BARTLETT</v>
          </cell>
        </row>
        <row r="143">
          <cell r="C143" t="str">
            <v>198-04</v>
          </cell>
          <cell r="D143">
            <v>930000</v>
          </cell>
          <cell r="E143" t="str">
            <v>CLARK</v>
          </cell>
        </row>
        <row r="144">
          <cell r="C144" t="str">
            <v>1822-04</v>
          </cell>
          <cell r="D144">
            <v>2100000</v>
          </cell>
          <cell r="E144" t="str">
            <v>ISHMAEL</v>
          </cell>
        </row>
        <row r="145">
          <cell r="C145" t="str">
            <v>205-04</v>
          </cell>
          <cell r="D145">
            <v>1770000</v>
          </cell>
          <cell r="E145" t="str">
            <v>BRUDER</v>
          </cell>
        </row>
        <row r="146">
          <cell r="C146" t="str">
            <v>200-04</v>
          </cell>
          <cell r="D146">
            <v>2020000</v>
          </cell>
          <cell r="E146" t="str">
            <v>SHOOK</v>
          </cell>
        </row>
        <row r="147">
          <cell r="C147" t="str">
            <v>207-04</v>
          </cell>
          <cell r="D147">
            <v>2040000</v>
          </cell>
          <cell r="E147" t="str">
            <v>MOSES</v>
          </cell>
        </row>
        <row r="148">
          <cell r="C148" t="str">
            <v>1823-04</v>
          </cell>
          <cell r="D148">
            <v>2100000</v>
          </cell>
          <cell r="E148" t="str">
            <v>ISHMAEL</v>
          </cell>
        </row>
        <row r="149">
          <cell r="C149" t="str">
            <v>209-04</v>
          </cell>
          <cell r="D149">
            <v>1180000</v>
          </cell>
          <cell r="E149" t="str">
            <v>LEVERE</v>
          </cell>
        </row>
        <row r="150">
          <cell r="C150" t="str">
            <v>198-04</v>
          </cell>
          <cell r="D150">
            <v>930000</v>
          </cell>
          <cell r="E150" t="str">
            <v>CLARK</v>
          </cell>
        </row>
        <row r="151">
          <cell r="C151" t="str">
            <v>202-04</v>
          </cell>
          <cell r="D151">
            <v>880000</v>
          </cell>
          <cell r="E151" t="str">
            <v>STEWART</v>
          </cell>
        </row>
        <row r="152">
          <cell r="C152" t="str">
            <v>204-04</v>
          </cell>
          <cell r="D152">
            <v>1280000</v>
          </cell>
          <cell r="E152" t="str">
            <v>BARTLETT</v>
          </cell>
        </row>
        <row r="153">
          <cell r="C153" t="str">
            <v>211-04</v>
          </cell>
          <cell r="D153">
            <v>1140000</v>
          </cell>
          <cell r="E153" t="str">
            <v>YOUNG</v>
          </cell>
        </row>
        <row r="154">
          <cell r="C154" t="str">
            <v>206-04</v>
          </cell>
          <cell r="D154">
            <v>1770000</v>
          </cell>
          <cell r="E154" t="str">
            <v>BRUDER</v>
          </cell>
        </row>
        <row r="155">
          <cell r="C155" t="str">
            <v>1824-04</v>
          </cell>
          <cell r="D155">
            <v>2100000</v>
          </cell>
          <cell r="E155" t="str">
            <v>ISHMAEL</v>
          </cell>
        </row>
        <row r="156">
          <cell r="C156" t="str">
            <v>213-04</v>
          </cell>
          <cell r="D156">
            <v>1290000</v>
          </cell>
          <cell r="E156" t="str">
            <v>COOLAHAN</v>
          </cell>
        </row>
        <row r="157">
          <cell r="C157" t="str">
            <v>211-04</v>
          </cell>
          <cell r="D157">
            <v>1140000</v>
          </cell>
          <cell r="E157" t="str">
            <v>YOUNG</v>
          </cell>
        </row>
        <row r="158">
          <cell r="C158" t="str">
            <v>215-04</v>
          </cell>
          <cell r="D158">
            <v>2020000</v>
          </cell>
          <cell r="E158" t="str">
            <v>SHOOK</v>
          </cell>
        </row>
        <row r="159">
          <cell r="C159" t="str">
            <v>208-04</v>
          </cell>
          <cell r="D159">
            <v>2040000</v>
          </cell>
          <cell r="E159" t="str">
            <v>MOSES</v>
          </cell>
        </row>
        <row r="160">
          <cell r="C160" t="str">
            <v>1825-04</v>
          </cell>
          <cell r="D160">
            <v>2100000</v>
          </cell>
          <cell r="E160" t="str">
            <v>ISHMAEL</v>
          </cell>
        </row>
        <row r="161">
          <cell r="C161" t="str">
            <v>210-04</v>
          </cell>
          <cell r="D161">
            <v>1180000</v>
          </cell>
          <cell r="E161" t="str">
            <v>LEVERE</v>
          </cell>
        </row>
        <row r="162">
          <cell r="C162" t="str">
            <v>213-04</v>
          </cell>
          <cell r="D162">
            <v>1290000</v>
          </cell>
          <cell r="E162" t="str">
            <v>COOLAHAN</v>
          </cell>
        </row>
        <row r="163">
          <cell r="C163" t="str">
            <v>217-04</v>
          </cell>
          <cell r="D163">
            <v>1810000</v>
          </cell>
          <cell r="E163" t="str">
            <v>NEWELL</v>
          </cell>
        </row>
        <row r="164">
          <cell r="C164" t="str">
            <v>56-04</v>
          </cell>
          <cell r="D164">
            <v>880000</v>
          </cell>
          <cell r="E164" t="str">
            <v>STEWART</v>
          </cell>
        </row>
        <row r="165">
          <cell r="C165" t="str">
            <v>212-04</v>
          </cell>
          <cell r="D165">
            <v>1140000</v>
          </cell>
          <cell r="E165" t="str">
            <v>YOUNG</v>
          </cell>
        </row>
        <row r="166">
          <cell r="C166" t="str">
            <v>219-04</v>
          </cell>
          <cell r="D166">
            <v>1800000</v>
          </cell>
          <cell r="E166" t="str">
            <v>CHANDLER</v>
          </cell>
        </row>
        <row r="167">
          <cell r="C167" t="str">
            <v>56-04</v>
          </cell>
          <cell r="D167">
            <v>880000</v>
          </cell>
          <cell r="E167" t="str">
            <v>STEWART</v>
          </cell>
        </row>
        <row r="168">
          <cell r="C168" t="str">
            <v>56-04</v>
          </cell>
          <cell r="D168">
            <v>880000</v>
          </cell>
          <cell r="E168" t="str">
            <v>STEWART</v>
          </cell>
        </row>
        <row r="169">
          <cell r="C169" t="str">
            <v>1826-04</v>
          </cell>
          <cell r="D169">
            <v>2100000</v>
          </cell>
          <cell r="E169" t="str">
            <v>ISHMAEL</v>
          </cell>
        </row>
        <row r="170">
          <cell r="C170" t="str">
            <v>214-04</v>
          </cell>
          <cell r="D170">
            <v>1290000</v>
          </cell>
          <cell r="E170" t="str">
            <v>COOLAHAN</v>
          </cell>
        </row>
        <row r="171">
          <cell r="C171" t="str">
            <v>217-04</v>
          </cell>
          <cell r="D171">
            <v>1810000</v>
          </cell>
          <cell r="E171" t="str">
            <v>NEWELL</v>
          </cell>
        </row>
        <row r="172">
          <cell r="C172" t="str">
            <v>57-04</v>
          </cell>
          <cell r="D172">
            <v>2040000</v>
          </cell>
          <cell r="E172" t="str">
            <v>MOSES</v>
          </cell>
        </row>
        <row r="173">
          <cell r="C173" t="str">
            <v>221-04</v>
          </cell>
          <cell r="D173">
            <v>1180000</v>
          </cell>
          <cell r="E173" t="str">
            <v>LEVERE</v>
          </cell>
        </row>
        <row r="174">
          <cell r="C174" t="str">
            <v>57-04</v>
          </cell>
          <cell r="D174">
            <v>2040000</v>
          </cell>
          <cell r="E174" t="str">
            <v>MOSES</v>
          </cell>
        </row>
        <row r="175">
          <cell r="C175" t="str">
            <v>218-04</v>
          </cell>
          <cell r="D175">
            <v>1810000</v>
          </cell>
          <cell r="E175" t="str">
            <v>NEWELL</v>
          </cell>
        </row>
        <row r="176">
          <cell r="C176" t="str">
            <v>1827-04</v>
          </cell>
          <cell r="D176">
            <v>2100000</v>
          </cell>
          <cell r="E176" t="str">
            <v>ISHMAEL</v>
          </cell>
        </row>
        <row r="177">
          <cell r="C177" t="str">
            <v>223-04</v>
          </cell>
          <cell r="D177">
            <v>1290000</v>
          </cell>
          <cell r="E177" t="str">
            <v>COOLAHAN</v>
          </cell>
        </row>
        <row r="178">
          <cell r="C178" t="str">
            <v>220-04</v>
          </cell>
          <cell r="D178">
            <v>1800000</v>
          </cell>
          <cell r="E178" t="str">
            <v>CHANDLER</v>
          </cell>
        </row>
        <row r="179">
          <cell r="C179" t="str">
            <v>1828-04</v>
          </cell>
          <cell r="D179">
            <v>2100000</v>
          </cell>
          <cell r="E179" t="str">
            <v>ISHMAEL</v>
          </cell>
        </row>
        <row r="180">
          <cell r="C180" t="str">
            <v>307-04</v>
          </cell>
          <cell r="D180">
            <v>2020000</v>
          </cell>
          <cell r="E180" t="str">
            <v>SHOOK</v>
          </cell>
        </row>
        <row r="181">
          <cell r="C181" t="str">
            <v>223-04</v>
          </cell>
          <cell r="D181">
            <v>1290000</v>
          </cell>
          <cell r="E181" t="str">
            <v>COOLAHAN</v>
          </cell>
        </row>
        <row r="182">
          <cell r="C182" t="str">
            <v>225-04</v>
          </cell>
          <cell r="D182">
            <v>1810000</v>
          </cell>
          <cell r="E182" t="str">
            <v>NEWELL</v>
          </cell>
        </row>
        <row r="183">
          <cell r="C183" t="str">
            <v>222-04</v>
          </cell>
          <cell r="D183">
            <v>1180000</v>
          </cell>
          <cell r="E183" t="str">
            <v>LEVERE</v>
          </cell>
        </row>
        <row r="184">
          <cell r="C184" t="str">
            <v>1829-04</v>
          </cell>
          <cell r="D184">
            <v>2100000</v>
          </cell>
          <cell r="E184" t="str">
            <v>ISHMAEL</v>
          </cell>
        </row>
        <row r="185">
          <cell r="C185" t="str">
            <v>224-04</v>
          </cell>
          <cell r="D185">
            <v>1290000</v>
          </cell>
          <cell r="E185" t="str">
            <v>COOLAHAN</v>
          </cell>
        </row>
        <row r="186">
          <cell r="C186" t="str">
            <v>227-04</v>
          </cell>
          <cell r="D186">
            <v>1800000</v>
          </cell>
          <cell r="E186" t="str">
            <v>CHANDLER</v>
          </cell>
        </row>
        <row r="187">
          <cell r="C187" t="str">
            <v>1830-04</v>
          </cell>
          <cell r="D187">
            <v>2100000</v>
          </cell>
          <cell r="E187" t="str">
            <v>ISHMAEL</v>
          </cell>
        </row>
        <row r="188">
          <cell r="C188" t="str">
            <v>226-04</v>
          </cell>
          <cell r="D188">
            <v>1810000</v>
          </cell>
          <cell r="E188" t="str">
            <v>NEWELL</v>
          </cell>
        </row>
        <row r="189">
          <cell r="C189" t="str">
            <v>229-04</v>
          </cell>
          <cell r="D189">
            <v>1180000</v>
          </cell>
          <cell r="E189" t="str">
            <v>LEVERE</v>
          </cell>
        </row>
        <row r="190">
          <cell r="C190" t="str">
            <v>1831-04</v>
          </cell>
          <cell r="D190">
            <v>2100000</v>
          </cell>
          <cell r="E190" t="str">
            <v>ISHMAEL</v>
          </cell>
        </row>
        <row r="191">
          <cell r="C191" t="str">
            <v>228-04</v>
          </cell>
          <cell r="D191">
            <v>1800000</v>
          </cell>
          <cell r="E191" t="str">
            <v>CHANDLER</v>
          </cell>
        </row>
        <row r="192">
          <cell r="C192" t="str">
            <v>231-04</v>
          </cell>
          <cell r="D192">
            <v>1290000</v>
          </cell>
          <cell r="E192" t="str">
            <v>COOLAHAN</v>
          </cell>
        </row>
        <row r="193">
          <cell r="C193" t="str">
            <v>1832-04</v>
          </cell>
          <cell r="D193">
            <v>2100000</v>
          </cell>
          <cell r="E193" t="str">
            <v>ISHMAEL</v>
          </cell>
        </row>
        <row r="194">
          <cell r="C194" t="str">
            <v>233-04</v>
          </cell>
          <cell r="D194">
            <v>1810000</v>
          </cell>
          <cell r="E194" t="str">
            <v>NEWELL</v>
          </cell>
        </row>
        <row r="195">
          <cell r="C195" t="str">
            <v>230-04</v>
          </cell>
          <cell r="D195">
            <v>1180000</v>
          </cell>
          <cell r="E195" t="str">
            <v>LEVERE</v>
          </cell>
        </row>
        <row r="196">
          <cell r="C196" t="str">
            <v>1833-04</v>
          </cell>
          <cell r="D196">
            <v>2100000</v>
          </cell>
          <cell r="E196" t="str">
            <v>ISHMAEL</v>
          </cell>
        </row>
        <row r="197">
          <cell r="C197" t="str">
            <v>232-04</v>
          </cell>
          <cell r="D197">
            <v>1290000</v>
          </cell>
          <cell r="E197" t="str">
            <v>COOLAHAN</v>
          </cell>
        </row>
        <row r="198">
          <cell r="C198" t="str">
            <v>235-04</v>
          </cell>
          <cell r="D198">
            <v>1800000</v>
          </cell>
          <cell r="E198" t="str">
            <v>CHANDLER</v>
          </cell>
        </row>
        <row r="199">
          <cell r="C199" t="str">
            <v>1902-04</v>
          </cell>
          <cell r="D199">
            <v>2100000</v>
          </cell>
          <cell r="E199" t="str">
            <v>ISHMAEL</v>
          </cell>
        </row>
        <row r="200">
          <cell r="C200" t="str">
            <v>234-04</v>
          </cell>
          <cell r="D200">
            <v>1810000</v>
          </cell>
          <cell r="E200" t="str">
            <v>NEWELL</v>
          </cell>
        </row>
        <row r="201">
          <cell r="C201" t="str">
            <v>237-04</v>
          </cell>
          <cell r="D201">
            <v>1180000</v>
          </cell>
          <cell r="E201" t="str">
            <v>LEVERE</v>
          </cell>
        </row>
        <row r="202">
          <cell r="C202" t="str">
            <v>236-04</v>
          </cell>
          <cell r="D202">
            <v>1800000</v>
          </cell>
          <cell r="E202" t="str">
            <v>CHANDLER</v>
          </cell>
        </row>
        <row r="203">
          <cell r="C203" t="str">
            <v>239-04</v>
          </cell>
          <cell r="D203">
            <v>1290000</v>
          </cell>
          <cell r="E203" t="str">
            <v>COOLAHAN</v>
          </cell>
        </row>
        <row r="204">
          <cell r="C204" t="str">
            <v>241-04</v>
          </cell>
          <cell r="D204">
            <v>1810000</v>
          </cell>
          <cell r="E204" t="str">
            <v>NEWELL</v>
          </cell>
        </row>
        <row r="205">
          <cell r="C205" t="str">
            <v>238-04</v>
          </cell>
          <cell r="D205">
            <v>1180000</v>
          </cell>
          <cell r="E205" t="str">
            <v>LEVERE</v>
          </cell>
        </row>
        <row r="206">
          <cell r="C206" t="str">
            <v>240-04</v>
          </cell>
          <cell r="D206">
            <v>1290000</v>
          </cell>
          <cell r="E206" t="str">
            <v>COOLAHAN</v>
          </cell>
        </row>
        <row r="207">
          <cell r="C207" t="str">
            <v>243-04</v>
          </cell>
          <cell r="D207">
            <v>1800000</v>
          </cell>
          <cell r="E207" t="str">
            <v>CHANDLER</v>
          </cell>
        </row>
        <row r="208">
          <cell r="C208" t="str">
            <v>309-04</v>
          </cell>
          <cell r="D208">
            <v>1180000</v>
          </cell>
          <cell r="E208" t="str">
            <v>LEVERE</v>
          </cell>
        </row>
        <row r="209">
          <cell r="C209" t="str">
            <v>242-04</v>
          </cell>
          <cell r="D209">
            <v>1810000</v>
          </cell>
          <cell r="E209" t="str">
            <v>NEWELL</v>
          </cell>
        </row>
        <row r="210">
          <cell r="C210" t="str">
            <v>242-04</v>
          </cell>
          <cell r="D210">
            <v>1810000</v>
          </cell>
          <cell r="E210" t="str">
            <v>NEWELL</v>
          </cell>
        </row>
        <row r="211">
          <cell r="C211" t="str">
            <v>311-04</v>
          </cell>
          <cell r="D211">
            <v>1290000</v>
          </cell>
          <cell r="E211" t="str">
            <v>COOLAHAN</v>
          </cell>
        </row>
        <row r="212">
          <cell r="C212" t="str">
            <v>242-04</v>
          </cell>
          <cell r="D212">
            <v>1810000</v>
          </cell>
          <cell r="E212" t="str">
            <v>NEWELL</v>
          </cell>
        </row>
        <row r="213">
          <cell r="C213" t="str">
            <v>244-04</v>
          </cell>
          <cell r="D213">
            <v>1800000</v>
          </cell>
          <cell r="E213" t="str">
            <v>CHANDLER</v>
          </cell>
        </row>
        <row r="214">
          <cell r="C214" t="str">
            <v>313-04</v>
          </cell>
          <cell r="D214">
            <v>1810000</v>
          </cell>
          <cell r="E214" t="str">
            <v>NEWELL</v>
          </cell>
        </row>
        <row r="215">
          <cell r="C215" t="str">
            <v>313-04</v>
          </cell>
          <cell r="D215">
            <v>1810000</v>
          </cell>
          <cell r="E215" t="str">
            <v>NEWELL</v>
          </cell>
        </row>
        <row r="216">
          <cell r="C216" t="str">
            <v>315-04</v>
          </cell>
          <cell r="D216">
            <v>1800000</v>
          </cell>
          <cell r="E216" t="str">
            <v>CHANDLER</v>
          </cell>
        </row>
        <row r="218">
          <cell r="C218" t="str">
            <v>309-03</v>
          </cell>
          <cell r="D218">
            <v>1810000</v>
          </cell>
          <cell r="E218" t="str">
            <v>NEWELL</v>
          </cell>
        </row>
        <row r="219">
          <cell r="C219" t="str">
            <v>244-03</v>
          </cell>
          <cell r="D219">
            <v>1480000</v>
          </cell>
          <cell r="E219" t="str">
            <v>STURGEON</v>
          </cell>
        </row>
        <row r="220">
          <cell r="C220" t="str">
            <v>311-03</v>
          </cell>
          <cell r="D220">
            <v>1800000</v>
          </cell>
          <cell r="E220" t="str">
            <v>CHANDLER</v>
          </cell>
        </row>
        <row r="221">
          <cell r="C221" t="str">
            <v>246-03</v>
          </cell>
          <cell r="D221">
            <v>2090000</v>
          </cell>
          <cell r="E221" t="str">
            <v>HAITHCOX</v>
          </cell>
        </row>
        <row r="222">
          <cell r="C222" t="str">
            <v>313-03</v>
          </cell>
          <cell r="D222">
            <v>1480000</v>
          </cell>
          <cell r="E222" t="str">
            <v>STURGEON</v>
          </cell>
        </row>
        <row r="223">
          <cell r="C223" t="str">
            <v>315-03</v>
          </cell>
          <cell r="D223">
            <v>2090000</v>
          </cell>
          <cell r="E223" t="str">
            <v>HAITHCOX</v>
          </cell>
        </row>
        <row r="225">
          <cell r="C225" t="str">
            <v>245-02</v>
          </cell>
          <cell r="D225">
            <v>2090000</v>
          </cell>
          <cell r="E225" t="str">
            <v>HAITHCOX</v>
          </cell>
        </row>
        <row r="226">
          <cell r="C226" t="str">
            <v>309-02</v>
          </cell>
          <cell r="D226">
            <v>1230000</v>
          </cell>
          <cell r="E226" t="str">
            <v>YANAI</v>
          </cell>
        </row>
        <row r="227">
          <cell r="C227" t="str">
            <v>244-02</v>
          </cell>
          <cell r="D227">
            <v>2220000</v>
          </cell>
          <cell r="E227" t="str">
            <v>HILLS</v>
          </cell>
        </row>
        <row r="228">
          <cell r="C228" t="str">
            <v>311-02</v>
          </cell>
          <cell r="D228">
            <v>1800000</v>
          </cell>
          <cell r="E228" t="str">
            <v>CHANDLER</v>
          </cell>
        </row>
        <row r="229">
          <cell r="C229" t="str">
            <v>246-02</v>
          </cell>
          <cell r="D229">
            <v>2090000</v>
          </cell>
          <cell r="E229" t="str">
            <v>HAITHCOX</v>
          </cell>
        </row>
        <row r="230">
          <cell r="C230" t="str">
            <v>313-02</v>
          </cell>
          <cell r="D230">
            <v>2220000</v>
          </cell>
          <cell r="E230" t="str">
            <v>HILLS</v>
          </cell>
        </row>
        <row r="231">
          <cell r="C231" t="str">
            <v>315-02</v>
          </cell>
          <cell r="D231">
            <v>2090000</v>
          </cell>
          <cell r="E231" t="str">
            <v>HAITHCOX</v>
          </cell>
        </row>
        <row r="233">
          <cell r="C233" t="str">
            <v>309-26</v>
          </cell>
          <cell r="D233">
            <v>1230000</v>
          </cell>
          <cell r="E233" t="str">
            <v>YANAI</v>
          </cell>
        </row>
        <row r="234">
          <cell r="C234" t="str">
            <v>244-26</v>
          </cell>
          <cell r="D234">
            <v>2260000</v>
          </cell>
          <cell r="E234" t="str">
            <v>ARVIDSON</v>
          </cell>
        </row>
        <row r="235">
          <cell r="C235" t="str">
            <v>311-26</v>
          </cell>
          <cell r="D235">
            <v>1800000</v>
          </cell>
          <cell r="E235" t="str">
            <v>CHANDLER</v>
          </cell>
        </row>
        <row r="236">
          <cell r="C236" t="str">
            <v>246-26</v>
          </cell>
          <cell r="D236">
            <v>2090000</v>
          </cell>
          <cell r="E236" t="str">
            <v>HAITHCOX</v>
          </cell>
        </row>
        <row r="237">
          <cell r="C237" t="str">
            <v>313-26</v>
          </cell>
          <cell r="D237">
            <v>2260000</v>
          </cell>
          <cell r="E237" t="str">
            <v>ARVIDSON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Variables"/>
      <sheetName val="Redmine List Values"/>
    </sheetNames>
    <sheetDataSet>
      <sheetData sheetId="0">
        <row r="13">
          <cell r="A13" t="str">
            <v>101-05</v>
          </cell>
          <cell r="B13">
            <v>4014</v>
          </cell>
          <cell r="C13" t="str">
            <v>DE.1.0.7.0</v>
          </cell>
          <cell r="D13" t="str">
            <v>204:232629</v>
          </cell>
          <cell r="E13">
            <v>42618.167997685188</v>
          </cell>
          <cell r="F13">
            <v>42618.129618055558</v>
          </cell>
          <cell r="G13">
            <v>1</v>
          </cell>
          <cell r="H13" t="str">
            <v>204:136</v>
          </cell>
          <cell r="I13">
            <v>42618.166643518518</v>
          </cell>
          <cell r="J13">
            <v>0</v>
          </cell>
          <cell r="K13" t="str">
            <v>4013/4014</v>
          </cell>
          <cell r="L13" t="str">
            <v>KILLION</v>
          </cell>
          <cell r="M13">
            <v>3.7025462959718425E-2</v>
          </cell>
          <cell r="P13">
            <v>53.316666661994532</v>
          </cell>
          <cell r="R13" t="str">
            <v>Onboard in-route failure</v>
          </cell>
          <cell r="S13">
            <v>0</v>
          </cell>
          <cell r="T13" t="str">
            <v>NorthBound</v>
          </cell>
          <cell r="U13">
            <v>0</v>
          </cell>
          <cell r="V13" t="str">
            <v>https://search-rtdc-monitor-bjffxe2xuh6vdkpspy63sjmuny.us-east-1.es.amazonaws.com/_plugin/kibana/#/discover/Steve-Slow-Train-Analysis-(2080s-and-2083s)?_g=(refreshInterval:(display:Off,section:0,value:0),time:(from:'2016-09-05 03:01:55-0600',mode:absolute,to:'2016-09-05 04:59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3" t="str">
            <v>N</v>
          </cell>
          <cell r="X13" t="e">
            <v>#VALUE!</v>
          </cell>
          <cell r="Y13">
            <v>23.262899999999998</v>
          </cell>
          <cell r="Z13">
            <v>1.3599999999999999E-2</v>
          </cell>
          <cell r="AA13">
            <v>23.249299999999998</v>
          </cell>
          <cell r="AB13" t="e">
            <v>#N/A</v>
          </cell>
          <cell r="AC13" t="e">
            <v>#N/A</v>
          </cell>
          <cell r="AD13" t="str">
            <v>0101-05</v>
          </cell>
          <cell r="AE13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14">
          <cell r="A14" t="str">
            <v>102-05</v>
          </cell>
          <cell r="B14">
            <v>4028</v>
          </cell>
          <cell r="C14" t="str">
            <v>DE.1.0.7.0</v>
          </cell>
          <cell r="D14" t="str">
            <v>204:232629</v>
          </cell>
          <cell r="E14">
            <v>42618.167997685188</v>
          </cell>
          <cell r="F14">
            <v>42618.168946759259</v>
          </cell>
          <cell r="G14">
            <v>1</v>
          </cell>
          <cell r="H14" t="str">
            <v>204:136</v>
          </cell>
          <cell r="I14">
            <v>42618.201851851853</v>
          </cell>
          <cell r="J14">
            <v>0</v>
          </cell>
          <cell r="K14" t="str">
            <v>4027/4028</v>
          </cell>
          <cell r="L14" t="str">
            <v>KILLION</v>
          </cell>
          <cell r="M14">
            <v>3.2905092593864538E-2</v>
          </cell>
          <cell r="N14">
            <v>47.383333335164934</v>
          </cell>
          <cell r="S14">
            <v>1</v>
          </cell>
          <cell r="T14" t="str">
            <v>Southbound</v>
          </cell>
          <cell r="U14">
            <v>12</v>
          </cell>
          <cell r="V14" t="str">
            <v>https://search-rtdc-monitor-bjffxe2xuh6vdkpspy63sjmuny.us-east-1.es.amazonaws.com/_plugin/kibana/#/discover/Steve-Slow-Train-Analysis-(2080s-and-2083s)?_g=(refreshInterval:(display:Off,section:0,value:0),time:(from:'2016-09-05 03:01:55-0600',mode:absolute,to:'2016-09-05 05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4" t="str">
            <v>N</v>
          </cell>
          <cell r="X14">
            <v>1</v>
          </cell>
          <cell r="Y14">
            <v>23.262899999999998</v>
          </cell>
          <cell r="Z14">
            <v>1.3599999999999999E-2</v>
          </cell>
          <cell r="AA14">
            <v>23.249299999999998</v>
          </cell>
          <cell r="AB14" t="e">
            <v>#N/A</v>
          </cell>
          <cell r="AC14" t="e">
            <v>#N/A</v>
          </cell>
          <cell r="AD14" t="str">
            <v>0102-05</v>
          </cell>
          <cell r="AE14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15">
          <cell r="A15" t="str">
            <v>103-05</v>
          </cell>
          <cell r="B15">
            <v>4011</v>
          </cell>
          <cell r="C15" t="str">
            <v>DE.1.0.7.0</v>
          </cell>
          <cell r="D15" t="str">
            <v>204:646</v>
          </cell>
          <cell r="E15">
            <v>42618.150393518517</v>
          </cell>
          <cell r="F15">
            <v>42618.151504629626</v>
          </cell>
          <cell r="G15">
            <v>1</v>
          </cell>
          <cell r="H15" t="str">
            <v>204:233387</v>
          </cell>
          <cell r="I15">
            <v>42618.182442129626</v>
          </cell>
          <cell r="J15">
            <v>0</v>
          </cell>
          <cell r="K15" t="str">
            <v>4011/4012</v>
          </cell>
          <cell r="L15" t="str">
            <v>ACKERMAN</v>
          </cell>
          <cell r="M15">
            <v>3.0937499999708962E-2</v>
          </cell>
          <cell r="N15">
            <v>44.549999999580905</v>
          </cell>
          <cell r="S15">
            <v>1</v>
          </cell>
          <cell r="T15" t="str">
            <v>NorthBound</v>
          </cell>
          <cell r="U15">
            <v>12</v>
          </cell>
          <cell r="V15" t="str">
            <v>https://search-rtdc-monitor-bjffxe2xuh6vdkpspy63sjmuny.us-east-1.es.amazonaws.com/_plugin/kibana/#/discover/Steve-Slow-Train-Analysis-(2080s-and-2083s)?_g=(refreshInterval:(display:Off,section:0,value:0),time:(from:'2016-09-05 02:36:34-0600',mode:absolute,to:'2016-09-05 05:22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5" t="str">
            <v>N</v>
          </cell>
          <cell r="X15">
            <v>1</v>
          </cell>
          <cell r="Y15">
            <v>6.4600000000000005E-2</v>
          </cell>
          <cell r="Z15">
            <v>23.338699999999999</v>
          </cell>
          <cell r="AA15">
            <v>23.274100000000001</v>
          </cell>
          <cell r="AB15" t="e">
            <v>#N/A</v>
          </cell>
          <cell r="AC15" t="e">
            <v>#N/A</v>
          </cell>
          <cell r="AD15" t="str">
            <v>0103-05</v>
          </cell>
          <cell r="AE15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16">
          <cell r="A16" t="str">
            <v>104-05</v>
          </cell>
          <cell r="B16">
            <v>4001</v>
          </cell>
          <cell r="C16" t="str">
            <v>DE.1.0.7.0</v>
          </cell>
          <cell r="D16" t="str">
            <v>204:232733</v>
          </cell>
          <cell r="E16">
            <v>42618.190254629626</v>
          </cell>
          <cell r="F16">
            <v>42618.191354166665</v>
          </cell>
          <cell r="G16">
            <v>1</v>
          </cell>
          <cell r="H16" t="str">
            <v>204:156</v>
          </cell>
          <cell r="I16">
            <v>42618.223796296297</v>
          </cell>
          <cell r="J16">
            <v>0</v>
          </cell>
          <cell r="K16" t="str">
            <v>4001/4002</v>
          </cell>
          <cell r="L16" t="str">
            <v>ACKERMAN</v>
          </cell>
          <cell r="M16">
            <v>3.2442129631817807E-2</v>
          </cell>
          <cell r="N16">
            <v>46.716666669817641</v>
          </cell>
          <cell r="S16">
            <v>1</v>
          </cell>
          <cell r="T16" t="str">
            <v>Southbound</v>
          </cell>
          <cell r="U16">
            <v>12</v>
          </cell>
          <cell r="V16" t="str">
            <v>https://search-rtdc-monitor-bjffxe2xuh6vdkpspy63sjmuny.us-east-1.es.amazonaws.com/_plugin/kibana/#/discover/Steve-Slow-Train-Analysis-(2080s-and-2083s)?_g=(refreshInterval:(display:Off,section:0,value:0),time:(from:'2016-09-05 03:33:58-0600',mode:absolute,to:'2016-09-05 06:22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6" t="str">
            <v>N</v>
          </cell>
          <cell r="X16">
            <v>1</v>
          </cell>
          <cell r="Y16">
            <v>23.273299999999999</v>
          </cell>
          <cell r="Z16">
            <v>1.5599999999999999E-2</v>
          </cell>
          <cell r="AA16">
            <v>23.2577</v>
          </cell>
          <cell r="AB16" t="e">
            <v>#N/A</v>
          </cell>
          <cell r="AC16" t="e">
            <v>#N/A</v>
          </cell>
          <cell r="AD16" t="str">
            <v>0104-05</v>
          </cell>
          <cell r="AE16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17">
          <cell r="A17" t="str">
            <v>105-05</v>
          </cell>
          <cell r="B17">
            <v>4020</v>
          </cell>
          <cell r="C17" t="str">
            <v>DE.1.0.7.0</v>
          </cell>
          <cell r="D17" t="str">
            <v>204:737</v>
          </cell>
          <cell r="E17">
            <v>42618.17019675926</v>
          </cell>
          <cell r="F17">
            <v>42618.171111111114</v>
          </cell>
          <cell r="G17">
            <v>1</v>
          </cell>
          <cell r="H17" t="str">
            <v>204:233301</v>
          </cell>
          <cell r="I17">
            <v>42618.203113425923</v>
          </cell>
          <cell r="J17">
            <v>0</v>
          </cell>
          <cell r="K17" t="str">
            <v>4019/4020</v>
          </cell>
          <cell r="L17" t="str">
            <v>BRANNON</v>
          </cell>
          <cell r="M17">
            <v>3.2002314808778465E-2</v>
          </cell>
          <cell r="N17">
            <v>46.083333324640989</v>
          </cell>
          <cell r="S17">
            <v>1</v>
          </cell>
          <cell r="T17" t="str">
            <v>NorthBound</v>
          </cell>
          <cell r="U17">
            <v>12</v>
          </cell>
          <cell r="V17" t="str">
            <v>https://search-rtdc-monitor-bjffxe2xuh6vdkpspy63sjmuny.us-east-1.es.amazonaws.com/_plugin/kibana/#/discover/Steve-Slow-Train-Analysis-(2080s-and-2083s)?_g=(refreshInterval:(display:Off,section:0,value:0),time:(from:'2016-09-05 03:05:05-0600',mode:absolute,to:'2016-09-05 05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7" t="str">
            <v>N</v>
          </cell>
          <cell r="X17">
            <v>1</v>
          </cell>
          <cell r="Y17">
            <v>7.3700000000000002E-2</v>
          </cell>
          <cell r="Z17">
            <v>23.330100000000002</v>
          </cell>
          <cell r="AA17">
            <v>23.256400000000003</v>
          </cell>
          <cell r="AB17" t="e">
            <v>#N/A</v>
          </cell>
          <cell r="AC17" t="e">
            <v>#N/A</v>
          </cell>
          <cell r="AD17" t="str">
            <v>0105-05</v>
          </cell>
          <cell r="AE17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18">
          <cell r="A18" t="str">
            <v>106-05</v>
          </cell>
          <cell r="B18">
            <v>4026</v>
          </cell>
          <cell r="C18" t="str">
            <v>DE.1.0.7.0</v>
          </cell>
          <cell r="D18" t="str">
            <v>204:232652</v>
          </cell>
          <cell r="E18">
            <v>42618.215092592596</v>
          </cell>
          <cell r="F18">
            <v>42618.216412037036</v>
          </cell>
          <cell r="G18">
            <v>1</v>
          </cell>
          <cell r="H18" t="str">
            <v>204:158</v>
          </cell>
          <cell r="I18">
            <v>42618.244675925926</v>
          </cell>
          <cell r="J18">
            <v>0</v>
          </cell>
          <cell r="K18" t="str">
            <v>4025/4026</v>
          </cell>
          <cell r="L18" t="str">
            <v>BRANNON</v>
          </cell>
          <cell r="M18">
            <v>2.8263888889341615E-2</v>
          </cell>
          <cell r="N18">
            <v>40.700000000651926</v>
          </cell>
          <cell r="S18">
            <v>1</v>
          </cell>
          <cell r="T18" t="str">
            <v>Southbound</v>
          </cell>
          <cell r="U18">
            <v>12</v>
          </cell>
          <cell r="V18" t="str">
            <v>https://search-rtdc-monitor-bjffxe2xuh6vdkpspy63sjmuny.us-east-1.es.amazonaws.com/_plugin/kibana/#/discover/Steve-Slow-Train-Analysis-(2080s-and-2083s)?_g=(refreshInterval:(display:Off,section:0,value:0),time:(from:'2016-09-05 04:09:44-0600',mode:absolute,to:'2016-09-05 06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    </cell>
          <cell r="W18" t="str">
            <v>N</v>
          </cell>
          <cell r="X18">
            <v>1</v>
          </cell>
          <cell r="Y18">
            <v>23.2652</v>
          </cell>
          <cell r="Z18">
            <v>1.5800000000000002E-2</v>
          </cell>
          <cell r="AA18">
            <v>23.249400000000001</v>
          </cell>
          <cell r="AB18" t="e">
            <v>#N/A</v>
          </cell>
          <cell r="AC18" t="e">
            <v>#N/A</v>
          </cell>
          <cell r="AD18" t="str">
            <v>0106-05</v>
          </cell>
          <cell r="AE18" t="str">
            <v>aws s3 cp s3://rtdc.mdm.uploadarchive/RTDC4026/2016-09-05/ "%USERPROFILE%\AppData\Local\Temp\OnboardLogs"\RTDC4026\2016-09-05 --recursive &amp; "%USERPROFILE%\Documents\GitHub\mrs-test-scripts\Headless Mode &amp; Sideloading\WalkAndUnGZ.bat" "%USERPROFILE%\AppData\Local\Temp\OnboardLogs"\RTDC4026\2016-09-05 &amp; 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</v>
          </cell>
        </row>
        <row r="19">
          <cell r="A19" t="str">
            <v>107-05</v>
          </cell>
          <cell r="B19">
            <v>4044</v>
          </cell>
          <cell r="C19" t="str">
            <v>DE.1.0.7.0</v>
          </cell>
          <cell r="D19" t="str">
            <v>204:458</v>
          </cell>
          <cell r="E19">
            <v>42618.180474537039</v>
          </cell>
          <cell r="F19">
            <v>42618.181400462963</v>
          </cell>
          <cell r="G19">
            <v>1</v>
          </cell>
          <cell r="H19" t="str">
            <v>204:233314</v>
          </cell>
          <cell r="I19">
            <v>42618.213402777779</v>
          </cell>
          <cell r="J19">
            <v>0</v>
          </cell>
          <cell r="K19" t="str">
            <v>4043/4044</v>
          </cell>
          <cell r="L19" t="str">
            <v>SPECTOR</v>
          </cell>
          <cell r="M19">
            <v>3.2002314816054422E-2</v>
          </cell>
          <cell r="N19">
            <v>46.083333335118368</v>
          </cell>
          <cell r="S19">
            <v>1</v>
          </cell>
          <cell r="T19" t="str">
            <v>NorthBound</v>
          </cell>
          <cell r="U19">
            <v>12</v>
          </cell>
          <cell r="V19" t="str">
            <v>https://search-rtdc-monitor-bjffxe2xuh6vdkpspy63sjmuny.us-east-1.es.amazonaws.com/_plugin/kibana/#/discover/Steve-Slow-Train-Analysis-(2080s-and-2083s)?_g=(refreshInterval:(display:Off,section:0,value:0),time:(from:'2016-09-05 03:19:53-0600',mode:absolute,to:'2016-09-05 06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9" t="str">
            <v>N</v>
          </cell>
          <cell r="X19">
            <v>1</v>
          </cell>
          <cell r="Y19">
            <v>4.58E-2</v>
          </cell>
          <cell r="Z19">
            <v>23.331399999999999</v>
          </cell>
          <cell r="AA19">
            <v>23.285599999999999</v>
          </cell>
          <cell r="AB19" t="e">
            <v>#N/A</v>
          </cell>
          <cell r="AC19" t="e">
            <v>#N/A</v>
          </cell>
          <cell r="AD19" t="str">
            <v>0107-05</v>
          </cell>
          <cell r="AE19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20">
          <cell r="A20" t="str">
            <v>108-05</v>
          </cell>
          <cell r="B20">
            <v>4043</v>
          </cell>
          <cell r="C20" t="str">
            <v>DE.1.0.7.0</v>
          </cell>
          <cell r="D20" t="str">
            <v>204:232987</v>
          </cell>
          <cell r="E20">
            <v>42618.223263888889</v>
          </cell>
          <cell r="F20">
            <v>42618.224363425928</v>
          </cell>
          <cell r="G20">
            <v>1</v>
          </cell>
          <cell r="H20" t="str">
            <v>204:163</v>
          </cell>
          <cell r="I20">
            <v>42618.255729166667</v>
          </cell>
          <cell r="J20">
            <v>0</v>
          </cell>
          <cell r="K20" t="str">
            <v>4043/4044</v>
          </cell>
          <cell r="L20" t="str">
            <v>SPECTOR</v>
          </cell>
          <cell r="M20">
            <v>3.1365740738692693E-2</v>
          </cell>
          <cell r="N20">
            <v>45.166666663717479</v>
          </cell>
          <cell r="S20">
            <v>1</v>
          </cell>
          <cell r="T20" t="str">
            <v>Southbound</v>
          </cell>
          <cell r="U20">
            <v>12</v>
          </cell>
          <cell r="V20" t="str">
            <v>https://search-rtdc-monitor-bjffxe2xuh6vdkpspy63sjmuny.us-east-1.es.amazonaws.com/_plugin/kibana/#/discover/Steve-Slow-Train-Analysis-(2080s-and-2083s)?_g=(refreshInterval:(display:Off,section:0,value:0),time:(from:'2016-09-05 04:21:30-0600',mode:absolute,to:'2016-09-05 07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20" t="str">
            <v>N</v>
          </cell>
          <cell r="X20">
            <v>1</v>
          </cell>
          <cell r="Y20">
            <v>23.2987</v>
          </cell>
          <cell r="Z20">
            <v>1.6299999999999999E-2</v>
          </cell>
          <cell r="AA20">
            <v>23.282399999999999</v>
          </cell>
          <cell r="AB20">
            <v>33257</v>
          </cell>
          <cell r="AC20" t="str">
            <v>GRADE CROSSING</v>
          </cell>
          <cell r="AD20" t="str">
            <v>0108-05</v>
          </cell>
          <cell r="AE20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21">
          <cell r="A21" t="str">
            <v>109-05</v>
          </cell>
          <cell r="B21">
            <v>4016</v>
          </cell>
          <cell r="C21" t="str">
            <v>DE.1.0.7.0</v>
          </cell>
          <cell r="D21" t="str">
            <v>204:453</v>
          </cell>
          <cell r="E21">
            <v>42618.186909722222</v>
          </cell>
          <cell r="F21">
            <v>42618.1877662037</v>
          </cell>
          <cell r="G21">
            <v>1</v>
          </cell>
          <cell r="H21" t="str">
            <v>204:233286</v>
          </cell>
          <cell r="I21">
            <v>42618.222303240742</v>
          </cell>
          <cell r="J21">
            <v>0</v>
          </cell>
          <cell r="K21" t="str">
            <v>4015/4016</v>
          </cell>
          <cell r="L21" t="str">
            <v>YORK</v>
          </cell>
          <cell r="M21">
            <v>3.4537037041445728E-2</v>
          </cell>
          <cell r="N21">
            <v>49.733333339681849</v>
          </cell>
          <cell r="S21">
            <v>1</v>
          </cell>
          <cell r="T21" t="str">
            <v>NorthBound</v>
          </cell>
          <cell r="U21">
            <v>12</v>
          </cell>
          <cell r="V21" t="str">
            <v>https://search-rtdc-monitor-bjffxe2xuh6vdkpspy63sjmuny.us-east-1.es.amazonaws.com/_plugin/kibana/#/discover/Steve-Slow-Train-Analysis-(2080s-and-2083s)?_g=(refreshInterval:(display:Off,section:0,value:0),time:(from:'2016-09-05 03:29:09-0600',mode:absolute,to:'2016-09-05 06:20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21" t="str">
            <v>N</v>
          </cell>
          <cell r="X21">
            <v>1</v>
          </cell>
          <cell r="Y21">
            <v>4.53E-2</v>
          </cell>
          <cell r="Z21">
            <v>23.328600000000002</v>
          </cell>
          <cell r="AA21">
            <v>23.283300000000001</v>
          </cell>
          <cell r="AB21" t="e">
            <v>#N/A</v>
          </cell>
          <cell r="AC21" t="e">
            <v>#N/A</v>
          </cell>
          <cell r="AD21" t="str">
            <v>0109-05</v>
          </cell>
          <cell r="AE21" t="str">
    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    </cell>
        </row>
        <row r="22">
          <cell r="A22" t="str">
            <v>110-05</v>
          </cell>
          <cell r="B22">
            <v>4015</v>
          </cell>
          <cell r="C22" t="str">
            <v>DE.1.0.7.0</v>
          </cell>
          <cell r="D22" t="str">
            <v>204:232961</v>
          </cell>
          <cell r="E22">
            <v>42618.22315972222</v>
          </cell>
          <cell r="F22">
            <v>42618.224085648151</v>
          </cell>
          <cell r="G22">
            <v>1</v>
          </cell>
          <cell r="H22" t="str">
            <v>204:167</v>
          </cell>
          <cell r="I22">
            <v>42618.263773148145</v>
          </cell>
          <cell r="J22">
            <v>0</v>
          </cell>
          <cell r="K22" t="str">
            <v>4015/4016</v>
          </cell>
          <cell r="L22" t="str">
            <v>YORK</v>
          </cell>
          <cell r="M22">
            <v>3.9687499993306119E-2</v>
          </cell>
          <cell r="N22">
            <v>57.149999990360811</v>
          </cell>
          <cell r="S22">
            <v>1</v>
          </cell>
          <cell r="T22" t="str">
            <v>Southbound</v>
          </cell>
          <cell r="U22">
            <v>12</v>
          </cell>
          <cell r="V22" t="str">
            <v>https://search-rtdc-monitor-bjffxe2xuh6vdkpspy63sjmuny.us-east-1.es.amazonaws.com/_plugin/kibana/#/discover/Steve-Slow-Train-Analysis-(2080s-and-2083s)?_g=(refreshInterval:(display:Off,section:0,value:0),time:(from:'2016-09-05 04:21:21-0600',mode:absolute,to:'2016-09-05 07:19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22" t="str">
            <v>N</v>
          </cell>
          <cell r="X22">
            <v>1</v>
          </cell>
          <cell r="Y22">
            <v>23.296099999999999</v>
          </cell>
          <cell r="Z22">
            <v>1.67E-2</v>
          </cell>
          <cell r="AA22">
            <v>23.279399999999999</v>
          </cell>
          <cell r="AB22" t="e">
            <v>#N/A</v>
          </cell>
          <cell r="AC22" t="e">
            <v>#N/A</v>
          </cell>
          <cell r="AD22" t="str">
            <v>0110-05</v>
          </cell>
          <cell r="AE22" t="str">
    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    </cell>
        </row>
        <row r="23">
          <cell r="A23" t="str">
            <v>111-05</v>
          </cell>
          <cell r="B23">
            <v>4014</v>
          </cell>
          <cell r="C23" t="str">
            <v>DE.1.0.7.0</v>
          </cell>
          <cell r="D23" t="str">
            <v>204:774</v>
          </cell>
          <cell r="E23">
            <v>42618.203240740739</v>
          </cell>
          <cell r="F23">
            <v>42618.204317129632</v>
          </cell>
          <cell r="G23">
            <v>1</v>
          </cell>
          <cell r="H23" t="str">
            <v>204:233310</v>
          </cell>
          <cell r="I23">
            <v>42618.234050925923</v>
          </cell>
          <cell r="J23">
            <v>0</v>
          </cell>
          <cell r="K23" t="str">
            <v>4013/4014</v>
          </cell>
          <cell r="L23" t="str">
            <v>STARKS</v>
          </cell>
          <cell r="M23">
            <v>2.9733796291111503E-2</v>
          </cell>
          <cell r="N23">
            <v>42.816666659200564</v>
          </cell>
          <cell r="S23">
            <v>1</v>
          </cell>
          <cell r="T23" t="str">
            <v>NorthBound</v>
          </cell>
          <cell r="U23">
            <v>12</v>
          </cell>
          <cell r="V23" t="str">
            <v>https://search-rtdc-monitor-bjffxe2xuh6vdkpspy63sjmuny.us-east-1.es.amazonaws.com/_plugin/kibana/#/discover/Steve-Slow-Train-Analysis-(2080s-and-2083s)?_g=(refreshInterval:(display:Off,section:0,value:0),time:(from:'2016-09-05 03:52:40-0600',mode:absolute,to:'2016-09-05 06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3" t="str">
            <v>N</v>
          </cell>
          <cell r="X23">
            <v>1</v>
          </cell>
          <cell r="Y23">
            <v>7.7399999999999997E-2</v>
          </cell>
          <cell r="Z23">
            <v>23.331</v>
          </cell>
          <cell r="AA23">
            <v>23.253599999999999</v>
          </cell>
          <cell r="AB23" t="e">
            <v>#N/A</v>
          </cell>
          <cell r="AC23" t="e">
            <v>#N/A</v>
          </cell>
          <cell r="AD23" t="str">
            <v>0111-05</v>
          </cell>
          <cell r="AE23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24">
          <cell r="A24" t="str">
            <v>112-05</v>
          </cell>
          <cell r="B24">
            <v>4013</v>
          </cell>
          <cell r="C24" t="str">
            <v>DE.1.0.7.0</v>
          </cell>
          <cell r="D24" t="str">
            <v>204:232985</v>
          </cell>
          <cell r="E24">
            <v>42618.244432870371</v>
          </cell>
          <cell r="F24">
            <v>42618.245763888888</v>
          </cell>
          <cell r="G24">
            <v>1</v>
          </cell>
          <cell r="H24" t="str">
            <v>204:150</v>
          </cell>
          <cell r="I24">
            <v>42618.275300925925</v>
          </cell>
          <cell r="J24">
            <v>0</v>
          </cell>
          <cell r="K24" t="str">
            <v>4013/4014</v>
          </cell>
          <cell r="L24" t="str">
            <v>STARKS</v>
          </cell>
          <cell r="M24">
            <v>2.9537037036789116E-2</v>
          </cell>
          <cell r="N24">
            <v>42.533333332976326</v>
          </cell>
          <cell r="S24">
            <v>1</v>
          </cell>
          <cell r="T24" t="str">
            <v>Southbound</v>
          </cell>
          <cell r="U24">
            <v>12</v>
          </cell>
          <cell r="V24" t="str">
            <v>https://search-rtdc-monitor-bjffxe2xuh6vdkpspy63sjmuny.us-east-1.es.amazonaws.com/_plugin/kibana/#/discover/Steve-Slow-Train-Analysis-(2080s-and-2083s)?_g=(refreshInterval:(display:Off,section:0,value:0),time:(from:'2016-09-05 04:51:59-0600',mode:absolute,to:'2016-09-05 07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24" t="str">
            <v>N</v>
          </cell>
          <cell r="X24">
            <v>1</v>
          </cell>
          <cell r="Y24">
            <v>23.298500000000001</v>
          </cell>
          <cell r="Z24">
            <v>1.4999999999999999E-2</v>
          </cell>
          <cell r="AA24">
            <v>23.2835</v>
          </cell>
          <cell r="AB24" t="e">
            <v>#N/A</v>
          </cell>
          <cell r="AC24" t="e">
            <v>#N/A</v>
          </cell>
          <cell r="AD24" t="str">
            <v>0112-05</v>
          </cell>
          <cell r="AE24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25">
          <cell r="A25" t="str">
            <v>113-05</v>
          </cell>
          <cell r="B25">
            <v>4027</v>
          </cell>
          <cell r="C25" t="str">
            <v>DE.1.0.7.0</v>
          </cell>
          <cell r="D25" t="str">
            <v>204:444</v>
          </cell>
          <cell r="E25">
            <v>42618.204351851855</v>
          </cell>
          <cell r="F25">
            <v>42618.205474537041</v>
          </cell>
          <cell r="G25">
            <v>1</v>
          </cell>
          <cell r="H25" t="str">
            <v>204:233341</v>
          </cell>
          <cell r="I25">
            <v>42618.246793981481</v>
          </cell>
          <cell r="J25">
            <v>0</v>
          </cell>
          <cell r="K25" t="str">
            <v>4027/4028</v>
          </cell>
          <cell r="L25" t="str">
            <v>KILLION</v>
          </cell>
          <cell r="M25">
            <v>4.131944444088731E-2</v>
          </cell>
          <cell r="N25">
            <v>59.499999994877726</v>
          </cell>
          <cell r="S25">
            <v>1</v>
          </cell>
          <cell r="T25" t="str">
            <v>NorthBound</v>
          </cell>
          <cell r="U25">
            <v>12</v>
          </cell>
          <cell r="V25" t="str">
            <v>https://search-rtdc-monitor-bjffxe2xuh6vdkpspy63sjmuny.us-east-1.es.amazonaws.com/_plugin/kibana/#/discover/Steve-Slow-Train-Analysis-(2080s-and-2083s)?_g=(refreshInterval:(display:Off,section:0,value:0),time:(from:'2016-09-05 03:54:16-0600',mode:absolute,to:'2016-09-05 06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25" t="str">
            <v>N</v>
          </cell>
          <cell r="X25">
            <v>1</v>
          </cell>
          <cell r="Y25">
            <v>4.4400000000000002E-2</v>
          </cell>
          <cell r="Z25">
            <v>23.334099999999999</v>
          </cell>
          <cell r="AA25">
            <v>23.2897</v>
          </cell>
          <cell r="AB25" t="e">
            <v>#N/A</v>
          </cell>
          <cell r="AC25" t="e">
            <v>#N/A</v>
          </cell>
          <cell r="AD25" t="str">
            <v>0113-05</v>
          </cell>
          <cell r="AE25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26">
          <cell r="A26" t="str">
            <v>114-05</v>
          </cell>
          <cell r="B26">
            <v>4028</v>
          </cell>
          <cell r="C26" t="str">
            <v>DE.1.0.7.0</v>
          </cell>
          <cell r="D26" t="str">
            <v>204:232984</v>
          </cell>
          <cell r="E26">
            <v>42618.252268518518</v>
          </cell>
          <cell r="F26">
            <v>42618.253125000003</v>
          </cell>
          <cell r="G26">
            <v>1</v>
          </cell>
          <cell r="H26" t="str">
            <v>204:147</v>
          </cell>
          <cell r="I26">
            <v>42618.284456018519</v>
          </cell>
          <cell r="J26">
            <v>0</v>
          </cell>
          <cell r="K26" t="str">
            <v>4027/4028</v>
          </cell>
          <cell r="L26" t="str">
            <v>KILLION</v>
          </cell>
          <cell r="M26">
            <v>3.1331018515629694E-2</v>
          </cell>
          <cell r="N26">
            <v>45.116666662506759</v>
          </cell>
          <cell r="S26">
            <v>1</v>
          </cell>
          <cell r="T26" t="str">
            <v>Southbound</v>
          </cell>
          <cell r="U26">
            <v>12</v>
          </cell>
          <cell r="V26" t="str">
            <v>https://search-rtdc-monitor-bjffxe2xuh6vdkpspy63sjmuny.us-east-1.es.amazonaws.com/_plugin/kibana/#/discover/Steve-Slow-Train-Analysis-(2080s-and-2083s)?_g=(refreshInterval:(display:Off,section:0,value:0),time:(from:'2016-09-05 05:03:16-0600',mode:absolute,to:'2016-09-05 07:49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26" t="str">
            <v>N</v>
          </cell>
          <cell r="X26">
            <v>1</v>
          </cell>
          <cell r="Y26">
            <v>23.298400000000001</v>
          </cell>
          <cell r="Z26">
            <v>1.47E-2</v>
          </cell>
          <cell r="AA26">
            <v>23.2837</v>
          </cell>
          <cell r="AB26" t="e">
            <v>#N/A</v>
          </cell>
          <cell r="AC26" t="e">
            <v>#N/A</v>
          </cell>
          <cell r="AD26" t="str">
            <v>0114-05</v>
          </cell>
          <cell r="AE26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27">
          <cell r="A27" t="str">
            <v>115-05</v>
          </cell>
          <cell r="B27">
            <v>4011</v>
          </cell>
          <cell r="C27" t="str">
            <v>DE.1.0.7.0</v>
          </cell>
          <cell r="D27" t="str">
            <v>204:734</v>
          </cell>
          <cell r="E27">
            <v>42618.226539351854</v>
          </cell>
          <cell r="F27">
            <v>42618.227847222224</v>
          </cell>
          <cell r="G27">
            <v>1</v>
          </cell>
          <cell r="H27" t="str">
            <v>204:233280</v>
          </cell>
          <cell r="I27">
            <v>42618.255497685182</v>
          </cell>
          <cell r="J27">
            <v>0</v>
          </cell>
          <cell r="K27" t="str">
            <v>4011/4012</v>
          </cell>
          <cell r="L27" t="str">
            <v>MALAVE</v>
          </cell>
          <cell r="M27">
            <v>2.7650462958263233E-2</v>
          </cell>
          <cell r="N27">
            <v>39.816666659899056</v>
          </cell>
          <cell r="S27">
            <v>1</v>
          </cell>
          <cell r="T27" t="str">
            <v>NorthBound</v>
          </cell>
          <cell r="U27">
            <v>12</v>
          </cell>
          <cell r="V27" t="str">
            <v>https://search-rtdc-monitor-bjffxe2xuh6vdkpspy63sjmuny.us-east-1.es.amazonaws.com/_plugin/kibana/#/discover/Steve-Slow-Train-Analysis-(2080s-and-2083s)?_g=(refreshInterval:(display:Off,section:0,value:0),time:(from:'2016-09-05 04:26:13-0600',mode:absolute,to:'2016-09-05 07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27" t="str">
            <v>N</v>
          </cell>
          <cell r="X27">
            <v>1</v>
          </cell>
          <cell r="Y27">
            <v>7.3400000000000007E-2</v>
          </cell>
          <cell r="Z27">
            <v>23.327999999999999</v>
          </cell>
          <cell r="AA27">
            <v>23.2546</v>
          </cell>
          <cell r="AB27" t="e">
            <v>#N/A</v>
          </cell>
          <cell r="AC27" t="e">
            <v>#N/A</v>
          </cell>
          <cell r="AD27" t="str">
            <v>0115-05</v>
          </cell>
          <cell r="AE27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28">
          <cell r="A28" t="str">
            <v>116-05</v>
          </cell>
          <cell r="B28">
            <v>4012</v>
          </cell>
          <cell r="C28" t="str">
            <v>DE.1.0.7.0</v>
          </cell>
          <cell r="D28" t="str">
            <v>204:232957</v>
          </cell>
          <cell r="E28">
            <v>42618.266076388885</v>
          </cell>
          <cell r="F28">
            <v>42618.267048611109</v>
          </cell>
          <cell r="G28">
            <v>1</v>
          </cell>
          <cell r="H28" t="str">
            <v>204:138</v>
          </cell>
          <cell r="I28">
            <v>42618.295428240737</v>
          </cell>
          <cell r="J28">
            <v>0</v>
          </cell>
          <cell r="K28" t="str">
            <v>4011/4012</v>
          </cell>
          <cell r="L28" t="str">
            <v>MALAVE</v>
          </cell>
          <cell r="M28">
            <v>2.8379629628034309E-2</v>
          </cell>
          <cell r="N28">
            <v>40.866666664369404</v>
          </cell>
          <cell r="S28">
            <v>1</v>
          </cell>
          <cell r="T28" t="str">
            <v>Southbound</v>
          </cell>
          <cell r="U28">
            <v>12</v>
          </cell>
          <cell r="V28" t="str">
            <v>https://search-rtdc-monitor-bjffxe2xuh6vdkpspy63sjmuny.us-east-1.es.amazonaws.com/_plugin/kibana/#/discover/Steve-Slow-Train-Analysis-(2080s-and-2083s)?_g=(refreshInterval:(display:Off,section:0,value:0),time:(from:'2016-09-05 05:23:09-0600',mode:absolute,to:'2016-09-05 08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28" t="str">
            <v>N</v>
          </cell>
          <cell r="X28">
            <v>1</v>
          </cell>
          <cell r="Y28">
            <v>23.2957</v>
          </cell>
          <cell r="Z28">
            <v>1.38E-2</v>
          </cell>
          <cell r="AA28">
            <v>23.2819</v>
          </cell>
          <cell r="AB28">
            <v>127587</v>
          </cell>
          <cell r="AC28" t="str">
            <v>SIGNAL</v>
          </cell>
          <cell r="AD28" t="str">
            <v>0116-05</v>
          </cell>
          <cell r="AE28" t="str">
    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    </cell>
        </row>
        <row r="29">
          <cell r="A29" t="str">
            <v>117-05</v>
          </cell>
          <cell r="B29">
            <v>4002</v>
          </cell>
          <cell r="C29" t="str">
            <v>DE.1.0.7.0</v>
          </cell>
          <cell r="D29" t="str">
            <v>204:457</v>
          </cell>
          <cell r="E29">
            <v>42618.234259259261</v>
          </cell>
          <cell r="F29">
            <v>42618.235312500001</v>
          </cell>
          <cell r="G29">
            <v>1</v>
          </cell>
          <cell r="H29" t="str">
            <v>204:233289</v>
          </cell>
          <cell r="I29">
            <v>42618.264849537038</v>
          </cell>
          <cell r="J29">
            <v>0</v>
          </cell>
          <cell r="K29" t="str">
            <v>4001/4002</v>
          </cell>
          <cell r="L29" t="str">
            <v>ACKERMAN</v>
          </cell>
          <cell r="M29">
            <v>2.9537037036789116E-2</v>
          </cell>
          <cell r="N29">
            <v>42.533333332976326</v>
          </cell>
          <cell r="S29">
            <v>1</v>
          </cell>
          <cell r="T29" t="str">
            <v>NorthBound</v>
          </cell>
          <cell r="U29">
            <v>12</v>
          </cell>
          <cell r="V29" t="str">
            <v>https://search-rtdc-monitor-bjffxe2xuh6vdkpspy63sjmuny.us-east-1.es.amazonaws.com/_plugin/kibana/#/discover/Steve-Slow-Train-Analysis-(2080s-and-2083s)?_g=(refreshInterval:(display:Off,section:0,value:0),time:(from:'2016-09-05 04:37:20-0600',mode:absolute,to:'2016-09-05 07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29" t="str">
            <v>N</v>
          </cell>
          <cell r="X29">
            <v>1</v>
          </cell>
          <cell r="Y29">
            <v>4.5699999999999998E-2</v>
          </cell>
          <cell r="Z29">
            <v>23.328900000000001</v>
          </cell>
          <cell r="AA29">
            <v>23.283200000000001</v>
          </cell>
          <cell r="AB29" t="e">
            <v>#N/A</v>
          </cell>
          <cell r="AC29" t="e">
            <v>#N/A</v>
          </cell>
          <cell r="AD29" t="str">
            <v>0117-05</v>
          </cell>
          <cell r="AE29" t="str">
    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    </cell>
        </row>
        <row r="30">
          <cell r="A30" t="str">
            <v>118-05</v>
          </cell>
          <cell r="B30">
            <v>4001</v>
          </cell>
          <cell r="C30" t="str">
            <v>DE.1.0.7.0</v>
          </cell>
          <cell r="D30" t="str">
            <v>204:232971</v>
          </cell>
          <cell r="E30">
            <v>42618.272453703707</v>
          </cell>
          <cell r="F30">
            <v>42618.2733912037</v>
          </cell>
          <cell r="G30">
            <v>1</v>
          </cell>
          <cell r="H30" t="str">
            <v>204:149</v>
          </cell>
          <cell r="I30">
            <v>42618.30572916667</v>
          </cell>
          <cell r="J30">
            <v>0</v>
          </cell>
          <cell r="K30" t="str">
            <v>4001/4002</v>
          </cell>
          <cell r="L30" t="str">
            <v>ACKERMAN</v>
          </cell>
          <cell r="M30">
            <v>3.2337962969904765E-2</v>
          </cell>
          <cell r="N30">
            <v>46.566666676662862</v>
          </cell>
          <cell r="S30">
            <v>1</v>
          </cell>
          <cell r="T30" t="str">
            <v>Southbound</v>
          </cell>
          <cell r="U30">
            <v>12</v>
          </cell>
          <cell r="V30" t="str">
            <v>https://search-rtdc-monitor-bjffxe2xuh6vdkpspy63sjmuny.us-east-1.es.amazonaws.com/_plugin/kibana/#/discover/Steve-Slow-Train-Analysis-(2080s-and-2083s)?_g=(refreshInterval:(display:Off,section:0,value:0),time:(from:'2016-09-05 05:32:20-0600',mode:absolute,to:'2016-09-05 08:20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30" t="str">
            <v>N</v>
          </cell>
          <cell r="X30">
            <v>1</v>
          </cell>
          <cell r="Y30">
            <v>23.2971</v>
          </cell>
          <cell r="Z30">
            <v>1.49E-2</v>
          </cell>
          <cell r="AA30">
            <v>23.2822</v>
          </cell>
          <cell r="AB30" t="e">
            <v>#N/A</v>
          </cell>
          <cell r="AC30" t="e">
            <v>#N/A</v>
          </cell>
          <cell r="AD30" t="str">
            <v>0118-05</v>
          </cell>
          <cell r="AE30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31">
          <cell r="A31" t="str">
            <v>119-05</v>
          </cell>
          <cell r="B31">
            <v>4020</v>
          </cell>
          <cell r="C31" t="str">
            <v>DE.1.0.7.0</v>
          </cell>
          <cell r="D31" t="str">
            <v>204:775</v>
          </cell>
          <cell r="E31">
            <v>42618.248020833336</v>
          </cell>
          <cell r="F31">
            <v>42618.249050925922</v>
          </cell>
          <cell r="G31">
            <v>1</v>
          </cell>
          <cell r="H31" t="str">
            <v>204:233312</v>
          </cell>
          <cell r="I31">
            <v>42618.275694444441</v>
          </cell>
          <cell r="J31">
            <v>0</v>
          </cell>
          <cell r="K31" t="str">
            <v>4019/4020</v>
          </cell>
          <cell r="L31" t="str">
            <v>BRANNON</v>
          </cell>
          <cell r="M31">
            <v>2.6643518518540077E-2</v>
          </cell>
          <cell r="N31">
            <v>38.366666666697711</v>
          </cell>
          <cell r="S31">
            <v>1</v>
          </cell>
          <cell r="T31" t="str">
            <v>NorthBound</v>
          </cell>
          <cell r="U31">
            <v>12</v>
          </cell>
          <cell r="V31" t="str">
            <v>https://search-rtdc-monitor-bjffxe2xuh6vdkpspy63sjmuny.us-east-1.es.amazonaws.com/_plugin/kibana/#/discover/Steve-Slow-Train-Analysis-(2080s-and-2083s)?_g=(refreshInterval:(display:Off,section:0,value:0),time:(from:'2016-09-05 04:57:09-0600',mode:absolute,to:'2016-09-05 07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31" t="str">
            <v>N</v>
          </cell>
          <cell r="X31">
            <v>1</v>
          </cell>
          <cell r="Y31">
            <v>7.7499999999999999E-2</v>
          </cell>
          <cell r="Z31">
            <v>23.331199999999999</v>
          </cell>
          <cell r="AA31">
            <v>23.253699999999998</v>
          </cell>
          <cell r="AB31" t="e">
            <v>#N/A</v>
          </cell>
          <cell r="AC31" t="e">
            <v>#N/A</v>
          </cell>
          <cell r="AD31" t="str">
            <v>0119-05</v>
          </cell>
          <cell r="AE31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32">
          <cell r="A32" t="str">
            <v>120-05</v>
          </cell>
          <cell r="B32">
            <v>4019</v>
          </cell>
          <cell r="C32" t="str">
            <v>DE.1.0.7.0</v>
          </cell>
          <cell r="D32" t="str">
            <v>204:232996</v>
          </cell>
          <cell r="E32">
            <v>42618.279143518521</v>
          </cell>
          <cell r="F32">
            <v>42618.280717592592</v>
          </cell>
          <cell r="G32">
            <v>2</v>
          </cell>
          <cell r="H32" t="str">
            <v>204:158</v>
          </cell>
          <cell r="I32">
            <v>42618.315428240741</v>
          </cell>
          <cell r="J32">
            <v>0</v>
          </cell>
          <cell r="K32" t="str">
            <v>4019/4020</v>
          </cell>
          <cell r="L32" t="str">
            <v>BRANNON</v>
          </cell>
          <cell r="M32">
            <v>3.4710648149484769E-2</v>
          </cell>
          <cell r="N32">
            <v>49.983333335258067</v>
          </cell>
          <cell r="S32">
            <v>1</v>
          </cell>
          <cell r="T32" t="str">
            <v>Southbound</v>
          </cell>
          <cell r="U32">
            <v>12</v>
          </cell>
          <cell r="V32" t="str">
            <v>https://search-rtdc-monitor-bjffxe2xuh6vdkpspy63sjmuny.us-east-1.es.amazonaws.com/_plugin/kibana/#/discover/Steve-Slow-Train-Analysis-(2080s-and-2083s)?_g=(refreshInterval:(display:Off,section:0,value:0),time:(from:'2016-09-05 05:41:58-0600',mode:absolute,to:'2016-09-05 08:34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32" t="str">
            <v>N</v>
          </cell>
          <cell r="X32">
            <v>1</v>
          </cell>
          <cell r="Y32">
            <v>23.299600000000002</v>
          </cell>
          <cell r="Z32">
            <v>1.5800000000000002E-2</v>
          </cell>
          <cell r="AA32">
            <v>23.283800000000003</v>
          </cell>
          <cell r="AB32" t="e">
            <v>#N/A</v>
          </cell>
          <cell r="AC32" t="e">
            <v>#N/A</v>
          </cell>
          <cell r="AD32" t="str">
            <v>0120-05</v>
          </cell>
          <cell r="AE32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33">
          <cell r="A33" t="str">
            <v>121-05</v>
          </cell>
          <cell r="B33">
            <v>4044</v>
          </cell>
          <cell r="C33" t="str">
            <v>DE.1.0.7.0</v>
          </cell>
          <cell r="D33" t="str">
            <v>204:460</v>
          </cell>
          <cell r="E33">
            <v>42618.257824074077</v>
          </cell>
          <cell r="F33">
            <v>42618.258657407408</v>
          </cell>
          <cell r="G33">
            <v>1</v>
          </cell>
          <cell r="H33" t="str">
            <v>204:233305</v>
          </cell>
          <cell r="I33">
            <v>42618.286157407405</v>
          </cell>
          <cell r="J33">
            <v>0</v>
          </cell>
          <cell r="K33" t="str">
            <v>4043/4044</v>
          </cell>
          <cell r="L33" t="str">
            <v>SPECTOR</v>
          </cell>
          <cell r="M33">
            <v>2.749999999650754E-2</v>
          </cell>
          <cell r="N33">
            <v>39.599999994970858</v>
          </cell>
          <cell r="S33">
            <v>1</v>
          </cell>
          <cell r="T33" t="str">
            <v>NorthBound</v>
          </cell>
          <cell r="U33">
            <v>12</v>
          </cell>
          <cell r="V33" t="str">
            <v>https://search-rtdc-monitor-bjffxe2xuh6vdkpspy63sjmuny.us-east-1.es.amazonaws.com/_plugin/kibana/#/discover/Steve-Slow-Train-Analysis-(2080s-and-2083s)?_g=(refreshInterval:(display:Off,section:0,value:0),time:(from:'2016-09-05 05:11:16-0600',mode:absolute,to:'2016-09-05 07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33" t="str">
            <v>N</v>
          </cell>
          <cell r="X33">
            <v>1</v>
          </cell>
          <cell r="Y33">
            <v>4.5999999999999999E-2</v>
          </cell>
          <cell r="Z33">
            <v>23.330500000000001</v>
          </cell>
          <cell r="AA33">
            <v>23.284500000000001</v>
          </cell>
          <cell r="AB33" t="e">
            <v>#N/A</v>
          </cell>
          <cell r="AC33" t="e">
            <v>#N/A</v>
          </cell>
          <cell r="AD33" t="str">
            <v>0121-05</v>
          </cell>
          <cell r="AE33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34">
          <cell r="A34" t="str">
            <v>122-05</v>
          </cell>
          <cell r="B34">
            <v>4043</v>
          </cell>
          <cell r="C34" t="str">
            <v>DE.1.0.7.0</v>
          </cell>
          <cell r="D34" t="str">
            <v>204:232994</v>
          </cell>
          <cell r="E34">
            <v>42618.292951388888</v>
          </cell>
          <cell r="F34">
            <v>42618.29415509259</v>
          </cell>
          <cell r="G34">
            <v>1</v>
          </cell>
          <cell r="H34" t="str">
            <v>204:152</v>
          </cell>
          <cell r="I34">
            <v>42618.325891203705</v>
          </cell>
          <cell r="J34">
            <v>0</v>
          </cell>
          <cell r="K34" t="str">
            <v>4043/4044</v>
          </cell>
          <cell r="L34" t="str">
            <v>SPECTOR</v>
          </cell>
          <cell r="M34">
            <v>3.1736111115606036E-2</v>
          </cell>
          <cell r="N34">
            <v>45.700000006472692</v>
          </cell>
          <cell r="S34">
            <v>1</v>
          </cell>
          <cell r="T34" t="str">
            <v>Southbound</v>
          </cell>
          <cell r="U34">
            <v>12</v>
          </cell>
          <cell r="V34" t="str">
            <v>https://search-rtdc-monitor-bjffxe2xuh6vdkpspy63sjmuny.us-east-1.es.amazonaws.com/_plugin/kibana/#/discover/Steve-Slow-Train-Analysis-(2080s-and-2083s)?_g=(refreshInterval:(display:Off,section:0,value:0),time:(from:'2016-09-05 06:01:51-0600',mode:absolute,to:'2016-09-05 08:49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34" t="str">
            <v>N</v>
          </cell>
          <cell r="X34">
            <v>1</v>
          </cell>
          <cell r="Y34">
            <v>23.299399999999999</v>
          </cell>
          <cell r="Z34">
            <v>1.52E-2</v>
          </cell>
          <cell r="AA34">
            <v>23.284199999999998</v>
          </cell>
          <cell r="AB34" t="e">
            <v>#N/A</v>
          </cell>
          <cell r="AC34" t="e">
            <v>#N/A</v>
          </cell>
          <cell r="AD34" t="str">
            <v>0122-05</v>
          </cell>
          <cell r="AE34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35">
          <cell r="A35" t="str">
            <v>123-05</v>
          </cell>
          <cell r="B35">
            <v>4016</v>
          </cell>
          <cell r="C35" t="str">
            <v>DE.1.0.7.0</v>
          </cell>
          <cell r="D35" t="str">
            <v>204:478</v>
          </cell>
          <cell r="E35">
            <v>42618.265185185184</v>
          </cell>
          <cell r="F35">
            <v>42618.265833333331</v>
          </cell>
          <cell r="G35">
            <v>0</v>
          </cell>
          <cell r="H35" t="str">
            <v>204:233289</v>
          </cell>
          <cell r="I35">
            <v>42618.295370370368</v>
          </cell>
          <cell r="J35">
            <v>0</v>
          </cell>
          <cell r="K35" t="str">
            <v>4015/4016</v>
          </cell>
          <cell r="L35" t="str">
            <v>YORK</v>
          </cell>
          <cell r="M35">
            <v>2.9537037036789116E-2</v>
          </cell>
          <cell r="N35">
            <v>42.533333332976326</v>
          </cell>
          <cell r="S35">
            <v>1</v>
          </cell>
          <cell r="T35" t="str">
            <v>NorthBound</v>
          </cell>
          <cell r="U35">
            <v>12</v>
          </cell>
          <cell r="V35" t="str">
            <v>https://search-rtdc-monitor-bjffxe2xuh6vdkpspy63sjmuny.us-east-1.es.amazonaws.com/_plugin/kibana/#/discover/Steve-Slow-Train-Analysis-(2080s-and-2083s)?_g=(refreshInterval:(display:Off,section:0,value:0),time:(from:'2016-09-05 05:21:52-0600',mode:absolute,to:'2016-09-05 08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35" t="str">
            <v>N</v>
          </cell>
          <cell r="X35">
            <v>1</v>
          </cell>
          <cell r="Y35">
            <v>4.7800000000000002E-2</v>
          </cell>
          <cell r="Z35">
            <v>23.328900000000001</v>
          </cell>
          <cell r="AA35">
            <v>23.281100000000002</v>
          </cell>
          <cell r="AB35" t="e">
            <v>#N/A</v>
          </cell>
          <cell r="AC35" t="e">
            <v>#N/A</v>
          </cell>
          <cell r="AD35" t="str">
            <v>0123-05</v>
          </cell>
          <cell r="AE35" t="str">
    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    </cell>
        </row>
        <row r="36">
          <cell r="A36" t="str">
            <v>124-05</v>
          </cell>
          <cell r="B36">
            <v>4015</v>
          </cell>
          <cell r="C36" t="str">
            <v>DE.1.0.7.0</v>
          </cell>
          <cell r="D36" t="str">
            <v>204:232974</v>
          </cell>
          <cell r="E36">
            <v>42618.296539351853</v>
          </cell>
          <cell r="F36">
            <v>42618.297175925924</v>
          </cell>
          <cell r="G36">
            <v>0</v>
          </cell>
          <cell r="H36" t="str">
            <v>204:156</v>
          </cell>
          <cell r="I36">
            <v>42618.33625</v>
          </cell>
          <cell r="J36">
            <v>0</v>
          </cell>
          <cell r="K36" t="str">
            <v>4015/4016</v>
          </cell>
          <cell r="L36" t="str">
            <v>YORK</v>
          </cell>
          <cell r="M36">
            <v>3.9074074076779652E-2</v>
          </cell>
          <cell r="N36">
            <v>56.266666670562699</v>
          </cell>
          <cell r="S36">
            <v>1</v>
          </cell>
          <cell r="T36" t="str">
            <v>Southbound</v>
          </cell>
          <cell r="U36">
            <v>12</v>
          </cell>
          <cell r="V36" t="str">
            <v>https://search-rtdc-monitor-bjffxe2xuh6vdkpspy63sjmuny.us-east-1.es.amazonaws.com/_plugin/kibana/#/discover/Steve-Slow-Train-Analysis-(2080s-and-2083s)?_g=(refreshInterval:(display:Off,section:0,value:0),time:(from:'2016-09-05 06:07:01-0600',mode:absolute,to:'2016-09-05 09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36" t="str">
            <v>N</v>
          </cell>
          <cell r="X36">
            <v>1</v>
          </cell>
          <cell r="Y36">
            <v>23.2974</v>
          </cell>
          <cell r="Z36">
            <v>1.5599999999999999E-2</v>
          </cell>
          <cell r="AA36">
            <v>23.2818</v>
          </cell>
          <cell r="AB36" t="e">
            <v>#N/A</v>
          </cell>
          <cell r="AC36" t="e">
            <v>#N/A</v>
          </cell>
          <cell r="AD36" t="str">
            <v>0124-05</v>
          </cell>
          <cell r="AE36" t="str">
    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    </cell>
        </row>
        <row r="37">
          <cell r="A37" t="str">
            <v>125-05</v>
          </cell>
          <cell r="B37">
            <v>4014</v>
          </cell>
          <cell r="C37" t="str">
            <v>DE.1.0.7.0</v>
          </cell>
          <cell r="D37" t="str">
            <v>204:460</v>
          </cell>
          <cell r="E37">
            <v>42618.279247685183</v>
          </cell>
          <cell r="F37">
            <v>42618.280162037037</v>
          </cell>
          <cell r="G37">
            <v>1</v>
          </cell>
          <cell r="H37" t="str">
            <v>204:233336</v>
          </cell>
          <cell r="I37">
            <v>42618.306516203702</v>
          </cell>
          <cell r="J37">
            <v>0</v>
          </cell>
          <cell r="K37" t="str">
            <v>4013/4014</v>
          </cell>
          <cell r="L37" t="str">
            <v>STARKS</v>
          </cell>
          <cell r="M37">
            <v>2.6354166664532386E-2</v>
          </cell>
          <cell r="N37">
            <v>37.949999996926636</v>
          </cell>
          <cell r="S37">
            <v>1</v>
          </cell>
          <cell r="T37" t="str">
            <v>NorthBound</v>
          </cell>
          <cell r="U37">
            <v>12</v>
          </cell>
          <cell r="V37" t="str">
            <v>https://search-rtdc-monitor-bjffxe2xuh6vdkpspy63sjmuny.us-east-1.es.amazonaws.com/_plugin/kibana/#/discover/Steve-Slow-Train-Analysis-(2080s-and-2083s)?_g=(refreshInterval:(display:Off,section:0,value:0),time:(from:'2016-09-05 05:42:07-0600',mode:absolute,to:'2016-09-05 08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37" t="str">
            <v>N</v>
          </cell>
          <cell r="X37">
            <v>1</v>
          </cell>
          <cell r="Y37">
            <v>4.5999999999999999E-2</v>
          </cell>
          <cell r="Z37">
            <v>23.333600000000001</v>
          </cell>
          <cell r="AA37">
            <v>23.287600000000001</v>
          </cell>
          <cell r="AB37">
            <v>224578</v>
          </cell>
          <cell r="AC37" t="str">
            <v>PERMANENT SPEED RESTRICTION</v>
          </cell>
          <cell r="AD37" t="str">
            <v>0125-05</v>
          </cell>
          <cell r="AE37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38">
          <cell r="A38" t="str">
            <v>126-05</v>
          </cell>
          <cell r="B38">
            <v>4013</v>
          </cell>
          <cell r="C38" t="str">
            <v>DE.1.0.7.0</v>
          </cell>
          <cell r="D38" t="str">
            <v>204:233000</v>
          </cell>
          <cell r="E38">
            <v>42618.317141203705</v>
          </cell>
          <cell r="F38">
            <v>42618.318888888891</v>
          </cell>
          <cell r="G38">
            <v>2</v>
          </cell>
          <cell r="H38" t="str">
            <v>204:154</v>
          </cell>
          <cell r="I38">
            <v>42618.346967592595</v>
          </cell>
          <cell r="J38">
            <v>0</v>
          </cell>
          <cell r="K38" t="str">
            <v>4013/4014</v>
          </cell>
          <cell r="L38" t="str">
            <v>STARKS</v>
          </cell>
          <cell r="M38">
            <v>2.8078703704522923E-2</v>
          </cell>
          <cell r="N38">
            <v>40.433333334513009</v>
          </cell>
          <cell r="S38">
            <v>1</v>
          </cell>
          <cell r="T38" t="str">
            <v>Southbound</v>
          </cell>
          <cell r="U38">
            <v>12</v>
          </cell>
          <cell r="V38" t="str">
            <v>https://search-rtdc-monitor-bjffxe2xuh6vdkpspy63sjmuny.us-east-1.es.amazonaws.com/_plugin/kibana/#/discover/Steve-Slow-Train-Analysis-(2080s-and-2083s)?_g=(refreshInterval:(display:Off,section:0,value:0),time:(from:'2016-09-05 06:36:41-0600',mode:absolute,to:'2016-09-05 09:19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38" t="str">
            <v>N</v>
          </cell>
          <cell r="X38">
            <v>1</v>
          </cell>
          <cell r="Y38">
            <v>23.3</v>
          </cell>
          <cell r="Z38">
            <v>1.54E-2</v>
          </cell>
          <cell r="AA38">
            <v>23.284600000000001</v>
          </cell>
          <cell r="AB38" t="e">
            <v>#N/A</v>
          </cell>
          <cell r="AC38" t="e">
            <v>#N/A</v>
          </cell>
          <cell r="AD38" t="str">
            <v>0126-05</v>
          </cell>
          <cell r="AE38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39">
          <cell r="A39" t="str">
            <v>127-05</v>
          </cell>
          <cell r="B39">
            <v>4027</v>
          </cell>
          <cell r="C39" t="str">
            <v>DE.1.0.7.0</v>
          </cell>
          <cell r="D39" t="str">
            <v>204:440</v>
          </cell>
          <cell r="E39">
            <v>42618.285937499997</v>
          </cell>
          <cell r="F39">
            <v>42618.28696759259</v>
          </cell>
          <cell r="G39">
            <v>1</v>
          </cell>
          <cell r="H39" t="str">
            <v>204:233298</v>
          </cell>
          <cell r="I39">
            <v>42618.317499999997</v>
          </cell>
          <cell r="J39">
            <v>0</v>
          </cell>
          <cell r="K39" t="str">
            <v>4027/4028</v>
          </cell>
          <cell r="L39" t="str">
            <v>KILLION</v>
          </cell>
          <cell r="M39">
            <v>3.0532407407008577E-2</v>
          </cell>
          <cell r="N39">
            <v>43.966666666092351</v>
          </cell>
          <cell r="S39">
            <v>1</v>
          </cell>
          <cell r="T39" t="str">
            <v>NorthBound</v>
          </cell>
          <cell r="U39">
            <v>12</v>
          </cell>
          <cell r="V39" t="str">
            <v>https://search-rtdc-monitor-bjffxe2xuh6vdkpspy63sjmuny.us-east-1.es.amazonaws.com/_plugin/kibana/#/discover/Steve-Slow-Train-Analysis-(2080s-and-2083s)?_g=(refreshInterval:(display:Off,section:0,value:0),time:(from:'2016-09-05 05:51:45-0600',mode:absolute,to:'2016-09-05 08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39" t="str">
            <v>N</v>
          </cell>
          <cell r="X39">
            <v>1</v>
          </cell>
          <cell r="Y39">
            <v>4.3999999999999997E-2</v>
          </cell>
          <cell r="Z39">
            <v>23.329799999999999</v>
          </cell>
          <cell r="AA39">
            <v>23.285799999999998</v>
          </cell>
          <cell r="AB39" t="e">
            <v>#N/A</v>
          </cell>
          <cell r="AC39" t="e">
            <v>#N/A</v>
          </cell>
          <cell r="AD39" t="str">
            <v>0127-05</v>
          </cell>
          <cell r="AE39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40">
          <cell r="A40" t="str">
            <v>128-05</v>
          </cell>
          <cell r="B40">
            <v>4028</v>
          </cell>
          <cell r="C40" t="str">
            <v>DE.1.0.7.0</v>
          </cell>
          <cell r="D40" t="str">
            <v>204:231967</v>
          </cell>
          <cell r="E40">
            <v>42618.324004629627</v>
          </cell>
          <cell r="F40">
            <v>42618.33116898148</v>
          </cell>
          <cell r="G40">
            <v>10</v>
          </cell>
          <cell r="H40" t="str">
            <v>204:152</v>
          </cell>
          <cell r="I40">
            <v>42618.357129629629</v>
          </cell>
          <cell r="J40">
            <v>0</v>
          </cell>
          <cell r="K40" t="str">
            <v>4027/4028</v>
          </cell>
          <cell r="L40" t="str">
            <v>KILLION</v>
          </cell>
          <cell r="M40">
            <v>2.5960648148611654E-2</v>
          </cell>
          <cell r="N40">
            <v>37.383333334000781</v>
          </cell>
          <cell r="S40">
            <v>1</v>
          </cell>
          <cell r="T40" t="str">
            <v>Southbound</v>
          </cell>
          <cell r="U40">
            <v>12</v>
          </cell>
          <cell r="V40" t="str">
            <v>https://search-rtdc-monitor-bjffxe2xuh6vdkpspy63sjmuny.us-east-1.es.amazonaws.com/_plugin/kibana/#/discover/Steve-Slow-Train-Analysis-(2080s-and-2083s)?_g=(refreshInterval:(display:Off,section:0,value:0),time:(from:'2016-09-05 06:46:34-0600',mode:absolute,to:'2016-09-05 09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40" t="str">
            <v>N</v>
          </cell>
          <cell r="X40">
            <v>1</v>
          </cell>
          <cell r="Y40">
            <v>23.1967</v>
          </cell>
          <cell r="Z40">
            <v>1.52E-2</v>
          </cell>
          <cell r="AA40">
            <v>23.1815</v>
          </cell>
          <cell r="AB40" t="e">
            <v>#N/A</v>
          </cell>
          <cell r="AC40" t="e">
            <v>#N/A</v>
          </cell>
          <cell r="AD40" t="str">
            <v>0128-05</v>
          </cell>
          <cell r="AE40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41">
          <cell r="A41" t="str">
            <v>129-05</v>
          </cell>
          <cell r="B41">
            <v>4011</v>
          </cell>
          <cell r="C41" t="str">
            <v>DE.1.0.7.0</v>
          </cell>
          <cell r="D41" t="str">
            <v>204:451</v>
          </cell>
          <cell r="E41">
            <v>42618.301157407404</v>
          </cell>
          <cell r="F41">
            <v>42618.302083333336</v>
          </cell>
          <cell r="G41">
            <v>1</v>
          </cell>
          <cell r="H41" t="str">
            <v>204:233270</v>
          </cell>
          <cell r="I41">
            <v>42618.328472222223</v>
          </cell>
          <cell r="J41">
            <v>0</v>
          </cell>
          <cell r="K41" t="str">
            <v>4011/4012</v>
          </cell>
          <cell r="L41" t="str">
            <v>MALAVE</v>
          </cell>
          <cell r="M41">
            <v>2.6388888887595385E-2</v>
          </cell>
          <cell r="N41">
            <v>37.999999998137355</v>
          </cell>
          <cell r="S41">
            <v>1</v>
          </cell>
          <cell r="T41" t="str">
            <v>NorthBound</v>
          </cell>
          <cell r="U41">
            <v>12</v>
          </cell>
          <cell r="V41" t="str">
            <v>https://search-rtdc-monitor-bjffxe2xuh6vdkpspy63sjmuny.us-east-1.es.amazonaws.com/_plugin/kibana/#/discover/Steve-Slow-Train-Analysis-(2080s-and-2083s)?_g=(refreshInterval:(display:Off,section:0,value:0),time:(from:'2016-09-05 06:13:40-0600',mode:absolute,to:'2016-09-05 08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41" t="str">
            <v>N</v>
          </cell>
          <cell r="X41">
            <v>1</v>
          </cell>
          <cell r="Y41">
            <v>4.5100000000000001E-2</v>
          </cell>
          <cell r="Z41">
            <v>23.327000000000002</v>
          </cell>
          <cell r="AA41">
            <v>23.2819</v>
          </cell>
          <cell r="AB41">
            <v>116838</v>
          </cell>
          <cell r="AC41" t="str">
            <v>PERMANENT SPEED RESTRICTION</v>
          </cell>
          <cell r="AD41" t="str">
            <v>0129-05</v>
          </cell>
          <cell r="AE41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42">
          <cell r="A42" t="str">
            <v>130-05</v>
          </cell>
          <cell r="B42">
            <v>4012</v>
          </cell>
          <cell r="C42" t="str">
            <v>DE.1.0.7.0</v>
          </cell>
          <cell r="D42" t="str">
            <v>204:232961</v>
          </cell>
          <cell r="E42">
            <v>42618.339409722219</v>
          </cell>
          <cell r="F42">
            <v>42618.34107638889</v>
          </cell>
          <cell r="G42">
            <v>2</v>
          </cell>
          <cell r="H42" t="str">
            <v>204:154</v>
          </cell>
          <cell r="I42">
            <v>42618.368379629632</v>
          </cell>
          <cell r="J42">
            <v>0</v>
          </cell>
          <cell r="K42" t="str">
            <v>4011/4012</v>
          </cell>
          <cell r="L42" t="str">
            <v>MALAVE</v>
          </cell>
          <cell r="M42">
            <v>2.7303240742185153E-2</v>
          </cell>
          <cell r="N42">
            <v>39.31666666874662</v>
          </cell>
          <cell r="S42">
            <v>1</v>
          </cell>
          <cell r="T42" t="str">
            <v>Southbound</v>
          </cell>
          <cell r="U42">
            <v>12</v>
          </cell>
          <cell r="V42" t="str">
            <v>https://search-rtdc-monitor-bjffxe2xuh6vdkpspy63sjmuny.us-east-1.es.amazonaws.com/_plugin/kibana/#/discover/Steve-Slow-Train-Analysis-(2080s-and-2083s)?_g=(refreshInterval:(display:Off,section:0,value:0),time:(from:'2016-09-05 07:08:45-0600',mode:absolute,to:'2016-09-05 09:50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42" t="str">
            <v>N</v>
          </cell>
          <cell r="X42">
            <v>1</v>
          </cell>
          <cell r="Y42">
            <v>23.296099999999999</v>
          </cell>
          <cell r="Z42">
            <v>1.54E-2</v>
          </cell>
          <cell r="AA42">
            <v>23.2807</v>
          </cell>
          <cell r="AB42" t="e">
            <v>#N/A</v>
          </cell>
          <cell r="AC42" t="e">
            <v>#N/A</v>
          </cell>
          <cell r="AD42" t="str">
            <v>0130-05</v>
          </cell>
          <cell r="AE42" t="str">
    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    </cell>
        </row>
        <row r="43">
          <cell r="A43" t="str">
            <v>131-05</v>
          </cell>
          <cell r="B43">
            <v>4002</v>
          </cell>
          <cell r="C43" t="str">
            <v>DE.1.0.7.0</v>
          </cell>
          <cell r="D43" t="str">
            <v>204:458</v>
          </cell>
          <cell r="E43">
            <v>42618.307245370372</v>
          </cell>
          <cell r="F43">
            <v>42618.308252314811</v>
          </cell>
          <cell r="G43">
            <v>1</v>
          </cell>
          <cell r="H43" t="str">
            <v>204:233302</v>
          </cell>
          <cell r="I43">
            <v>42618.337581018517</v>
          </cell>
          <cell r="J43">
            <v>0</v>
          </cell>
          <cell r="K43" t="str">
            <v>4001/4002</v>
          </cell>
          <cell r="L43" t="str">
            <v>ACKERMAN</v>
          </cell>
          <cell r="M43">
            <v>2.9328703705687076E-2</v>
          </cell>
          <cell r="N43">
            <v>42.233333336189389</v>
          </cell>
          <cell r="S43">
            <v>1</v>
          </cell>
          <cell r="T43" t="str">
            <v>NorthBound</v>
          </cell>
          <cell r="U43">
            <v>12</v>
          </cell>
          <cell r="V43" t="str">
            <v>https://search-rtdc-monitor-bjffxe2xuh6vdkpspy63sjmuny.us-east-1.es.amazonaws.com/_plugin/kibana/#/discover/Steve-Slow-Train-Analysis-(2080s-and-2083s)?_g=(refreshInterval:(display:Off,section:0,value:0),time:(from:'2016-09-05 06:22:26-0600',mode:absolute,to:'2016-09-05 09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43" t="str">
            <v>N</v>
          </cell>
          <cell r="X43">
            <v>1</v>
          </cell>
          <cell r="Y43">
            <v>4.58E-2</v>
          </cell>
          <cell r="Z43">
            <v>23.330200000000001</v>
          </cell>
          <cell r="AA43">
            <v>23.284400000000002</v>
          </cell>
          <cell r="AB43" t="e">
            <v>#N/A</v>
          </cell>
          <cell r="AC43" t="e">
            <v>#N/A</v>
          </cell>
          <cell r="AD43" t="str">
            <v>0131-05</v>
          </cell>
          <cell r="AE43" t="str">
    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    </cell>
        </row>
        <row r="44">
          <cell r="A44" t="str">
            <v>132-05</v>
          </cell>
          <cell r="B44">
            <v>4001</v>
          </cell>
          <cell r="C44" t="str">
            <v>DE.1.0.7.0</v>
          </cell>
          <cell r="D44" t="str">
            <v>204:232989</v>
          </cell>
          <cell r="E44">
            <v>42618.345752314817</v>
          </cell>
          <cell r="F44">
            <v>42618.346863425926</v>
          </cell>
          <cell r="G44">
            <v>1</v>
          </cell>
          <cell r="H44" t="str">
            <v>204:149</v>
          </cell>
          <cell r="I44">
            <v>42618.378287037034</v>
          </cell>
          <cell r="J44">
            <v>0</v>
          </cell>
          <cell r="K44" t="str">
            <v>4001/4002</v>
          </cell>
          <cell r="L44" t="str">
            <v>ACKERMAN</v>
          </cell>
          <cell r="M44">
            <v>3.142361110803904E-2</v>
          </cell>
          <cell r="N44">
            <v>45.249999995576218</v>
          </cell>
          <cell r="S44">
            <v>1</v>
          </cell>
          <cell r="T44" t="str">
            <v>Southbound</v>
          </cell>
          <cell r="U44">
            <v>12</v>
          </cell>
          <cell r="V44" t="str">
            <v>https://search-rtdc-monitor-bjffxe2xuh6vdkpspy63sjmuny.us-east-1.es.amazonaws.com/_plugin/kibana/#/discover/Steve-Slow-Train-Analysis-(2080s-and-2083s)?_g=(refreshInterval:(display:Off,section:0,value:0),time:(from:'2016-09-05 07:17:53-0600',mode:absolute,to:'2016-09-05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44" t="str">
            <v>N</v>
          </cell>
          <cell r="X44">
            <v>1</v>
          </cell>
          <cell r="Y44">
            <v>23.2989</v>
          </cell>
          <cell r="Z44">
            <v>1.49E-2</v>
          </cell>
          <cell r="AA44">
            <v>23.283999999999999</v>
          </cell>
          <cell r="AB44" t="e">
            <v>#N/A</v>
          </cell>
          <cell r="AC44" t="e">
            <v>#N/A</v>
          </cell>
          <cell r="AD44" t="str">
            <v>0132-05</v>
          </cell>
          <cell r="AE44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45">
          <cell r="A45" t="str">
            <v>133-05</v>
          </cell>
          <cell r="B45">
            <v>4020</v>
          </cell>
          <cell r="C45" t="str">
            <v>DE.1.0.7.0</v>
          </cell>
          <cell r="D45" t="str">
            <v>204:464</v>
          </cell>
          <cell r="E45">
            <v>42618.316608796296</v>
          </cell>
          <cell r="F45">
            <v>42618.317893518521</v>
          </cell>
          <cell r="G45">
            <v>1</v>
          </cell>
          <cell r="H45" t="str">
            <v>204:233314</v>
          </cell>
          <cell r="I45">
            <v>42618.34784722222</v>
          </cell>
          <cell r="J45">
            <v>0</v>
          </cell>
          <cell r="K45" t="str">
            <v>4019/4020</v>
          </cell>
          <cell r="L45" t="str">
            <v>BRANNON</v>
          </cell>
          <cell r="M45">
            <v>2.9953703698993195E-2</v>
          </cell>
          <cell r="N45">
            <v>43.133333326550201</v>
          </cell>
          <cell r="S45">
            <v>1</v>
          </cell>
          <cell r="T45" t="str">
            <v>NorthBound</v>
          </cell>
          <cell r="U45">
            <v>12</v>
          </cell>
          <cell r="V45" t="str">
            <v>https://search-rtdc-monitor-bjffxe2xuh6vdkpspy63sjmuny.us-east-1.es.amazonaws.com/_plugin/kibana/#/discover/Steve-Slow-Train-Analysis-(2080s-and-2083s)?_g=(refreshInterval:(display:Off,section:0,value:0),time:(from:'2016-09-05 06:35:55-0600',mode:absolute,to:'2016-09-05 09:20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45" t="str">
            <v>N</v>
          </cell>
          <cell r="X45">
            <v>1</v>
          </cell>
          <cell r="Y45">
            <v>4.6399999999999997E-2</v>
          </cell>
          <cell r="Z45">
            <v>23.331399999999999</v>
          </cell>
          <cell r="AA45">
            <v>23.285</v>
          </cell>
          <cell r="AB45" t="e">
            <v>#N/A</v>
          </cell>
          <cell r="AC45" t="e">
            <v>#N/A</v>
          </cell>
          <cell r="AD45" t="str">
            <v>0133-05</v>
          </cell>
          <cell r="AE45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46">
          <cell r="A46" t="str">
            <v>134-05</v>
          </cell>
          <cell r="B46">
            <v>4019</v>
          </cell>
          <cell r="C46" t="str">
            <v>DE.1.0.7.0</v>
          </cell>
          <cell r="D46" t="str">
            <v>204:233001</v>
          </cell>
          <cell r="E46">
            <v>42618.352037037039</v>
          </cell>
          <cell r="F46">
            <v>42618.353148148148</v>
          </cell>
          <cell r="G46">
            <v>1</v>
          </cell>
          <cell r="H46" t="str">
            <v>204:145</v>
          </cell>
          <cell r="I46">
            <v>42618.388032407405</v>
          </cell>
          <cell r="J46">
            <v>0</v>
          </cell>
          <cell r="K46" t="str">
            <v>4019/4020</v>
          </cell>
          <cell r="L46" t="str">
            <v>BRANNON</v>
          </cell>
          <cell r="M46">
            <v>3.4884259257523809E-2</v>
          </cell>
          <cell r="N46">
            <v>50.233333330834284</v>
          </cell>
          <cell r="S46">
            <v>1</v>
          </cell>
          <cell r="T46" t="str">
            <v>Southbound</v>
          </cell>
          <cell r="U46">
            <v>12</v>
          </cell>
          <cell r="V46" t="str">
            <v>https://search-rtdc-monitor-bjffxe2xuh6vdkpspy63sjmuny.us-east-1.es.amazonaws.com/_plugin/kibana/#/discover/Steve-Slow-Train-Analysis-(2080s-and-2083s)?_g=(refreshInterval:(display:Off,section:0,value:0),time:(from:'2016-09-05 07:26:56-0600',mode:absolute,to:'2016-09-05 10:18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46" t="str">
            <v>N</v>
          </cell>
          <cell r="X46">
            <v>1</v>
          </cell>
          <cell r="Y46">
            <v>23.3001</v>
          </cell>
          <cell r="Z46">
            <v>1.4500000000000001E-2</v>
          </cell>
          <cell r="AA46">
            <v>23.285599999999999</v>
          </cell>
          <cell r="AB46" t="e">
            <v>#N/A</v>
          </cell>
          <cell r="AC46" t="e">
            <v>#N/A</v>
          </cell>
          <cell r="AD46" t="str">
            <v>0134-05</v>
          </cell>
          <cell r="AE46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47">
          <cell r="A47" t="str">
            <v>135-05</v>
          </cell>
          <cell r="B47">
            <v>4044</v>
          </cell>
          <cell r="C47" t="str">
            <v>DE.1.0.7.0</v>
          </cell>
          <cell r="D47" t="str">
            <v>204:462</v>
          </cell>
          <cell r="E47">
            <v>42618.328518518516</v>
          </cell>
          <cell r="F47">
            <v>42618.329502314817</v>
          </cell>
          <cell r="G47">
            <v>1</v>
          </cell>
          <cell r="H47" t="str">
            <v>204:233317</v>
          </cell>
          <cell r="I47">
            <v>42618.358622685184</v>
          </cell>
          <cell r="J47">
            <v>0</v>
          </cell>
          <cell r="K47" t="str">
            <v>4043/4044</v>
          </cell>
          <cell r="L47" t="str">
            <v>SPECTOR</v>
          </cell>
          <cell r="M47">
            <v>2.9120370367309079E-2</v>
          </cell>
          <cell r="N47">
            <v>41.933333328925073</v>
          </cell>
          <cell r="S47">
            <v>1</v>
          </cell>
          <cell r="T47" t="str">
            <v>NorthBound</v>
          </cell>
          <cell r="U47">
            <v>12</v>
          </cell>
          <cell r="V47" t="str">
            <v>https://search-rtdc-monitor-bjffxe2xuh6vdkpspy63sjmuny.us-east-1.es.amazonaws.com/_plugin/kibana/#/discover/Steve-Slow-Train-Analysis-(2080s-and-2083s)?_g=(refreshInterval:(display:Off,section:0,value:0),time:(from:'2016-09-05 06:53:04-0600',mode:absolute,to:'2016-09-05 09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47" t="str">
            <v>N</v>
          </cell>
          <cell r="X47">
            <v>1</v>
          </cell>
          <cell r="Y47">
            <v>4.6199999999999998E-2</v>
          </cell>
          <cell r="Z47">
            <v>23.331700000000001</v>
          </cell>
          <cell r="AA47">
            <v>23.285500000000003</v>
          </cell>
          <cell r="AB47" t="e">
            <v>#N/A</v>
          </cell>
          <cell r="AC47" t="e">
            <v>#N/A</v>
          </cell>
          <cell r="AD47" t="str">
            <v>0135-05</v>
          </cell>
          <cell r="AE47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48">
          <cell r="A48" t="str">
            <v>136-05</v>
          </cell>
          <cell r="B48">
            <v>4043</v>
          </cell>
          <cell r="C48" t="str">
            <v>DE.1.0.7.0</v>
          </cell>
          <cell r="D48" t="str">
            <v>204:233032</v>
          </cell>
          <cell r="E48">
            <v>42618.36791666667</v>
          </cell>
          <cell r="F48">
            <v>42618.369062500002</v>
          </cell>
          <cell r="G48">
            <v>1</v>
          </cell>
          <cell r="H48" t="str">
            <v>204:232</v>
          </cell>
          <cell r="I48">
            <v>42618.398634259262</v>
          </cell>
          <cell r="J48">
            <v>0</v>
          </cell>
          <cell r="K48" t="str">
            <v>4043/4044</v>
          </cell>
          <cell r="L48" t="str">
            <v>SPECTOR</v>
          </cell>
          <cell r="M48">
            <v>2.9571759259852115E-2</v>
          </cell>
          <cell r="N48">
            <v>42.583333334187046</v>
          </cell>
          <cell r="S48">
            <v>1</v>
          </cell>
          <cell r="T48" t="str">
            <v>Southbound</v>
          </cell>
          <cell r="U48">
            <v>12</v>
          </cell>
          <cell r="V48" t="str">
            <v>https://search-rtdc-monitor-bjffxe2xuh6vdkpspy63sjmuny.us-east-1.es.amazonaws.com/_plugin/kibana/#/discover/Steve-Slow-Train-Analysis-(2080s-and-2083s)?_g=(refreshInterval:(display:Off,section:0,value:0),time:(from:'2016-09-05 07:49:48-0600',mode:absolute,to:'2016-09-05 10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48" t="str">
            <v>N</v>
          </cell>
          <cell r="X48">
            <v>1</v>
          </cell>
          <cell r="Y48">
            <v>23.3032</v>
          </cell>
          <cell r="Z48">
            <v>2.3199999999999998E-2</v>
          </cell>
          <cell r="AA48">
            <v>23.28</v>
          </cell>
          <cell r="AB48" t="e">
            <v>#N/A</v>
          </cell>
          <cell r="AC48" t="e">
            <v>#N/A</v>
          </cell>
          <cell r="AD48" t="str">
            <v>0136-05</v>
          </cell>
          <cell r="AE48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49">
          <cell r="A49" t="str">
            <v>137-05</v>
          </cell>
          <cell r="B49">
            <v>4016</v>
          </cell>
          <cell r="C49" t="str">
            <v>DE.1.0.7.0</v>
          </cell>
          <cell r="D49" t="str">
            <v>204:457</v>
          </cell>
          <cell r="E49">
            <v>42618.337638888886</v>
          </cell>
          <cell r="F49">
            <v>42618.338541666664</v>
          </cell>
          <cell r="G49">
            <v>1</v>
          </cell>
          <cell r="H49" t="str">
            <v>204:233301</v>
          </cell>
          <cell r="I49">
            <v>42618.368020833332</v>
          </cell>
          <cell r="J49">
            <v>0</v>
          </cell>
          <cell r="K49" t="str">
            <v>4015/4016</v>
          </cell>
          <cell r="L49" t="str">
            <v>YORK</v>
          </cell>
          <cell r="M49">
            <v>2.9479166667442769E-2</v>
          </cell>
          <cell r="N49">
            <v>42.450000001117587</v>
          </cell>
          <cell r="S49">
            <v>1</v>
          </cell>
          <cell r="T49" t="str">
            <v>NorthBound</v>
          </cell>
          <cell r="U49">
            <v>12</v>
          </cell>
          <cell r="V49" t="str">
            <v>https://search-rtdc-monitor-bjffxe2xuh6vdkpspy63sjmuny.us-east-1.es.amazonaws.com/_plugin/kibana/#/discover/Steve-Slow-Train-Analysis-(2080s-and-2083s)?_g=(refreshInterval:(display:Off,section:0,value:0),time:(from:'2016-09-05 07:06:12-0600',mode:absolute,to:'2016-09-05 09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49" t="str">
            <v>N</v>
          </cell>
          <cell r="X49">
            <v>1</v>
          </cell>
          <cell r="Y49">
            <v>4.5699999999999998E-2</v>
          </cell>
          <cell r="Z49">
            <v>23.330100000000002</v>
          </cell>
          <cell r="AA49">
            <v>23.284400000000002</v>
          </cell>
          <cell r="AB49" t="e">
            <v>#N/A</v>
          </cell>
          <cell r="AC49" t="e">
            <v>#N/A</v>
          </cell>
          <cell r="AD49" t="str">
            <v>0137-05</v>
          </cell>
          <cell r="AE49" t="str">
    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    </cell>
        </row>
        <row r="50">
          <cell r="A50" t="str">
            <v>138-05</v>
          </cell>
          <cell r="B50">
            <v>4015</v>
          </cell>
          <cell r="C50" t="str">
            <v>DE.1.0.7.0</v>
          </cell>
          <cell r="D50" t="str">
            <v>204:232986</v>
          </cell>
          <cell r="E50">
            <v>42618.368888888886</v>
          </cell>
          <cell r="F50">
            <v>42618.369513888887</v>
          </cell>
          <cell r="G50">
            <v>0</v>
          </cell>
          <cell r="H50" t="str">
            <v>204:154</v>
          </cell>
          <cell r="I50">
            <v>42618.408171296294</v>
          </cell>
          <cell r="J50">
            <v>0</v>
          </cell>
          <cell r="K50" t="str">
            <v>4015/4016</v>
          </cell>
          <cell r="L50" t="str">
            <v>YORK</v>
          </cell>
          <cell r="M50">
            <v>3.8657407407299615E-2</v>
          </cell>
          <cell r="N50">
            <v>55.666666666511446</v>
          </cell>
          <cell r="S50">
            <v>1</v>
          </cell>
          <cell r="T50" t="str">
            <v>Southbound</v>
          </cell>
          <cell r="U50">
            <v>12</v>
          </cell>
          <cell r="V50" t="str">
            <v>https://search-rtdc-monitor-bjffxe2xuh6vdkpspy63sjmuny.us-east-1.es.amazonaws.com/_plugin/kibana/#/discover/Steve-Slow-Train-Analysis-(2080s-and-2083s)?_g=(refreshInterval:(display:Off,section:0,value:0),time:(from:'2016-09-05 07:51:12-0600',mode:absolute,to:'2016-09-05 10:47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50" t="str">
            <v>N</v>
          </cell>
          <cell r="X50">
            <v>1</v>
          </cell>
          <cell r="Y50">
            <v>23.2986</v>
          </cell>
          <cell r="Z50">
            <v>1.54E-2</v>
          </cell>
          <cell r="AA50">
            <v>23.283200000000001</v>
          </cell>
          <cell r="AB50" t="e">
            <v>#N/A</v>
          </cell>
          <cell r="AC50" t="e">
            <v>#N/A</v>
          </cell>
          <cell r="AD50" t="str">
            <v>0138-05</v>
          </cell>
          <cell r="AE50" t="str">
    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    </cell>
        </row>
        <row r="51">
          <cell r="A51" t="str">
            <v>139-05</v>
          </cell>
          <cell r="B51">
            <v>4014</v>
          </cell>
          <cell r="C51" t="str">
            <v>DE.1.0.7.0</v>
          </cell>
          <cell r="D51" t="str">
            <v>204:469</v>
          </cell>
          <cell r="E51">
            <v>42618.350277777776</v>
          </cell>
          <cell r="F51">
            <v>42618.35119212963</v>
          </cell>
          <cell r="G51">
            <v>1</v>
          </cell>
          <cell r="H51" t="str">
            <v>204:233255</v>
          </cell>
          <cell r="I51">
            <v>42618.379814814813</v>
          </cell>
          <cell r="J51">
            <v>0</v>
          </cell>
          <cell r="K51" t="str">
            <v>4013/4014</v>
          </cell>
          <cell r="L51" t="str">
            <v>STARKS</v>
          </cell>
          <cell r="M51">
            <v>2.8622685182199348E-2</v>
          </cell>
          <cell r="N51">
            <v>41.216666662367061</v>
          </cell>
          <cell r="S51">
            <v>1</v>
          </cell>
          <cell r="T51" t="str">
            <v>NorthBound</v>
          </cell>
          <cell r="U51">
            <v>12</v>
          </cell>
          <cell r="V51" t="str">
            <v>https://search-rtdc-monitor-bjffxe2xuh6vdkpspy63sjmuny.us-east-1.es.amazonaws.com/_plugin/kibana/#/discover/Steve-Slow-Train-Analysis-(2080s-and-2083s)?_g=(refreshInterval:(display:Off,section:0,value:0),time:(from:'2016-09-05 07:24:24-0600',mode:absolute,to:'2016-09-05 10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51" t="str">
            <v>N</v>
          </cell>
          <cell r="X51">
            <v>1</v>
          </cell>
          <cell r="Y51">
            <v>4.6899999999999997E-2</v>
          </cell>
          <cell r="Z51">
            <v>23.325500000000002</v>
          </cell>
          <cell r="AA51">
            <v>23.278600000000001</v>
          </cell>
          <cell r="AB51" t="e">
            <v>#N/A</v>
          </cell>
          <cell r="AC51" t="e">
            <v>#N/A</v>
          </cell>
          <cell r="AD51" t="str">
            <v>0139-05</v>
          </cell>
          <cell r="AE51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52">
          <cell r="A52" t="str">
            <v>140-05</v>
          </cell>
          <cell r="B52">
            <v>4013</v>
          </cell>
          <cell r="C52" t="str">
            <v>DE.1.0.7.0</v>
          </cell>
          <cell r="D52" t="str">
            <v>204:232932</v>
          </cell>
          <cell r="E52">
            <v>42618.381377314814</v>
          </cell>
          <cell r="F52">
            <v>42618.382256944446</v>
          </cell>
          <cell r="G52">
            <v>1</v>
          </cell>
          <cell r="H52" t="str">
            <v>204:163</v>
          </cell>
          <cell r="I52">
            <v>42618.420960648145</v>
          </cell>
          <cell r="J52">
            <v>0</v>
          </cell>
          <cell r="K52" t="str">
            <v>4013/4014</v>
          </cell>
          <cell r="L52" t="str">
            <v>STARKS</v>
          </cell>
          <cell r="M52">
            <v>3.870370369986631E-2</v>
          </cell>
          <cell r="N52">
            <v>55.733333327807486</v>
          </cell>
          <cell r="S52">
            <v>1</v>
          </cell>
          <cell r="T52" t="str">
            <v>Southbound</v>
          </cell>
          <cell r="U52">
            <v>12</v>
          </cell>
          <cell r="V52" t="str">
            <v>https://search-rtdc-monitor-bjffxe2xuh6vdkpspy63sjmuny.us-east-1.es.amazonaws.com/_plugin/kibana/#/discover/Steve-Slow-Train-Analysis-(2080s-and-2083s)?_g=(refreshInterval:(display:Off,section:0,value:0),time:(from:'2016-09-05 08:09:11-0600',mode:absolute,to:'2016-09-05 11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52" t="str">
            <v>N</v>
          </cell>
          <cell r="X52">
            <v>1</v>
          </cell>
          <cell r="Y52">
            <v>23.293199999999999</v>
          </cell>
          <cell r="Z52">
            <v>1.6299999999999999E-2</v>
          </cell>
          <cell r="AA52">
            <v>23.276899999999998</v>
          </cell>
          <cell r="AB52">
            <v>27350</v>
          </cell>
          <cell r="AC52" t="str">
            <v>GRADE CROSSING</v>
          </cell>
          <cell r="AD52" t="str">
            <v>0140-05</v>
          </cell>
          <cell r="AE52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53">
          <cell r="A53" t="str">
            <v>141-05</v>
          </cell>
          <cell r="B53">
            <v>4027</v>
          </cell>
          <cell r="C53" t="str">
            <v>DE.1.0.7.0</v>
          </cell>
          <cell r="D53" t="str">
            <v>204:458</v>
          </cell>
          <cell r="E53">
            <v>42618.360879629632</v>
          </cell>
          <cell r="F53">
            <v>42618.361990740741</v>
          </cell>
          <cell r="G53">
            <v>1</v>
          </cell>
          <cell r="H53" t="str">
            <v>204:233274</v>
          </cell>
          <cell r="I53">
            <v>42618.389328703706</v>
          </cell>
          <cell r="J53">
            <v>0</v>
          </cell>
          <cell r="K53" t="str">
            <v>4027/4028</v>
          </cell>
          <cell r="L53" t="str">
            <v>KILLION</v>
          </cell>
          <cell r="M53">
            <v>2.7337962965248153E-2</v>
          </cell>
          <cell r="N53">
            <v>39.36666666995734</v>
          </cell>
          <cell r="S53">
            <v>1</v>
          </cell>
          <cell r="T53" t="str">
            <v>NorthBound</v>
          </cell>
          <cell r="U53">
            <v>12</v>
          </cell>
          <cell r="V53" t="str">
            <v>https://search-rtdc-monitor-bjffxe2xuh6vdkpspy63sjmuny.us-east-1.es.amazonaws.com/_plugin/kibana/#/discover/Steve-Slow-Train-Analysis-(2080s-and-2083s)?_g=(refreshInterval:(display:Off,section:0,value:0),time:(from:'2016-09-05 07:39:40-0600',mode:absolute,to:'2016-09-05 10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53" t="str">
            <v>N</v>
          </cell>
          <cell r="X53">
            <v>1</v>
          </cell>
          <cell r="Y53">
            <v>4.58E-2</v>
          </cell>
          <cell r="Z53">
            <v>23.327400000000001</v>
          </cell>
          <cell r="AA53">
            <v>23.281600000000001</v>
          </cell>
          <cell r="AB53" t="e">
            <v>#N/A</v>
          </cell>
          <cell r="AC53" t="e">
            <v>#N/A</v>
          </cell>
          <cell r="AD53" t="str">
            <v>0141-05</v>
          </cell>
          <cell r="AE53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54">
          <cell r="A54" t="str">
            <v>142-05</v>
          </cell>
          <cell r="B54">
            <v>4028</v>
          </cell>
          <cell r="C54" t="str">
            <v>DE.1.0.7.0</v>
          </cell>
          <cell r="D54" t="str">
            <v>204:232969</v>
          </cell>
          <cell r="E54">
            <v>42618.396087962959</v>
          </cell>
          <cell r="F54">
            <v>42618.396898148145</v>
          </cell>
          <cell r="G54">
            <v>1</v>
          </cell>
          <cell r="H54" t="str">
            <v>204:169</v>
          </cell>
          <cell r="I54">
            <v>42618.430196759262</v>
          </cell>
          <cell r="J54">
            <v>0</v>
          </cell>
          <cell r="K54" t="str">
            <v>4027/4028</v>
          </cell>
          <cell r="L54" t="str">
            <v>KILLION</v>
          </cell>
          <cell r="M54">
            <v>3.3298611117061228E-2</v>
          </cell>
          <cell r="N54">
            <v>47.950000008568168</v>
          </cell>
          <cell r="S54">
            <v>1</v>
          </cell>
          <cell r="T54" t="str">
            <v>Southbound</v>
          </cell>
          <cell r="U54">
            <v>12</v>
          </cell>
          <cell r="V54" t="str">
            <v>https://search-rtdc-monitor-bjffxe2xuh6vdkpspy63sjmuny.us-east-1.es.amazonaws.com/_plugin/kibana/#/discover/Steve-Slow-Train-Analysis-(2080s-and-2083s)?_g=(refreshInterval:(display:Off,section:0,value:0),time:(from:'2016-09-05 08:30:22-0600',mode:absolute,to:'2016-09-05 11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54" t="str">
            <v>N</v>
          </cell>
          <cell r="X54">
            <v>1</v>
          </cell>
          <cell r="Y54">
            <v>23.296900000000001</v>
          </cell>
          <cell r="Z54">
            <v>1.6899999999999998E-2</v>
          </cell>
          <cell r="AA54">
            <v>23.28</v>
          </cell>
          <cell r="AB54" t="e">
            <v>#N/A</v>
          </cell>
          <cell r="AC54" t="e">
            <v>#N/A</v>
          </cell>
          <cell r="AD54" t="str">
            <v>0142-05</v>
          </cell>
          <cell r="AE54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55">
          <cell r="A55" t="str">
            <v>143-05</v>
          </cell>
          <cell r="B55">
            <v>4011</v>
          </cell>
          <cell r="C55" t="str">
            <v>DE.1.0.7.0</v>
          </cell>
          <cell r="D55" t="str">
            <v>204:451</v>
          </cell>
          <cell r="E55">
            <v>42618.373333333337</v>
          </cell>
          <cell r="F55">
            <v>42618.374236111114</v>
          </cell>
          <cell r="G55">
            <v>1</v>
          </cell>
          <cell r="H55" t="str">
            <v>204:233281</v>
          </cell>
          <cell r="I55">
            <v>42618.40179398148</v>
          </cell>
          <cell r="J55">
            <v>0</v>
          </cell>
          <cell r="K55" t="str">
            <v>4011/4012</v>
          </cell>
          <cell r="L55" t="str">
            <v>MALAVE</v>
          </cell>
          <cell r="M55">
            <v>2.7557870365853887E-2</v>
          </cell>
          <cell r="N55">
            <v>39.683333326829597</v>
          </cell>
          <cell r="S55">
            <v>1</v>
          </cell>
          <cell r="T55" t="str">
            <v>NorthBound</v>
          </cell>
          <cell r="U55">
            <v>12</v>
          </cell>
          <cell r="V55" t="str">
            <v>https://search-rtdc-monitor-bjffxe2xuh6vdkpspy63sjmuny.us-east-1.es.amazonaws.com/_plugin/kibana/#/discover/Steve-Slow-Train-Analysis-(2080s-and-2083s)?_g=(refreshInterval:(display:Off,section:0,value:0),time:(from:'2016-09-05 07:57:36-0600',mode:absolute,to:'2016-09-05 10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55" t="str">
            <v>N</v>
          </cell>
          <cell r="X55">
            <v>1</v>
          </cell>
          <cell r="Y55">
            <v>4.5100000000000001E-2</v>
          </cell>
          <cell r="Z55">
            <v>23.328099999999999</v>
          </cell>
          <cell r="AA55">
            <v>23.282999999999998</v>
          </cell>
          <cell r="AB55">
            <v>33137</v>
          </cell>
          <cell r="AC55" t="str">
            <v>GRADE CROSSING</v>
          </cell>
          <cell r="AD55" t="str">
            <v>0143-05</v>
          </cell>
          <cell r="AE55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56">
          <cell r="A56" t="str">
            <v>144-05</v>
          </cell>
          <cell r="B56">
            <v>4012</v>
          </cell>
          <cell r="C56" t="str">
            <v>DE.1.0.7.0</v>
          </cell>
          <cell r="D56" t="str">
            <v>204:232951</v>
          </cell>
          <cell r="E56">
            <v>42618.411608796298</v>
          </cell>
          <cell r="F56">
            <v>42618.412476851852</v>
          </cell>
          <cell r="G56">
            <v>1</v>
          </cell>
          <cell r="H56" t="str">
            <v>204:160</v>
          </cell>
          <cell r="I56">
            <v>42618.441284722219</v>
          </cell>
          <cell r="J56">
            <v>0</v>
          </cell>
          <cell r="K56" t="str">
            <v>4011/4012</v>
          </cell>
          <cell r="L56" t="str">
            <v>MALAVE</v>
          </cell>
          <cell r="M56">
            <v>2.880787036701804E-2</v>
          </cell>
          <cell r="N56">
            <v>41.483333328505978</v>
          </cell>
          <cell r="S56">
            <v>1</v>
          </cell>
          <cell r="T56" t="str">
            <v>Southbound</v>
          </cell>
          <cell r="U56">
            <v>12</v>
          </cell>
          <cell r="V56" t="str">
            <v>https://search-rtdc-monitor-bjffxe2xuh6vdkpspy63sjmuny.us-east-1.es.amazonaws.com/_plugin/kibana/#/discover/Steve-Slow-Train-Analysis-(2080s-and-2083s)?_g=(refreshInterval:(display:Off,section:0,value:0),time:(from:'2016-09-05 08:52:43-0600',mode:absolute,to:'2016-09-05 11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56" t="str">
            <v>N</v>
          </cell>
          <cell r="X56">
            <v>1</v>
          </cell>
          <cell r="Y56">
            <v>23.295100000000001</v>
          </cell>
          <cell r="Z56">
            <v>1.6E-2</v>
          </cell>
          <cell r="AA56">
            <v>23.279100000000003</v>
          </cell>
          <cell r="AB56" t="e">
            <v>#N/A</v>
          </cell>
          <cell r="AC56" t="e">
            <v>#N/A</v>
          </cell>
          <cell r="AD56" t="str">
            <v>0144-05</v>
          </cell>
          <cell r="AE56" t="str">
    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    </cell>
        </row>
        <row r="57">
          <cell r="A57" t="str">
            <v>145-05</v>
          </cell>
          <cell r="B57">
            <v>4002</v>
          </cell>
          <cell r="C57" t="str">
            <v>DE.1.0.7.0</v>
          </cell>
          <cell r="D57" t="str">
            <v>204:451</v>
          </cell>
          <cell r="E57">
            <v>42618.379907407405</v>
          </cell>
          <cell r="F57">
            <v>42618.381076388891</v>
          </cell>
          <cell r="G57">
            <v>1</v>
          </cell>
          <cell r="H57" t="str">
            <v>204:233280</v>
          </cell>
          <cell r="I57">
            <v>42618.410358796296</v>
          </cell>
          <cell r="J57">
            <v>0</v>
          </cell>
          <cell r="K57" t="str">
            <v>4001/4002</v>
          </cell>
          <cell r="L57" t="str">
            <v>ACKERMAN</v>
          </cell>
          <cell r="M57">
            <v>2.9282407405844424E-2</v>
          </cell>
          <cell r="N57">
            <v>42.16666666441597</v>
          </cell>
          <cell r="S57">
            <v>1</v>
          </cell>
          <cell r="T57" t="str">
            <v>NorthBound</v>
          </cell>
          <cell r="U57">
            <v>12</v>
          </cell>
          <cell r="V57" t="str">
            <v>https://search-rtdc-monitor-bjffxe2xuh6vdkpspy63sjmuny.us-east-1.es.amazonaws.com/_plugin/kibana/#/discover/Steve-Slow-Train-Analysis-(2080s-and-2083s)?_g=(refreshInterval:(display:Off,section:0,value:0),time:(from:'2016-09-05 08:07:04-0600',mode:absolute,to:'2016-09-05 10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57" t="str">
            <v>N</v>
          </cell>
          <cell r="X57">
            <v>1</v>
          </cell>
          <cell r="Y57">
            <v>4.5100000000000001E-2</v>
          </cell>
          <cell r="Z57">
            <v>23.327999999999999</v>
          </cell>
          <cell r="AA57">
            <v>23.282899999999998</v>
          </cell>
          <cell r="AB57" t="e">
            <v>#N/A</v>
          </cell>
          <cell r="AC57" t="e">
            <v>#N/A</v>
          </cell>
          <cell r="AD57" t="str">
            <v>0145-05</v>
          </cell>
          <cell r="AE57" t="str">
    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    </cell>
        </row>
        <row r="58">
          <cell r="A58" t="str">
            <v>146-05</v>
          </cell>
          <cell r="B58">
            <v>4001</v>
          </cell>
          <cell r="C58" t="str">
            <v>DE.1.0.7.0</v>
          </cell>
          <cell r="D58" t="str">
            <v>204:232975</v>
          </cell>
          <cell r="E58">
            <v>42618.417453703703</v>
          </cell>
          <cell r="F58">
            <v>42618.418298611112</v>
          </cell>
          <cell r="G58">
            <v>1</v>
          </cell>
          <cell r="H58" t="str">
            <v>204:141</v>
          </cell>
          <cell r="I58">
            <v>42618.451932870368</v>
          </cell>
          <cell r="J58">
            <v>0</v>
          </cell>
          <cell r="K58" t="str">
            <v>4001/4002</v>
          </cell>
          <cell r="L58" t="str">
            <v>ACKERMAN</v>
          </cell>
          <cell r="M58">
            <v>3.3634259256359655E-2</v>
          </cell>
          <cell r="N58">
            <v>48.433333329157904</v>
          </cell>
          <cell r="S58">
            <v>1</v>
          </cell>
          <cell r="T58" t="str">
            <v>Southbound</v>
          </cell>
          <cell r="U58">
            <v>12</v>
          </cell>
          <cell r="V58" t="str">
            <v>https://search-rtdc-monitor-bjffxe2xuh6vdkpspy63sjmuny.us-east-1.es.amazonaws.com/_plugin/kibana/#/discover/Steve-Slow-Train-Analysis-(2080s-and-2083s)?_g=(refreshInterval:(display:Off,section:0,value:0),time:(from:'2016-09-05 09:01:08-0600',mode:absolute,to:'2016-09-05 11:50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58" t="str">
            <v>N</v>
          </cell>
          <cell r="X58">
            <v>1</v>
          </cell>
          <cell r="Y58">
            <v>23.297499999999999</v>
          </cell>
          <cell r="Z58">
            <v>1.41E-2</v>
          </cell>
          <cell r="AA58">
            <v>23.2834</v>
          </cell>
          <cell r="AB58" t="e">
            <v>#N/A</v>
          </cell>
          <cell r="AC58" t="e">
            <v>#N/A</v>
          </cell>
          <cell r="AD58" t="str">
            <v>0146-05</v>
          </cell>
          <cell r="AE58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59">
          <cell r="A59" t="str">
            <v>147-05</v>
          </cell>
          <cell r="B59">
            <v>4020</v>
          </cell>
          <cell r="C59" t="str">
            <v>DE.1.0.7.0</v>
          </cell>
          <cell r="D59" t="str">
            <v>204:446</v>
          </cell>
          <cell r="E59">
            <v>42618.392928240741</v>
          </cell>
          <cell r="F59">
            <v>42618.393912037034</v>
          </cell>
          <cell r="G59">
            <v>1</v>
          </cell>
          <cell r="H59" t="str">
            <v>204:233310</v>
          </cell>
          <cell r="I59">
            <v>42618.42114583333</v>
          </cell>
          <cell r="J59">
            <v>0</v>
          </cell>
          <cell r="K59" t="str">
            <v>4019/4020</v>
          </cell>
          <cell r="L59" t="str">
            <v>BRANNON</v>
          </cell>
          <cell r="M59">
            <v>2.7233796296059154E-2</v>
          </cell>
          <cell r="N59">
            <v>39.216666666325182</v>
          </cell>
          <cell r="S59">
            <v>1</v>
          </cell>
          <cell r="T59" t="str">
            <v>NorthBound</v>
          </cell>
          <cell r="U59">
            <v>12</v>
          </cell>
          <cell r="V59" t="str">
            <v>https://search-rtdc-monitor-bjffxe2xuh6vdkpspy63sjmuny.us-east-1.es.amazonaws.com/_plugin/kibana/#/discover/Steve-Slow-Train-Analysis-(2080s-and-2083s)?_g=(refreshInterval:(display:Off,section:0,value:0),time:(from:'2016-09-05 08:25:49-0600',mode:absolute,to:'2016-09-05 11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59" t="str">
            <v>N</v>
          </cell>
          <cell r="X59">
            <v>1</v>
          </cell>
          <cell r="Y59">
            <v>4.4600000000000001E-2</v>
          </cell>
          <cell r="Z59">
            <v>23.331</v>
          </cell>
          <cell r="AA59">
            <v>23.2864</v>
          </cell>
          <cell r="AB59" t="e">
            <v>#N/A</v>
          </cell>
          <cell r="AC59" t="e">
            <v>#N/A</v>
          </cell>
          <cell r="AD59" t="str">
            <v>0147-05</v>
          </cell>
          <cell r="AE59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60">
          <cell r="A60" t="str">
            <v>148-05</v>
          </cell>
          <cell r="B60">
            <v>4019</v>
          </cell>
          <cell r="C60" t="str">
            <v>DE.1.0.7.0</v>
          </cell>
          <cell r="D60" t="str">
            <v>204:232991</v>
          </cell>
          <cell r="E60">
            <v>42618.42796296296</v>
          </cell>
          <cell r="F60">
            <v>42618.42900462963</v>
          </cell>
          <cell r="G60">
            <v>1</v>
          </cell>
          <cell r="H60" t="str">
            <v>204:152</v>
          </cell>
          <cell r="I60">
            <v>42618.461134259262</v>
          </cell>
          <cell r="J60">
            <v>0</v>
          </cell>
          <cell r="K60" t="str">
            <v>4019/4020</v>
          </cell>
          <cell r="L60" t="str">
            <v>BRANNON</v>
          </cell>
          <cell r="M60">
            <v>3.2129629631526768E-2</v>
          </cell>
          <cell r="N60">
            <v>46.266666669398546</v>
          </cell>
          <cell r="S60">
            <v>1</v>
          </cell>
          <cell r="T60" t="str">
            <v>Southbound</v>
          </cell>
          <cell r="U60">
            <v>12</v>
          </cell>
          <cell r="V60" t="str">
            <v>https://search-rtdc-monitor-bjffxe2xuh6vdkpspy63sjmuny.us-east-1.es.amazonaws.com/_plugin/kibana/#/discover/Steve-Slow-Train-Analysis-(2080s-and-2083s)?_g=(refreshInterval:(display:Off,section:0,value:0),time:(from:'2016-09-05 09:16:16-0600',mode:absolute,to:'2016-09-05 12:04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60" t="str">
            <v>N</v>
          </cell>
          <cell r="X60">
            <v>1</v>
          </cell>
          <cell r="Y60">
            <v>23.299099999999999</v>
          </cell>
          <cell r="Z60">
            <v>1.52E-2</v>
          </cell>
          <cell r="AA60">
            <v>23.283899999999999</v>
          </cell>
          <cell r="AB60" t="e">
            <v>#N/A</v>
          </cell>
          <cell r="AC60" t="e">
            <v>#N/A</v>
          </cell>
          <cell r="AD60" t="str">
            <v>0148-05</v>
          </cell>
          <cell r="AE60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61">
          <cell r="A61" t="str">
            <v>149-05</v>
          </cell>
          <cell r="B61">
            <v>4044</v>
          </cell>
          <cell r="C61" t="str">
            <v>DE.1.0.7.0</v>
          </cell>
          <cell r="D61" t="str">
            <v>204:539</v>
          </cell>
          <cell r="E61">
            <v>42618.400995370372</v>
          </cell>
          <cell r="F61">
            <v>42618.401828703703</v>
          </cell>
          <cell r="G61">
            <v>1</v>
          </cell>
          <cell r="H61" t="str">
            <v>204:233324</v>
          </cell>
          <cell r="I61">
            <v>42618.431261574071</v>
          </cell>
          <cell r="J61">
            <v>0</v>
          </cell>
          <cell r="K61" t="str">
            <v>4043/4044</v>
          </cell>
          <cell r="L61" t="str">
            <v>SPECTOR</v>
          </cell>
          <cell r="M61">
            <v>2.9432870367600117E-2</v>
          </cell>
          <cell r="N61">
            <v>42.383333329344168</v>
          </cell>
          <cell r="S61">
            <v>1</v>
          </cell>
          <cell r="T61" t="str">
            <v>NorthBound</v>
          </cell>
          <cell r="U61">
            <v>12</v>
          </cell>
          <cell r="V61" t="str">
            <v>https://search-rtdc-monitor-bjffxe2xuh6vdkpspy63sjmuny.us-east-1.es.amazonaws.com/_plugin/kibana/#/discover/Steve-Slow-Train-Analysis-(2080s-and-2083s)?_g=(refreshInterval:(display:Off,section:0,value:0),time:(from:'2016-09-05 08:37:26-0600',mode:absolute,to:'2016-09-05 11:21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61" t="str">
            <v>N</v>
          </cell>
          <cell r="X61">
            <v>1</v>
          </cell>
          <cell r="Y61">
            <v>5.3900000000000003E-2</v>
          </cell>
          <cell r="Z61">
            <v>23.3324</v>
          </cell>
          <cell r="AA61">
            <v>23.278500000000001</v>
          </cell>
          <cell r="AB61" t="e">
            <v>#N/A</v>
          </cell>
          <cell r="AC61" t="e">
            <v>#N/A</v>
          </cell>
          <cell r="AD61" t="str">
            <v>0149-05</v>
          </cell>
          <cell r="AE61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62">
          <cell r="A62" t="str">
            <v>150-05</v>
          </cell>
          <cell r="B62">
            <v>4043</v>
          </cell>
          <cell r="C62" t="str">
            <v>DE.1.0.7.0</v>
          </cell>
          <cell r="D62" t="str">
            <v>204:233001</v>
          </cell>
          <cell r="E62">
            <v>42618.440937500003</v>
          </cell>
          <cell r="F62">
            <v>42618.442141203705</v>
          </cell>
          <cell r="G62">
            <v>1</v>
          </cell>
          <cell r="H62" t="str">
            <v>204:245</v>
          </cell>
          <cell r="I62">
            <v>42618.476574074077</v>
          </cell>
          <cell r="J62">
            <v>0</v>
          </cell>
          <cell r="K62" t="str">
            <v>4043/4044</v>
          </cell>
          <cell r="L62" t="str">
            <v>SPECTOR</v>
          </cell>
          <cell r="M62">
            <v>3.443287037225673E-2</v>
          </cell>
          <cell r="N62">
            <v>49.583333336049691</v>
          </cell>
          <cell r="S62">
            <v>1</v>
          </cell>
          <cell r="T62" t="str">
            <v>Southbound</v>
          </cell>
          <cell r="U62">
            <v>12</v>
          </cell>
          <cell r="V62" t="str">
            <v>https://search-rtdc-monitor-bjffxe2xuh6vdkpspy63sjmuny.us-east-1.es.amazonaws.com/_plugin/kibana/#/discover/Steve-Slow-Train-Analysis-(2080s-and-2083s)?_g=(refreshInterval:(display:Off,section:0,value:0),time:(from:'2016-09-05 09:34:57-0600',mode:absolute,to:'2016-09-05 12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62" t="str">
            <v>N</v>
          </cell>
          <cell r="X62">
            <v>1</v>
          </cell>
          <cell r="Y62">
            <v>23.3001</v>
          </cell>
          <cell r="Z62">
            <v>2.4500000000000001E-2</v>
          </cell>
          <cell r="AA62">
            <v>23.275600000000001</v>
          </cell>
          <cell r="AB62" t="e">
            <v>#N/A</v>
          </cell>
          <cell r="AC62" t="e">
            <v>#N/A</v>
          </cell>
          <cell r="AD62" t="str">
            <v>0150-05</v>
          </cell>
          <cell r="AE62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63">
          <cell r="A63" t="str">
            <v>151-05</v>
          </cell>
          <cell r="B63">
            <v>4016</v>
          </cell>
          <cell r="C63" t="str">
            <v>DE.1.0.7.0</v>
          </cell>
          <cell r="D63" t="str">
            <v>204:451</v>
          </cell>
          <cell r="E63">
            <v>42618.409143518518</v>
          </cell>
          <cell r="F63">
            <v>42618.41002314815</v>
          </cell>
          <cell r="G63">
            <v>1</v>
          </cell>
          <cell r="H63" t="str">
            <v>204:233295</v>
          </cell>
          <cell r="I63">
            <v>42618.441261574073</v>
          </cell>
          <cell r="J63">
            <v>0</v>
          </cell>
          <cell r="K63" t="str">
            <v>4015/4016</v>
          </cell>
          <cell r="L63" t="str">
            <v>YORK</v>
          </cell>
          <cell r="M63">
            <v>3.1238425923220348E-2</v>
          </cell>
          <cell r="N63">
            <v>44.983333329437301</v>
          </cell>
          <cell r="S63">
            <v>1</v>
          </cell>
          <cell r="T63" t="str">
            <v>NorthBound</v>
          </cell>
          <cell r="U63">
            <v>12</v>
          </cell>
          <cell r="V63" t="str">
            <v>https://search-rtdc-monitor-bjffxe2xuh6vdkpspy63sjmuny.us-east-1.es.amazonaws.com/_plugin/kibana/#/discover/Steve-Slow-Train-Analysis-(2080s-and-2083s)?_g=(refreshInterval:(display:Off,section:0,value:0),time:(from:'2016-09-05 08:49:10-0600',mode:absolute,to:'2016-09-05 11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63" t="str">
            <v>N</v>
          </cell>
          <cell r="X63">
            <v>1</v>
          </cell>
          <cell r="Y63">
            <v>4.5100000000000001E-2</v>
          </cell>
          <cell r="Z63">
            <v>23.329499999999999</v>
          </cell>
          <cell r="AA63">
            <v>23.284399999999998</v>
          </cell>
          <cell r="AB63" t="e">
            <v>#N/A</v>
          </cell>
          <cell r="AC63" t="e">
            <v>#N/A</v>
          </cell>
          <cell r="AD63" t="str">
            <v>0151-05</v>
          </cell>
          <cell r="AE63" t="str">
    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    </cell>
        </row>
        <row r="64">
          <cell r="A64" t="str">
            <v>152-05</v>
          </cell>
          <cell r="B64">
            <v>4015</v>
          </cell>
          <cell r="C64" t="str">
            <v>DE.1.0.7.0</v>
          </cell>
          <cell r="D64" t="str">
            <v>204:232970</v>
          </cell>
          <cell r="E64">
            <v>42618.442152777781</v>
          </cell>
          <cell r="F64">
            <v>42618.442777777775</v>
          </cell>
          <cell r="G64">
            <v>0</v>
          </cell>
          <cell r="H64" t="str">
            <v>204:154</v>
          </cell>
          <cell r="I64">
            <v>42618.482754629629</v>
          </cell>
          <cell r="J64">
            <v>0</v>
          </cell>
          <cell r="K64" t="str">
            <v>4015/4016</v>
          </cell>
          <cell r="L64" t="str">
            <v>YORK</v>
          </cell>
          <cell r="M64">
            <v>3.9976851854589768E-2</v>
          </cell>
          <cell r="N64">
            <v>57.566666670609266</v>
          </cell>
          <cell r="S64">
            <v>1</v>
          </cell>
          <cell r="T64" t="str">
            <v>Southbound</v>
          </cell>
          <cell r="U64">
            <v>12</v>
          </cell>
          <cell r="V64" t="str">
            <v>https://search-rtdc-monitor-bjffxe2xuh6vdkpspy63sjmuny.us-east-1.es.amazonaws.com/_plugin/kibana/#/discover/Steve-Slow-Train-Analysis-(2080s-and-2083s)?_g=(refreshInterval:(display:Off,section:0,value:0),time:(from:'2016-09-05 09:36:42-0600',mode:absolute,to:'2016-09-05 12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64" t="str">
            <v>N</v>
          </cell>
          <cell r="X64">
            <v>1</v>
          </cell>
          <cell r="Y64">
            <v>23.297000000000001</v>
          </cell>
          <cell r="Z64">
            <v>1.54E-2</v>
          </cell>
          <cell r="AA64">
            <v>23.281600000000001</v>
          </cell>
          <cell r="AB64" t="e">
            <v>#N/A</v>
          </cell>
          <cell r="AC64" t="e">
            <v>#N/A</v>
          </cell>
          <cell r="AD64" t="str">
            <v>0152-05</v>
          </cell>
          <cell r="AE64" t="str">
    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    </cell>
        </row>
        <row r="65">
          <cell r="A65" t="str">
            <v>153-05</v>
          </cell>
          <cell r="B65">
            <v>4014</v>
          </cell>
          <cell r="C65" t="str">
            <v>DE.1.0.7.0</v>
          </cell>
          <cell r="D65" t="str">
            <v>204:462</v>
          </cell>
          <cell r="E65">
            <v>42618.42386574074</v>
          </cell>
          <cell r="F65">
            <v>42618.424687500003</v>
          </cell>
          <cell r="G65">
            <v>1</v>
          </cell>
          <cell r="H65" t="str">
            <v>204:233295</v>
          </cell>
          <cell r="I65">
            <v>42618.452465277776</v>
          </cell>
          <cell r="J65">
            <v>0</v>
          </cell>
          <cell r="K65" t="str">
            <v>4013/4014</v>
          </cell>
          <cell r="L65" t="str">
            <v>STARKS</v>
          </cell>
          <cell r="M65">
            <v>2.7777777773735579E-2</v>
          </cell>
          <cell r="N65">
            <v>39.999999994179234</v>
          </cell>
          <cell r="S65">
            <v>1</v>
          </cell>
          <cell r="T65" t="str">
            <v>NorthBound</v>
          </cell>
          <cell r="U65">
            <v>12</v>
          </cell>
          <cell r="V65" t="str">
            <v>https://search-rtdc-monitor-bjffxe2xuh6vdkpspy63sjmuny.us-east-1.es.amazonaws.com/_plugin/kibana/#/discover/Steve-Slow-Train-Analysis-(2080s-and-2083s)?_g=(refreshInterval:(display:Off,section:0,value:0),time:(from:'2016-09-05 09:10:22-0600',mode:absolute,to:'2016-09-05 11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65" t="str">
            <v>N</v>
          </cell>
          <cell r="X65">
            <v>1</v>
          </cell>
          <cell r="Y65">
            <v>4.6199999999999998E-2</v>
          </cell>
          <cell r="Z65">
            <v>23.329499999999999</v>
          </cell>
          <cell r="AA65">
            <v>23.283300000000001</v>
          </cell>
          <cell r="AB65" t="e">
            <v>#N/A</v>
          </cell>
          <cell r="AC65" t="e">
            <v>#N/A</v>
          </cell>
          <cell r="AD65" t="str">
            <v>0153-05</v>
          </cell>
          <cell r="AE65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66">
          <cell r="A66" t="str">
            <v>154-05</v>
          </cell>
          <cell r="B66">
            <v>4013</v>
          </cell>
          <cell r="C66" t="str">
            <v>DE.1.0.7.0</v>
          </cell>
          <cell r="D66" t="str">
            <v>204:232969</v>
          </cell>
          <cell r="E66">
            <v>42618.463263888887</v>
          </cell>
          <cell r="F66">
            <v>42618.464594907404</v>
          </cell>
          <cell r="G66">
            <v>1</v>
          </cell>
          <cell r="H66" t="str">
            <v>204:147</v>
          </cell>
          <cell r="I66">
            <v>42618.498819444445</v>
          </cell>
          <cell r="J66">
            <v>0</v>
          </cell>
          <cell r="K66" t="str">
            <v>4013/4014</v>
          </cell>
          <cell r="L66" t="str">
            <v>STARKS</v>
          </cell>
          <cell r="M66">
            <v>3.422453704115469E-2</v>
          </cell>
          <cell r="N66">
            <v>49.283333339262754</v>
          </cell>
          <cell r="S66">
            <v>1</v>
          </cell>
          <cell r="T66" t="str">
            <v>Southbound</v>
          </cell>
          <cell r="U66">
            <v>12</v>
          </cell>
          <cell r="V66" t="str">
            <v>https://search-rtdc-monitor-bjffxe2xuh6vdkpspy63sjmuny.us-east-1.es.amazonaws.com/_plugin/kibana/#/discover/Steve-Slow-Train-Analysis-(2080s-and-2083s)?_g=(refreshInterval:(display:Off,section:0,value:0),time:(from:'2016-09-05 10:07:06-0600',mode:absolute,to:'2016-09-05 12:58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66" t="str">
            <v>N</v>
          </cell>
          <cell r="X66">
            <v>1</v>
          </cell>
          <cell r="Y66">
            <v>23.296900000000001</v>
          </cell>
          <cell r="Z66">
            <v>1.47E-2</v>
          </cell>
          <cell r="AA66">
            <v>23.2822</v>
          </cell>
          <cell r="AB66">
            <v>53277</v>
          </cell>
          <cell r="AC66" t="str">
            <v>GRADE CROSSING</v>
          </cell>
          <cell r="AD66" t="str">
            <v>0154-05</v>
          </cell>
          <cell r="AE66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67">
          <cell r="A67" t="str">
            <v>155-05</v>
          </cell>
          <cell r="B67">
            <v>4027</v>
          </cell>
          <cell r="C67" t="str">
            <v>DE.1.0.7.0</v>
          </cell>
          <cell r="D67" t="str">
            <v>204:449</v>
          </cell>
          <cell r="E67">
            <v>42618.432986111111</v>
          </cell>
          <cell r="F67">
            <v>42618.434270833335</v>
          </cell>
          <cell r="G67">
            <v>1</v>
          </cell>
          <cell r="H67" t="str">
            <v>204:233306</v>
          </cell>
          <cell r="I67">
            <v>42618.463252314818</v>
          </cell>
          <cell r="J67">
            <v>0</v>
          </cell>
          <cell r="K67" t="str">
            <v>4027/4028</v>
          </cell>
          <cell r="L67" t="str">
            <v>DAVIS</v>
          </cell>
          <cell r="M67">
            <v>2.8981481482333038E-2</v>
          </cell>
          <cell r="N67">
            <v>41.733333334559575</v>
          </cell>
          <cell r="S67">
            <v>1</v>
          </cell>
          <cell r="T67" t="str">
            <v>NorthBound</v>
          </cell>
          <cell r="U67">
            <v>12</v>
          </cell>
          <cell r="V67" t="str">
            <v>https://search-rtdc-monitor-bjffxe2xuh6vdkpspy63sjmuny.us-east-1.es.amazonaws.com/_plugin/kibana/#/discover/Steve-Slow-Train-Analysis-(2080s-and-2083s)?_g=(refreshInterval:(display:Off,section:0,value:0),time:(from:'2016-09-05 09:23:30-0600',mode:absolute,to:'2016-09-05 12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67" t="str">
            <v>N</v>
          </cell>
          <cell r="X67">
            <v>1</v>
          </cell>
          <cell r="Y67">
            <v>4.4900000000000002E-2</v>
          </cell>
          <cell r="Z67">
            <v>23.3306</v>
          </cell>
          <cell r="AA67">
            <v>23.285700000000002</v>
          </cell>
          <cell r="AB67" t="e">
            <v>#N/A</v>
          </cell>
          <cell r="AC67" t="e">
            <v>#N/A</v>
          </cell>
          <cell r="AD67" t="str">
            <v>0155-05</v>
          </cell>
          <cell r="AE67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68">
          <cell r="A68" t="str">
            <v>156-05</v>
          </cell>
          <cell r="B68">
            <v>4028</v>
          </cell>
          <cell r="C68" t="str">
            <v>DE.1.0.7.0</v>
          </cell>
          <cell r="D68" t="str">
            <v>204:232983</v>
          </cell>
          <cell r="E68">
            <v>42618.47451388889</v>
          </cell>
          <cell r="F68">
            <v>42618.475763888891</v>
          </cell>
          <cell r="G68">
            <v>1</v>
          </cell>
          <cell r="H68" t="str">
            <v>204:172</v>
          </cell>
          <cell r="I68">
            <v>42618.508113425924</v>
          </cell>
          <cell r="J68">
            <v>0</v>
          </cell>
          <cell r="K68" t="str">
            <v>4027/4028</v>
          </cell>
          <cell r="L68" t="str">
            <v>DAVIS</v>
          </cell>
          <cell r="M68">
            <v>3.2349537032132503E-2</v>
          </cell>
          <cell r="N68">
            <v>46.583333326270804</v>
          </cell>
          <cell r="S68">
            <v>1</v>
          </cell>
          <cell r="T68" t="str">
            <v>Southbound</v>
          </cell>
          <cell r="U68">
            <v>12</v>
          </cell>
          <cell r="V68" t="str">
            <v>https://search-rtdc-monitor-bjffxe2xuh6vdkpspy63sjmuny.us-east-1.es.amazonaws.com/_plugin/kibana/#/discover/Steve-Slow-Train-Analysis-(2080s-and-2083s)?_g=(refreshInterval:(display:Off,section:0,value:0),time:(from:'2016-09-05 10:23:18-0600',mode:absolute,to:'2016-09-05 13:11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68" t="str">
            <v>N</v>
          </cell>
          <cell r="X68">
            <v>1</v>
          </cell>
          <cell r="Y68">
            <v>23.298300000000001</v>
          </cell>
          <cell r="Z68">
            <v>1.72E-2</v>
          </cell>
          <cell r="AA68">
            <v>23.281100000000002</v>
          </cell>
          <cell r="AB68" t="e">
            <v>#N/A</v>
          </cell>
          <cell r="AC68" t="e">
            <v>#N/A</v>
          </cell>
          <cell r="AD68" t="str">
            <v>0156-05</v>
          </cell>
          <cell r="AE68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69">
          <cell r="A69" t="str">
            <v>157-05</v>
          </cell>
          <cell r="B69">
            <v>4011</v>
          </cell>
          <cell r="C69" t="str">
            <v>DE.1.0.7.0</v>
          </cell>
          <cell r="D69" t="str">
            <v>204:444</v>
          </cell>
          <cell r="E69">
            <v>42618.445462962962</v>
          </cell>
          <cell r="F69">
            <v>42618.44636574074</v>
          </cell>
          <cell r="G69">
            <v>1</v>
          </cell>
          <cell r="H69" t="str">
            <v>204:233289</v>
          </cell>
          <cell r="I69">
            <v>42618.473437499997</v>
          </cell>
          <cell r="J69">
            <v>0</v>
          </cell>
          <cell r="K69" t="str">
            <v>4011/4012</v>
          </cell>
          <cell r="L69" t="str">
            <v>MALAVE</v>
          </cell>
          <cell r="M69">
            <v>2.7071759257523809E-2</v>
          </cell>
          <cell r="N69">
            <v>38.983333330834284</v>
          </cell>
          <cell r="S69">
            <v>1</v>
          </cell>
          <cell r="T69" t="str">
            <v>NorthBound</v>
          </cell>
          <cell r="U69">
            <v>12</v>
          </cell>
          <cell r="V69" t="str">
            <v>https://search-rtdc-monitor-bjffxe2xuh6vdkpspy63sjmuny.us-east-1.es.amazonaws.com/_plugin/kibana/#/discover/Steve-Slow-Train-Analysis-(2080s-and-2083s)?_g=(refreshInterval:(display:Off,section:0,value:0),time:(from:'2016-09-05 09:41:28-0600',mode:absolute,to:'2016-09-05 12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69" t="str">
            <v>N</v>
          </cell>
          <cell r="X69">
            <v>1</v>
          </cell>
          <cell r="Y69">
            <v>4.4400000000000002E-2</v>
          </cell>
          <cell r="Z69">
            <v>23.328900000000001</v>
          </cell>
          <cell r="AA69">
            <v>23.284500000000001</v>
          </cell>
          <cell r="AB69" t="e">
            <v>#N/A</v>
          </cell>
          <cell r="AC69" t="e">
            <v>#N/A</v>
          </cell>
          <cell r="AD69" t="str">
            <v>0157-05</v>
          </cell>
          <cell r="AE69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70">
          <cell r="A70" t="str">
            <v>158-05</v>
          </cell>
          <cell r="B70">
            <v>4012</v>
          </cell>
          <cell r="C70" t="str">
            <v>DE.1.0.7.0</v>
          </cell>
          <cell r="D70" t="str">
            <v>204:232963</v>
          </cell>
          <cell r="E70">
            <v>42618.485810185186</v>
          </cell>
          <cell r="F70">
            <v>42618.486712962964</v>
          </cell>
          <cell r="G70">
            <v>1</v>
          </cell>
          <cell r="H70" t="str">
            <v>204:156</v>
          </cell>
          <cell r="I70">
            <v>42618.516840277778</v>
          </cell>
          <cell r="J70">
            <v>0</v>
          </cell>
          <cell r="K70" t="str">
            <v>4011/4012</v>
          </cell>
          <cell r="L70" t="str">
            <v>MALAVE</v>
          </cell>
          <cell r="M70">
            <v>3.0127314814308193E-2</v>
          </cell>
          <cell r="N70">
            <v>43.383333332603797</v>
          </cell>
          <cell r="S70">
            <v>1</v>
          </cell>
          <cell r="T70" t="str">
            <v>Southbound</v>
          </cell>
          <cell r="U70">
            <v>12</v>
          </cell>
          <cell r="V70" t="str">
            <v>https://search-rtdc-monitor-bjffxe2xuh6vdkpspy63sjmuny.us-east-1.es.amazonaws.com/_plugin/kibana/#/discover/Steve-Slow-Train-Analysis-(2080s-and-2083s)?_g=(refreshInterval:(display:Off,section:0,value:0),time:(from:'2016-09-05 10:39:34-0600',mode:absolute,to:'2016-09-05 13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70" t="str">
            <v>N</v>
          </cell>
          <cell r="X70">
            <v>1</v>
          </cell>
          <cell r="Y70">
            <v>23.296299999999999</v>
          </cell>
          <cell r="Z70">
            <v>1.5599999999999999E-2</v>
          </cell>
          <cell r="AA70">
            <v>23.2807</v>
          </cell>
          <cell r="AB70">
            <v>53277</v>
          </cell>
          <cell r="AC70" t="str">
            <v>GRADE CROSSING</v>
          </cell>
          <cell r="AD70" t="str">
            <v>0158-05</v>
          </cell>
          <cell r="AE70" t="str">
    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    </cell>
        </row>
        <row r="71">
          <cell r="A71" t="str">
            <v>159-05</v>
          </cell>
          <cell r="B71">
            <v>4002</v>
          </cell>
          <cell r="C71" t="str">
            <v>DE.1.0.7.0</v>
          </cell>
          <cell r="D71" t="str">
            <v>204:458</v>
          </cell>
          <cell r="E71">
            <v>42618.454097222224</v>
          </cell>
          <cell r="F71">
            <v>42618.455543981479</v>
          </cell>
          <cell r="G71">
            <v>2</v>
          </cell>
          <cell r="H71" t="str">
            <v>204:233336</v>
          </cell>
          <cell r="I71">
            <v>42618.486909722225</v>
          </cell>
          <cell r="J71">
            <v>0</v>
          </cell>
          <cell r="K71" t="str">
            <v>4001/4002</v>
          </cell>
          <cell r="L71" t="str">
            <v>STEWART</v>
          </cell>
          <cell r="M71">
            <v>3.1365740745968651E-2</v>
          </cell>
          <cell r="N71">
            <v>45.166666674194857</v>
          </cell>
          <cell r="S71">
            <v>1</v>
          </cell>
          <cell r="T71" t="str">
            <v>NorthBound</v>
          </cell>
          <cell r="U71">
            <v>12</v>
          </cell>
          <cell r="V71" t="str">
            <v>https://search-rtdc-monitor-bjffxe2xuh6vdkpspy63sjmuny.us-east-1.es.amazonaws.com/_plugin/kibana/#/discover/Steve-Slow-Train-Analysis-(2080s-and-2083s)?_g=(refreshInterval:(display:Off,section:0,value:0),time:(from:'2016-09-05 09:53:54-0600',mode:absolute,to:'2016-09-05 12:41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71" t="str">
            <v>N</v>
          </cell>
          <cell r="X71">
            <v>1</v>
          </cell>
          <cell r="Y71">
            <v>4.58E-2</v>
          </cell>
          <cell r="Z71">
            <v>23.333600000000001</v>
          </cell>
          <cell r="AA71">
            <v>23.287800000000001</v>
          </cell>
          <cell r="AB71" t="e">
            <v>#N/A</v>
          </cell>
          <cell r="AC71" t="e">
            <v>#N/A</v>
          </cell>
          <cell r="AD71" t="str">
            <v>0159-05</v>
          </cell>
          <cell r="AE71" t="str">
    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    </cell>
        </row>
        <row r="72">
          <cell r="A72" t="str">
            <v>160-05</v>
          </cell>
          <cell r="B72">
            <v>4001</v>
          </cell>
          <cell r="C72" t="str">
            <v>DE.1.0.7.0</v>
          </cell>
          <cell r="D72" t="str">
            <v>204:233006</v>
          </cell>
          <cell r="E72">
            <v>42618.492858796293</v>
          </cell>
          <cell r="F72">
            <v>42618.494386574072</v>
          </cell>
          <cell r="G72">
            <v>2</v>
          </cell>
          <cell r="H72" t="str">
            <v>204:154</v>
          </cell>
          <cell r="I72">
            <v>42618.527638888889</v>
          </cell>
          <cell r="J72">
            <v>0</v>
          </cell>
          <cell r="K72" t="str">
            <v>4001/4002</v>
          </cell>
          <cell r="L72" t="str">
            <v>STEWART</v>
          </cell>
          <cell r="M72">
            <v>3.3252314817218576E-2</v>
          </cell>
          <cell r="N72">
            <v>47.883333336794749</v>
          </cell>
          <cell r="S72">
            <v>1</v>
          </cell>
          <cell r="T72" t="str">
            <v>Southbound</v>
          </cell>
          <cell r="U72">
            <v>12</v>
          </cell>
          <cell r="V72" t="str">
            <v>https://search-rtdc-monitor-bjffxe2xuh6vdkpspy63sjmuny.us-east-1.es.amazonaws.com/_plugin/kibana/#/discover/Steve-Slow-Train-Analysis-(2080s-and-2083s)?_g=(refreshInterval:(display:Off,section:0,value:0),time:(from:'2016-09-05 10:49:43-0600',mode:absolute,to:'2016-09-05 13:39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72" t="str">
            <v>N</v>
          </cell>
          <cell r="X72">
            <v>1</v>
          </cell>
          <cell r="Y72">
            <v>23.300599999999999</v>
          </cell>
          <cell r="Z72">
            <v>1.54E-2</v>
          </cell>
          <cell r="AA72">
            <v>23.2852</v>
          </cell>
          <cell r="AB72" t="e">
            <v>#N/A</v>
          </cell>
          <cell r="AC72" t="e">
            <v>#N/A</v>
          </cell>
          <cell r="AD72" t="str">
            <v>0160-05</v>
          </cell>
          <cell r="AE72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73">
          <cell r="A73" t="str">
            <v>161-05</v>
          </cell>
          <cell r="B73">
            <v>4020</v>
          </cell>
          <cell r="C73" t="str">
            <v>DE.1.0.7.0</v>
          </cell>
          <cell r="D73" t="str">
            <v>204:457</v>
          </cell>
          <cell r="E73">
            <v>42618.464490740742</v>
          </cell>
          <cell r="F73">
            <v>42618.465601851851</v>
          </cell>
          <cell r="G73">
            <v>1</v>
          </cell>
          <cell r="H73" t="str">
            <v>204:233311</v>
          </cell>
          <cell r="I73">
            <v>42618.494745370372</v>
          </cell>
          <cell r="J73">
            <v>0</v>
          </cell>
          <cell r="K73" t="str">
            <v>4019/4020</v>
          </cell>
          <cell r="L73" t="str">
            <v>BARTLETT</v>
          </cell>
          <cell r="M73">
            <v>2.9143518520868383E-2</v>
          </cell>
          <cell r="N73">
            <v>41.966666670050472</v>
          </cell>
          <cell r="S73">
            <v>1</v>
          </cell>
          <cell r="T73" t="str">
            <v>NorthBound</v>
          </cell>
          <cell r="U73">
            <v>12</v>
          </cell>
          <cell r="V73" t="str">
            <v>https://search-rtdc-monitor-bjffxe2xuh6vdkpspy63sjmuny.us-east-1.es.amazonaws.com/_plugin/kibana/#/discover/Steve-Slow-Train-Analysis-(2080s-and-2083s)?_g=(refreshInterval:(display:Off,section:0,value:0),time:(from:'2016-09-05 10:08:52-0600',mode:absolute,to:'2016-09-05 12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73" t="str">
            <v>N</v>
          </cell>
          <cell r="X73">
            <v>1</v>
          </cell>
          <cell r="Y73">
            <v>4.5699999999999998E-2</v>
          </cell>
          <cell r="Z73">
            <v>23.331099999999999</v>
          </cell>
          <cell r="AA73">
            <v>23.285399999999999</v>
          </cell>
          <cell r="AB73" t="e">
            <v>#N/A</v>
          </cell>
          <cell r="AC73" t="e">
            <v>#N/A</v>
          </cell>
          <cell r="AD73" t="str">
            <v>0161-05</v>
          </cell>
          <cell r="AE73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74">
          <cell r="A74" t="str">
            <v>162-05</v>
          </cell>
          <cell r="B74">
            <v>4019</v>
          </cell>
          <cell r="C74" t="str">
            <v>DE.1.0.7.0</v>
          </cell>
          <cell r="D74" t="str">
            <v>204:232986</v>
          </cell>
          <cell r="E74">
            <v>42618.496666666666</v>
          </cell>
          <cell r="F74">
            <v>42618.497604166667</v>
          </cell>
          <cell r="G74">
            <v>1</v>
          </cell>
          <cell r="H74" t="str">
            <v>204:147</v>
          </cell>
          <cell r="I74">
            <v>42618.53833333333</v>
          </cell>
          <cell r="J74">
            <v>0</v>
          </cell>
          <cell r="K74" t="str">
            <v>4019/4020</v>
          </cell>
          <cell r="L74" t="str">
            <v>BARTLETT</v>
          </cell>
          <cell r="M74">
            <v>4.0729166663368233E-2</v>
          </cell>
          <cell r="N74">
            <v>58.649999995250255</v>
          </cell>
          <cell r="S74">
            <v>1</v>
          </cell>
          <cell r="T74" t="str">
            <v>Southbound</v>
          </cell>
          <cell r="U74">
            <v>12</v>
          </cell>
          <cell r="V74" t="str">
            <v>https://search-rtdc-monitor-bjffxe2xuh6vdkpspy63sjmuny.us-east-1.es.amazonaws.com/_plugin/kibana/#/discover/Steve-Slow-Train-Analysis-(2080s-and-2083s)?_g=(refreshInterval:(display:Off,section:0,value:0),time:(from:'2016-09-05 10:55:12-0600',mode:absolute,to:'2016-09-05 13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74" t="str">
            <v>N</v>
          </cell>
          <cell r="X74">
            <v>1</v>
          </cell>
          <cell r="Y74">
            <v>23.2986</v>
          </cell>
          <cell r="Z74">
            <v>1.47E-2</v>
          </cell>
          <cell r="AA74">
            <v>23.283899999999999</v>
          </cell>
          <cell r="AB74" t="e">
            <v>#N/A</v>
          </cell>
          <cell r="AC74" t="e">
            <v>#N/A</v>
          </cell>
          <cell r="AD74" t="str">
            <v>0162-05</v>
          </cell>
          <cell r="AE74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75">
          <cell r="A75" t="str">
            <v>163-05</v>
          </cell>
          <cell r="B75">
            <v>4044</v>
          </cell>
          <cell r="C75" t="str">
            <v>DE.1.0.7.0</v>
          </cell>
          <cell r="D75" t="str">
            <v>204:549</v>
          </cell>
          <cell r="E75">
            <v>42618.47859953704</v>
          </cell>
          <cell r="F75">
            <v>42618.479641203703</v>
          </cell>
          <cell r="G75">
            <v>1</v>
          </cell>
          <cell r="H75" t="str">
            <v>204:233334</v>
          </cell>
          <cell r="I75">
            <v>42618.508645833332</v>
          </cell>
          <cell r="J75">
            <v>0</v>
          </cell>
          <cell r="K75" t="str">
            <v>4043/4044</v>
          </cell>
          <cell r="L75" t="str">
            <v>BONDS</v>
          </cell>
          <cell r="M75">
            <v>2.9004629628616385E-2</v>
          </cell>
          <cell r="N75">
            <v>41.766666665207595</v>
          </cell>
          <cell r="S75">
            <v>1</v>
          </cell>
          <cell r="T75" t="str">
            <v>NorthBound</v>
          </cell>
          <cell r="U75">
            <v>12</v>
          </cell>
          <cell r="V75" t="str">
            <v>https://search-rtdc-monitor-bjffxe2xuh6vdkpspy63sjmuny.us-east-1.es.amazonaws.com/_plugin/kibana/#/discover/Steve-Slow-Train-Analysis-(2080s-and-2083s)?_g=(refreshInterval:(display:Off,section:0,value:0),time:(from:'2016-09-05 10:29:11-0600',mode:absolute,to:'2016-09-05 13:12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75" t="str">
            <v>N</v>
          </cell>
          <cell r="X75">
            <v>1</v>
          </cell>
          <cell r="Y75">
            <v>5.4899999999999997E-2</v>
          </cell>
          <cell r="Z75">
            <v>23.333400000000001</v>
          </cell>
          <cell r="AA75">
            <v>23.278500000000001</v>
          </cell>
          <cell r="AB75" t="e">
            <v>#N/A</v>
          </cell>
          <cell r="AC75" t="e">
            <v>#N/A</v>
          </cell>
          <cell r="AD75" t="str">
            <v>0163-05</v>
          </cell>
          <cell r="AE75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76">
          <cell r="A76" t="str">
            <v>164-05</v>
          </cell>
          <cell r="B76">
            <v>4043</v>
          </cell>
          <cell r="C76" t="str">
            <v>DE.1.0.7.0</v>
          </cell>
          <cell r="D76" t="str">
            <v>204:233017</v>
          </cell>
          <cell r="E76">
            <v>42618.512627314813</v>
          </cell>
          <cell r="F76">
            <v>42618.51363425926</v>
          </cell>
          <cell r="G76">
            <v>1</v>
          </cell>
          <cell r="H76" t="str">
            <v>204:143</v>
          </cell>
          <cell r="I76">
            <v>42618.54546296296</v>
          </cell>
          <cell r="J76">
            <v>0</v>
          </cell>
          <cell r="K76" t="str">
            <v>4043/4044</v>
          </cell>
          <cell r="L76" t="str">
            <v>BONDS</v>
          </cell>
          <cell r="M76">
            <v>3.1828703700739425E-2</v>
          </cell>
          <cell r="N76">
            <v>45.833333329064772</v>
          </cell>
          <cell r="S76">
            <v>1</v>
          </cell>
          <cell r="T76" t="str">
            <v>Southbound</v>
          </cell>
          <cell r="U76">
            <v>12</v>
          </cell>
          <cell r="V76" t="str">
            <v>https://search-rtdc-monitor-bjffxe2xuh6vdkpspy63sjmuny.us-east-1.es.amazonaws.com/_plugin/kibana/#/discover/Steve-Slow-Train-Analysis-(2080s-and-2083s)?_g=(refreshInterval:(display:Off,section:0,value:0),time:(from:'2016-09-05 11:18:11-0600',mode:absolute,to:'2016-09-05 14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76" t="str">
            <v>N</v>
          </cell>
          <cell r="X76">
            <v>1</v>
          </cell>
          <cell r="Y76">
            <v>23.3017</v>
          </cell>
          <cell r="Z76">
            <v>1.43E-2</v>
          </cell>
          <cell r="AA76">
            <v>23.287400000000002</v>
          </cell>
          <cell r="AB76" t="e">
            <v>#N/A</v>
          </cell>
          <cell r="AC76" t="e">
            <v>#N/A</v>
          </cell>
          <cell r="AD76" t="str">
            <v>0164-05</v>
          </cell>
          <cell r="AE76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77">
          <cell r="A77" t="str">
            <v>165-05</v>
          </cell>
          <cell r="B77">
            <v>4016</v>
          </cell>
          <cell r="C77" t="str">
            <v>DE.1.0.7.0</v>
          </cell>
          <cell r="D77" t="str">
            <v>204:457</v>
          </cell>
          <cell r="E77">
            <v>42618.485960648148</v>
          </cell>
          <cell r="F77">
            <v>42618.487118055556</v>
          </cell>
          <cell r="G77">
            <v>1</v>
          </cell>
          <cell r="H77" t="str">
            <v>204:233297</v>
          </cell>
          <cell r="I77">
            <v>42618.517604166664</v>
          </cell>
          <cell r="J77">
            <v>0</v>
          </cell>
          <cell r="K77" t="str">
            <v>4015/4016</v>
          </cell>
          <cell r="L77" t="str">
            <v>CLARK</v>
          </cell>
          <cell r="M77">
            <v>3.0486111107165925E-2</v>
          </cell>
          <cell r="N77">
            <v>43.899999994318932</v>
          </cell>
          <cell r="S77">
            <v>1</v>
          </cell>
          <cell r="T77" t="str">
            <v>NorthBound</v>
          </cell>
          <cell r="U77">
            <v>12</v>
          </cell>
          <cell r="V77" t="str">
            <v>https://search-rtdc-monitor-bjffxe2xuh6vdkpspy63sjmuny.us-east-1.es.amazonaws.com/_plugin/kibana/#/discover/Steve-Slow-Train-Analysis-(2080s-and-2083s)?_g=(refreshInterval:(display:Off,section:0,value:0),time:(from:'2016-09-05 10:39:47-0600',mode:absolute,to:'2016-09-05 13:25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77" t="str">
            <v>N</v>
          </cell>
          <cell r="X77">
            <v>1</v>
          </cell>
          <cell r="Y77">
            <v>4.5699999999999998E-2</v>
          </cell>
          <cell r="Z77">
            <v>23.329699999999999</v>
          </cell>
          <cell r="AA77">
            <v>23.283999999999999</v>
          </cell>
          <cell r="AB77" t="e">
            <v>#N/A</v>
          </cell>
          <cell r="AC77" t="e">
            <v>#N/A</v>
          </cell>
          <cell r="AD77" t="str">
            <v>0165-05</v>
          </cell>
          <cell r="AE77" t="str">
    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    </cell>
        </row>
        <row r="78">
          <cell r="A78" t="str">
            <v>166-05</v>
          </cell>
          <cell r="B78">
            <v>4015</v>
          </cell>
          <cell r="C78" t="str">
            <v>DE.1.0.7.0</v>
          </cell>
          <cell r="D78" t="str">
            <v>204:232980</v>
          </cell>
          <cell r="E78">
            <v>42618.52443287037</v>
          </cell>
          <cell r="F78">
            <v>42618.525636574072</v>
          </cell>
          <cell r="G78">
            <v>1</v>
          </cell>
          <cell r="H78" t="str">
            <v>204:154</v>
          </cell>
          <cell r="I78">
            <v>42618.559340277781</v>
          </cell>
          <cell r="J78">
            <v>0</v>
          </cell>
          <cell r="K78" t="str">
            <v>4015/4016</v>
          </cell>
          <cell r="L78" t="str">
            <v>CLARK</v>
          </cell>
          <cell r="M78">
            <v>3.3703703709761612E-2</v>
          </cell>
          <cell r="N78">
            <v>48.533333342056721</v>
          </cell>
          <cell r="S78">
            <v>1</v>
          </cell>
          <cell r="T78" t="str">
            <v>Southbound</v>
          </cell>
          <cell r="U78">
            <v>12</v>
          </cell>
          <cell r="V78" t="str">
            <v>https://search-rtdc-monitor-bjffxe2xuh6vdkpspy63sjmuny.us-east-1.es.amazonaws.com/_plugin/kibana/#/discover/Steve-Slow-Train-Analysis-(2080s-and-2083s)?_g=(refreshInterval:(display:Off,section:0,value:0),time:(from:'2016-09-05 11:35:11-0600',mode:absolute,to:'2016-09-05 14:25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78" t="str">
            <v>N</v>
          </cell>
          <cell r="X78">
            <v>1</v>
          </cell>
          <cell r="Y78">
            <v>23.297999999999998</v>
          </cell>
          <cell r="Z78">
            <v>1.54E-2</v>
          </cell>
          <cell r="AA78">
            <v>23.282599999999999</v>
          </cell>
          <cell r="AB78" t="e">
            <v>#N/A</v>
          </cell>
          <cell r="AC78" t="e">
            <v>#N/A</v>
          </cell>
          <cell r="AD78" t="str">
            <v>0166-05</v>
          </cell>
          <cell r="AE78" t="str">
    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    </cell>
        </row>
        <row r="79">
          <cell r="A79" t="str">
            <v>167-05</v>
          </cell>
          <cell r="B79">
            <v>4014</v>
          </cell>
          <cell r="C79" t="str">
            <v>DE.1.0.7.0</v>
          </cell>
          <cell r="D79" t="str">
            <v>204:444</v>
          </cell>
          <cell r="E79">
            <v>42618.501643518517</v>
          </cell>
          <cell r="F79">
            <v>42618.502928240741</v>
          </cell>
          <cell r="G79">
            <v>1</v>
          </cell>
          <cell r="H79" t="str">
            <v>204:233295</v>
          </cell>
          <cell r="I79">
            <v>42618.535844907405</v>
          </cell>
          <cell r="J79">
            <v>0</v>
          </cell>
          <cell r="K79" t="str">
            <v>4013/4014</v>
          </cell>
          <cell r="L79" t="str">
            <v>YOUNG</v>
          </cell>
          <cell r="M79">
            <v>3.2916666663368233E-2</v>
          </cell>
          <cell r="N79">
            <v>47.399999995250255</v>
          </cell>
          <cell r="S79">
            <v>1</v>
          </cell>
          <cell r="T79" t="str">
            <v>NorthBound</v>
          </cell>
          <cell r="U79">
            <v>12</v>
          </cell>
          <cell r="V79" t="str">
            <v>https://search-rtdc-monitor-bjffxe2xuh6vdkpspy63sjmuny.us-east-1.es.amazonaws.com/_plugin/kibana/#/discover/Steve-Slow-Train-Analysis-(2080s-and-2083s)?_g=(refreshInterval:(display:Off,section:0,value:0),time:(from:'2016-09-05 11:02:22-0600',mode:absolute,to:'2016-09-05 13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79" t="str">
            <v>N</v>
          </cell>
          <cell r="X79">
            <v>1</v>
          </cell>
          <cell r="Y79">
            <v>4.4400000000000002E-2</v>
          </cell>
          <cell r="Z79">
            <v>23.329499999999999</v>
          </cell>
          <cell r="AA79">
            <v>23.2851</v>
          </cell>
          <cell r="AB79" t="e">
            <v>#N/A</v>
          </cell>
          <cell r="AC79" t="e">
            <v>#N/A</v>
          </cell>
          <cell r="AD79" t="str">
            <v>0167-05</v>
          </cell>
          <cell r="AE79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80">
          <cell r="A80" t="str">
            <v>168-05</v>
          </cell>
          <cell r="B80">
            <v>4013</v>
          </cell>
          <cell r="C80" t="str">
            <v>DE.1.0.7.0</v>
          </cell>
          <cell r="D80" t="str">
            <v>204:232983</v>
          </cell>
          <cell r="E80">
            <v>42618.536932870367</v>
          </cell>
          <cell r="F80">
            <v>42618.537870370368</v>
          </cell>
          <cell r="G80">
            <v>1</v>
          </cell>
          <cell r="H80" t="str">
            <v>204:172</v>
          </cell>
          <cell r="I80">
            <v>42618.568206018521</v>
          </cell>
          <cell r="J80">
            <v>0</v>
          </cell>
          <cell r="K80" t="str">
            <v>4013/4014</v>
          </cell>
          <cell r="L80" t="str">
            <v>YOUNG</v>
          </cell>
          <cell r="M80">
            <v>3.033564815268619E-2</v>
          </cell>
          <cell r="N80">
            <v>43.683333339868113</v>
          </cell>
          <cell r="S80">
            <v>1</v>
          </cell>
          <cell r="T80" t="str">
            <v>Southbound</v>
          </cell>
          <cell r="U80">
            <v>12</v>
          </cell>
          <cell r="V80" t="str">
            <v>https://search-rtdc-monitor-bjffxe2xuh6vdkpspy63sjmuny.us-east-1.es.amazonaws.com/_plugin/kibana/#/discover/Steve-Slow-Train-Analysis-(2080s-and-2083s)?_g=(refreshInterval:(display:Off,section:0,value:0),time:(from:'2016-09-05 11:53:11-0600',mode:absolute,to:'2016-09-05 14:38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80" t="str">
            <v>N</v>
          </cell>
          <cell r="X80">
            <v>1</v>
          </cell>
          <cell r="Y80">
            <v>23.298300000000001</v>
          </cell>
          <cell r="Z80">
            <v>1.72E-2</v>
          </cell>
          <cell r="AA80">
            <v>23.281100000000002</v>
          </cell>
          <cell r="AB80" t="e">
            <v>#N/A</v>
          </cell>
          <cell r="AC80" t="e">
            <v>#N/A</v>
          </cell>
          <cell r="AD80" t="str">
            <v>0168-05</v>
          </cell>
          <cell r="AE80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81">
          <cell r="A81" t="str">
            <v>169-05</v>
          </cell>
          <cell r="B81">
            <v>4027</v>
          </cell>
          <cell r="C81" t="str">
            <v>DE.1.0.7.0</v>
          </cell>
          <cell r="D81" t="str">
            <v>204:478</v>
          </cell>
          <cell r="E81">
            <v>42618.510208333333</v>
          </cell>
          <cell r="F81">
            <v>42618.51122685185</v>
          </cell>
          <cell r="G81">
            <v>1</v>
          </cell>
          <cell r="H81" t="str">
            <v>204:233224</v>
          </cell>
          <cell r="I81">
            <v>42618.537997685184</v>
          </cell>
          <cell r="J81">
            <v>0</v>
          </cell>
          <cell r="K81" t="str">
            <v>4027/4028</v>
          </cell>
          <cell r="L81" t="str">
            <v>HELVIE</v>
          </cell>
          <cell r="M81">
            <v>2.6770833334012423E-2</v>
          </cell>
          <cell r="N81">
            <v>38.550000000977889</v>
          </cell>
          <cell r="S81">
            <v>1</v>
          </cell>
          <cell r="T81" t="str">
            <v>NorthBound</v>
          </cell>
          <cell r="U81">
            <v>12</v>
          </cell>
          <cell r="V81" t="str">
            <v>https://search-rtdc-monitor-bjffxe2xuh6vdkpspy63sjmuny.us-east-1.es.amazonaws.com/_plugin/kibana/#/discover/Steve-Slow-Train-Analysis-(2080s-and-2083s)?_g=(refreshInterval:(display:Off,section:0,value:0),time:(from:'2016-09-05 11:14:42-0600',mode:absolute,to:'2016-09-05 13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81" t="str">
            <v>N</v>
          </cell>
          <cell r="X81">
            <v>1</v>
          </cell>
          <cell r="Y81">
            <v>4.7800000000000002E-2</v>
          </cell>
          <cell r="Z81">
            <v>23.322399999999998</v>
          </cell>
          <cell r="AA81">
            <v>23.2746</v>
          </cell>
          <cell r="AB81" t="e">
            <v>#N/A</v>
          </cell>
          <cell r="AC81" t="e">
            <v>#N/A</v>
          </cell>
          <cell r="AD81" t="str">
            <v>0169-05</v>
          </cell>
          <cell r="AE81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82">
          <cell r="A82" t="str">
            <v>170-05</v>
          </cell>
          <cell r="B82">
            <v>4028</v>
          </cell>
          <cell r="C82" t="str">
            <v>DE.1.0.7.0</v>
          </cell>
          <cell r="D82" t="str">
            <v>204:232904</v>
          </cell>
          <cell r="E82">
            <v>42618.544606481482</v>
          </cell>
          <cell r="F82">
            <v>42618.545787037037</v>
          </cell>
          <cell r="G82">
            <v>1</v>
          </cell>
          <cell r="H82" t="str">
            <v>204:160</v>
          </cell>
          <cell r="I82">
            <v>42618.576481481483</v>
          </cell>
          <cell r="J82">
            <v>0</v>
          </cell>
          <cell r="K82" t="str">
            <v>4027/4028</v>
          </cell>
          <cell r="L82" t="str">
            <v>HELVIE</v>
          </cell>
          <cell r="M82">
            <v>3.0694444445543922E-2</v>
          </cell>
          <cell r="N82">
            <v>44.200000001583248</v>
          </cell>
          <cell r="S82">
            <v>1</v>
          </cell>
          <cell r="T82" t="str">
            <v>Southbound</v>
          </cell>
          <cell r="U82">
            <v>12</v>
          </cell>
          <cell r="V82" t="str">
            <v>https://search-rtdc-monitor-bjffxe2xuh6vdkpspy63sjmuny.us-east-1.es.amazonaws.com/_plugin/kibana/#/discover/Steve-Slow-Train-Analysis-(2080s-and-2083s)?_g=(refreshInterval:(display:Off,section:0,value:0),time:(from:'2016-09-05 12:04:14-0600',mode:absolute,to:'2016-09-05 14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82" t="str">
            <v>N</v>
          </cell>
          <cell r="X82">
            <v>1</v>
          </cell>
          <cell r="Y82">
            <v>23.290400000000002</v>
          </cell>
          <cell r="Z82">
            <v>1.6E-2</v>
          </cell>
          <cell r="AA82">
            <v>23.274400000000004</v>
          </cell>
          <cell r="AB82" t="e">
            <v>#N/A</v>
          </cell>
          <cell r="AC82" t="e">
            <v>#N/A</v>
          </cell>
          <cell r="AD82" t="str">
            <v>0170-05</v>
          </cell>
          <cell r="AE82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83">
          <cell r="A83" t="str">
            <v>171-05</v>
          </cell>
          <cell r="B83">
            <v>4011</v>
          </cell>
          <cell r="C83" t="str">
            <v>DE.1.0.7.0</v>
          </cell>
          <cell r="D83" t="str">
            <v>204:455</v>
          </cell>
          <cell r="E83">
            <v>42618.518333333333</v>
          </cell>
          <cell r="F83">
            <v>42618.519456018519</v>
          </cell>
          <cell r="G83">
            <v>1</v>
          </cell>
          <cell r="H83" t="str">
            <v>204:233378</v>
          </cell>
          <cell r="I83">
            <v>42618.547453703701</v>
          </cell>
          <cell r="J83">
            <v>0</v>
          </cell>
          <cell r="K83" t="str">
            <v>4011/4012</v>
          </cell>
          <cell r="L83" t="str">
            <v>SHOOK</v>
          </cell>
          <cell r="M83">
            <v>2.7997685181617271E-2</v>
          </cell>
          <cell r="N83">
            <v>40.31666666152887</v>
          </cell>
          <cell r="S83">
            <v>1</v>
          </cell>
          <cell r="T83" t="str">
            <v>NorthBound</v>
          </cell>
          <cell r="U83">
            <v>12</v>
          </cell>
          <cell r="V83" t="str">
            <v>https://search-rtdc-monitor-bjffxe2xuh6vdkpspy63sjmuny.us-east-1.es.amazonaws.com/_plugin/kibana/#/discover/Steve-Slow-Train-Analysis-(2080s-and-2083s)?_g=(refreshInterval:(display:Off,section:0,value:0),time:(from:'2016-09-05 11:26:24-0600',mode:absolute,to:'2016-09-05 14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83" t="str">
            <v>N</v>
          </cell>
          <cell r="X83">
            <v>1</v>
          </cell>
          <cell r="Y83">
            <v>4.5499999999999999E-2</v>
          </cell>
          <cell r="Z83">
            <v>23.337800000000001</v>
          </cell>
          <cell r="AA83">
            <v>23.292300000000001</v>
          </cell>
          <cell r="AB83" t="e">
            <v>#N/A</v>
          </cell>
          <cell r="AC83" t="e">
            <v>#N/A</v>
          </cell>
          <cell r="AD83" t="str">
            <v>0171-05</v>
          </cell>
          <cell r="AE83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84">
          <cell r="A84" t="str">
            <v>172-05</v>
          </cell>
          <cell r="B84">
            <v>4012</v>
          </cell>
          <cell r="C84" t="str">
            <v>DE.1.0.7.0</v>
          </cell>
          <cell r="D84" t="str">
            <v>204:233045</v>
          </cell>
          <cell r="E84">
            <v>42618.556504629632</v>
          </cell>
          <cell r="F84">
            <v>42618.557789351849</v>
          </cell>
          <cell r="G84">
            <v>1</v>
          </cell>
          <cell r="H84" t="str">
            <v>204:143</v>
          </cell>
          <cell r="I84">
            <v>42618.587141203701</v>
          </cell>
          <cell r="J84">
            <v>0</v>
          </cell>
          <cell r="K84" t="str">
            <v>4011/4012</v>
          </cell>
          <cell r="L84" t="str">
            <v>SHOOK</v>
          </cell>
          <cell r="M84">
            <v>2.9351851851970423E-2</v>
          </cell>
          <cell r="N84">
            <v>42.266666666837409</v>
          </cell>
          <cell r="S84">
            <v>1</v>
          </cell>
          <cell r="T84" t="str">
            <v>Southbound</v>
          </cell>
          <cell r="U84">
            <v>12</v>
          </cell>
          <cell r="V84" t="str">
            <v>https://search-rtdc-monitor-bjffxe2xuh6vdkpspy63sjmuny.us-east-1.es.amazonaws.com/_plugin/kibana/#/discover/Steve-Slow-Train-Analysis-(2080s-and-2083s)?_g=(refreshInterval:(display:Off,section:0,value:0),time:(from:'2016-09-05 12:21:22-0600',mode:absolute,to:'2016-09-05 15:05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84" t="str">
            <v>N</v>
          </cell>
          <cell r="X84">
            <v>1</v>
          </cell>
          <cell r="Y84">
            <v>23.304500000000001</v>
          </cell>
          <cell r="Z84">
            <v>1.43E-2</v>
          </cell>
          <cell r="AA84">
            <v>23.290200000000002</v>
          </cell>
          <cell r="AB84" t="e">
            <v>#N/A</v>
          </cell>
          <cell r="AC84" t="e">
            <v>#N/A</v>
          </cell>
          <cell r="AD84" t="str">
            <v>0172-05</v>
          </cell>
          <cell r="AE84" t="str">
    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    </cell>
        </row>
        <row r="85">
          <cell r="A85" t="str">
            <v>173-05</v>
          </cell>
          <cell r="B85">
            <v>4002</v>
          </cell>
          <cell r="C85" t="str">
            <v>DE.1.0.7.0</v>
          </cell>
          <cell r="D85" t="str">
            <v>204:471</v>
          </cell>
          <cell r="E85">
            <v>42618.530081018522</v>
          </cell>
          <cell r="F85">
            <v>42618.531145833331</v>
          </cell>
          <cell r="G85">
            <v>1</v>
          </cell>
          <cell r="H85" t="str">
            <v>204:233360</v>
          </cell>
          <cell r="I85">
            <v>42618.557280092595</v>
          </cell>
          <cell r="J85">
            <v>0</v>
          </cell>
          <cell r="K85" t="str">
            <v>4001/4002</v>
          </cell>
          <cell r="L85" t="str">
            <v>STEWART</v>
          </cell>
          <cell r="M85">
            <v>2.6134259263926651E-2</v>
          </cell>
          <cell r="N85">
            <v>37.633333340054378</v>
          </cell>
          <cell r="S85">
            <v>1</v>
          </cell>
          <cell r="T85" t="str">
            <v>NorthBound</v>
          </cell>
          <cell r="U85">
            <v>12</v>
          </cell>
          <cell r="V85" t="str">
            <v>https://search-rtdc-monitor-bjffxe2xuh6vdkpspy63sjmuny.us-east-1.es.amazonaws.com/_plugin/kibana/#/discover/Steve-Slow-Train-Analysis-(2080s-and-2083s)?_g=(refreshInterval:(display:Off,section:0,value:0),time:(from:'2016-09-05 11:43:19-0600',mode:absolute,to:'2016-09-05 14:22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85" t="str">
            <v>N</v>
          </cell>
          <cell r="X85">
            <v>1</v>
          </cell>
          <cell r="Y85">
            <v>4.7100000000000003E-2</v>
          </cell>
          <cell r="Z85">
            <v>23.335999999999999</v>
          </cell>
          <cell r="AA85">
            <v>23.288899999999998</v>
          </cell>
          <cell r="AB85" t="e">
            <v>#N/A</v>
          </cell>
          <cell r="AC85" t="e">
            <v>#N/A</v>
          </cell>
          <cell r="AD85" t="str">
            <v>0173-05</v>
          </cell>
          <cell r="AE85" t="str">
    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    </cell>
        </row>
        <row r="86">
          <cell r="A86" t="str">
            <v>174-05</v>
          </cell>
          <cell r="B86">
            <v>4001</v>
          </cell>
          <cell r="C86" t="str">
            <v>DE.1.0.7.0</v>
          </cell>
          <cell r="D86" t="str">
            <v>204:233026</v>
          </cell>
          <cell r="E86">
            <v>42618.568506944444</v>
          </cell>
          <cell r="F86">
            <v>42618.569652777776</v>
          </cell>
          <cell r="G86">
            <v>1</v>
          </cell>
          <cell r="H86" t="str">
            <v>204:150</v>
          </cell>
          <cell r="I86">
            <v>42618.601400462961</v>
          </cell>
          <cell r="J86">
            <v>0</v>
          </cell>
          <cell r="K86" t="str">
            <v>4001/4002</v>
          </cell>
          <cell r="L86" t="str">
            <v>STEWART</v>
          </cell>
          <cell r="M86">
            <v>3.1747685185109731E-2</v>
          </cell>
          <cell r="N86">
            <v>45.716666666558012</v>
          </cell>
          <cell r="S86">
            <v>1</v>
          </cell>
          <cell r="T86" t="str">
            <v>Southbound</v>
          </cell>
          <cell r="U86">
            <v>12</v>
          </cell>
          <cell r="V86" t="str">
            <v>https://search-rtdc-monitor-bjffxe2xuh6vdkpspy63sjmuny.us-east-1.es.amazonaws.com/_plugin/kibana/#/discover/Steve-Slow-Train-Analysis-(2080s-and-2083s)?_g=(refreshInterval:(display:Off,section:0,value:0),time:(from:'2016-09-05 12:38:39-0600',mode:absolute,to:'2016-09-05 15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86" t="str">
            <v>N</v>
          </cell>
          <cell r="X86">
            <v>1</v>
          </cell>
          <cell r="Y86">
            <v>23.302600000000002</v>
          </cell>
          <cell r="Z86">
            <v>1.4999999999999999E-2</v>
          </cell>
          <cell r="AA86">
            <v>23.287600000000001</v>
          </cell>
          <cell r="AB86">
            <v>228668</v>
          </cell>
          <cell r="AC86" t="str">
            <v>PERMANENT SPEED RESTRICTION</v>
          </cell>
          <cell r="AD86" t="str">
            <v>0174-05</v>
          </cell>
          <cell r="AE86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87">
          <cell r="A87" t="str">
            <v>175-05</v>
          </cell>
          <cell r="B87">
            <v>4020</v>
          </cell>
          <cell r="C87" t="str">
            <v>DE.1.0.7.0</v>
          </cell>
          <cell r="D87" t="str">
            <v>204:458</v>
          </cell>
          <cell r="E87">
            <v>42618.539687500001</v>
          </cell>
          <cell r="F87">
            <v>42618.540763888886</v>
          </cell>
          <cell r="G87">
            <v>1</v>
          </cell>
          <cell r="H87" t="str">
            <v>204:233314</v>
          </cell>
          <cell r="I87">
            <v>42618.574259259258</v>
          </cell>
          <cell r="J87">
            <v>0</v>
          </cell>
          <cell r="K87" t="str">
            <v>4019/4020</v>
          </cell>
          <cell r="L87" t="str">
            <v>BARTLETT</v>
          </cell>
          <cell r="M87">
            <v>3.3495370371383615E-2</v>
          </cell>
          <cell r="N87">
            <v>48.233333334792405</v>
          </cell>
          <cell r="S87">
            <v>1</v>
          </cell>
          <cell r="T87" t="str">
            <v>NorthBound</v>
          </cell>
          <cell r="U87">
            <v>12</v>
          </cell>
          <cell r="V87" t="str">
            <v>https://search-rtdc-monitor-bjffxe2xuh6vdkpspy63sjmuny.us-east-1.es.amazonaws.com/_plugin/kibana/#/discover/Steve-Slow-Train-Analysis-(2080s-and-2083s)?_g=(refreshInterval:(display:Off,section:0,value:0),time:(from:'2016-09-05 11:57:09-0600',mode:absolute,to:'2016-09-05 14:46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87" t="str">
            <v>N</v>
          </cell>
          <cell r="X87">
            <v>1</v>
          </cell>
          <cell r="Y87">
            <v>4.58E-2</v>
          </cell>
          <cell r="Z87">
            <v>23.331399999999999</v>
          </cell>
          <cell r="AA87">
            <v>23.285599999999999</v>
          </cell>
          <cell r="AB87" t="e">
            <v>#N/A</v>
          </cell>
          <cell r="AC87" t="e">
            <v>#N/A</v>
          </cell>
          <cell r="AD87" t="str">
            <v>0175-05</v>
          </cell>
          <cell r="AE87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88">
          <cell r="A88" t="str">
            <v>176-05</v>
          </cell>
          <cell r="B88">
            <v>4019</v>
          </cell>
          <cell r="C88" t="str">
            <v>DE.1.0.7.0</v>
          </cell>
          <cell r="D88" t="str">
            <v>204:232987</v>
          </cell>
          <cell r="E88">
            <v>42618.577164351853</v>
          </cell>
          <cell r="F88">
            <v>42618.578043981484</v>
          </cell>
          <cell r="G88">
            <v>1</v>
          </cell>
          <cell r="H88" t="str">
            <v>204:143</v>
          </cell>
          <cell r="I88">
            <v>42618.609988425924</v>
          </cell>
          <cell r="J88">
            <v>0</v>
          </cell>
          <cell r="K88" t="str">
            <v>4019/4020</v>
          </cell>
          <cell r="L88" t="str">
            <v>BARTLETT</v>
          </cell>
          <cell r="M88">
            <v>3.1944444439432118E-2</v>
          </cell>
          <cell r="N88">
            <v>45.99999999278225</v>
          </cell>
          <cell r="S88">
            <v>1</v>
          </cell>
          <cell r="T88" t="str">
            <v>Southbound</v>
          </cell>
          <cell r="U88">
            <v>12</v>
          </cell>
          <cell r="V88" t="str">
            <v>https://search-rtdc-monitor-bjffxe2xuh6vdkpspy63sjmuny.us-east-1.es.amazonaws.com/_plugin/kibana/#/discover/Steve-Slow-Train-Analysis-(2080s-and-2083s)?_g=(refreshInterval:(display:Off,section:0,value:0),time:(from:'2016-09-05 12:51:07-0600',mode:absolute,to:'2016-09-05 15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88" t="str">
            <v>N</v>
          </cell>
          <cell r="X88">
            <v>1</v>
          </cell>
          <cell r="Y88">
            <v>23.2987</v>
          </cell>
          <cell r="Z88">
            <v>1.43E-2</v>
          </cell>
          <cell r="AA88">
            <v>23.284400000000002</v>
          </cell>
          <cell r="AB88" t="e">
            <v>#N/A</v>
          </cell>
          <cell r="AC88" t="e">
            <v>#N/A</v>
          </cell>
          <cell r="AD88" t="str">
            <v>0176-05</v>
          </cell>
          <cell r="AE88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89">
          <cell r="A89" t="str">
            <v>177-05</v>
          </cell>
          <cell r="B89">
            <v>4044</v>
          </cell>
          <cell r="C89" t="str">
            <v>DE.1.0.7.0</v>
          </cell>
          <cell r="D89" t="str">
            <v>204:466</v>
          </cell>
          <cell r="E89">
            <v>42618.546736111108</v>
          </cell>
          <cell r="F89">
            <v>42618.547685185185</v>
          </cell>
          <cell r="G89">
            <v>1</v>
          </cell>
          <cell r="H89" t="str">
            <v>204:233282</v>
          </cell>
          <cell r="I89">
            <v>42618.579189814816</v>
          </cell>
          <cell r="J89">
            <v>0</v>
          </cell>
          <cell r="K89" t="str">
            <v>4043/4044</v>
          </cell>
          <cell r="L89" t="str">
            <v>BONDS</v>
          </cell>
          <cell r="M89">
            <v>3.1504629630944692E-2</v>
          </cell>
          <cell r="N89">
            <v>45.366666668560356</v>
          </cell>
          <cell r="S89">
            <v>1</v>
          </cell>
          <cell r="T89" t="str">
            <v>NorthBound</v>
          </cell>
          <cell r="U89">
            <v>12</v>
          </cell>
          <cell r="V89" t="str">
            <v>https://search-rtdc-monitor-bjffxe2xuh6vdkpspy63sjmuny.us-east-1.es.amazonaws.com/_plugin/kibana/#/discover/Steve-Slow-Train-Analysis-(2080s-and-2083s)?_g=(refreshInterval:(display:Off,section:0,value:0),time:(from:'2016-09-05 12:07:18-0600',mode:absolute,to:'2016-09-05 14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89" t="str">
            <v>N</v>
          </cell>
          <cell r="X89">
            <v>1</v>
          </cell>
          <cell r="Y89">
            <v>4.6600000000000003E-2</v>
          </cell>
          <cell r="Z89">
            <v>23.328199999999999</v>
          </cell>
          <cell r="AA89">
            <v>23.281599999999997</v>
          </cell>
          <cell r="AB89" t="e">
            <v>#N/A</v>
          </cell>
          <cell r="AC89" t="e">
            <v>#N/A</v>
          </cell>
          <cell r="AD89" t="str">
            <v>0177-05</v>
          </cell>
          <cell r="AE89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90">
          <cell r="A90" t="str">
            <v>178-05</v>
          </cell>
          <cell r="B90">
            <v>4043</v>
          </cell>
          <cell r="C90" t="str">
            <v>DE.1.0.7.0</v>
          </cell>
          <cell r="D90" t="str">
            <v>204:233001</v>
          </cell>
          <cell r="E90">
            <v>42618.582453703704</v>
          </cell>
          <cell r="F90">
            <v>42618.58315972222</v>
          </cell>
          <cell r="G90">
            <v>1</v>
          </cell>
          <cell r="H90" t="str">
            <v>204:136</v>
          </cell>
          <cell r="I90">
            <v>42618.618576388886</v>
          </cell>
          <cell r="J90">
            <v>0</v>
          </cell>
          <cell r="K90" t="str">
            <v>4043/4044</v>
          </cell>
          <cell r="L90" t="str">
            <v>BONDS</v>
          </cell>
          <cell r="M90">
            <v>3.5416666665696539E-2</v>
          </cell>
          <cell r="N90">
            <v>50.999999998603016</v>
          </cell>
          <cell r="S90">
            <v>1</v>
          </cell>
          <cell r="T90" t="str">
            <v>Southbound</v>
          </cell>
          <cell r="U90">
            <v>12</v>
          </cell>
          <cell r="V90" t="str">
            <v>https://search-rtdc-monitor-bjffxe2xuh6vdkpspy63sjmuny.us-east-1.es.amazonaws.com/_plugin/kibana/#/discover/Steve-Slow-Train-Analysis-(2080s-and-2083s)?_g=(refreshInterval:(display:Off,section:0,value:0),time:(from:'2016-09-05 12:58:44-0600',mode:absolute,to:'2016-09-05 15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90" t="str">
            <v>N</v>
          </cell>
          <cell r="X90">
            <v>1</v>
          </cell>
          <cell r="Y90">
            <v>23.3001</v>
          </cell>
          <cell r="Z90">
            <v>1.3599999999999999E-2</v>
          </cell>
          <cell r="AA90">
            <v>23.2865</v>
          </cell>
          <cell r="AB90" t="e">
            <v>#N/A</v>
          </cell>
          <cell r="AC90" t="e">
            <v>#N/A</v>
          </cell>
          <cell r="AD90" t="str">
            <v>0178-05</v>
          </cell>
          <cell r="AE90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91">
          <cell r="A91" t="str">
            <v>179-05</v>
          </cell>
          <cell r="B91">
            <v>4016</v>
          </cell>
          <cell r="C91" t="str">
            <v>DE.1.0.7.0</v>
          </cell>
          <cell r="D91" t="str">
            <v>204:460</v>
          </cell>
          <cell r="E91">
            <v>42618.561064814814</v>
          </cell>
          <cell r="F91">
            <v>42618.562013888892</v>
          </cell>
          <cell r="G91">
            <v>1</v>
          </cell>
          <cell r="H91" t="str">
            <v>204:233304</v>
          </cell>
          <cell r="I91">
            <v>42618.590902777774</v>
          </cell>
          <cell r="J91">
            <v>0</v>
          </cell>
          <cell r="K91" t="str">
            <v>4015/4016</v>
          </cell>
          <cell r="L91" t="str">
            <v>CLARK</v>
          </cell>
          <cell r="M91">
            <v>2.8888888882647734E-2</v>
          </cell>
          <cell r="N91">
            <v>41.599999991012737</v>
          </cell>
          <cell r="S91">
            <v>1</v>
          </cell>
          <cell r="T91" t="str">
            <v>NorthBound</v>
          </cell>
          <cell r="U91">
            <v>12</v>
          </cell>
          <cell r="V91" t="str">
            <v>https://search-rtdc-monitor-bjffxe2xuh6vdkpspy63sjmuny.us-east-1.es.amazonaws.com/_plugin/kibana/#/discover/Steve-Slow-Train-Analysis-(2080s-and-2083s)?_g=(refreshInterval:(display:Off,section:0,value:0),time:(from:'2016-09-05 12:27:56-0600',mode:absolute,to:'2016-09-05 15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91" t="str">
            <v>N</v>
          </cell>
          <cell r="X91">
            <v>1</v>
          </cell>
          <cell r="Y91">
            <v>4.5999999999999999E-2</v>
          </cell>
          <cell r="Z91">
            <v>23.330400000000001</v>
          </cell>
          <cell r="AA91">
            <v>23.284400000000002</v>
          </cell>
          <cell r="AB91" t="e">
            <v>#N/A</v>
          </cell>
          <cell r="AC91" t="e">
            <v>#N/A</v>
          </cell>
          <cell r="AD91" t="str">
            <v>0179-05</v>
          </cell>
          <cell r="AE91" t="str">
    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    </cell>
        </row>
        <row r="92">
          <cell r="A92" t="str">
            <v>180-05</v>
          </cell>
          <cell r="B92">
            <v>4015</v>
          </cell>
          <cell r="C92" t="str">
            <v>DE.1.0.7.0</v>
          </cell>
          <cell r="D92" t="str">
            <v>204:232991</v>
          </cell>
          <cell r="E92">
            <v>42618.596261574072</v>
          </cell>
          <cell r="F92">
            <v>42618.597060185188</v>
          </cell>
          <cell r="G92">
            <v>1</v>
          </cell>
          <cell r="H92" t="str">
            <v>204:136</v>
          </cell>
          <cell r="I92">
            <v>42618.631273148145</v>
          </cell>
          <cell r="J92">
            <v>0</v>
          </cell>
          <cell r="K92" t="str">
            <v>4015/4016</v>
          </cell>
          <cell r="L92" t="str">
            <v>CLARK</v>
          </cell>
          <cell r="M92">
            <v>3.421296295709908E-2</v>
          </cell>
          <cell r="N92">
            <v>49.266666658222675</v>
          </cell>
          <cell r="S92">
            <v>1</v>
          </cell>
          <cell r="T92" t="str">
            <v>Southbound</v>
          </cell>
          <cell r="U92">
            <v>12</v>
          </cell>
          <cell r="V92" t="str">
            <v>https://search-rtdc-monitor-bjffxe2xuh6vdkpspy63sjmuny.us-east-1.es.amazonaws.com/_plugin/kibana/#/discover/Steve-Slow-Train-Analysis-(2080s-and-2083s)?_g=(refreshInterval:(display:Off,section:0,value:0),time:(from:'2016-09-05 13:18:37-0600',mode:absolute,to:'2016-09-05 16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92" t="str">
            <v>N</v>
          </cell>
          <cell r="X92">
            <v>1</v>
          </cell>
          <cell r="Y92">
            <v>23.299099999999999</v>
          </cell>
          <cell r="Z92">
            <v>1.3599999999999999E-2</v>
          </cell>
          <cell r="AA92">
            <v>23.285499999999999</v>
          </cell>
          <cell r="AB92" t="e">
            <v>#N/A</v>
          </cell>
          <cell r="AC92" t="e">
            <v>#N/A</v>
          </cell>
          <cell r="AD92" t="str">
            <v>0180-05</v>
          </cell>
          <cell r="AE92" t="str">
    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    </cell>
        </row>
        <row r="93">
          <cell r="A93" t="str">
            <v>181-05</v>
          </cell>
          <cell r="B93">
            <v>4014</v>
          </cell>
          <cell r="C93" t="str">
            <v>DE.1.0.7.0</v>
          </cell>
          <cell r="D93" t="str">
            <v>204:489</v>
          </cell>
          <cell r="E93">
            <v>42618.569849537038</v>
          </cell>
          <cell r="F93">
            <v>42618.570891203701</v>
          </cell>
          <cell r="G93">
            <v>1</v>
          </cell>
          <cell r="H93" t="str">
            <v>204:233334</v>
          </cell>
          <cell r="I93">
            <v>42618.599918981483</v>
          </cell>
          <cell r="J93">
            <v>0</v>
          </cell>
          <cell r="K93" t="str">
            <v>4013/4014</v>
          </cell>
          <cell r="L93" t="str">
            <v>YOUNG</v>
          </cell>
          <cell r="M93">
            <v>2.902777778217569E-2</v>
          </cell>
          <cell r="N93">
            <v>41.800000006332994</v>
          </cell>
          <cell r="S93">
            <v>1</v>
          </cell>
          <cell r="T93" t="str">
            <v>NorthBound</v>
          </cell>
          <cell r="U93">
            <v>12</v>
          </cell>
          <cell r="V93" t="str">
            <v>https://search-rtdc-monitor-bjffxe2xuh6vdkpspy63sjmuny.us-east-1.es.amazonaws.com/_plugin/kibana/#/discover/Steve-Slow-Train-Analysis-(2080s-and-2083s)?_g=(refreshInterval:(display:Off,section:0,value:0),time:(from:'2016-09-05 12:40:35-0600',mode:absolute,to:'2016-09-05 15:23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93" t="str">
            <v>N</v>
          </cell>
          <cell r="X93">
            <v>1</v>
          </cell>
          <cell r="Y93">
            <v>4.8899999999999999E-2</v>
          </cell>
          <cell r="Z93">
            <v>23.333400000000001</v>
          </cell>
          <cell r="AA93">
            <v>23.284500000000001</v>
          </cell>
          <cell r="AB93" t="e">
            <v>#N/A</v>
          </cell>
          <cell r="AC93" t="e">
            <v>#N/A</v>
          </cell>
          <cell r="AD93" t="str">
            <v>0181-05</v>
          </cell>
          <cell r="AE93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94">
          <cell r="A94" t="str">
            <v>182-05</v>
          </cell>
          <cell r="B94">
            <v>4013</v>
          </cell>
          <cell r="C94" t="str">
            <v>DE.1.0.7.0</v>
          </cell>
          <cell r="D94" t="str">
            <v>204:232996</v>
          </cell>
          <cell r="E94">
            <v>42618.606377314813</v>
          </cell>
          <cell r="F94">
            <v>42618.607245370367</v>
          </cell>
          <cell r="G94">
            <v>1</v>
          </cell>
          <cell r="H94" t="str">
            <v>204:141</v>
          </cell>
          <cell r="I94">
            <v>42618.64167824074</v>
          </cell>
          <cell r="J94">
            <v>0</v>
          </cell>
          <cell r="K94" t="str">
            <v>4013/4014</v>
          </cell>
          <cell r="L94" t="str">
            <v>YOUNG</v>
          </cell>
          <cell r="M94">
            <v>3.443287037225673E-2</v>
          </cell>
          <cell r="N94">
            <v>49.583333336049691</v>
          </cell>
          <cell r="S94">
            <v>1</v>
          </cell>
          <cell r="T94" t="str">
            <v>Southbound</v>
          </cell>
          <cell r="U94">
            <v>12</v>
          </cell>
          <cell r="V94" t="str">
            <v>https://search-rtdc-monitor-bjffxe2xuh6vdkpspy63sjmuny.us-east-1.es.amazonaws.com/_plugin/kibana/#/discover/Steve-Slow-Train-Analysis-(2080s-and-2083s)?_g=(refreshInterval:(display:Off,section:0,value:0),time:(from:'2016-09-05 13:33:11-0600',mode:absolute,to:'2016-09-05 16:24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94" t="str">
            <v>N</v>
          </cell>
          <cell r="X94">
            <v>1</v>
          </cell>
          <cell r="Y94">
            <v>23.299600000000002</v>
          </cell>
          <cell r="Z94">
            <v>1.41E-2</v>
          </cell>
          <cell r="AA94">
            <v>23.285500000000003</v>
          </cell>
          <cell r="AB94" t="e">
            <v>#N/A</v>
          </cell>
          <cell r="AC94" t="e">
            <v>#N/A</v>
          </cell>
          <cell r="AD94" t="str">
            <v>0182-05</v>
          </cell>
          <cell r="AE94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95">
          <cell r="A95" t="str">
            <v>183-05</v>
          </cell>
          <cell r="B95">
            <v>4027</v>
          </cell>
          <cell r="C95" t="str">
            <v>DE.1.0.7.0</v>
          </cell>
          <cell r="D95" t="str">
            <v>204:453</v>
          </cell>
          <cell r="E95">
            <v>42618.580995370372</v>
          </cell>
          <cell r="F95">
            <v>42618.582499999997</v>
          </cell>
          <cell r="G95">
            <v>2</v>
          </cell>
          <cell r="H95" t="str">
            <v>204:233293</v>
          </cell>
          <cell r="I95">
            <v>42618.61005787037</v>
          </cell>
          <cell r="J95">
            <v>0</v>
          </cell>
          <cell r="K95" t="str">
            <v>4027/4028</v>
          </cell>
          <cell r="L95" t="str">
            <v>HELVIE</v>
          </cell>
          <cell r="M95">
            <v>2.7557870373129845E-2</v>
          </cell>
          <cell r="N95">
            <v>39.683333337306976</v>
          </cell>
          <cell r="S95">
            <v>1</v>
          </cell>
          <cell r="T95" t="str">
            <v>NorthBound</v>
          </cell>
          <cell r="U95">
            <v>12</v>
          </cell>
          <cell r="V95" t="str">
            <v>https://search-rtdc-monitor-bjffxe2xuh6vdkpspy63sjmuny.us-east-1.es.amazonaws.com/_plugin/kibana/#/discover/Steve-Slow-Train-Analysis-(2080s-and-2083s)?_g=(refreshInterval:(display:Off,section:0,value:0),time:(from:'2016-09-05 12:56:38-0600',mode:absolute,to:'2016-09-05 15:38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95" t="str">
            <v>N</v>
          </cell>
          <cell r="X95">
            <v>1</v>
          </cell>
          <cell r="Y95">
            <v>4.53E-2</v>
          </cell>
          <cell r="Z95">
            <v>23.3293</v>
          </cell>
          <cell r="AA95">
            <v>23.283999999999999</v>
          </cell>
          <cell r="AB95" t="e">
            <v>#N/A</v>
          </cell>
          <cell r="AC95" t="e">
            <v>#N/A</v>
          </cell>
          <cell r="AD95" t="str">
            <v>0183-05</v>
          </cell>
          <cell r="AE95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96">
          <cell r="A96" t="str">
            <v>184-05</v>
          </cell>
          <cell r="B96">
            <v>4028</v>
          </cell>
          <cell r="C96" t="str">
            <v>DE.1.0.7.0</v>
          </cell>
          <cell r="D96" t="str">
            <v>204:232985</v>
          </cell>
          <cell r="E96">
            <v>42618.614999999998</v>
          </cell>
          <cell r="F96">
            <v>42618.616006944445</v>
          </cell>
          <cell r="G96">
            <v>1</v>
          </cell>
          <cell r="H96" t="str">
            <v>204:260</v>
          </cell>
          <cell r="I96">
            <v>42618.65184027778</v>
          </cell>
          <cell r="J96">
            <v>0</v>
          </cell>
          <cell r="K96" t="str">
            <v>4027/4028</v>
          </cell>
          <cell r="L96" t="str">
            <v>HELVIE</v>
          </cell>
          <cell r="M96">
            <v>3.5833333335176576E-2</v>
          </cell>
          <cell r="N96">
            <v>51.600000002654269</v>
          </cell>
          <cell r="S96">
            <v>1</v>
          </cell>
          <cell r="T96" t="str">
            <v>Southbound</v>
          </cell>
          <cell r="U96">
            <v>12</v>
          </cell>
          <cell r="V96" t="str">
            <v>https://search-rtdc-monitor-bjffxe2xuh6vdkpspy63sjmuny.us-east-1.es.amazonaws.com/_plugin/kibana/#/discover/Steve-Slow-Train-Analysis-(2080s-and-2083s)?_g=(refreshInterval:(display:Off,section:0,value:0),time:(from:'2016-09-05 13:45:36-0600',mode:absolute,to:'2016-09-05 16:38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96" t="str">
            <v>N</v>
          </cell>
          <cell r="X96">
            <v>1</v>
          </cell>
          <cell r="Y96">
            <v>23.298500000000001</v>
          </cell>
          <cell r="Z96">
            <v>2.5999999999999999E-2</v>
          </cell>
          <cell r="AA96">
            <v>23.272500000000001</v>
          </cell>
          <cell r="AB96" t="e">
            <v>#N/A</v>
          </cell>
          <cell r="AC96" t="e">
            <v>#N/A</v>
          </cell>
          <cell r="AD96" t="str">
            <v>0184-05</v>
          </cell>
          <cell r="AE96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97">
          <cell r="A97" t="str">
            <v>185-05</v>
          </cell>
          <cell r="B97">
            <v>4011</v>
          </cell>
          <cell r="C97" t="str">
            <v>DE.1.0.7.0</v>
          </cell>
          <cell r="D97" t="str">
            <v>204:455</v>
          </cell>
          <cell r="E97">
            <v>42618.588240740741</v>
          </cell>
          <cell r="F97">
            <v>42618.589259259257</v>
          </cell>
          <cell r="G97">
            <v>1</v>
          </cell>
          <cell r="H97" t="str">
            <v>204:233357</v>
          </cell>
          <cell r="I97">
            <v>42618.619780092595</v>
          </cell>
          <cell r="J97">
            <v>0</v>
          </cell>
          <cell r="K97" t="str">
            <v>4011/4012</v>
          </cell>
          <cell r="L97" t="str">
            <v>SHOOK</v>
          </cell>
          <cell r="M97">
            <v>3.0520833337504882E-2</v>
          </cell>
          <cell r="N97">
            <v>43.950000006007031</v>
          </cell>
          <cell r="S97">
            <v>1</v>
          </cell>
          <cell r="T97" t="str">
            <v>NorthBound</v>
          </cell>
          <cell r="U97">
            <v>12</v>
          </cell>
          <cell r="V97" t="str">
            <v>https://search-rtdc-monitor-bjffxe2xuh6vdkpspy63sjmuny.us-east-1.es.amazonaws.com/_plugin/kibana/#/discover/Steve-Slow-Train-Analysis-(2080s-and-2083s)?_g=(refreshInterval:(display:Off,section:0,value:0),time:(from:'2016-09-05 13:07:04-0600',mode:absolute,to:'2016-09-05 15:52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97" t="str">
            <v>N</v>
          </cell>
          <cell r="X97">
            <v>1</v>
          </cell>
          <cell r="Y97">
            <v>4.5499999999999999E-2</v>
          </cell>
          <cell r="Z97">
            <v>23.335699999999999</v>
          </cell>
          <cell r="AA97">
            <v>23.290199999999999</v>
          </cell>
          <cell r="AB97" t="e">
            <v>#N/A</v>
          </cell>
          <cell r="AC97" t="e">
            <v>#N/A</v>
          </cell>
          <cell r="AD97" t="str">
            <v>0185-05</v>
          </cell>
          <cell r="AE97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98">
          <cell r="A98" t="str">
            <v>186-05</v>
          </cell>
          <cell r="B98">
            <v>4012</v>
          </cell>
          <cell r="C98" t="str">
            <v>DE.1.0.7.0</v>
          </cell>
          <cell r="D98" t="str">
            <v>204:233044</v>
          </cell>
          <cell r="E98">
            <v>42618.625567129631</v>
          </cell>
          <cell r="F98">
            <v>42618.626284722224</v>
          </cell>
          <cell r="G98">
            <v>1</v>
          </cell>
          <cell r="H98" t="str">
            <v>204:152</v>
          </cell>
          <cell r="I98">
            <v>42618.662164351852</v>
          </cell>
          <cell r="J98">
            <v>0</v>
          </cell>
          <cell r="K98" t="str">
            <v>4011/4012</v>
          </cell>
          <cell r="L98" t="str">
            <v>SHOOK</v>
          </cell>
          <cell r="M98">
            <v>3.587962962774327E-2</v>
          </cell>
          <cell r="N98">
            <v>51.666666663950309</v>
          </cell>
          <cell r="S98">
            <v>1</v>
          </cell>
          <cell r="T98" t="str">
            <v>Southbound</v>
          </cell>
          <cell r="U98">
            <v>12</v>
          </cell>
          <cell r="V98" t="str">
            <v>https://search-rtdc-monitor-bjffxe2xuh6vdkpspy63sjmuny.us-east-1.es.amazonaws.com/_plugin/kibana/#/discover/Steve-Slow-Train-Analysis-(2080s-and-2083s)?_g=(refreshInterval:(display:Off,section:0,value:0),time:(from:'2016-09-05 14:00:49-0600',mode:absolute,to:'2016-09-05 16:53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98" t="str">
            <v>N</v>
          </cell>
          <cell r="X98">
            <v>1</v>
          </cell>
          <cell r="Y98">
            <v>23.304400000000001</v>
          </cell>
          <cell r="Z98">
            <v>1.52E-2</v>
          </cell>
          <cell r="AA98">
            <v>23.289200000000001</v>
          </cell>
          <cell r="AB98" t="e">
            <v>#N/A</v>
          </cell>
          <cell r="AC98" t="e">
            <v>#N/A</v>
          </cell>
          <cell r="AD98" t="str">
            <v>0186-05</v>
          </cell>
          <cell r="AE98" t="str">
    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    </cell>
        </row>
        <row r="99">
          <cell r="A99" t="str">
            <v>187-05</v>
          </cell>
          <cell r="B99">
            <v>4002</v>
          </cell>
          <cell r="C99" t="str">
            <v>DE.1.0.7.0</v>
          </cell>
          <cell r="D99" t="str">
            <v>204:442</v>
          </cell>
          <cell r="E99">
            <v>42618.602962962963</v>
          </cell>
          <cell r="F99">
            <v>42618.604178240741</v>
          </cell>
          <cell r="G99">
            <v>1</v>
          </cell>
          <cell r="H99" t="str">
            <v>204:233353</v>
          </cell>
          <cell r="I99">
            <v>42618.630185185182</v>
          </cell>
          <cell r="J99">
            <v>0</v>
          </cell>
          <cell r="K99" t="str">
            <v>4001/4002</v>
          </cell>
          <cell r="L99" t="str">
            <v>STEWART</v>
          </cell>
          <cell r="M99">
            <v>2.6006944441178348E-2</v>
          </cell>
          <cell r="N99">
            <v>37.449999995296821</v>
          </cell>
          <cell r="S99">
            <v>1</v>
          </cell>
          <cell r="T99" t="str">
            <v>NorthBound</v>
          </cell>
          <cell r="U99">
            <v>12</v>
          </cell>
          <cell r="V99" t="str">
            <v>https://search-rtdc-monitor-bjffxe2xuh6vdkpspy63sjmuny.us-east-1.es.amazonaws.com/_plugin/kibana/#/discover/Steve-Slow-Train-Analysis-(2080s-and-2083s)?_g=(refreshInterval:(display:Off,section:0,value:0),time:(from:'2016-09-05 13:28:16-0600',mode:absolute,to:'2016-09-05 16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99" t="str">
            <v>N</v>
          </cell>
          <cell r="X99">
            <v>1</v>
          </cell>
          <cell r="Y99">
            <v>4.4200000000000003E-2</v>
          </cell>
          <cell r="Z99">
            <v>23.3353</v>
          </cell>
          <cell r="AA99">
            <v>23.2911</v>
          </cell>
          <cell r="AB99" t="e">
            <v>#N/A</v>
          </cell>
          <cell r="AC99" t="e">
            <v>#N/A</v>
          </cell>
          <cell r="AD99" t="str">
            <v>0187-05</v>
          </cell>
          <cell r="AE99" t="str">
    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    </cell>
        </row>
        <row r="100">
          <cell r="A100" t="str">
            <v>188-05</v>
          </cell>
          <cell r="B100">
            <v>4001</v>
          </cell>
          <cell r="C100" t="str">
            <v>DE.1.0.7.0</v>
          </cell>
          <cell r="D100" t="str">
            <v>204:233025</v>
          </cell>
          <cell r="E100">
            <v>42618.63957175926</v>
          </cell>
          <cell r="F100">
            <v>42618.640960648147</v>
          </cell>
          <cell r="G100">
            <v>2</v>
          </cell>
          <cell r="H100" t="str">
            <v>204:138</v>
          </cell>
          <cell r="I100">
            <v>42618.672650462962</v>
          </cell>
          <cell r="J100">
            <v>0</v>
          </cell>
          <cell r="K100" t="str">
            <v>4001/4002</v>
          </cell>
          <cell r="L100" t="str">
            <v>STEWART</v>
          </cell>
          <cell r="M100">
            <v>3.1689814815763384E-2</v>
          </cell>
          <cell r="N100">
            <v>45.633333334699273</v>
          </cell>
          <cell r="S100">
            <v>1</v>
          </cell>
          <cell r="T100" t="str">
            <v>Southbound</v>
          </cell>
          <cell r="U100">
            <v>12</v>
          </cell>
          <cell r="V100" t="str">
            <v>https://search-rtdc-monitor-bjffxe2xuh6vdkpspy63sjmuny.us-east-1.es.amazonaws.com/_plugin/kibana/#/discover/Steve-Slow-Train-Analysis-(2080s-and-2083s)?_g=(refreshInterval:(display:Off,section:0,value:0),time:(from:'2016-09-05 14:20:59-0600',mode:absolute,to:'2016-09-05 17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00" t="str">
            <v>N</v>
          </cell>
          <cell r="X100">
            <v>1</v>
          </cell>
          <cell r="Y100">
            <v>23.302499999999998</v>
          </cell>
          <cell r="Z100">
            <v>1.38E-2</v>
          </cell>
          <cell r="AA100">
            <v>23.288699999999999</v>
          </cell>
          <cell r="AB100" t="e">
            <v>#N/A</v>
          </cell>
          <cell r="AC100" t="e">
            <v>#N/A</v>
          </cell>
          <cell r="AD100" t="str">
            <v>0188-05</v>
          </cell>
          <cell r="AE100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101">
          <cell r="A101" t="str">
            <v>189-05</v>
          </cell>
          <cell r="B101">
            <v>4020</v>
          </cell>
          <cell r="C101" t="str">
            <v>DE.1.0.7.0</v>
          </cell>
          <cell r="D101" t="str">
            <v>204:464</v>
          </cell>
          <cell r="E101">
            <v>42618.611261574071</v>
          </cell>
          <cell r="F101">
            <v>42618.612071759257</v>
          </cell>
          <cell r="G101">
            <v>1</v>
          </cell>
          <cell r="H101" t="str">
            <v>204:233339</v>
          </cell>
          <cell r="I101">
            <v>42618.640451388892</v>
          </cell>
          <cell r="J101">
            <v>0</v>
          </cell>
          <cell r="K101" t="str">
            <v>4019/4020</v>
          </cell>
          <cell r="L101" t="str">
            <v>BARTLETT</v>
          </cell>
          <cell r="M101">
            <v>2.8379629635310266E-2</v>
          </cell>
          <cell r="N101">
            <v>40.866666674846783</v>
          </cell>
          <cell r="S101">
            <v>1</v>
          </cell>
          <cell r="T101" t="str">
            <v>NorthBound</v>
          </cell>
          <cell r="U101">
            <v>12</v>
          </cell>
          <cell r="V101" t="str">
            <v>https://search-rtdc-monitor-bjffxe2xuh6vdkpspy63sjmuny.us-east-1.es.amazonaws.com/_plugin/kibana/#/discover/Steve-Slow-Train-Analysis-(2080s-and-2083s)?_g=(refreshInterval:(display:Off,section:0,value:0),time:(from:'2016-09-05 13:40:13-0600',mode:absolute,to:'2016-09-05 16:22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01" t="str">
            <v>N</v>
          </cell>
          <cell r="X101">
            <v>1</v>
          </cell>
          <cell r="Y101">
            <v>4.6399999999999997E-2</v>
          </cell>
          <cell r="Z101">
            <v>23.3339</v>
          </cell>
          <cell r="AA101">
            <v>23.287500000000001</v>
          </cell>
          <cell r="AB101" t="e">
            <v>#N/A</v>
          </cell>
          <cell r="AC101" t="e">
            <v>#N/A</v>
          </cell>
          <cell r="AD101" t="str">
            <v>0189-05</v>
          </cell>
          <cell r="AE101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102">
          <cell r="A102" t="str">
            <v>190-05</v>
          </cell>
          <cell r="B102">
            <v>4019</v>
          </cell>
          <cell r="C102" t="str">
            <v>DE.1.0.7.0</v>
          </cell>
          <cell r="D102" t="str">
            <v>204:233003</v>
          </cell>
          <cell r="E102">
            <v>42618.650613425925</v>
          </cell>
          <cell r="F102">
            <v>42618.651585648149</v>
          </cell>
          <cell r="G102">
            <v>1</v>
          </cell>
          <cell r="H102" t="str">
            <v>204:143</v>
          </cell>
          <cell r="I102">
            <v>42618.683912037035</v>
          </cell>
          <cell r="J102">
            <v>0</v>
          </cell>
          <cell r="K102" t="str">
            <v>4019/4020</v>
          </cell>
          <cell r="L102" t="str">
            <v>BARTLETT</v>
          </cell>
          <cell r="M102">
            <v>3.2326388885849155E-2</v>
          </cell>
          <cell r="N102">
            <v>46.549999995622784</v>
          </cell>
          <cell r="S102">
            <v>1</v>
          </cell>
          <cell r="T102" t="str">
            <v>Southbound</v>
          </cell>
          <cell r="U102">
            <v>12</v>
          </cell>
          <cell r="V102" t="str">
            <v>https://search-rtdc-monitor-bjffxe2xuh6vdkpspy63sjmuny.us-east-1.es.amazonaws.com/_plugin/kibana/#/discover/Steve-Slow-Train-Analysis-(2080s-and-2083s)?_g=(refreshInterval:(display:Off,section:0,value:0),time:(from:'2016-09-05 14:36:53-0600',mode:absolute,to:'2016-09-05 17:24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02" t="str">
            <v>N</v>
          </cell>
          <cell r="X102">
            <v>1</v>
          </cell>
          <cell r="Y102">
            <v>23.3003</v>
          </cell>
          <cell r="Z102">
            <v>1.43E-2</v>
          </cell>
          <cell r="AA102">
            <v>23.286000000000001</v>
          </cell>
          <cell r="AB102" t="e">
            <v>#N/A</v>
          </cell>
          <cell r="AC102" t="e">
            <v>#N/A</v>
          </cell>
          <cell r="AD102" t="str">
            <v>0190-05</v>
          </cell>
          <cell r="AE102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103">
          <cell r="A103" t="str">
            <v>191-05</v>
          </cell>
          <cell r="B103">
            <v>4044</v>
          </cell>
          <cell r="C103" t="str">
            <v>DE.1.0.7.0</v>
          </cell>
          <cell r="D103" t="str">
            <v>204:453</v>
          </cell>
          <cell r="E103">
            <v>42618.62054398148</v>
          </cell>
          <cell r="F103">
            <v>42618.621539351851</v>
          </cell>
          <cell r="G103">
            <v>1</v>
          </cell>
          <cell r="H103" t="str">
            <v>204:233312</v>
          </cell>
          <cell r="I103">
            <v>42618.650937500002</v>
          </cell>
          <cell r="J103">
            <v>0</v>
          </cell>
          <cell r="K103" t="str">
            <v>4043/4044</v>
          </cell>
          <cell r="L103" t="str">
            <v>BONDS</v>
          </cell>
          <cell r="M103">
            <v>2.9398148151813075E-2</v>
          </cell>
          <cell r="N103">
            <v>42.333333338610828</v>
          </cell>
          <cell r="S103">
            <v>1</v>
          </cell>
          <cell r="T103" t="str">
            <v>NorthBound</v>
          </cell>
          <cell r="U103">
            <v>12</v>
          </cell>
          <cell r="V103" t="str">
            <v>https://search-rtdc-monitor-bjffxe2xuh6vdkpspy63sjmuny.us-east-1.es.amazonaws.com/_plugin/kibana/#/discover/Steve-Slow-Train-Analysis-(2080s-and-2083s)?_g=(refreshInterval:(display:Off,section:0,value:0),time:(from:'2016-09-05 13:53:35-0600',mode:absolute,to:'2016-09-05 16:37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03" t="str">
            <v>N</v>
          </cell>
          <cell r="X103">
            <v>1</v>
          </cell>
          <cell r="Y103">
            <v>4.53E-2</v>
          </cell>
          <cell r="Z103">
            <v>23.331199999999999</v>
          </cell>
          <cell r="AA103">
            <v>23.285899999999998</v>
          </cell>
          <cell r="AB103" t="e">
            <v>#N/A</v>
          </cell>
          <cell r="AC103" t="e">
            <v>#N/A</v>
          </cell>
          <cell r="AD103" t="str">
            <v>0191-05</v>
          </cell>
          <cell r="AE103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104">
          <cell r="A104" t="str">
            <v>192-05</v>
          </cell>
          <cell r="B104">
            <v>4043</v>
          </cell>
          <cell r="C104" t="str">
            <v>DE.1.0.7.0</v>
          </cell>
          <cell r="D104" t="str">
            <v>204:232991</v>
          </cell>
          <cell r="E104">
            <v>42618.655324074076</v>
          </cell>
          <cell r="F104">
            <v>42618.656064814815</v>
          </cell>
          <cell r="G104">
            <v>1</v>
          </cell>
          <cell r="H104" t="str">
            <v>204:130</v>
          </cell>
          <cell r="I104">
            <v>42618.694027777776</v>
          </cell>
          <cell r="J104">
            <v>0</v>
          </cell>
          <cell r="K104" t="str">
            <v>4043/4044</v>
          </cell>
          <cell r="L104" t="str">
            <v>BONDS</v>
          </cell>
          <cell r="M104">
            <v>3.796296296059154E-2</v>
          </cell>
          <cell r="N104">
            <v>54.666666663251817</v>
          </cell>
          <cell r="S104">
            <v>1</v>
          </cell>
          <cell r="T104" t="str">
            <v>Southbound</v>
          </cell>
          <cell r="U104">
            <v>12</v>
          </cell>
          <cell r="V104" t="str">
            <v>https://search-rtdc-monitor-bjffxe2xuh6vdkpspy63sjmuny.us-east-1.es.amazonaws.com/_plugin/kibana/#/discover/Steve-Slow-Train-Analysis-(2080s-and-2083s)?_g=(refreshInterval:(display:Off,section:0,value:0),time:(from:'2016-09-05 14:43:40-0600',mode:absolute,to:'2016-09-05 17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04" t="str">
            <v>N</v>
          </cell>
          <cell r="X104">
            <v>1</v>
          </cell>
          <cell r="Y104">
            <v>23.299099999999999</v>
          </cell>
          <cell r="Z104">
            <v>1.2999999999999999E-2</v>
          </cell>
          <cell r="AA104">
            <v>23.286099999999998</v>
          </cell>
          <cell r="AB104">
            <v>53277</v>
          </cell>
          <cell r="AC104" t="str">
            <v>GRADE CROSSING</v>
          </cell>
          <cell r="AD104" t="str">
            <v>0192-05</v>
          </cell>
          <cell r="AE104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105">
          <cell r="A105" t="str">
            <v>193-05</v>
          </cell>
          <cell r="B105">
            <v>4016</v>
          </cell>
          <cell r="C105" t="str">
            <v>DE.1.0.7.0</v>
          </cell>
          <cell r="D105" t="str">
            <v>204:442</v>
          </cell>
          <cell r="E105">
            <v>42618.632511574076</v>
          </cell>
          <cell r="F105">
            <v>42618.633564814816</v>
          </cell>
          <cell r="G105">
            <v>1</v>
          </cell>
          <cell r="H105" t="str">
            <v>204:233293</v>
          </cell>
          <cell r="I105">
            <v>42618.664004629631</v>
          </cell>
          <cell r="J105">
            <v>0</v>
          </cell>
          <cell r="K105" t="str">
            <v>4015/4016</v>
          </cell>
          <cell r="L105" t="str">
            <v>CLARK</v>
          </cell>
          <cell r="M105">
            <v>3.0439814814599231E-2</v>
          </cell>
          <cell r="N105">
            <v>43.833333333022892</v>
          </cell>
          <cell r="S105">
            <v>1</v>
          </cell>
          <cell r="T105" t="str">
            <v>NorthBound</v>
          </cell>
          <cell r="U105">
            <v>12</v>
          </cell>
          <cell r="V105" t="str">
            <v>https://search-rtdc-monitor-bjffxe2xuh6vdkpspy63sjmuny.us-east-1.es.amazonaws.com/_plugin/kibana/#/discover/Steve-Slow-Train-Analysis-(2080s-and-2083s)?_g=(refreshInterval:(display:Off,section:0,value:0),time:(from:'2016-09-05 14:10:49-0600',mode:absolute,to:'2016-09-05 16:56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05" t="str">
            <v>N</v>
          </cell>
          <cell r="X105">
            <v>1</v>
          </cell>
          <cell r="Y105">
            <v>4.4200000000000003E-2</v>
          </cell>
          <cell r="Z105">
            <v>23.3293</v>
          </cell>
          <cell r="AA105">
            <v>23.2851</v>
          </cell>
          <cell r="AB105" t="e">
            <v>#N/A</v>
          </cell>
          <cell r="AC105" t="e">
            <v>#N/A</v>
          </cell>
          <cell r="AD105" t="str">
            <v>0193-05</v>
          </cell>
          <cell r="AE105" t="str">
    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    </cell>
        </row>
        <row r="106">
          <cell r="A106" t="str">
            <v>194-05</v>
          </cell>
          <cell r="B106">
            <v>4015</v>
          </cell>
          <cell r="C106" t="str">
            <v>DE.1.0.7.0</v>
          </cell>
          <cell r="D106" t="str">
            <v>204:232980</v>
          </cell>
          <cell r="E106">
            <v>42618.671388888892</v>
          </cell>
          <cell r="F106">
            <v>42618.672418981485</v>
          </cell>
          <cell r="G106">
            <v>1</v>
          </cell>
          <cell r="H106" t="str">
            <v>204:143</v>
          </cell>
          <cell r="I106">
            <v>42618.705833333333</v>
          </cell>
          <cell r="J106">
            <v>0</v>
          </cell>
          <cell r="K106" t="str">
            <v>4015/4016</v>
          </cell>
          <cell r="L106" t="str">
            <v>CLARK</v>
          </cell>
          <cell r="M106">
            <v>3.3414351848477963E-2</v>
          </cell>
          <cell r="N106">
            <v>48.116666661808267</v>
          </cell>
          <cell r="S106">
            <v>1</v>
          </cell>
          <cell r="T106" t="str">
            <v>Southbound</v>
          </cell>
          <cell r="U106">
            <v>12</v>
          </cell>
          <cell r="V106" t="str">
            <v>https://search-rtdc-monitor-bjffxe2xuh6vdkpspy63sjmuny.us-east-1.es.amazonaws.com/_plugin/kibana/#/discover/Steve-Slow-Train-Analysis-(2080s-and-2083s)?_g=(refreshInterval:(display:Off,section:0,value:0),time:(from:'2016-09-05 15:06:48-0600',mode:absolute,to:'2016-09-05 17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06" t="str">
            <v>N</v>
          </cell>
          <cell r="X106">
            <v>1</v>
          </cell>
          <cell r="Y106">
            <v>23.297999999999998</v>
          </cell>
          <cell r="Z106">
            <v>1.43E-2</v>
          </cell>
          <cell r="AA106">
            <v>23.2837</v>
          </cell>
          <cell r="AB106" t="e">
            <v>#N/A</v>
          </cell>
          <cell r="AC106" t="e">
            <v>#N/A</v>
          </cell>
          <cell r="AD106" t="str">
            <v>0194-05</v>
          </cell>
          <cell r="AE106" t="str">
    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    </cell>
        </row>
        <row r="107">
          <cell r="A107" t="str">
            <v>195-05</v>
          </cell>
          <cell r="B107">
            <v>4014</v>
          </cell>
          <cell r="C107" t="str">
            <v>DE.1.0.7.0</v>
          </cell>
          <cell r="D107" t="str">
            <v>204:444</v>
          </cell>
          <cell r="E107">
            <v>42618.643275462964</v>
          </cell>
          <cell r="F107">
            <v>42618.644444444442</v>
          </cell>
          <cell r="G107">
            <v>1</v>
          </cell>
          <cell r="H107" t="str">
            <v>204:233312</v>
          </cell>
          <cell r="I107">
            <v>42618.673738425925</v>
          </cell>
          <cell r="J107">
            <v>0</v>
          </cell>
          <cell r="K107" t="str">
            <v>4013/4014</v>
          </cell>
          <cell r="L107" t="str">
            <v>YOUNG</v>
          </cell>
          <cell r="M107">
            <v>2.9293981482624076E-2</v>
          </cell>
          <cell r="N107">
            <v>42.18333333497867</v>
          </cell>
          <cell r="S107">
            <v>1</v>
          </cell>
          <cell r="T107" t="str">
            <v>NorthBound</v>
          </cell>
          <cell r="U107">
            <v>12</v>
          </cell>
          <cell r="V107" t="str">
            <v>https://search-rtdc-monitor-bjffxe2xuh6vdkpspy63sjmuny.us-east-1.es.amazonaws.com/_plugin/kibana/#/discover/Steve-Slow-Train-Analysis-(2080s-and-2083s)?_g=(refreshInterval:(display:Off,section:0,value:0),time:(from:'2016-09-05 14:26:19-0600',mode:absolute,to:'2016-09-05 17:10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07" t="str">
            <v>N</v>
          </cell>
          <cell r="X107">
            <v>1</v>
          </cell>
          <cell r="Y107">
            <v>4.4400000000000002E-2</v>
          </cell>
          <cell r="Z107">
            <v>23.331199999999999</v>
          </cell>
          <cell r="AA107">
            <v>23.286799999999999</v>
          </cell>
          <cell r="AB107" t="e">
            <v>#N/A</v>
          </cell>
          <cell r="AC107" t="e">
            <v>#N/A</v>
          </cell>
          <cell r="AD107" t="str">
            <v>0195-05</v>
          </cell>
          <cell r="AE107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108">
          <cell r="A108" t="str">
            <v>196-05</v>
          </cell>
          <cell r="B108">
            <v>4013</v>
          </cell>
          <cell r="C108" t="str">
            <v>DE.1.0.7.0</v>
          </cell>
          <cell r="D108" t="str">
            <v>204:233000</v>
          </cell>
          <cell r="E108">
            <v>42618.681851851848</v>
          </cell>
          <cell r="F108">
            <v>42618.682569444441</v>
          </cell>
          <cell r="G108">
            <v>1</v>
          </cell>
          <cell r="H108" t="str">
            <v>204:196</v>
          </cell>
          <cell r="I108">
            <v>42618.717430555553</v>
          </cell>
          <cell r="J108">
            <v>0</v>
          </cell>
          <cell r="K108" t="str">
            <v>4013/4014</v>
          </cell>
          <cell r="L108" t="str">
            <v>YOUNG</v>
          </cell>
          <cell r="M108">
            <v>3.4861111111240461E-2</v>
          </cell>
          <cell r="N108">
            <v>50.200000000186265</v>
          </cell>
          <cell r="S108">
            <v>1</v>
          </cell>
          <cell r="T108" t="str">
            <v>Southbound</v>
          </cell>
          <cell r="U108">
            <v>12</v>
          </cell>
          <cell r="V108" t="str">
            <v>https://search-rtdc-monitor-bjffxe2xuh6vdkpspy63sjmuny.us-east-1.es.amazonaws.com/_plugin/kibana/#/discover/Steve-Slow-Train-Analysis-(2080s-and-2083s)?_g=(refreshInterval:(display:Off,section:0,value:0),time:(from:'2016-09-05 15:21:52-0600',mode:absolute,to:'2016-09-05 18:13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08" t="str">
            <v>N</v>
          </cell>
          <cell r="X108">
            <v>1</v>
          </cell>
          <cell r="Y108">
            <v>23.3</v>
          </cell>
          <cell r="Z108">
            <v>1.9599999999999999E-2</v>
          </cell>
          <cell r="AA108">
            <v>23.2804</v>
          </cell>
          <cell r="AB108" t="e">
            <v>#N/A</v>
          </cell>
          <cell r="AC108" t="e">
            <v>#N/A</v>
          </cell>
          <cell r="AD108" t="str">
            <v>0196-05</v>
          </cell>
          <cell r="AE108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109">
          <cell r="A109" t="str">
            <v>197-05</v>
          </cell>
          <cell r="B109">
            <v>4027</v>
          </cell>
          <cell r="C109" t="str">
            <v>DE.1.0.7.0</v>
          </cell>
          <cell r="D109" t="str">
            <v>204:570</v>
          </cell>
          <cell r="E109">
            <v>42618.655081018522</v>
          </cell>
          <cell r="F109">
            <v>42618.656261574077</v>
          </cell>
          <cell r="G109">
            <v>1</v>
          </cell>
          <cell r="H109" t="str">
            <v>204:233283</v>
          </cell>
          <cell r="I109">
            <v>42618.689814814818</v>
          </cell>
          <cell r="J109">
            <v>0</v>
          </cell>
          <cell r="K109" t="str">
            <v>4027/4028</v>
          </cell>
          <cell r="L109" t="str">
            <v>HELVIE</v>
          </cell>
          <cell r="M109">
            <v>3.3553240740729962E-2</v>
          </cell>
          <cell r="N109">
            <v>48.316666666651145</v>
          </cell>
          <cell r="S109">
            <v>1</v>
          </cell>
          <cell r="T109" t="str">
            <v>NorthBound</v>
          </cell>
          <cell r="U109">
            <v>12</v>
          </cell>
          <cell r="V109" t="str">
            <v>https://search-rtdc-monitor-bjffxe2xuh6vdkpspy63sjmuny.us-east-1.es.amazonaws.com/_plugin/kibana/#/discover/Steve-Slow-Train-Analysis-(2080s-and-2083s)?_g=(refreshInterval:(display:Off,section:0,value:0),time:(from:'2016-09-05 14:43:19-0600',mode:absolute,to:'2016-09-05 17:33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09" t="str">
            <v>N</v>
          </cell>
          <cell r="X109">
            <v>1</v>
          </cell>
          <cell r="Y109">
            <v>5.7000000000000002E-2</v>
          </cell>
          <cell r="Z109">
            <v>23.328299999999999</v>
          </cell>
          <cell r="AA109">
            <v>23.2713</v>
          </cell>
          <cell r="AB109" t="e">
            <v>#N/A</v>
          </cell>
          <cell r="AC109" t="e">
            <v>#N/A</v>
          </cell>
          <cell r="AD109" t="str">
            <v>0197-05</v>
          </cell>
          <cell r="AE109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110">
          <cell r="A110" t="str">
            <v>198-05</v>
          </cell>
          <cell r="B110">
            <v>4028</v>
          </cell>
          <cell r="C110" t="str">
            <v>DE.1.0.7.0</v>
          </cell>
          <cell r="D110" t="str">
            <v>204:232977</v>
          </cell>
          <cell r="E110">
            <v>42618.692662037036</v>
          </cell>
          <cell r="F110">
            <v>42618.693356481483</v>
          </cell>
          <cell r="G110">
            <v>1</v>
          </cell>
          <cell r="H110" t="str">
            <v>204:145</v>
          </cell>
          <cell r="I110">
            <v>42618.724131944444</v>
          </cell>
          <cell r="J110">
            <v>0</v>
          </cell>
          <cell r="K110" t="str">
            <v>4027/4028</v>
          </cell>
          <cell r="L110" t="str">
            <v>HELVIE</v>
          </cell>
          <cell r="M110">
            <v>3.0775462961173616E-2</v>
          </cell>
          <cell r="N110">
            <v>44.316666664090008</v>
          </cell>
          <cell r="S110">
            <v>1</v>
          </cell>
          <cell r="T110" t="str">
            <v>Southbound</v>
          </cell>
          <cell r="U110">
            <v>12</v>
          </cell>
          <cell r="V110" t="str">
            <v>https://search-rtdc-monitor-bjffxe2xuh6vdkpspy63sjmuny.us-east-1.es.amazonaws.com/_plugin/kibana/#/discover/Steve-Slow-Train-Analysis-(2080s-and-2083s)?_g=(refreshInterval:(display:Off,section:0,value:0),time:(from:'2016-09-05 15:37:26-0600',mode:absolute,to:'2016-09-05 18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10" t="str">
            <v>N</v>
          </cell>
          <cell r="X110">
            <v>1</v>
          </cell>
          <cell r="Y110">
            <v>23.297699999999999</v>
          </cell>
          <cell r="Z110">
            <v>1.4500000000000001E-2</v>
          </cell>
          <cell r="AA110">
            <v>23.283199999999997</v>
          </cell>
          <cell r="AB110">
            <v>127587</v>
          </cell>
          <cell r="AC110" t="str">
            <v>SIGNAL</v>
          </cell>
          <cell r="AD110" t="str">
            <v>0198-05</v>
          </cell>
          <cell r="AE110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111">
          <cell r="A111" t="str">
            <v>199-05</v>
          </cell>
          <cell r="B111">
            <v>4011</v>
          </cell>
          <cell r="C111" t="str">
            <v>DE.1.0.7.0</v>
          </cell>
          <cell r="D111" t="str">
            <v>204:447</v>
          </cell>
          <cell r="E111">
            <v>42618.663310185184</v>
          </cell>
          <cell r="F111">
            <v>42618.664305555554</v>
          </cell>
          <cell r="G111">
            <v>1</v>
          </cell>
          <cell r="H111" t="str">
            <v>204:233357</v>
          </cell>
          <cell r="I111">
            <v>42618.696273148147</v>
          </cell>
          <cell r="J111">
            <v>0</v>
          </cell>
          <cell r="K111" t="str">
            <v>4011/4012</v>
          </cell>
          <cell r="L111" t="str">
            <v>SHOOK</v>
          </cell>
          <cell r="M111">
            <v>3.1967592592991423E-2</v>
          </cell>
          <cell r="N111">
            <v>46.033333333907649</v>
          </cell>
          <cell r="S111">
            <v>1</v>
          </cell>
          <cell r="T111" t="str">
            <v>NorthBound</v>
          </cell>
          <cell r="U111">
            <v>12</v>
          </cell>
          <cell r="V111" t="str">
            <v>https://search-rtdc-monitor-bjffxe2xuh6vdkpspy63sjmuny.us-east-1.es.amazonaws.com/_plugin/kibana/#/discover/Steve-Slow-Train-Analysis-(2080s-and-2083s)?_g=(refreshInterval:(display:Off,section:0,value:0),time:(from:'2016-09-05 14:55:10-0600',mode:absolute,to:'2016-09-05 17:42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11" t="str">
            <v>N</v>
          </cell>
          <cell r="X111">
            <v>1</v>
          </cell>
          <cell r="Y111">
            <v>4.4699999999999997E-2</v>
          </cell>
          <cell r="Z111">
            <v>23.335699999999999</v>
          </cell>
          <cell r="AA111">
            <v>23.291</v>
          </cell>
          <cell r="AB111" t="e">
            <v>#N/A</v>
          </cell>
          <cell r="AC111" t="e">
            <v>#N/A</v>
          </cell>
          <cell r="AD111" t="str">
            <v>0199-05</v>
          </cell>
          <cell r="AE111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112">
          <cell r="A112" t="str">
            <v>200-05</v>
          </cell>
          <cell r="B112">
            <v>4012</v>
          </cell>
          <cell r="C112" t="str">
            <v>DE.1.0.7.0</v>
          </cell>
          <cell r="D112" t="str">
            <v>204:233048</v>
          </cell>
          <cell r="E112">
            <v>42618.700995370367</v>
          </cell>
          <cell r="F112">
            <v>42618.701655092591</v>
          </cell>
          <cell r="G112">
            <v>0</v>
          </cell>
          <cell r="H112" t="str">
            <v>204:167</v>
          </cell>
          <cell r="I112">
            <v>42618.736504629633</v>
          </cell>
          <cell r="J112">
            <v>0</v>
          </cell>
          <cell r="K112" t="str">
            <v>4011/4012</v>
          </cell>
          <cell r="L112" t="str">
            <v>SHOOK</v>
          </cell>
          <cell r="M112">
            <v>3.4849537041736767E-2</v>
          </cell>
          <cell r="N112">
            <v>50.183333340100944</v>
          </cell>
          <cell r="S112">
            <v>1</v>
          </cell>
          <cell r="T112" t="str">
            <v>Southbound</v>
          </cell>
          <cell r="U112">
            <v>12</v>
          </cell>
          <cell r="V112" t="str">
            <v>https://search-rtdc-monitor-bjffxe2xuh6vdkpspy63sjmuny.us-east-1.es.amazonaws.com/_plugin/kibana/#/discover/Steve-Slow-Train-Analysis-(2080s-and-2083s)?_g=(refreshInterval:(display:Off,section:0,value:0),time:(from:'2016-09-05 15:49:26-0600',mode:absolute,to:'2016-09-05 18:40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12" t="str">
            <v>N</v>
          </cell>
          <cell r="X112">
            <v>1</v>
          </cell>
          <cell r="Y112">
            <v>23.3048</v>
          </cell>
          <cell r="Z112">
            <v>1.67E-2</v>
          </cell>
          <cell r="AA112">
            <v>23.2881</v>
          </cell>
          <cell r="AB112" t="e">
            <v>#N/A</v>
          </cell>
          <cell r="AC112" t="e">
            <v>#N/A</v>
          </cell>
          <cell r="AD112" t="str">
            <v>0200-05</v>
          </cell>
          <cell r="AE112" t="str">
    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    </cell>
        </row>
        <row r="113">
          <cell r="A113" t="str">
            <v>201-05</v>
          </cell>
          <cell r="B113">
            <v>4002</v>
          </cell>
          <cell r="C113" t="str">
            <v>DE.1.0.7.0</v>
          </cell>
          <cell r="D113" t="str">
            <v>204:458</v>
          </cell>
          <cell r="E113">
            <v>42618.674803240741</v>
          </cell>
          <cell r="F113">
            <v>42618.676261574074</v>
          </cell>
          <cell r="G113">
            <v>2</v>
          </cell>
          <cell r="H113" t="str">
            <v>204:233351</v>
          </cell>
          <cell r="I113">
            <v>42618.703888888886</v>
          </cell>
          <cell r="J113">
            <v>0</v>
          </cell>
          <cell r="K113" t="str">
            <v>4001/4002</v>
          </cell>
          <cell r="L113" t="str">
            <v>STEWART</v>
          </cell>
          <cell r="M113">
            <v>2.7627314811979886E-2</v>
          </cell>
          <cell r="N113">
            <v>39.783333329251036</v>
          </cell>
          <cell r="S113">
            <v>1</v>
          </cell>
          <cell r="T113" t="str">
            <v>NorthBound</v>
          </cell>
          <cell r="U113">
            <v>12</v>
          </cell>
          <cell r="V113" t="str">
            <v>https://search-rtdc-monitor-bjffxe2xuh6vdkpspy63sjmuny.us-east-1.es.amazonaws.com/_plugin/kibana/#/discover/Steve-Slow-Train-Analysis-(2080s-and-2083s)?_g=(refreshInterval:(display:Off,section:0,value:0),time:(from:'2016-09-05 15:11:43-0600',mode:absolute,to:'2016-09-05 17:53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13" t="str">
            <v>N</v>
          </cell>
          <cell r="X113">
            <v>1</v>
          </cell>
          <cell r="Y113">
            <v>4.58E-2</v>
          </cell>
          <cell r="Z113">
            <v>23.335100000000001</v>
          </cell>
          <cell r="AA113">
            <v>23.289300000000001</v>
          </cell>
          <cell r="AB113" t="e">
            <v>#N/A</v>
          </cell>
          <cell r="AC113" t="e">
            <v>#N/A</v>
          </cell>
          <cell r="AD113" t="str">
            <v>0201-05</v>
          </cell>
          <cell r="AE113" t="str">
    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    </cell>
        </row>
        <row r="114">
          <cell r="A114" t="str">
            <v>202-05</v>
          </cell>
          <cell r="B114">
            <v>4001</v>
          </cell>
          <cell r="C114" t="str">
            <v>DE.1.0.7.0</v>
          </cell>
          <cell r="D114" t="str">
            <v>204:233034</v>
          </cell>
          <cell r="E114">
            <v>42618.714745370373</v>
          </cell>
          <cell r="F114">
            <v>42618.715694444443</v>
          </cell>
          <cell r="G114">
            <v>1</v>
          </cell>
          <cell r="H114" t="str">
            <v>204:158</v>
          </cell>
          <cell r="I114">
            <v>42618.74527777778</v>
          </cell>
          <cell r="J114">
            <v>0</v>
          </cell>
          <cell r="K114" t="str">
            <v>4001/4002</v>
          </cell>
          <cell r="L114" t="str">
            <v>STEWART</v>
          </cell>
          <cell r="M114">
            <v>2.9583333336631767E-2</v>
          </cell>
          <cell r="N114">
            <v>42.600000004749745</v>
          </cell>
          <cell r="S114">
            <v>1</v>
          </cell>
          <cell r="T114" t="str">
            <v>Southbound</v>
          </cell>
          <cell r="U114">
            <v>12</v>
          </cell>
          <cell r="V114" t="str">
            <v>https://search-rtdc-monitor-bjffxe2xuh6vdkpspy63sjmuny.us-east-1.es.amazonaws.com/_plugin/kibana/#/discover/Steve-Slow-Train-Analysis-(2080s-and-2083s)?_g=(refreshInterval:(display:Off,section:0,value:0),time:(from:'2016-09-05 16:09:14-0600',mode:absolute,to:'2016-09-05 18:53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14" t="str">
            <v>N</v>
          </cell>
          <cell r="X114">
            <v>1</v>
          </cell>
          <cell r="Y114">
            <v>23.3034</v>
          </cell>
          <cell r="Z114">
            <v>1.5800000000000002E-2</v>
          </cell>
          <cell r="AA114">
            <v>23.287600000000001</v>
          </cell>
          <cell r="AB114" t="e">
            <v>#N/A</v>
          </cell>
          <cell r="AC114" t="e">
            <v>#N/A</v>
          </cell>
          <cell r="AD114" t="str">
            <v>0202-05</v>
          </cell>
          <cell r="AE114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115">
          <cell r="A115" t="str">
            <v>203-05</v>
          </cell>
          <cell r="B115">
            <v>4020</v>
          </cell>
          <cell r="C115" t="str">
            <v>DE.1.0.7.0</v>
          </cell>
          <cell r="D115" t="str">
            <v>204:451</v>
          </cell>
          <cell r="E115">
            <v>42618.685543981483</v>
          </cell>
          <cell r="F115">
            <v>42618.686342592591</v>
          </cell>
          <cell r="G115">
            <v>1</v>
          </cell>
          <cell r="H115" t="str">
            <v>204:233328</v>
          </cell>
          <cell r="I115">
            <v>42618.716203703705</v>
          </cell>
          <cell r="J115">
            <v>0</v>
          </cell>
          <cell r="K115" t="str">
            <v>4019/4020</v>
          </cell>
          <cell r="L115" t="str">
            <v>BARTLETT</v>
          </cell>
          <cell r="M115">
            <v>2.9861111113859806E-2</v>
          </cell>
          <cell r="N115">
            <v>43.000000003958121</v>
          </cell>
          <cell r="S115">
            <v>1</v>
          </cell>
          <cell r="T115" t="str">
            <v>NorthBound</v>
          </cell>
          <cell r="U115">
            <v>12</v>
          </cell>
          <cell r="V115" t="str">
            <v>https://search-rtdc-monitor-bjffxe2xuh6vdkpspy63sjmuny.us-east-1.es.amazonaws.com/_plugin/kibana/#/discover/Steve-Slow-Train-Analysis-(2080s-and-2083s)?_g=(refreshInterval:(display:Off,section:0,value:0),time:(from:'2016-09-05 15:27:11-0600',mode:absolute,to:'2016-09-05 18:11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15" t="str">
            <v>N</v>
          </cell>
          <cell r="X115">
            <v>1</v>
          </cell>
          <cell r="Y115">
            <v>4.5100000000000001E-2</v>
          </cell>
          <cell r="Z115">
            <v>23.332799999999999</v>
          </cell>
          <cell r="AA115">
            <v>23.287699999999997</v>
          </cell>
          <cell r="AB115" t="e">
            <v>#N/A</v>
          </cell>
          <cell r="AC115" t="e">
            <v>#N/A</v>
          </cell>
          <cell r="AD115" t="str">
            <v>0203-05</v>
          </cell>
          <cell r="AE115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116">
          <cell r="A116" t="str">
            <v>204-05</v>
          </cell>
          <cell r="B116">
            <v>4019</v>
          </cell>
          <cell r="C116" t="str">
            <v>DE.1.0.7.0</v>
          </cell>
          <cell r="D116" t="str">
            <v>204:233053</v>
          </cell>
          <cell r="E116">
            <v>42618.717581018522</v>
          </cell>
          <cell r="F116">
            <v>42618.718495370369</v>
          </cell>
          <cell r="G116">
            <v>1</v>
          </cell>
          <cell r="H116" t="str">
            <v>204:154</v>
          </cell>
          <cell r="I116">
            <v>42618.755787037036</v>
          </cell>
          <cell r="J116">
            <v>0</v>
          </cell>
          <cell r="K116" t="str">
            <v>4019/4020</v>
          </cell>
          <cell r="L116" t="str">
            <v>BARTLETT</v>
          </cell>
          <cell r="M116">
            <v>3.7291666667442769E-2</v>
          </cell>
          <cell r="N116">
            <v>53.700000001117587</v>
          </cell>
          <cell r="S116">
            <v>1</v>
          </cell>
          <cell r="T116" t="str">
            <v>Southbound</v>
          </cell>
          <cell r="U116">
            <v>12</v>
          </cell>
          <cell r="V116" t="str">
            <v>https://search-rtdc-monitor-bjffxe2xuh6vdkpspy63sjmuny.us-east-1.es.amazonaws.com/_plugin/kibana/#/discover/Steve-Slow-Train-Analysis-(2080s-and-2083s)?_g=(refreshInterval:(display:Off,section:0,value:0),time:(from:'2016-09-05 16:13:19-0600',mode:absolute,to:'2016-09-05 19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16" t="str">
            <v>N</v>
          </cell>
          <cell r="X116">
            <v>1</v>
          </cell>
          <cell r="Y116">
            <v>23.305299999999999</v>
          </cell>
          <cell r="Z116">
            <v>1.54E-2</v>
          </cell>
          <cell r="AA116">
            <v>23.289899999999999</v>
          </cell>
          <cell r="AB116" t="e">
            <v>#N/A</v>
          </cell>
          <cell r="AC116" t="e">
            <v>#N/A</v>
          </cell>
          <cell r="AD116" t="str">
            <v>0204-05</v>
          </cell>
          <cell r="AE116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117">
          <cell r="A117" t="str">
            <v>205-05</v>
          </cell>
          <cell r="B117">
            <v>4044</v>
          </cell>
          <cell r="C117" t="str">
            <v>DE.1.0.7.0</v>
          </cell>
          <cell r="D117" t="str">
            <v>204:455</v>
          </cell>
          <cell r="E117">
            <v>42618.695405092592</v>
          </cell>
          <cell r="F117">
            <v>42618.696539351855</v>
          </cell>
          <cell r="G117">
            <v>1</v>
          </cell>
          <cell r="H117" t="str">
            <v>204:233355</v>
          </cell>
          <cell r="I117">
            <v>42618.724386574075</v>
          </cell>
          <cell r="J117">
            <v>0</v>
          </cell>
          <cell r="K117" t="str">
            <v>4043/4044</v>
          </cell>
          <cell r="L117" t="str">
            <v>BONDS</v>
          </cell>
          <cell r="M117">
            <v>2.7847222219861578E-2</v>
          </cell>
          <cell r="N117">
            <v>40.099999996600673</v>
          </cell>
          <cell r="S117">
            <v>1</v>
          </cell>
          <cell r="T117" t="str">
            <v>NorthBound</v>
          </cell>
          <cell r="U117">
            <v>12</v>
          </cell>
          <cell r="V117" t="str">
            <v>https://search-rtdc-monitor-bjffxe2xuh6vdkpspy63sjmuny.us-east-1.es.amazonaws.com/_plugin/kibana/#/discover/Steve-Slow-Train-Analysis-(2080s-and-2083s)?_g=(refreshInterval:(display:Off,section:0,value:0),time:(from:'2016-09-05 15:41:23-0600',mode:absolute,to:'2016-09-05 18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17" t="str">
            <v>N</v>
          </cell>
          <cell r="X117">
            <v>1</v>
          </cell>
          <cell r="Y117">
            <v>4.5499999999999999E-2</v>
          </cell>
          <cell r="Z117">
            <v>23.3355</v>
          </cell>
          <cell r="AA117">
            <v>23.29</v>
          </cell>
          <cell r="AB117" t="e">
            <v>#N/A</v>
          </cell>
          <cell r="AC117" t="e">
            <v>#N/A</v>
          </cell>
          <cell r="AD117" t="str">
            <v>0205-05</v>
          </cell>
          <cell r="AE117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118">
          <cell r="A118" t="str">
            <v>206-05</v>
          </cell>
          <cell r="B118">
            <v>4043</v>
          </cell>
          <cell r="C118" t="str">
            <v>DE.1.0.7.0</v>
          </cell>
          <cell r="D118" t="str">
            <v>204:233042</v>
          </cell>
          <cell r="E118">
            <v>42618.72797453704</v>
          </cell>
          <cell r="F118">
            <v>42618.728831018518</v>
          </cell>
          <cell r="G118">
            <v>1</v>
          </cell>
          <cell r="H118" t="str">
            <v>204:132</v>
          </cell>
          <cell r="I118">
            <v>42618.76699074074</v>
          </cell>
          <cell r="J118">
            <v>0</v>
          </cell>
          <cell r="K118" t="str">
            <v>4043/4044</v>
          </cell>
          <cell r="L118" t="str">
            <v>BONDS</v>
          </cell>
          <cell r="M118">
            <v>3.8159722222189885E-2</v>
          </cell>
          <cell r="N118">
            <v>54.949999999953434</v>
          </cell>
          <cell r="S118">
            <v>1</v>
          </cell>
          <cell r="T118" t="str">
            <v>Southbound</v>
          </cell>
          <cell r="U118">
            <v>12</v>
          </cell>
          <cell r="V118" t="str">
            <v>https://search-rtdc-monitor-bjffxe2xuh6vdkpspy63sjmuny.us-east-1.es.amazonaws.com/_plugin/kibana/#/discover/Steve-Slow-Train-Analysis-(2080s-and-2083s)?_g=(refreshInterval:(display:Off,section:0,value:0),time:(from:'2016-09-05 16:28:17-0600',mode:absolute,to:'2016-09-05 19:24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18" t="str">
            <v>N</v>
          </cell>
          <cell r="X118">
            <v>1</v>
          </cell>
          <cell r="Y118">
            <v>23.304200000000002</v>
          </cell>
          <cell r="Z118">
            <v>1.32E-2</v>
          </cell>
          <cell r="AA118">
            <v>23.291</v>
          </cell>
          <cell r="AB118">
            <v>53277</v>
          </cell>
          <cell r="AC118" t="str">
            <v>GRADE CROSSING</v>
          </cell>
          <cell r="AD118" t="str">
            <v>0206-05</v>
          </cell>
          <cell r="AE118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119">
          <cell r="A119" t="str">
            <v>207-05</v>
          </cell>
          <cell r="B119">
            <v>4016</v>
          </cell>
          <cell r="C119" t="str">
            <v>DE.1.0.7.0</v>
          </cell>
          <cell r="D119" t="str">
            <v>204:233042</v>
          </cell>
          <cell r="E119">
            <v>42618.72797453704</v>
          </cell>
          <cell r="F119">
            <v>42618.707476851851</v>
          </cell>
          <cell r="G119">
            <v>1</v>
          </cell>
          <cell r="H119" t="str">
            <v>204:132</v>
          </cell>
          <cell r="I119">
            <v>42618.708032407405</v>
          </cell>
          <cell r="J119">
            <v>0</v>
          </cell>
          <cell r="K119" t="str">
            <v>4015/4016</v>
          </cell>
          <cell r="L119" t="str">
            <v>CLARK</v>
          </cell>
          <cell r="M119">
            <v>5.5555555445607752E-4</v>
          </cell>
          <cell r="P119">
            <v>0.79999999841675162</v>
          </cell>
          <cell r="R119" t="str">
            <v>Onboard in-route failure</v>
          </cell>
          <cell r="S119">
            <v>0</v>
          </cell>
          <cell r="T119" t="str">
            <v>NorthBound</v>
          </cell>
          <cell r="U119">
            <v>0</v>
          </cell>
          <cell r="V119" t="str">
            <v>https://search-rtdc-monitor-bjffxe2xuh6vdkpspy63sjmuny.us-east-1.es.amazonaws.com/_plugin/kibana/#/discover/Steve-Slow-Train-Analysis-(2080s-and-2083s)?_g=(refreshInterval:(display:Off,section:0,value:0),time:(from:'2016-09-05 16:28:17-0600',mode:absolute,to:'2016-09-05 17:59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    </cell>
          <cell r="W119" t="str">
            <v>N</v>
          </cell>
          <cell r="X119">
            <v>1</v>
          </cell>
          <cell r="Y119">
            <v>23.304200000000002</v>
          </cell>
          <cell r="Z119">
            <v>1.32E-2</v>
          </cell>
          <cell r="AA119">
            <v>23.291</v>
          </cell>
          <cell r="AB119" t="e">
            <v>#N/A</v>
          </cell>
          <cell r="AC119" t="e">
            <v>#N/A</v>
          </cell>
          <cell r="AD119" t="str">
            <v>0207-05</v>
          </cell>
          <cell r="AE119" t="str">
            <v>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 &amp; aws s3 cp s3://rtdc.mdm.uploadarchive/RTDC4016/2016-09-06/ "%USERPROFILE%\AppData\Local\Temp\OnboardLogs"\RTDC4016\2016-09-06 --recursive &amp; "%USERPROFILE%\Documents\GitHub\mrs-test-scripts\Headless Mode &amp; Sideloading\WalkAndUnGZ.bat" "%USERPROFILE%\AppData\Local\Temp\OnboardLogs"\RTDC4016\2016-09-06</v>
          </cell>
        </row>
        <row r="120">
          <cell r="A120" t="str">
            <v>208-05</v>
          </cell>
          <cell r="B120">
            <v>4015</v>
          </cell>
          <cell r="C120" t="str">
            <v>DE.1.0.7.0</v>
          </cell>
          <cell r="D120" t="str">
            <v>204:232991</v>
          </cell>
          <cell r="E120">
            <v>42618.747418981482</v>
          </cell>
          <cell r="F120">
            <v>42618.74832175926</v>
          </cell>
          <cell r="G120">
            <v>1</v>
          </cell>
          <cell r="H120" t="str">
            <v>204:125</v>
          </cell>
          <cell r="I120">
            <v>42618.782800925925</v>
          </cell>
          <cell r="J120">
            <v>0</v>
          </cell>
          <cell r="K120" t="str">
            <v>4015/4016</v>
          </cell>
          <cell r="L120" t="str">
            <v>CLARK</v>
          </cell>
          <cell r="M120">
            <v>3.4479166664823424E-2</v>
          </cell>
          <cell r="N120">
            <v>49.649999997345731</v>
          </cell>
          <cell r="S120">
            <v>1</v>
          </cell>
          <cell r="T120" t="str">
            <v>Southbound</v>
          </cell>
          <cell r="U120">
            <v>12</v>
          </cell>
          <cell r="V120" t="str">
            <v>https://search-rtdc-monitor-bjffxe2xuh6vdkpspy63sjmuny.us-east-1.es.amazonaws.com/_plugin/kibana/#/discover/Steve-Slow-Train-Analysis-(2080s-and-2083s)?_g=(refreshInterval:(display:Off,section:0,value:0),time:(from:'2016-09-05 16:56:17-0600',mode:absolute,to:'2016-09-05 19:47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    </cell>
          <cell r="W120" t="str">
            <v>N</v>
          </cell>
          <cell r="X120">
            <v>1</v>
          </cell>
          <cell r="Y120">
            <v>23.299099999999999</v>
          </cell>
          <cell r="Z120">
            <v>1.2500000000000001E-2</v>
          </cell>
          <cell r="AA120">
            <v>23.2866</v>
          </cell>
          <cell r="AB120" t="e">
            <v>#N/A</v>
          </cell>
          <cell r="AC120" t="e">
            <v>#N/A</v>
          </cell>
          <cell r="AD120" t="str">
            <v>0208-05</v>
          </cell>
          <cell r="AE120" t="str">
            <v>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 &amp; aws s3 cp s3://rtdc.mdm.uploadarchive/RTDC4015/2016-09-06/ "%USERPROFILE%\AppData\Local\Temp\OnboardLogs"\RTDC4015\2016-09-06 --recursive &amp; "%USERPROFILE%\Documents\GitHub\mrs-test-scripts\Headless Mode &amp; Sideloading\WalkAndUnGZ.bat" "%USERPROFILE%\AppData\Local\Temp\OnboardLogs"\RTDC4015\2016-09-06</v>
          </cell>
        </row>
        <row r="121">
          <cell r="A121" t="str">
            <v>209-05</v>
          </cell>
          <cell r="B121">
            <v>4014</v>
          </cell>
          <cell r="C121" t="str">
            <v>DE.1.0.7.0</v>
          </cell>
          <cell r="D121" t="str">
            <v>204:495</v>
          </cell>
          <cell r="E121">
            <v>42618.718993055554</v>
          </cell>
          <cell r="F121">
            <v>42618.720405092594</v>
          </cell>
          <cell r="G121">
            <v>2</v>
          </cell>
          <cell r="H121" t="str">
            <v>204:233286</v>
          </cell>
          <cell r="I121">
            <v>42618.74728009259</v>
          </cell>
          <cell r="J121">
            <v>0</v>
          </cell>
          <cell r="K121" t="str">
            <v>4013/4014</v>
          </cell>
          <cell r="L121" t="str">
            <v>LEVERE</v>
          </cell>
          <cell r="M121">
            <v>2.6874999995925464E-2</v>
          </cell>
          <cell r="N121">
            <v>38.699999994132668</v>
          </cell>
          <cell r="S121">
            <v>1</v>
          </cell>
          <cell r="T121" t="str">
            <v>NorthBound</v>
          </cell>
          <cell r="U121">
            <v>12</v>
          </cell>
          <cell r="V121" t="str">
            <v>https://search-rtdc-monitor-bjffxe2xuh6vdkpspy63sjmuny.us-east-1.es.amazonaws.com/_plugin/kibana/#/discover/Steve-Slow-Train-Analysis-(2080s-and-2083s)?_g=(refreshInterval:(display:Off,section:0,value:0),time:(from:'2016-09-05 16:15:21-0600',mode:absolute,to:'2016-09-05 18:56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21" t="str">
            <v>N</v>
          </cell>
          <cell r="X121">
            <v>1</v>
          </cell>
          <cell r="Y121">
            <v>4.9500000000000002E-2</v>
          </cell>
          <cell r="Z121">
            <v>23.328600000000002</v>
          </cell>
          <cell r="AA121">
            <v>23.279100000000003</v>
          </cell>
          <cell r="AB121" t="e">
            <v>#N/A</v>
          </cell>
          <cell r="AC121" t="e">
            <v>#N/A</v>
          </cell>
          <cell r="AD121" t="str">
            <v>0209-05</v>
          </cell>
          <cell r="AE121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122">
          <cell r="A122" t="str">
            <v>210-05</v>
          </cell>
          <cell r="B122">
            <v>4013</v>
          </cell>
          <cell r="C122" t="str">
            <v>DE.1.0.7.0</v>
          </cell>
          <cell r="D122" t="str">
            <v>204:232977</v>
          </cell>
          <cell r="E122">
            <v>42618.751238425924</v>
          </cell>
          <cell r="F122">
            <v>42618.752708333333</v>
          </cell>
          <cell r="G122">
            <v>2</v>
          </cell>
          <cell r="H122" t="str">
            <v>204:149</v>
          </cell>
          <cell r="I122">
            <v>42618.78733796296</v>
          </cell>
          <cell r="J122">
            <v>0</v>
          </cell>
          <cell r="K122" t="str">
            <v>4013/4014</v>
          </cell>
          <cell r="L122" t="str">
            <v>LEVERE</v>
          </cell>
          <cell r="M122">
            <v>3.4629629626579117E-2</v>
          </cell>
          <cell r="N122">
            <v>49.866666662273929</v>
          </cell>
          <cell r="S122">
            <v>1</v>
          </cell>
          <cell r="T122" t="str">
            <v>Southbound</v>
          </cell>
          <cell r="U122">
            <v>12</v>
          </cell>
          <cell r="V122" t="str">
            <v>https://search-rtdc-monitor-bjffxe2xuh6vdkpspy63sjmuny.us-east-1.es.amazonaws.com/_plugin/kibana/#/discover/Steve-Slow-Train-Analysis-(2080s-and-2083s)?_g=(refreshInterval:(display:Off,section:0,value:0),time:(from:'2016-09-05 17:01:47-0600',mode:absolute,to:'2016-09-05 19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22" t="str">
            <v>N</v>
          </cell>
          <cell r="X122">
            <v>1</v>
          </cell>
          <cell r="Y122">
            <v>23.297699999999999</v>
          </cell>
          <cell r="Z122">
            <v>1.49E-2</v>
          </cell>
          <cell r="AA122">
            <v>23.282799999999998</v>
          </cell>
          <cell r="AB122" t="e">
            <v>#N/A</v>
          </cell>
          <cell r="AC122" t="e">
            <v>#N/A</v>
          </cell>
          <cell r="AD122" t="str">
            <v>0210-05</v>
          </cell>
          <cell r="AE122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123">
          <cell r="A123" t="str">
            <v>211-05</v>
          </cell>
          <cell r="B123">
            <v>4027</v>
          </cell>
          <cell r="C123" t="str">
            <v>DE.1.0.7.0</v>
          </cell>
          <cell r="D123" t="str">
            <v>204:466</v>
          </cell>
          <cell r="E123">
            <v>42618.727465277778</v>
          </cell>
          <cell r="F123">
            <v>42618.728518518517</v>
          </cell>
          <cell r="G123">
            <v>1</v>
          </cell>
          <cell r="H123" t="str">
            <v>204:233315</v>
          </cell>
          <cell r="I123">
            <v>42618.757800925923</v>
          </cell>
          <cell r="J123">
            <v>0</v>
          </cell>
          <cell r="K123" t="str">
            <v>4027/4028</v>
          </cell>
          <cell r="L123" t="str">
            <v>YOUNG</v>
          </cell>
          <cell r="M123">
            <v>2.9282407405844424E-2</v>
          </cell>
          <cell r="N123">
            <v>42.16666666441597</v>
          </cell>
          <cell r="S123">
            <v>1</v>
          </cell>
          <cell r="T123" t="str">
            <v>NorthBound</v>
          </cell>
          <cell r="U123">
            <v>12</v>
          </cell>
          <cell r="V123" t="str">
            <v>https://search-rtdc-monitor-bjffxe2xuh6vdkpspy63sjmuny.us-east-1.es.amazonaws.com/_plugin/kibana/#/discover/Steve-Slow-Train-Analysis-(2080s-and-2083s)?_g=(refreshInterval:(display:Off,section:0,value:0),time:(from:'2016-09-05 16:27:33-0600',mode:absolute,to:'2016-09-05 19:11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23" t="str">
            <v>N</v>
          </cell>
          <cell r="X123">
            <v>1</v>
          </cell>
          <cell r="Y123">
            <v>4.6600000000000003E-2</v>
          </cell>
          <cell r="Z123">
            <v>23.331499999999998</v>
          </cell>
          <cell r="AA123">
            <v>23.284899999999997</v>
          </cell>
          <cell r="AB123" t="e">
            <v>#N/A</v>
          </cell>
          <cell r="AC123" t="e">
            <v>#N/A</v>
          </cell>
          <cell r="AD123" t="str">
            <v>0211-05</v>
          </cell>
          <cell r="AE123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124">
          <cell r="A124" t="str">
            <v>212-05</v>
          </cell>
          <cell r="B124">
            <v>4028</v>
          </cell>
          <cell r="C124" t="str">
            <v>DE.1.0.7.0</v>
          </cell>
          <cell r="D124" t="str">
            <v>204:232983</v>
          </cell>
          <cell r="E124">
            <v>42618.75949074074</v>
          </cell>
          <cell r="F124">
            <v>42618.760972222219</v>
          </cell>
          <cell r="G124">
            <v>2</v>
          </cell>
          <cell r="H124" t="str">
            <v>204:150</v>
          </cell>
          <cell r="I124">
            <v>42618.799988425926</v>
          </cell>
          <cell r="J124">
            <v>0</v>
          </cell>
          <cell r="K124" t="str">
            <v>4027/4028</v>
          </cell>
          <cell r="L124" t="str">
            <v>YOUNG</v>
          </cell>
          <cell r="M124">
            <v>3.9016203707433306E-2</v>
          </cell>
          <cell r="N124">
            <v>56.18333333870396</v>
          </cell>
          <cell r="S124">
            <v>1</v>
          </cell>
          <cell r="T124" t="str">
            <v>Southbound</v>
          </cell>
          <cell r="U124">
            <v>12</v>
          </cell>
          <cell r="V124" t="str">
            <v>https://search-rtdc-monitor-bjffxe2xuh6vdkpspy63sjmuny.us-east-1.es.amazonaws.com/_plugin/kibana/#/discover/Steve-Slow-Train-Analysis-(2080s-and-2083s)?_g=(refreshInterval:(display:Off,section:0,value:0),time:(from:'2016-09-05 17:13:40-0600',mode:absolute,to:'2016-09-05 20:11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24" t="str">
            <v>N</v>
          </cell>
          <cell r="X124">
            <v>1</v>
          </cell>
          <cell r="Y124">
            <v>23.298300000000001</v>
          </cell>
          <cell r="Z124">
            <v>1.4999999999999999E-2</v>
          </cell>
          <cell r="AA124">
            <v>23.283300000000001</v>
          </cell>
          <cell r="AB124" t="e">
            <v>#N/A</v>
          </cell>
          <cell r="AC124" t="e">
            <v>#N/A</v>
          </cell>
          <cell r="AD124" t="str">
            <v>0212-05</v>
          </cell>
          <cell r="AE124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125">
          <cell r="A125" t="str">
            <v>213-05</v>
          </cell>
          <cell r="B125">
            <v>4011</v>
          </cell>
          <cell r="C125" t="str">
            <v>DE.1.0.7.0</v>
          </cell>
          <cell r="D125" t="str">
            <v>204:511</v>
          </cell>
          <cell r="E125">
            <v>42618.738229166665</v>
          </cell>
          <cell r="F125">
            <v>42618.73945601852</v>
          </cell>
          <cell r="G125">
            <v>1</v>
          </cell>
          <cell r="H125" t="str">
            <v>204:1946</v>
          </cell>
          <cell r="I125">
            <v>42618.740486111114</v>
          </cell>
          <cell r="J125">
            <v>0</v>
          </cell>
          <cell r="K125" t="str">
            <v>4011/4012</v>
          </cell>
          <cell r="L125" t="str">
            <v>NEWELL</v>
          </cell>
          <cell r="M125">
            <v>1.0300925932824612E-3</v>
          </cell>
          <cell r="P125">
            <v>1.4833333343267441</v>
          </cell>
          <cell r="R125" t="str">
            <v>Onboard in-route failure</v>
          </cell>
          <cell r="S125">
            <v>0</v>
          </cell>
          <cell r="T125" t="str">
            <v>NorthBound</v>
          </cell>
          <cell r="U125">
            <v>0</v>
          </cell>
          <cell r="V125" t="str">
            <v>https://search-rtdc-monitor-bjffxe2xuh6vdkpspy63sjmuny.us-east-1.es.amazonaws.com/_plugin/kibana/#/discover/Steve-Slow-Train-Analysis-(2080s-and-2083s)?_g=(refreshInterval:(display:Off,section:0,value:0),time:(from:'2016-09-05 16:43:03-0600',mode:absolute,to:'2016-09-05 18:46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    </cell>
          <cell r="W125" t="str">
            <v>Y</v>
          </cell>
          <cell r="X125">
            <v>1</v>
          </cell>
          <cell r="Y125">
            <v>5.11E-2</v>
          </cell>
          <cell r="Z125">
            <v>0.1946</v>
          </cell>
          <cell r="AA125">
            <v>0.14349999999999999</v>
          </cell>
          <cell r="AB125" t="e">
            <v>#N/A</v>
          </cell>
          <cell r="AC125" t="e">
            <v>#N/A</v>
          </cell>
          <cell r="AD125" t="str">
            <v>0213-05</v>
          </cell>
          <cell r="AE125" t="str">
    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    </cell>
        </row>
        <row r="126">
          <cell r="A126" t="str">
            <v>214-05</v>
          </cell>
          <cell r="B126">
            <v>4012</v>
          </cell>
          <cell r="C126" t="str">
            <v>DE.1.0.7.0</v>
          </cell>
          <cell r="D126" t="str">
            <v>204:233019</v>
          </cell>
          <cell r="E126">
            <v>42618.775011574071</v>
          </cell>
          <cell r="F126">
            <v>42618.77615740741</v>
          </cell>
          <cell r="G126">
            <v>1</v>
          </cell>
          <cell r="H126" t="str">
            <v>204:228160</v>
          </cell>
          <cell r="I126">
            <v>42618.779641203706</v>
          </cell>
          <cell r="J126">
            <v>0</v>
          </cell>
          <cell r="K126" t="str">
            <v>4011/4012</v>
          </cell>
          <cell r="L126" t="str">
            <v>NEWELL</v>
          </cell>
          <cell r="M126">
            <v>3.4837962957681157E-3</v>
          </cell>
          <cell r="P126">
            <v>5.0166666659060866</v>
          </cell>
          <cell r="R126" t="str">
            <v>Onboard in-route failure</v>
          </cell>
          <cell r="S126">
            <v>0</v>
          </cell>
          <cell r="T126" t="str">
            <v>Southbound</v>
          </cell>
          <cell r="U126">
            <v>0</v>
          </cell>
          <cell r="V126" t="str">
            <v>https://search-rtdc-monitor-bjffxe2xuh6vdkpspy63sjmuny.us-east-1.es.amazonaws.com/_plugin/kibana/#/discover/Steve-Slow-Train-Analysis-(2080s-and-2083s)?_g=(refreshInterval:(display:Off,section:0,value:0),time:(from:'2016-09-05 17:36:01-0600',mode:absolute,to:'2016-09-05 19:42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    </cell>
          <cell r="W126" t="str">
            <v>Y</v>
          </cell>
          <cell r="X126">
            <v>1</v>
          </cell>
          <cell r="Y126">
            <v>23.3019</v>
          </cell>
          <cell r="Z126">
            <v>22.815999999999999</v>
          </cell>
          <cell r="AA126">
            <v>0.48590000000000089</v>
          </cell>
          <cell r="AB126" t="e">
            <v>#N/A</v>
          </cell>
          <cell r="AC126" t="e">
            <v>#N/A</v>
          </cell>
          <cell r="AD126" t="str">
            <v>0214-05</v>
          </cell>
          <cell r="AE126" t="str">
    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    </cell>
        </row>
        <row r="127">
          <cell r="A127" t="str">
            <v>215-05</v>
          </cell>
          <cell r="B127">
            <v>4002</v>
          </cell>
          <cell r="C127" t="str">
            <v>DE.1.0.7.0</v>
          </cell>
          <cell r="D127" t="str">
            <v>204:484</v>
          </cell>
          <cell r="E127">
            <v>42618.746724537035</v>
          </cell>
          <cell r="F127">
            <v>42618.748124999998</v>
          </cell>
          <cell r="G127">
            <v>2</v>
          </cell>
          <cell r="H127" t="str">
            <v>204:233336</v>
          </cell>
          <cell r="I127">
            <v>42618.777303240742</v>
          </cell>
          <cell r="J127">
            <v>0</v>
          </cell>
          <cell r="K127" t="str">
            <v>4001/4002</v>
          </cell>
          <cell r="L127" t="str">
            <v>SHOOK</v>
          </cell>
          <cell r="M127">
            <v>2.9178240743931383E-2</v>
          </cell>
          <cell r="N127">
            <v>42.016666671261191</v>
          </cell>
          <cell r="S127">
            <v>1</v>
          </cell>
          <cell r="T127" t="str">
            <v>NorthBound</v>
          </cell>
          <cell r="U127">
            <v>12</v>
          </cell>
          <cell r="V127" t="str">
            <v>https://search-rtdc-monitor-bjffxe2xuh6vdkpspy63sjmuny.us-east-1.es.amazonaws.com/_plugin/kibana/#/discover/Steve-Slow-Train-Analysis-(2080s-and-2083s)?_g=(refreshInterval:(display:Off,section:0,value:0),time:(from:'2016-09-05 16:55:17-0600',mode:absolute,to:'2016-09-05 19:39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    </cell>
          <cell r="W127" t="str">
            <v>N</v>
          </cell>
          <cell r="X127">
            <v>1</v>
          </cell>
          <cell r="Y127">
            <v>4.8399999999999999E-2</v>
          </cell>
          <cell r="Z127">
            <v>23.333600000000001</v>
          </cell>
          <cell r="AA127">
            <v>23.2852</v>
          </cell>
          <cell r="AB127" t="e">
            <v>#N/A</v>
          </cell>
          <cell r="AC127" t="e">
            <v>#N/A</v>
          </cell>
          <cell r="AD127" t="str">
            <v>0215-05</v>
          </cell>
          <cell r="AE127" t="str">
            <v>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 &amp; 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</v>
          </cell>
        </row>
        <row r="128">
          <cell r="A128" t="str">
            <v>216-05</v>
          </cell>
          <cell r="B128">
            <v>4001</v>
          </cell>
          <cell r="C128" t="str">
            <v>DE.1.0.7.0</v>
          </cell>
          <cell r="D128" t="str">
            <v>204:233051</v>
          </cell>
          <cell r="E128">
            <v>42618.784155092595</v>
          </cell>
          <cell r="F128">
            <v>42618.785312499997</v>
          </cell>
          <cell r="G128">
            <v>1</v>
          </cell>
          <cell r="H128" t="str">
            <v>204:149</v>
          </cell>
          <cell r="I128">
            <v>42618.818148148152</v>
          </cell>
          <cell r="J128">
            <v>0</v>
          </cell>
          <cell r="K128" t="str">
            <v>4001/4002</v>
          </cell>
          <cell r="L128" t="str">
            <v>SHOOK</v>
          </cell>
          <cell r="M128">
            <v>3.2835648155014496E-2</v>
          </cell>
          <cell r="N128">
            <v>47.283333343220875</v>
          </cell>
          <cell r="S128">
            <v>1</v>
          </cell>
          <cell r="T128" t="str">
            <v>Southbound</v>
          </cell>
          <cell r="U128">
            <v>12</v>
          </cell>
          <cell r="V128" t="str">
            <v>https://search-rtdc-monitor-bjffxe2xuh6vdkpspy63sjmuny.us-east-1.es.amazonaws.com/_plugin/kibana/#/discover/Steve-Slow-Train-Analysis-(2080s-and-2083s)?_g=(refreshInterval:(display:Off,section:0,value:0),time:(from:'2016-09-05 17:49:11-0600',mode:absolute,to:'2016-09-05 20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    </cell>
          <cell r="W128" t="str">
            <v>N</v>
          </cell>
          <cell r="X128">
            <v>1</v>
          </cell>
          <cell r="Y128">
            <v>23.305099999999999</v>
          </cell>
          <cell r="Z128">
            <v>1.49E-2</v>
          </cell>
          <cell r="AA128">
            <v>23.290199999999999</v>
          </cell>
          <cell r="AB128" t="e">
            <v>#N/A</v>
          </cell>
          <cell r="AC128" t="e">
            <v>#N/A</v>
          </cell>
          <cell r="AD128" t="str">
            <v>0216-05</v>
          </cell>
          <cell r="AE128" t="str">
    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    </cell>
        </row>
        <row r="129">
          <cell r="A129" t="str">
            <v>217-05</v>
          </cell>
          <cell r="B129">
            <v>4020</v>
          </cell>
          <cell r="C129" t="str">
            <v>DE.1.0.7.0</v>
          </cell>
          <cell r="D129" t="str">
            <v>204:453</v>
          </cell>
          <cell r="E129">
            <v>42618.75949074074</v>
          </cell>
          <cell r="F129">
            <v>42618.760648148149</v>
          </cell>
          <cell r="G129">
            <v>1</v>
          </cell>
          <cell r="H129" t="str">
            <v>204:233302</v>
          </cell>
          <cell r="I129">
            <v>42618.787314814814</v>
          </cell>
          <cell r="J129">
            <v>0</v>
          </cell>
          <cell r="K129" t="str">
            <v>4019/4020</v>
          </cell>
          <cell r="L129" t="str">
            <v>CHANDLER</v>
          </cell>
          <cell r="M129">
            <v>2.6666666664823424E-2</v>
          </cell>
          <cell r="N129">
            <v>38.399999997345731</v>
          </cell>
          <cell r="S129">
            <v>1</v>
          </cell>
          <cell r="T129" t="str">
            <v>NorthBound</v>
          </cell>
          <cell r="U129">
            <v>12</v>
          </cell>
          <cell r="V129" t="str">
            <v>https://search-rtdc-monitor-bjffxe2xuh6vdkpspy63sjmuny.us-east-1.es.amazonaws.com/_plugin/kibana/#/discover/Steve-Slow-Train-Analysis-(2080s-and-2083s)?_g=(refreshInterval:(display:Off,section:0,value:0),time:(from:'2016-09-05 17:13:40-0600',mode:absolute,to:'2016-09-05 19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29" t="str">
            <v>N</v>
          </cell>
          <cell r="X129">
            <v>1</v>
          </cell>
          <cell r="Y129">
            <v>4.53E-2</v>
          </cell>
          <cell r="Z129">
            <v>23.330200000000001</v>
          </cell>
          <cell r="AA129">
            <v>23.2849</v>
          </cell>
          <cell r="AB129" t="e">
            <v>#N/A</v>
          </cell>
          <cell r="AC129" t="e">
            <v>#N/A</v>
          </cell>
          <cell r="AD129" t="str">
            <v>0217-05</v>
          </cell>
          <cell r="AE129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130">
          <cell r="A130" t="str">
            <v>218-05</v>
          </cell>
          <cell r="B130">
            <v>4019</v>
          </cell>
          <cell r="C130" t="str">
            <v>DE.1.0.7.0</v>
          </cell>
          <cell r="D130" t="str">
            <v>204:232987</v>
          </cell>
          <cell r="E130">
            <v>42618.795983796299</v>
          </cell>
          <cell r="F130">
            <v>42618.797395833331</v>
          </cell>
          <cell r="G130">
            <v>2</v>
          </cell>
          <cell r="H130" t="str">
            <v>204:178</v>
          </cell>
          <cell r="I130">
            <v>42618.829594907409</v>
          </cell>
          <cell r="J130">
            <v>0</v>
          </cell>
          <cell r="K130" t="str">
            <v>4019/4020</v>
          </cell>
          <cell r="L130" t="str">
            <v>CHANDLER</v>
          </cell>
          <cell r="M130">
            <v>3.2199074077652767E-2</v>
          </cell>
          <cell r="N130">
            <v>46.366666671819985</v>
          </cell>
          <cell r="S130">
            <v>1</v>
          </cell>
          <cell r="T130" t="str">
            <v>Southbound</v>
          </cell>
          <cell r="U130">
            <v>12</v>
          </cell>
          <cell r="V130" t="str">
            <v>https://search-rtdc-monitor-bjffxe2xuh6vdkpspy63sjmuny.us-east-1.es.amazonaws.com/_plugin/kibana/#/discover/Steve-Slow-Train-Analysis-(2080s-and-2083s)?_g=(refreshInterval:(display:Off,section:0,value:0),time:(from:'2016-09-05 18:06:13-0600',mode:absolute,to:'2016-09-05 20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30" t="str">
            <v>N</v>
          </cell>
          <cell r="X130">
            <v>1</v>
          </cell>
          <cell r="Y130">
            <v>23.2987</v>
          </cell>
          <cell r="Z130">
            <v>1.78E-2</v>
          </cell>
          <cell r="AA130">
            <v>23.280899999999999</v>
          </cell>
          <cell r="AB130" t="e">
            <v>#N/A</v>
          </cell>
          <cell r="AC130" t="e">
            <v>#N/A</v>
          </cell>
          <cell r="AD130" t="str">
            <v>0218-05</v>
          </cell>
          <cell r="AE130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131">
          <cell r="A131" t="str">
            <v>219-05</v>
          </cell>
          <cell r="B131">
            <v>4044</v>
          </cell>
          <cell r="C131" t="str">
            <v>DE.1.0.7.0</v>
          </cell>
          <cell r="D131" t="str">
            <v>204:437</v>
          </cell>
          <cell r="E131">
            <v>42618.768240740741</v>
          </cell>
          <cell r="F131">
            <v>42618.769189814811</v>
          </cell>
          <cell r="G131">
            <v>1</v>
          </cell>
          <cell r="H131" t="str">
            <v>204:233291</v>
          </cell>
          <cell r="I131">
            <v>42618.797175925924</v>
          </cell>
          <cell r="J131">
            <v>0</v>
          </cell>
          <cell r="K131" t="str">
            <v>4043/4044</v>
          </cell>
          <cell r="L131" t="str">
            <v>YANAI</v>
          </cell>
          <cell r="M131">
            <v>2.7986111112113576E-2</v>
          </cell>
          <cell r="N131">
            <v>40.30000000144355</v>
          </cell>
          <cell r="S131">
            <v>1</v>
          </cell>
          <cell r="T131" t="str">
            <v>NorthBound</v>
          </cell>
          <cell r="U131">
            <v>12</v>
          </cell>
          <cell r="V131" t="str">
            <v>https://search-rtdc-monitor-bjffxe2xuh6vdkpspy63sjmuny.us-east-1.es.amazonaws.com/_plugin/kibana/#/discover/Steve-Slow-Train-Analysis-(2080s-and-2083s)?_g=(refreshInterval:(display:Off,section:0,value:0),time:(from:'2016-09-05 17:26:16-0600',mode:absolute,to:'2016-09-05 20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31" t="str">
            <v>N</v>
          </cell>
          <cell r="X131">
            <v>1</v>
          </cell>
          <cell r="Y131">
            <v>4.3700000000000003E-2</v>
          </cell>
          <cell r="Z131">
            <v>23.3291</v>
          </cell>
          <cell r="AA131">
            <v>23.285399999999999</v>
          </cell>
          <cell r="AB131" t="e">
            <v>#N/A</v>
          </cell>
          <cell r="AC131" t="e">
            <v>#N/A</v>
          </cell>
          <cell r="AD131" t="str">
            <v>0219-05</v>
          </cell>
          <cell r="AE131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132">
          <cell r="A132" t="str">
            <v>220-05</v>
          </cell>
          <cell r="B132">
            <v>4043</v>
          </cell>
          <cell r="C132" t="str">
            <v>DE.1.0.7.0</v>
          </cell>
          <cell r="D132" t="str">
            <v>204:232986</v>
          </cell>
          <cell r="E132">
            <v>42618.806759259256</v>
          </cell>
          <cell r="F132">
            <v>42618.807824074072</v>
          </cell>
          <cell r="G132">
            <v>1</v>
          </cell>
          <cell r="H132" t="str">
            <v>204:143</v>
          </cell>
          <cell r="I132">
            <v>42618.83766203704</v>
          </cell>
          <cell r="J132">
            <v>0</v>
          </cell>
          <cell r="K132" t="str">
            <v>4043/4044</v>
          </cell>
          <cell r="L132" t="str">
            <v>YANAI</v>
          </cell>
          <cell r="M132">
            <v>2.9837962967576459E-2</v>
          </cell>
          <cell r="N132">
            <v>42.966666673310101</v>
          </cell>
          <cell r="S132">
            <v>1</v>
          </cell>
          <cell r="T132" t="str">
            <v>Southbound</v>
          </cell>
          <cell r="U132">
            <v>12</v>
          </cell>
          <cell r="V132" t="str">
            <v>https://search-rtdc-monitor-bjffxe2xuh6vdkpspy63sjmuny.us-east-1.es.amazonaws.com/_plugin/kibana/#/discover/Steve-Slow-Train-Analysis-(2080s-and-2083s)?_g=(refreshInterval:(display:Off,section:0,value:0),time:(from:'2016-09-05 18:21:44-0600',mode:absolute,to:'2016-09-05 21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32" t="str">
            <v>N</v>
          </cell>
          <cell r="X132">
            <v>1</v>
          </cell>
          <cell r="Y132">
            <v>23.2986</v>
          </cell>
          <cell r="Z132">
            <v>1.43E-2</v>
          </cell>
          <cell r="AA132">
            <v>23.284300000000002</v>
          </cell>
          <cell r="AB132" t="e">
            <v>#N/A</v>
          </cell>
          <cell r="AC132" t="e">
            <v>#N/A</v>
          </cell>
          <cell r="AD132" t="str">
            <v>0220-05</v>
          </cell>
          <cell r="AE132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133">
          <cell r="A133" t="str">
            <v>221-05</v>
          </cell>
          <cell r="B133">
            <v>4014</v>
          </cell>
          <cell r="C133" t="str">
            <v>DE.1.0.7.0</v>
          </cell>
          <cell r="D133" t="str">
            <v>204:453</v>
          </cell>
          <cell r="E133">
            <v>42618.788819444446</v>
          </cell>
          <cell r="F133">
            <v>42618.789699074077</v>
          </cell>
          <cell r="G133">
            <v>1</v>
          </cell>
          <cell r="H133" t="str">
            <v>204:233302</v>
          </cell>
          <cell r="I133">
            <v>42618.818240740744</v>
          </cell>
          <cell r="J133">
            <v>0</v>
          </cell>
          <cell r="K133" t="str">
            <v>4013/4014</v>
          </cell>
          <cell r="L133" t="str">
            <v>LEVERE</v>
          </cell>
          <cell r="M133">
            <v>2.8541666666569654E-2</v>
          </cell>
          <cell r="N133">
            <v>41.099999999860302</v>
          </cell>
          <cell r="S133">
            <v>1</v>
          </cell>
          <cell r="T133" t="str">
            <v>NorthBound</v>
          </cell>
          <cell r="U133">
            <v>12</v>
          </cell>
          <cell r="V133" t="str">
            <v>https://search-rtdc-monitor-bjffxe2xuh6vdkpspy63sjmuny.us-east-1.es.amazonaws.com/_plugin/kibana/#/discover/Steve-Slow-Train-Analysis-(2080s-and-2083s)?_g=(refreshInterval:(display:Off,section:0,value:0),time:(from:'2016-09-05 17:55:54-0600',mode:absolute,to:'2016-09-05 20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33" t="str">
            <v>N</v>
          </cell>
          <cell r="X133">
            <v>1</v>
          </cell>
          <cell r="Y133">
            <v>4.53E-2</v>
          </cell>
          <cell r="Z133">
            <v>23.330200000000001</v>
          </cell>
          <cell r="AA133">
            <v>23.2849</v>
          </cell>
          <cell r="AB133" t="e">
            <v>#N/A</v>
          </cell>
          <cell r="AC133" t="e">
            <v>#N/A</v>
          </cell>
          <cell r="AD133" t="str">
            <v>0221-05</v>
          </cell>
          <cell r="AE133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134">
          <cell r="A134" t="str">
            <v>222-05</v>
          </cell>
          <cell r="B134">
            <v>4013</v>
          </cell>
          <cell r="C134" t="str">
            <v>DE.1.0.7.0</v>
          </cell>
          <cell r="D134" t="str">
            <v>204:232983</v>
          </cell>
          <cell r="E134">
            <v>42618.823171296295</v>
          </cell>
          <cell r="F134">
            <v>42618.823969907404</v>
          </cell>
          <cell r="G134">
            <v>1</v>
          </cell>
          <cell r="H134" t="str">
            <v>204:172</v>
          </cell>
          <cell r="I134">
            <v>42618.860775462963</v>
          </cell>
          <cell r="J134">
            <v>0</v>
          </cell>
          <cell r="K134" t="str">
            <v>4013/4014</v>
          </cell>
          <cell r="L134" t="str">
            <v>LEVERE</v>
          </cell>
          <cell r="M134">
            <v>3.680555555911269E-2</v>
          </cell>
          <cell r="N134">
            <v>53.000000005122274</v>
          </cell>
          <cell r="S134">
            <v>1</v>
          </cell>
          <cell r="T134" t="str">
            <v>Southbound</v>
          </cell>
          <cell r="U134">
            <v>12</v>
          </cell>
          <cell r="V134" t="str">
            <v>https://search-rtdc-monitor-bjffxe2xuh6vdkpspy63sjmuny.us-east-1.es.amazonaws.com/_plugin/kibana/#/discover/Steve-Slow-Train-Analysis-(2080s-and-2083s)?_g=(refreshInterval:(display:Off,section:0,value:0),time:(from:'2016-09-05 18:45:22-0600',mode:absolute,to:'2016-09-05 21:39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34" t="str">
            <v>N</v>
          </cell>
          <cell r="X134">
            <v>1</v>
          </cell>
          <cell r="Y134">
            <v>23.298300000000001</v>
          </cell>
          <cell r="Z134">
            <v>1.72E-2</v>
          </cell>
          <cell r="AA134">
            <v>23.281100000000002</v>
          </cell>
          <cell r="AB134" t="e">
            <v>#N/A</v>
          </cell>
          <cell r="AC134" t="e">
            <v>#N/A</v>
          </cell>
          <cell r="AD134" t="str">
            <v>0222-05</v>
          </cell>
          <cell r="AE134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135">
          <cell r="A135" t="str">
            <v>223-05</v>
          </cell>
          <cell r="B135">
            <v>4027</v>
          </cell>
          <cell r="C135" t="str">
            <v>DE.1.0.7.0</v>
          </cell>
          <cell r="D135" t="str">
            <v>204:449</v>
          </cell>
          <cell r="E135">
            <v>42618.810034722221</v>
          </cell>
          <cell r="F135">
            <v>42618.811273148145</v>
          </cell>
          <cell r="G135">
            <v>1</v>
          </cell>
          <cell r="H135" t="str">
            <v>204:233310</v>
          </cell>
          <cell r="I135">
            <v>42618.839548611111</v>
          </cell>
          <cell r="J135">
            <v>0</v>
          </cell>
          <cell r="K135" t="str">
            <v>4027/4028</v>
          </cell>
          <cell r="L135" t="str">
            <v>NEWELL</v>
          </cell>
          <cell r="M135">
            <v>2.8275462966121268E-2</v>
          </cell>
          <cell r="N135">
            <v>40.716666671214625</v>
          </cell>
          <cell r="S135">
            <v>1</v>
          </cell>
          <cell r="T135" t="str">
            <v>NorthBound</v>
          </cell>
          <cell r="U135">
            <v>12</v>
          </cell>
          <cell r="V135" t="str">
            <v>https://search-rtdc-monitor-bjffxe2xuh6vdkpspy63sjmuny.us-east-1.es.amazonaws.com/_plugin/kibana/#/discover/Steve-Slow-Train-Analysis-(2080s-and-2083s)?_g=(refreshInterval:(display:Off,section:0,value:0),time:(from:'2016-09-05 18:26:27-0600',mode:absolute,to:'2016-09-05 21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35" t="str">
            <v>N</v>
          </cell>
          <cell r="X135">
            <v>1</v>
          </cell>
          <cell r="Y135">
            <v>4.4900000000000002E-2</v>
          </cell>
          <cell r="Z135">
            <v>23.331</v>
          </cell>
          <cell r="AA135">
            <v>23.286100000000001</v>
          </cell>
          <cell r="AB135" t="e">
            <v>#N/A</v>
          </cell>
          <cell r="AC135" t="e">
            <v>#N/A</v>
          </cell>
          <cell r="AD135" t="str">
            <v>0223-05</v>
          </cell>
          <cell r="AE135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136">
          <cell r="A136" t="str">
            <v>224-05</v>
          </cell>
          <cell r="B136">
            <v>4028</v>
          </cell>
          <cell r="C136" t="str">
            <v>DE.1.0.7.0</v>
          </cell>
          <cell r="D136" t="str">
            <v>204:232996</v>
          </cell>
          <cell r="E136">
            <v>42618.846886574072</v>
          </cell>
          <cell r="F136">
            <v>42618.84878472222</v>
          </cell>
          <cell r="G136">
            <v>2</v>
          </cell>
          <cell r="H136" t="str">
            <v>204:138</v>
          </cell>
          <cell r="I136">
            <v>42618.880358796298</v>
          </cell>
          <cell r="J136">
            <v>0</v>
          </cell>
          <cell r="K136" t="str">
            <v>4027/4028</v>
          </cell>
          <cell r="L136" t="str">
            <v>NEWELL</v>
          </cell>
          <cell r="M136">
            <v>3.1574074077070691E-2</v>
          </cell>
          <cell r="N136">
            <v>45.466666670981795</v>
          </cell>
          <cell r="S136">
            <v>1</v>
          </cell>
          <cell r="T136" t="str">
            <v>Southbound</v>
          </cell>
          <cell r="U136">
            <v>12</v>
          </cell>
          <cell r="V136" t="str">
            <v>https://search-rtdc-monitor-bjffxe2xuh6vdkpspy63sjmuny.us-east-1.es.amazonaws.com/_plugin/kibana/#/discover/Steve-Slow-Train-Analysis-(2080s-and-2083s)?_g=(refreshInterval:(display:Off,section:0,value:0),time:(from:'2016-09-05 19:19:31-0600',mode:absolute,to:'2016-09-05 22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36" t="str">
            <v>N</v>
          </cell>
          <cell r="X136">
            <v>1</v>
          </cell>
          <cell r="Y136">
            <v>23.299600000000002</v>
          </cell>
          <cell r="Z136">
            <v>1.38E-2</v>
          </cell>
          <cell r="AA136">
            <v>23.285800000000002</v>
          </cell>
          <cell r="AB136" t="e">
            <v>#N/A</v>
          </cell>
          <cell r="AC136" t="e">
            <v>#N/A</v>
          </cell>
          <cell r="AD136" t="str">
            <v>0224-05</v>
          </cell>
          <cell r="AE136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137">
          <cell r="A137" t="str">
            <v>225-05</v>
          </cell>
          <cell r="B137">
            <v>4020</v>
          </cell>
          <cell r="C137" t="str">
            <v>DE.1.0.7.0</v>
          </cell>
          <cell r="D137" t="str">
            <v>204:488</v>
          </cell>
          <cell r="E137">
            <v>42618.832280092596</v>
          </cell>
          <cell r="F137">
            <v>42618.833321759259</v>
          </cell>
          <cell r="G137">
            <v>1</v>
          </cell>
          <cell r="H137" t="str">
            <v>204:233283</v>
          </cell>
          <cell r="I137">
            <v>42618.861192129632</v>
          </cell>
          <cell r="J137">
            <v>0</v>
          </cell>
          <cell r="K137" t="str">
            <v>4019/4020</v>
          </cell>
          <cell r="L137" t="str">
            <v>CHANDLER</v>
          </cell>
          <cell r="M137">
            <v>2.7870370373420883E-2</v>
          </cell>
          <cell r="N137">
            <v>40.133333337726071</v>
          </cell>
          <cell r="S137">
            <v>1</v>
          </cell>
          <cell r="T137" t="str">
            <v>NorthBound</v>
          </cell>
          <cell r="U137">
            <v>12</v>
          </cell>
          <cell r="V137" t="str">
            <v>https://search-rtdc-monitor-bjffxe2xuh6vdkpspy63sjmuny.us-east-1.es.amazonaws.com/_plugin/kibana/#/discover/Steve-Slow-Train-Analysis-(2080s-and-2083s)?_g=(refreshInterval:(display:Off,section:0,value:0),time:(from:'2016-09-05 18:58:29-0600',mode:absolute,to:'2016-09-05 21:40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37" t="str">
            <v>N</v>
          </cell>
          <cell r="X137">
            <v>1</v>
          </cell>
          <cell r="Y137">
            <v>4.8800000000000003E-2</v>
          </cell>
          <cell r="Z137">
            <v>23.328299999999999</v>
          </cell>
          <cell r="AA137">
            <v>23.279499999999999</v>
          </cell>
          <cell r="AB137" t="e">
            <v>#N/A</v>
          </cell>
          <cell r="AC137" t="e">
            <v>#N/A</v>
          </cell>
          <cell r="AD137" t="str">
            <v>0225-05</v>
          </cell>
          <cell r="AE137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138">
          <cell r="A138" t="str">
            <v>226-05</v>
          </cell>
          <cell r="B138">
            <v>4019</v>
          </cell>
          <cell r="C138" t="str">
            <v>DE.1.0.7.0</v>
          </cell>
          <cell r="D138" t="str">
            <v>204:232979</v>
          </cell>
          <cell r="E138">
            <v>42618.871412037035</v>
          </cell>
          <cell r="F138">
            <v>42618.872372685182</v>
          </cell>
          <cell r="G138">
            <v>1</v>
          </cell>
          <cell r="H138" t="str">
            <v>204:178</v>
          </cell>
          <cell r="I138">
            <v>42618.901689814818</v>
          </cell>
          <cell r="J138">
            <v>0</v>
          </cell>
          <cell r="K138" t="str">
            <v>4019/4020</v>
          </cell>
          <cell r="L138" t="str">
            <v>CHANDLER</v>
          </cell>
          <cell r="M138">
            <v>2.9317129636183381E-2</v>
          </cell>
          <cell r="N138">
            <v>42.216666676104069</v>
          </cell>
          <cell r="S138">
            <v>1</v>
          </cell>
          <cell r="T138" t="str">
            <v>Southbound</v>
          </cell>
          <cell r="U138">
            <v>12</v>
          </cell>
          <cell r="V138" t="str">
            <v>https://search-rtdc-monitor-bjffxe2xuh6vdkpspy63sjmuny.us-east-1.es.amazonaws.com/_plugin/kibana/#/discover/Steve-Slow-Train-Analysis-(2080s-and-2083s)?_g=(refreshInterval:(display:Off,section:0,value:0),time:(from:'2016-09-05 19:54:50-0600',mode:absolute,to:'2016-09-05 22:38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38" t="str">
            <v>N</v>
          </cell>
          <cell r="X138">
            <v>1</v>
          </cell>
          <cell r="Y138">
            <v>23.297899999999998</v>
          </cell>
          <cell r="Z138">
            <v>1.78E-2</v>
          </cell>
          <cell r="AA138">
            <v>23.280099999999997</v>
          </cell>
          <cell r="AB138" t="e">
            <v>#N/A</v>
          </cell>
          <cell r="AC138" t="e">
            <v>#N/A</v>
          </cell>
          <cell r="AD138" t="str">
            <v>0226-05</v>
          </cell>
          <cell r="AE138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139">
          <cell r="A139" t="str">
            <v>227-05</v>
          </cell>
          <cell r="B139">
            <v>4044</v>
          </cell>
          <cell r="C139" t="str">
            <v>DE.1.0.7.0</v>
          </cell>
          <cell r="D139" t="str">
            <v>204:462</v>
          </cell>
          <cell r="E139">
            <v>42618.851631944446</v>
          </cell>
          <cell r="F139">
            <v>42618.85260416667</v>
          </cell>
          <cell r="G139">
            <v>1</v>
          </cell>
          <cell r="H139" t="str">
            <v>204:233297</v>
          </cell>
          <cell r="I139">
            <v>42618.878888888888</v>
          </cell>
          <cell r="J139">
            <v>0</v>
          </cell>
          <cell r="K139" t="str">
            <v>4043/4044</v>
          </cell>
          <cell r="L139" t="str">
            <v>YANAI</v>
          </cell>
          <cell r="M139">
            <v>2.6284722218406387E-2</v>
          </cell>
          <cell r="N139">
            <v>37.849999994505197</v>
          </cell>
          <cell r="S139">
            <v>1</v>
          </cell>
          <cell r="T139" t="str">
            <v>NorthBound</v>
          </cell>
          <cell r="U139">
            <v>12</v>
          </cell>
          <cell r="V139" t="str">
            <v>https://search-rtdc-monitor-bjffxe2xuh6vdkpspy63sjmuny.us-east-1.es.amazonaws.com/_plugin/kibana/#/discover/Steve-Slow-Train-Analysis-(2080s-and-2083s)?_g=(refreshInterval:(display:Off,section:0,value:0),time:(from:'2016-09-05 19:26:21-0600',mode:absolute,to:'2016-09-05 22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39" t="str">
            <v>N</v>
          </cell>
          <cell r="X139">
            <v>1</v>
          </cell>
          <cell r="Y139">
            <v>4.6199999999999998E-2</v>
          </cell>
          <cell r="Z139">
            <v>23.329699999999999</v>
          </cell>
          <cell r="AA139">
            <v>23.2835</v>
          </cell>
          <cell r="AB139" t="e">
            <v>#N/A</v>
          </cell>
          <cell r="AC139" t="e">
            <v>#N/A</v>
          </cell>
          <cell r="AD139" t="str">
            <v>0227-05</v>
          </cell>
          <cell r="AE139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140">
          <cell r="A140" t="str">
            <v>228-05</v>
          </cell>
          <cell r="B140">
            <v>4043</v>
          </cell>
          <cell r="C140" t="str">
            <v>DE.1.0.7.0</v>
          </cell>
          <cell r="D140" t="str">
            <v>204:232983</v>
          </cell>
          <cell r="E140">
            <v>42618.889479166668</v>
          </cell>
          <cell r="F140">
            <v>42618.890497685185</v>
          </cell>
          <cell r="G140">
            <v>1</v>
          </cell>
          <cell r="H140" t="str">
            <v>204:152</v>
          </cell>
          <cell r="I140">
            <v>42618.920636574076</v>
          </cell>
          <cell r="J140">
            <v>0</v>
          </cell>
          <cell r="K140" t="str">
            <v>4043/4044</v>
          </cell>
          <cell r="L140" t="str">
            <v>YANAI</v>
          </cell>
          <cell r="M140">
            <v>3.0138888891087845E-2</v>
          </cell>
          <cell r="N140">
            <v>43.400000003166497</v>
          </cell>
          <cell r="S140">
            <v>1</v>
          </cell>
          <cell r="T140" t="str">
            <v>Southbound</v>
          </cell>
          <cell r="U140">
            <v>12</v>
          </cell>
          <cell r="V140" t="str">
            <v>https://search-rtdc-monitor-bjffxe2xuh6vdkpspy63sjmuny.us-east-1.es.amazonaws.com/_plugin/kibana/#/discover/Steve-Slow-Train-Analysis-(2080s-and-2083s)?_g=(refreshInterval:(display:Off,section:0,value:0),time:(from:'2016-09-05 20:20:51-0600',mode:absolute,to:'2016-09-05 23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40" t="str">
            <v>N</v>
          </cell>
          <cell r="X140">
            <v>1</v>
          </cell>
          <cell r="Y140">
            <v>23.298300000000001</v>
          </cell>
          <cell r="Z140">
            <v>1.52E-2</v>
          </cell>
          <cell r="AA140">
            <v>23.283100000000001</v>
          </cell>
          <cell r="AB140" t="e">
            <v>#N/A</v>
          </cell>
          <cell r="AC140" t="e">
            <v>#N/A</v>
          </cell>
          <cell r="AD140" t="str">
            <v>0228-05</v>
          </cell>
          <cell r="AE140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141">
          <cell r="A141" t="str">
            <v>229-05</v>
          </cell>
          <cell r="B141">
            <v>4014</v>
          </cell>
          <cell r="C141" t="str">
            <v>DE.1.0.7.0</v>
          </cell>
          <cell r="D141" t="str">
            <v>204:471</v>
          </cell>
          <cell r="E141">
            <v>42618.866099537037</v>
          </cell>
          <cell r="F141">
            <v>42618.867083333331</v>
          </cell>
          <cell r="G141">
            <v>1</v>
          </cell>
          <cell r="H141" t="str">
            <v>204:233287</v>
          </cell>
          <cell r="I141">
            <v>42618.901678240742</v>
          </cell>
          <cell r="J141">
            <v>0</v>
          </cell>
          <cell r="K141" t="str">
            <v>4013/4014</v>
          </cell>
          <cell r="L141" t="str">
            <v>LEVERE</v>
          </cell>
          <cell r="M141">
            <v>3.4594907410792075E-2</v>
          </cell>
          <cell r="N141">
            <v>49.816666671540588</v>
          </cell>
          <cell r="S141">
            <v>1</v>
          </cell>
          <cell r="T141" t="str">
            <v>NorthBound</v>
          </cell>
          <cell r="U141">
            <v>12</v>
          </cell>
          <cell r="V141" t="str">
            <v>https://search-rtdc-monitor-bjffxe2xuh6vdkpspy63sjmuny.us-east-1.es.amazonaws.com/_plugin/kibana/#/discover/Steve-Slow-Train-Analysis-(2080s-and-2083s)?_g=(refreshInterval:(display:Off,section:0,value:0),time:(from:'2016-09-05 19:47:11-0600',mode:absolute,to:'2016-09-05 22:38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41" t="str">
            <v>N</v>
          </cell>
          <cell r="X141">
            <v>1</v>
          </cell>
          <cell r="Y141">
            <v>4.7100000000000003E-2</v>
          </cell>
          <cell r="Z141">
            <v>23.328700000000001</v>
          </cell>
          <cell r="AA141">
            <v>23.281600000000001</v>
          </cell>
          <cell r="AB141" t="e">
            <v>#N/A</v>
          </cell>
          <cell r="AC141" t="e">
            <v>#N/A</v>
          </cell>
          <cell r="AD141" t="str">
            <v>0229-05</v>
          </cell>
          <cell r="AE141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142">
          <cell r="A142" t="str">
            <v>230-05</v>
          </cell>
          <cell r="B142">
            <v>4013</v>
          </cell>
          <cell r="C142" t="str">
            <v>DE.1.0.7.0</v>
          </cell>
          <cell r="D142" t="str">
            <v>204:232972</v>
          </cell>
          <cell r="E142">
            <v>42618.906655092593</v>
          </cell>
          <cell r="F142">
            <v>42618.907719907409</v>
          </cell>
          <cell r="G142">
            <v>1</v>
          </cell>
          <cell r="H142" t="str">
            <v>204:150</v>
          </cell>
          <cell r="I142">
            <v>42618.941759259258</v>
          </cell>
          <cell r="J142">
            <v>0</v>
          </cell>
          <cell r="K142" t="str">
            <v>4013/4014</v>
          </cell>
          <cell r="L142" t="str">
            <v>LEVERE</v>
          </cell>
          <cell r="M142">
            <v>3.403935184906004E-2</v>
          </cell>
          <cell r="N142">
            <v>49.016666662646458</v>
          </cell>
          <cell r="S142">
            <v>1</v>
          </cell>
          <cell r="T142" t="str">
            <v>Southbound</v>
          </cell>
          <cell r="U142">
            <v>12</v>
          </cell>
          <cell r="V142" t="str">
            <v>https://search-rtdc-monitor-bjffxe2xuh6vdkpspy63sjmuny.us-east-1.es.amazonaws.com/_plugin/kibana/#/discover/Steve-Slow-Train-Analysis-(2080s-and-2083s)?_g=(refreshInterval:(display:Off,section:0,value:0),time:(from:'2016-09-05 20:45:35-0600',mode:absolute,to:'2016-09-05 23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42" t="str">
            <v>N</v>
          </cell>
          <cell r="X142">
            <v>1</v>
          </cell>
          <cell r="Y142">
            <v>23.2972</v>
          </cell>
          <cell r="Z142">
            <v>1.4999999999999999E-2</v>
          </cell>
          <cell r="AA142">
            <v>23.2822</v>
          </cell>
          <cell r="AB142" t="e">
            <v>#N/A</v>
          </cell>
          <cell r="AC142" t="e">
            <v>#N/A</v>
          </cell>
          <cell r="AD142" t="str">
            <v>0230-05</v>
          </cell>
          <cell r="AE142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143">
          <cell r="A143" t="str">
            <v>231-05</v>
          </cell>
          <cell r="B143">
            <v>4027</v>
          </cell>
          <cell r="C143" t="str">
            <v>DE.1.0.7.0</v>
          </cell>
          <cell r="D143" t="str">
            <v>204:438</v>
          </cell>
          <cell r="E143">
            <v>42618.882488425923</v>
          </cell>
          <cell r="F143">
            <v>42618.883437500001</v>
          </cell>
          <cell r="G143">
            <v>1</v>
          </cell>
          <cell r="H143" t="str">
            <v>204:233321</v>
          </cell>
          <cell r="I143">
            <v>42618.920729166668</v>
          </cell>
          <cell r="J143">
            <v>0</v>
          </cell>
          <cell r="K143" t="str">
            <v>4027/4028</v>
          </cell>
          <cell r="L143" t="str">
            <v>NEWELL</v>
          </cell>
          <cell r="M143">
            <v>3.7291666667442769E-2</v>
          </cell>
          <cell r="N143">
            <v>53.700000001117587</v>
          </cell>
          <cell r="S143">
            <v>1</v>
          </cell>
          <cell r="T143" t="str">
            <v>NorthBound</v>
          </cell>
          <cell r="U143">
            <v>12</v>
          </cell>
          <cell r="V143" t="str">
            <v>https://search-rtdc-monitor-bjffxe2xuh6vdkpspy63sjmuny.us-east-1.es.amazonaws.com/_plugin/kibana/#/discover/Steve-Slow-Train-Analysis-(2080s-and-2083s)?_g=(refreshInterval:(display:Off,section:0,value:0),time:(from:'2016-09-05 20:10:47-0600',mode:absolute,to:'2016-09-05 23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43" t="str">
            <v>N</v>
          </cell>
          <cell r="X143">
            <v>1</v>
          </cell>
          <cell r="Y143">
            <v>4.3799999999999999E-2</v>
          </cell>
          <cell r="Z143">
            <v>23.332100000000001</v>
          </cell>
          <cell r="AA143">
            <v>23.2883</v>
          </cell>
          <cell r="AB143" t="e">
            <v>#N/A</v>
          </cell>
          <cell r="AC143" t="e">
            <v>#N/A</v>
          </cell>
          <cell r="AD143" t="str">
            <v>0231-05</v>
          </cell>
          <cell r="AE143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144">
          <cell r="A144" t="str">
            <v>232-05</v>
          </cell>
          <cell r="B144">
            <v>4028</v>
          </cell>
          <cell r="C144" t="str">
            <v>DE.1.0.7.0</v>
          </cell>
          <cell r="D144" t="str">
            <v>204:232998</v>
          </cell>
          <cell r="E144">
            <v>42618.922384259262</v>
          </cell>
          <cell r="F144">
            <v>42618.923229166663</v>
          </cell>
          <cell r="G144">
            <v>1</v>
          </cell>
          <cell r="H144" t="str">
            <v>204:160</v>
          </cell>
          <cell r="I144">
            <v>42618.961527777778</v>
          </cell>
          <cell r="J144">
            <v>0</v>
          </cell>
          <cell r="K144" t="str">
            <v>4027/4028</v>
          </cell>
          <cell r="L144" t="str">
            <v>NEWELL</v>
          </cell>
          <cell r="M144">
            <v>3.8298611114441883E-2</v>
          </cell>
          <cell r="N144">
            <v>55.150000004796311</v>
          </cell>
          <cell r="S144">
            <v>1</v>
          </cell>
          <cell r="T144" t="str">
            <v>Southbound</v>
          </cell>
          <cell r="U144">
            <v>12</v>
          </cell>
          <cell r="V144" t="str">
            <v>https://search-rtdc-monitor-bjffxe2xuh6vdkpspy63sjmuny.us-east-1.es.amazonaws.com/_plugin/kibana/#/discover/Steve-Slow-Train-Analysis-(2080s-and-2083s)?_g=(refreshInterval:(display:Off,section:0,value:0),time:(from:'2016-09-05 21:08:14-0600',mode:absolute,to:'2016-09-06 00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44" t="str">
            <v>N</v>
          </cell>
          <cell r="X144">
            <v>1</v>
          </cell>
          <cell r="Y144">
            <v>23.299800000000001</v>
          </cell>
          <cell r="Z144">
            <v>1.6E-2</v>
          </cell>
          <cell r="AA144">
            <v>23.283800000000003</v>
          </cell>
          <cell r="AB144" t="e">
            <v>#N/A</v>
          </cell>
          <cell r="AC144" t="e">
            <v>#N/A</v>
          </cell>
          <cell r="AD144" t="str">
            <v>0232-05</v>
          </cell>
          <cell r="AE144" t="str">
    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    </cell>
        </row>
        <row r="145">
          <cell r="A145" t="str">
            <v>233-05</v>
          </cell>
          <cell r="B145">
            <v>4020</v>
          </cell>
          <cell r="C145" t="str">
            <v>DE.1.0.7.0</v>
          </cell>
          <cell r="D145" t="str">
            <v>204:462</v>
          </cell>
          <cell r="E145">
            <v>42618.914537037039</v>
          </cell>
          <cell r="F145">
            <v>42618.915891203702</v>
          </cell>
          <cell r="G145">
            <v>1</v>
          </cell>
          <cell r="H145" t="str">
            <v>204:233299</v>
          </cell>
          <cell r="I145">
            <v>42618.942141203705</v>
          </cell>
          <cell r="J145">
            <v>0</v>
          </cell>
          <cell r="K145" t="str">
            <v>4019/4020</v>
          </cell>
          <cell r="L145" t="str">
            <v>CHANDLER</v>
          </cell>
          <cell r="M145">
            <v>2.6250000002619345E-2</v>
          </cell>
          <cell r="N145">
            <v>37.800000003771856</v>
          </cell>
          <cell r="S145">
            <v>1</v>
          </cell>
          <cell r="T145" t="str">
            <v>NorthBound</v>
          </cell>
          <cell r="U145">
            <v>12</v>
          </cell>
          <cell r="V145" t="str">
            <v>https://search-rtdc-monitor-bjffxe2xuh6vdkpspy63sjmuny.us-east-1.es.amazonaws.com/_plugin/kibana/#/discover/Steve-Slow-Train-Analysis-(2080s-and-2083s)?_g=(refreshInterval:(display:Off,section:0,value:0),time:(from:'2016-09-05 20:56:56-0600',mode:absolute,to:'2016-09-05 23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45" t="str">
            <v>N</v>
          </cell>
          <cell r="X145">
            <v>1</v>
          </cell>
          <cell r="Y145">
            <v>4.6199999999999998E-2</v>
          </cell>
          <cell r="Z145">
            <v>23.329899999999999</v>
          </cell>
          <cell r="AA145">
            <v>23.2837</v>
          </cell>
          <cell r="AB145" t="e">
            <v>#N/A</v>
          </cell>
          <cell r="AC145" t="e">
            <v>#N/A</v>
          </cell>
          <cell r="AD145" t="str">
            <v>0233-05</v>
          </cell>
          <cell r="AE145" t="str">
    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    </cell>
        </row>
        <row r="146">
          <cell r="A146" t="str">
            <v>234-05</v>
          </cell>
          <cell r="B146">
            <v>4019</v>
          </cell>
          <cell r="C146" t="str">
            <v>DE.1.0.7.0</v>
          </cell>
          <cell r="D146" t="str">
            <v>204:232969</v>
          </cell>
          <cell r="E146">
            <v>42618.953217592592</v>
          </cell>
          <cell r="F146">
            <v>42618.954224537039</v>
          </cell>
          <cell r="G146">
            <v>1</v>
          </cell>
          <cell r="H146" t="str">
            <v>204:165</v>
          </cell>
          <cell r="I146">
            <v>42618.985393518517</v>
          </cell>
          <cell r="J146">
            <v>0</v>
          </cell>
          <cell r="K146" t="str">
            <v>4019/4020</v>
          </cell>
          <cell r="L146" t="str">
            <v>CHANDLER</v>
          </cell>
          <cell r="M146">
            <v>3.1168981477094349E-2</v>
          </cell>
          <cell r="N146">
            <v>44.883333327015862</v>
          </cell>
          <cell r="S146">
            <v>1</v>
          </cell>
          <cell r="T146" t="str">
            <v>Southbound</v>
          </cell>
          <cell r="U146">
            <v>12</v>
          </cell>
          <cell r="V146" t="str">
            <v>https://search-rtdc-monitor-bjffxe2xuh6vdkpspy63sjmuny.us-east-1.es.amazonaws.com/_plugin/kibana/#/discover/Steve-Slow-Train-Analysis-(2080s-and-2083s)?_g=(refreshInterval:(display:Off,section:0,value:0),time:(from:'2016-09-05 21:52:38-0600',mode:absolute,to:'2016-09-06 00:38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46" t="str">
            <v>N</v>
          </cell>
          <cell r="X146">
            <v>1</v>
          </cell>
          <cell r="Y146">
            <v>23.296900000000001</v>
          </cell>
          <cell r="Z146">
            <v>1.6500000000000001E-2</v>
          </cell>
          <cell r="AA146">
            <v>23.2804</v>
          </cell>
          <cell r="AB146" t="e">
            <v>#N/A</v>
          </cell>
          <cell r="AC146" t="e">
            <v>#N/A</v>
          </cell>
          <cell r="AD146" t="str">
            <v>0234-05</v>
          </cell>
          <cell r="AE146" t="str">
    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    </cell>
        </row>
        <row r="147">
          <cell r="A147" t="str">
            <v>235-05</v>
          </cell>
          <cell r="B147">
            <v>4044</v>
          </cell>
          <cell r="C147" t="str">
            <v>DE.1.0.7.0</v>
          </cell>
          <cell r="D147" t="str">
            <v>204:484</v>
          </cell>
          <cell r="E147">
            <v>42618.934039351851</v>
          </cell>
          <cell r="F147">
            <v>42618.935208333336</v>
          </cell>
          <cell r="G147">
            <v>1</v>
          </cell>
          <cell r="H147" t="str">
            <v>204:233295</v>
          </cell>
          <cell r="I147">
            <v>42618.961875000001</v>
          </cell>
          <cell r="J147">
            <v>0</v>
          </cell>
          <cell r="K147" t="str">
            <v>4043/4044</v>
          </cell>
          <cell r="L147" t="str">
            <v>YANAI</v>
          </cell>
          <cell r="M147">
            <v>2.6666666664823424E-2</v>
          </cell>
          <cell r="N147">
            <v>38.399999997345731</v>
          </cell>
          <cell r="S147">
            <v>1</v>
          </cell>
          <cell r="T147" t="str">
            <v>NorthBound</v>
          </cell>
          <cell r="U147">
            <v>12</v>
          </cell>
          <cell r="V147" t="str">
            <v>https://search-rtdc-monitor-bjffxe2xuh6vdkpspy63sjmuny.us-east-1.es.amazonaws.com/_plugin/kibana/#/discover/Steve-Slow-Train-Analysis-(2080s-and-2083s)?_g=(refreshInterval:(display:Off,section:0,value:0),time:(from:'2016-09-05 21:25:01-0600',mode:absolute,to:'2016-09-06 00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47" t="str">
            <v>N</v>
          </cell>
          <cell r="X147">
            <v>1</v>
          </cell>
          <cell r="Y147">
            <v>4.8399999999999999E-2</v>
          </cell>
          <cell r="Z147">
            <v>23.329499999999999</v>
          </cell>
          <cell r="AA147">
            <v>23.281099999999999</v>
          </cell>
          <cell r="AB147" t="e">
            <v>#N/A</v>
          </cell>
          <cell r="AC147" t="e">
            <v>#N/A</v>
          </cell>
          <cell r="AD147" t="str">
            <v>0235-05</v>
          </cell>
          <cell r="AE147" t="str">
            <v>aws s3 cp s3://rtdc.mdm.uploadarchive/RTDC4044/2016-09-05/ "%USERPROFILE%\AppData\Local\Temp\OnboardLogs"\RTDC4044\2016-09-05 --recursive &amp; "%USERPROFILE%\Documents\GitHub\mrs-test-scripts\Headless Mode &amp; Sideloading\WalkAndUnGZ.bat" "%USERPROFILE%\AppData\Local\Temp\OnboardLogs"\RTDC4044\2016-09-05 &amp; 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</v>
          </cell>
        </row>
        <row r="148">
          <cell r="A148" t="str">
            <v>236-05</v>
          </cell>
          <cell r="B148">
            <v>4043</v>
          </cell>
          <cell r="C148" t="str">
            <v>DE.1.0.7.0</v>
          </cell>
          <cell r="D148" t="str">
            <v>204:232977</v>
          </cell>
          <cell r="E148">
            <v>42618.972696759258</v>
          </cell>
          <cell r="F148">
            <v>42618.973796296297</v>
          </cell>
          <cell r="G148">
            <v>1</v>
          </cell>
          <cell r="H148" t="str">
            <v>204:152</v>
          </cell>
          <cell r="I148">
            <v>42619.004155092596</v>
          </cell>
          <cell r="J148">
            <v>0</v>
          </cell>
          <cell r="K148" t="str">
            <v>4043/4044</v>
          </cell>
          <cell r="L148" t="str">
            <v>YANAI</v>
          </cell>
          <cell r="M148">
            <v>3.0358796298969537E-2</v>
          </cell>
          <cell r="N148">
            <v>43.716666670516133</v>
          </cell>
          <cell r="S148">
            <v>1</v>
          </cell>
          <cell r="T148" t="str">
            <v>Southbound</v>
          </cell>
          <cell r="U148">
            <v>12</v>
          </cell>
          <cell r="V148" t="str">
            <v>https://search-rtdc-monitor-bjffxe2xuh6vdkpspy63sjmuny.us-east-1.es.amazonaws.com/_plugin/kibana/#/discover/Steve-Slow-Train-Analysis-(2080s-and-2083s)?_g=(refreshInterval:(display:Off,section:0,value:0),time:(from:'2016-09-05 22:20:41-0600',mode:absolute,to:'2016-09-06 01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48" t="str">
            <v>N</v>
          </cell>
          <cell r="X148">
            <v>1</v>
          </cell>
          <cell r="Y148">
            <v>23.297699999999999</v>
          </cell>
          <cell r="Z148">
            <v>1.52E-2</v>
          </cell>
          <cell r="AA148">
            <v>23.282499999999999</v>
          </cell>
          <cell r="AB148" t="e">
            <v>#N/A</v>
          </cell>
          <cell r="AC148" t="e">
            <v>#N/A</v>
          </cell>
          <cell r="AD148" t="str">
            <v>0236-05</v>
          </cell>
          <cell r="AE148" t="str">
    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    </cell>
        </row>
        <row r="149">
          <cell r="A149" t="str">
            <v>237-05</v>
          </cell>
          <cell r="B149">
            <v>4014</v>
          </cell>
          <cell r="C149" t="str">
            <v>DE.1.0.7.0</v>
          </cell>
          <cell r="D149" t="str">
            <v>204:435</v>
          </cell>
          <cell r="E149">
            <v>42618.952824074076</v>
          </cell>
          <cell r="F149">
            <v>42618.953877314816</v>
          </cell>
          <cell r="G149">
            <v>1</v>
          </cell>
          <cell r="H149" t="str">
            <v>204:233311</v>
          </cell>
          <cell r="I149">
            <v>42618.984814814816</v>
          </cell>
          <cell r="J149">
            <v>0</v>
          </cell>
          <cell r="K149" t="str">
            <v>4013/4014</v>
          </cell>
          <cell r="L149" t="str">
            <v>LEVERE</v>
          </cell>
          <cell r="M149">
            <v>3.0937499999708962E-2</v>
          </cell>
          <cell r="N149">
            <v>44.549999999580905</v>
          </cell>
          <cell r="S149">
            <v>1</v>
          </cell>
          <cell r="T149" t="str">
            <v>NorthBound</v>
          </cell>
          <cell r="U149">
            <v>12</v>
          </cell>
          <cell r="V149" t="str">
            <v>https://search-rtdc-monitor-bjffxe2xuh6vdkpspy63sjmuny.us-east-1.es.amazonaws.com/_plugin/kibana/#/discover/Steve-Slow-Train-Analysis-(2080s-and-2083s)?_g=(refreshInterval:(display:Off,section:0,value:0),time:(from:'2016-09-05 21:52:04-0600',mode:absolute,to:'2016-09-06 00:38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149" t="str">
            <v>N</v>
          </cell>
          <cell r="X149">
            <v>1</v>
          </cell>
          <cell r="Y149">
            <v>4.3499999999999997E-2</v>
          </cell>
          <cell r="Z149">
            <v>23.331099999999999</v>
          </cell>
          <cell r="AA149">
            <v>23.287599999999998</v>
          </cell>
          <cell r="AB149" t="e">
            <v>#N/A</v>
          </cell>
          <cell r="AC149" t="e">
            <v>#N/A</v>
          </cell>
          <cell r="AD149" t="str">
            <v>0237-05</v>
          </cell>
          <cell r="AE149" t="str">
    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    </cell>
        </row>
        <row r="150">
          <cell r="A150" t="str">
            <v>238-05</v>
          </cell>
          <cell r="B150">
            <v>4013</v>
          </cell>
          <cell r="C150" t="str">
            <v>DE.1.0.7.0</v>
          </cell>
          <cell r="D150" t="str">
            <v>204:232975</v>
          </cell>
          <cell r="E150">
            <v>42618.992962962962</v>
          </cell>
          <cell r="F150">
            <v>42618.994004629632</v>
          </cell>
          <cell r="G150">
            <v>1</v>
          </cell>
          <cell r="H150" t="str">
            <v>204:145</v>
          </cell>
          <cell r="I150">
            <v>42619.025659722225</v>
          </cell>
          <cell r="J150">
            <v>0</v>
          </cell>
          <cell r="K150" t="str">
            <v>4013/4014</v>
          </cell>
          <cell r="L150" t="str">
            <v>LEVERE</v>
          </cell>
          <cell r="M150">
            <v>3.1655092592700385E-2</v>
          </cell>
          <cell r="N150">
            <v>45.583333333488554</v>
          </cell>
          <cell r="S150">
            <v>1</v>
          </cell>
          <cell r="T150" t="str">
            <v>Southbound</v>
          </cell>
          <cell r="U150">
            <v>12</v>
          </cell>
          <cell r="V150" t="str">
            <v>https://search-rtdc-monitor-bjffxe2xuh6vdkpspy63sjmuny.us-east-1.es.amazonaws.com/_plugin/kibana/#/discover/Steve-Slow-Train-Analysis-(2080s-and-2083s)?_g=(refreshInterval:(display:Off,section:0,value:0),time:(from:'2016-09-05 22:49:52-0600',mode:absolute,to:'2016-09-06 01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    </cell>
          <cell r="W150" t="str">
            <v>N</v>
          </cell>
          <cell r="X150">
            <v>1</v>
          </cell>
          <cell r="Y150">
            <v>23.297499999999999</v>
          </cell>
          <cell r="Z150">
            <v>1.4500000000000001E-2</v>
          </cell>
          <cell r="AA150">
            <v>23.282999999999998</v>
          </cell>
          <cell r="AB150" t="e">
            <v>#N/A</v>
          </cell>
          <cell r="AC150" t="e">
            <v>#N/A</v>
          </cell>
          <cell r="AD150" t="str">
            <v>0238-05</v>
          </cell>
          <cell r="AE150" t="str">
    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    </cell>
        </row>
        <row r="151">
          <cell r="A151" t="str">
            <v>239-05</v>
          </cell>
          <cell r="B151">
            <v>4027</v>
          </cell>
          <cell r="C151" t="str">
            <v>DE.1.0.7.0</v>
          </cell>
          <cell r="D151" t="str">
            <v>204:19182</v>
          </cell>
          <cell r="E151">
            <v>42618.983182870368</v>
          </cell>
          <cell r="F151">
            <v>42618.983923611115</v>
          </cell>
          <cell r="G151">
            <v>1</v>
          </cell>
          <cell r="H151" t="str">
            <v>204:233307</v>
          </cell>
          <cell r="I151">
            <v>42619.005289351851</v>
          </cell>
          <cell r="J151">
            <v>0</v>
          </cell>
          <cell r="K151" t="str">
            <v>4027/4028</v>
          </cell>
          <cell r="L151" t="str">
            <v>NEWELL</v>
          </cell>
          <cell r="M151">
            <v>2.1365740736655425E-2</v>
          </cell>
          <cell r="P151">
            <v>53.783333322498947</v>
          </cell>
          <cell r="R151" t="str">
            <v>DUS 4N was STOP because 22N was also STOP</v>
          </cell>
          <cell r="S151">
            <v>1</v>
          </cell>
          <cell r="T151" t="str">
            <v>NorthBound</v>
          </cell>
          <cell r="U151">
            <v>12</v>
          </cell>
          <cell r="V151" t="str">
            <v>https://search-rtdc-monitor-bjffxe2xuh6vdkpspy63sjmuny.us-east-1.es.amazonaws.com/_plugin/kibana/#/discover/Steve-Slow-Train-Analysis-(2080s-and-2083s)?_g=(refreshInterval:(display:Off,section:0,value:0),time:(from:'2016-09-05 22:35:47-0600',mode:absolute,to:'2016-09-06 01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51" t="str">
            <v>Y</v>
          </cell>
          <cell r="X151">
            <v>1</v>
          </cell>
          <cell r="Y151">
            <v>1.9181999999999999</v>
          </cell>
          <cell r="Z151">
            <v>23.3307</v>
          </cell>
          <cell r="AA151">
            <v>21.412500000000001</v>
          </cell>
          <cell r="AB151" t="e">
            <v>#N/A</v>
          </cell>
          <cell r="AC151" t="e">
            <v>#N/A</v>
          </cell>
          <cell r="AD151" t="str">
            <v>0239-05</v>
          </cell>
          <cell r="AE151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152">
          <cell r="A152" t="str">
            <v>239-05</v>
          </cell>
          <cell r="B152">
            <v>4027</v>
          </cell>
          <cell r="C152" t="str">
            <v>DE.1.0.7.0</v>
          </cell>
          <cell r="D152" t="str">
            <v>204:486</v>
          </cell>
          <cell r="E152">
            <v>42618.963055555556</v>
          </cell>
          <cell r="F152">
            <v>42618.96402777778</v>
          </cell>
          <cell r="G152">
            <v>1</v>
          </cell>
          <cell r="H152" t="str">
            <v>204:1056</v>
          </cell>
          <cell r="I152">
            <v>42618.980011574073</v>
          </cell>
          <cell r="J152">
            <v>0</v>
          </cell>
          <cell r="K152" t="str">
            <v>4027/4028</v>
          </cell>
          <cell r="L152" t="str">
            <v>NEWELL</v>
          </cell>
          <cell r="M152">
            <v>1.5983796292857733E-2</v>
          </cell>
          <cell r="T152" t="str">
            <v>NorthBound</v>
          </cell>
          <cell r="U152">
            <v>0</v>
          </cell>
          <cell r="V152" t="str">
            <v>https://search-rtdc-monitor-bjffxe2xuh6vdkpspy63sjmuny.us-east-1.es.amazonaws.com/_plugin/kibana/#/discover/Steve-Slow-Train-Analysis-(2080s-and-2083s)?_g=(refreshInterval:(display:Off,section:0,value:0),time:(from:'2016-09-05 22:06:48-0600',mode:absolute,to:'2016-09-06 00:31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152" t="str">
            <v>Y</v>
          </cell>
          <cell r="X152">
            <v>0</v>
          </cell>
          <cell r="Y152">
            <v>4.8599999999999997E-2</v>
          </cell>
          <cell r="Z152">
            <v>0.1056</v>
          </cell>
          <cell r="AA152">
            <v>5.7000000000000002E-2</v>
          </cell>
          <cell r="AB152" t="e">
            <v>#N/A</v>
          </cell>
          <cell r="AC152" t="e">
            <v>#N/A</v>
          </cell>
          <cell r="AD152" t="str">
            <v>0239-05</v>
          </cell>
          <cell r="AE152" t="str">
    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    </cell>
        </row>
        <row r="153">
          <cell r="A153" t="str">
            <v>240-05</v>
          </cell>
          <cell r="B153">
            <v>4028</v>
          </cell>
          <cell r="C153" t="str">
            <v>DE.1.0.7.0</v>
          </cell>
          <cell r="D153" t="str">
            <v>204:486</v>
          </cell>
          <cell r="E153">
            <v>42618.963055555556</v>
          </cell>
          <cell r="F153">
            <v>42619.012685185182</v>
          </cell>
          <cell r="G153">
            <v>1</v>
          </cell>
          <cell r="H153" t="str">
            <v>204:1056</v>
          </cell>
          <cell r="I153">
            <v>42619.01295138889</v>
          </cell>
          <cell r="J153">
            <v>0</v>
          </cell>
          <cell r="K153" t="str">
            <v>4027/4028</v>
          </cell>
          <cell r="L153" t="str">
            <v>NEWELL</v>
          </cell>
          <cell r="M153">
            <v>2.6620370772434399E-4</v>
          </cell>
          <cell r="P153">
            <v>0.38333333912305534</v>
          </cell>
          <cell r="R153" t="str">
            <v>Onboard in-route failure</v>
          </cell>
          <cell r="T153" t="str">
            <v>Southbound</v>
          </cell>
          <cell r="U153">
            <v>0</v>
          </cell>
          <cell r="V153" t="str">
            <v>https://search-rtdc-monitor-bjffxe2xuh6vdkpspy63sjmuny.us-east-1.es.amazonaws.com/_plugin/kibana/#/discover/Steve-Slow-Train-Analysis-(2080s-and-2083s)?_g=(refreshInterval:(display:Off,section:0,value:0),time:(from:'2016-09-05 22:06:48-0600',mode:absolute,to:'2016-09-06 01:18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    </cell>
          <cell r="W153" t="str">
            <v>Y</v>
          </cell>
          <cell r="X153">
            <v>1</v>
          </cell>
          <cell r="Y153">
            <v>4.8599999999999997E-2</v>
          </cell>
          <cell r="Z153">
            <v>0.1056</v>
          </cell>
          <cell r="AA153">
            <v>5.7000000000000002E-2</v>
          </cell>
          <cell r="AB153" t="e">
            <v>#N/A</v>
          </cell>
          <cell r="AC153" t="e">
            <v>#N/A</v>
          </cell>
          <cell r="AD153" t="str">
            <v>0240-05</v>
          </cell>
          <cell r="AE153" t="str">
    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    </cell>
        </row>
        <row r="154">
          <cell r="A154" t="str">
            <v>241-05</v>
          </cell>
          <cell r="B154">
            <v>4020</v>
          </cell>
          <cell r="C154" t="str">
            <v>DE.1.0.7.0</v>
          </cell>
          <cell r="D154" t="str">
            <v>204:478</v>
          </cell>
          <cell r="E154">
            <v>42618.999085648145</v>
          </cell>
          <cell r="F154">
            <v>42619.000092592592</v>
          </cell>
          <cell r="G154">
            <v>1</v>
          </cell>
          <cell r="H154" t="str">
            <v>204:233286</v>
          </cell>
          <cell r="I154">
            <v>42619.025625000002</v>
          </cell>
          <cell r="J154">
            <v>0</v>
          </cell>
          <cell r="K154" t="str">
            <v>4019/4020</v>
          </cell>
          <cell r="L154" t="str">
            <v>CHANDLER</v>
          </cell>
          <cell r="M154">
            <v>2.5532407409627922E-2</v>
          </cell>
          <cell r="N154">
            <v>36.766666669864208</v>
          </cell>
          <cell r="S154">
            <v>1</v>
          </cell>
          <cell r="T154" t="str">
            <v>NorthBound</v>
          </cell>
          <cell r="U154">
            <v>12</v>
          </cell>
          <cell r="V154" t="str">
            <v>https://search-rtdc-monitor-bjffxe2xuh6vdkpspy63sjmuny.us-east-1.es.amazonaws.com/_plugin/kibana/#/discover/Steve-Slow-Train-Analysis-(2080s-and-2083s)?_g=(refreshInterval:(display:Off,section:0,value:0),time:(from:'2016-09-05 22:58:41-0600',mode:absolute,to:'2016-09-06 01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154" t="str">
            <v>N</v>
          </cell>
          <cell r="X154">
            <v>1</v>
          </cell>
          <cell r="Y154">
            <v>4.7800000000000002E-2</v>
          </cell>
          <cell r="Z154">
            <v>23.328600000000002</v>
          </cell>
          <cell r="AA154">
            <v>23.280800000000003</v>
          </cell>
          <cell r="AB154" t="e">
            <v>#N/A</v>
          </cell>
          <cell r="AC154" t="e">
            <v>#N/A</v>
          </cell>
          <cell r="AD154" t="str">
            <v>0241-05</v>
          </cell>
          <cell r="AE154" t="str">
            <v>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 &amp; 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</v>
          </cell>
        </row>
        <row r="155">
          <cell r="A155" t="str">
            <v>242-05</v>
          </cell>
          <cell r="B155">
            <v>4019</v>
          </cell>
          <cell r="C155" t="str">
            <v>DE.1.0.7.0</v>
          </cell>
          <cell r="D155" t="str">
            <v>204:232959</v>
          </cell>
          <cell r="E155">
            <v>42619.036851851852</v>
          </cell>
          <cell r="F155">
            <v>42619.03769675926</v>
          </cell>
          <cell r="G155">
            <v>1</v>
          </cell>
          <cell r="H155" t="str">
            <v>204:150</v>
          </cell>
          <cell r="I155">
            <v>42619.067685185182</v>
          </cell>
          <cell r="J155">
            <v>0</v>
          </cell>
          <cell r="K155" t="str">
            <v>4019/4020</v>
          </cell>
          <cell r="L155" t="str">
            <v>CHANDLER</v>
          </cell>
          <cell r="M155">
            <v>2.9988425922056194E-2</v>
          </cell>
          <cell r="N155">
            <v>43.18333332776092</v>
          </cell>
          <cell r="S155">
            <v>1</v>
          </cell>
          <cell r="T155" t="str">
            <v>Southbound</v>
          </cell>
          <cell r="U155">
            <v>12</v>
          </cell>
          <cell r="V155" t="str">
            <v>https://search-rtdc-monitor-bjffxe2xuh6vdkpspy63sjmuny.us-east-1.es.amazonaws.com/_plugin/kibana/#/discover/Steve-Slow-Train-Analysis-(2080s-and-2083s)?_g=(refreshInterval:(display:Off,section:0,value:0),time:(from:'2016-09-05 23:53:04-0600',mode:absolute,to:'2016-09-06 02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    </cell>
          <cell r="W155" t="str">
            <v>N</v>
          </cell>
          <cell r="X155">
            <v>1</v>
          </cell>
          <cell r="Y155">
            <v>23.2959</v>
          </cell>
          <cell r="Z155">
            <v>1.4999999999999999E-2</v>
          </cell>
          <cell r="AA155">
            <v>23.280899999999999</v>
          </cell>
          <cell r="AB155" t="e">
            <v>#N/A</v>
          </cell>
          <cell r="AC155" t="e">
            <v>#N/A</v>
          </cell>
          <cell r="AD155" t="str">
            <v>0242-05</v>
          </cell>
          <cell r="AE155" t="str">
            <v>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 &amp; 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</v>
          </cell>
        </row>
        <row r="156">
          <cell r="A156" t="str">
            <v>243-05</v>
          </cell>
          <cell r="B156">
            <v>4044</v>
          </cell>
          <cell r="C156" t="str">
            <v>DE.1.0.7.0</v>
          </cell>
          <cell r="D156" t="str">
            <v>204:446</v>
          </cell>
          <cell r="E156">
            <v>42619.016076388885</v>
          </cell>
          <cell r="F156">
            <v>42619.017013888886</v>
          </cell>
          <cell r="G156">
            <v>1</v>
          </cell>
          <cell r="H156" t="str">
            <v>204:233316</v>
          </cell>
          <cell r="I156">
            <v>42619.045578703706</v>
          </cell>
          <cell r="J156">
            <v>0</v>
          </cell>
          <cell r="K156" t="str">
            <v>4043/4044</v>
          </cell>
          <cell r="L156" t="str">
            <v>YANAI</v>
          </cell>
          <cell r="M156">
            <v>2.8564814820128959E-2</v>
          </cell>
          <cell r="N156">
            <v>41.1333333409857</v>
          </cell>
          <cell r="S156">
            <v>1</v>
          </cell>
          <cell r="T156" t="str">
            <v>NorthBound</v>
          </cell>
          <cell r="U156">
            <v>12</v>
          </cell>
          <cell r="V156" t="str">
            <v>https://search-rtdc-monitor-bjffxe2xuh6vdkpspy63sjmuny.us-east-1.es.amazonaws.com/_plugin/kibana/#/discover/Steve-Slow-Train-Analysis-(2080s-and-2083s)?_g=(refreshInterval:(display:Off,section:0,value:0),time:(from:'2016-09-05 23:23:09-0600',mode:absolute,to:'2016-09-06 02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156" t="str">
            <v>N</v>
          </cell>
          <cell r="X156">
            <v>1</v>
          </cell>
          <cell r="Y156">
            <v>4.4600000000000001E-2</v>
          </cell>
          <cell r="Z156">
            <v>23.331600000000002</v>
          </cell>
          <cell r="AA156">
            <v>23.287000000000003</v>
          </cell>
          <cell r="AB156" t="e">
            <v>#N/A</v>
          </cell>
          <cell r="AC156" t="e">
            <v>#N/A</v>
          </cell>
          <cell r="AD156" t="str">
            <v>0243-05</v>
          </cell>
          <cell r="AE156" t="str">
            <v>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 &amp; 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</v>
          </cell>
        </row>
        <row r="157">
          <cell r="A157" t="str">
            <v>244-05</v>
          </cell>
          <cell r="B157">
            <v>4043</v>
          </cell>
          <cell r="C157" t="str">
            <v>DE.1.0.7.0</v>
          </cell>
          <cell r="D157" t="str">
            <v>204:232978</v>
          </cell>
          <cell r="E157">
            <v>42619.054907407408</v>
          </cell>
          <cell r="F157">
            <v>42619.056111111109</v>
          </cell>
          <cell r="G157">
            <v>1</v>
          </cell>
          <cell r="H157" t="str">
            <v>204:158</v>
          </cell>
          <cell r="I157">
            <v>42619.085451388892</v>
          </cell>
          <cell r="J157">
            <v>0</v>
          </cell>
          <cell r="K157" t="str">
            <v>4043/4044</v>
          </cell>
          <cell r="L157" t="str">
            <v>YANAI</v>
          </cell>
          <cell r="M157">
            <v>2.9340277782466728E-2</v>
          </cell>
          <cell r="N157">
            <v>42.250000006752089</v>
          </cell>
          <cell r="S157">
            <v>1</v>
          </cell>
          <cell r="T157" t="str">
            <v>Southbound</v>
          </cell>
          <cell r="U157">
            <v>12</v>
          </cell>
          <cell r="V157" t="str">
            <v>https://search-rtdc-monitor-bjffxe2xuh6vdkpspy63sjmuny.us-east-1.es.amazonaws.com/_plugin/kibana/#/discover/Steve-Slow-Train-Analysis-(2080s-and-2083s)?_g=(refreshInterval:(display:Off,section:0,value:0),time:(from:'2016-09-06 00:19:04-0600',mode:absolute,to:'2016-09-06 03:03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    </cell>
          <cell r="W157" t="str">
            <v>N</v>
          </cell>
          <cell r="X157">
            <v>1</v>
          </cell>
          <cell r="Y157">
            <v>23.297799999999999</v>
          </cell>
          <cell r="Z157">
            <v>1.5800000000000002E-2</v>
          </cell>
          <cell r="AA157">
            <v>23.282</v>
          </cell>
          <cell r="AB157" t="e">
            <v>#N/A</v>
          </cell>
          <cell r="AC157" t="e">
            <v>#N/A</v>
          </cell>
          <cell r="AD157" t="str">
            <v>0244-05</v>
          </cell>
          <cell r="AE157" t="str">
            <v>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 &amp; aws s3 cp s3://rtdc.mdm.uploadarchive/RTDC4043/2016-09-07/ "%USERPROFILE%\AppData\Local\Temp\OnboardLogs"\RTDC4043\2016-09-07 --recursive &amp; "%USERPROFILE%\Documents\GitHub\mrs-test-scripts\Headless Mode &amp; Sideloading\WalkAndUnGZ.bat" "%USERPROFILE%\AppData\Local\Temp\OnboardLogs"\RTDC4043\2016-09-07</v>
          </cell>
        </row>
        <row r="158">
          <cell r="A158" t="str">
            <v>800-05</v>
          </cell>
          <cell r="B158">
            <v>4037</v>
          </cell>
          <cell r="C158" t="str">
            <v>DE.1.0.7.0</v>
          </cell>
          <cell r="D158" t="str">
            <v>300:58606</v>
          </cell>
          <cell r="E158">
            <v>42618.210810185185</v>
          </cell>
          <cell r="F158">
            <v>42618.211828703701</v>
          </cell>
          <cell r="G158">
            <v>1</v>
          </cell>
          <cell r="H158" t="str">
            <v>204:640</v>
          </cell>
          <cell r="I158">
            <v>42618.228958333333</v>
          </cell>
          <cell r="J158">
            <v>0</v>
          </cell>
          <cell r="K158" t="str">
            <v>4037/4038</v>
          </cell>
          <cell r="L158" t="str">
            <v>DAVIS</v>
          </cell>
          <cell r="M158">
            <v>1.7129629632108845E-2</v>
          </cell>
          <cell r="N158">
            <v>24.666666670236737</v>
          </cell>
          <cell r="S158">
            <v>1</v>
          </cell>
          <cell r="T158" t="str">
            <v>Southbound</v>
          </cell>
          <cell r="U158">
            <v>1</v>
          </cell>
          <cell r="V158" t="str">
            <v>https://search-rtdc-monitor-bjffxe2xuh6vdkpspy63sjmuny.us-east-1.es.amazonaws.com/_plugin/kibana/#/discover/Steve-Slow-Train-Analysis-(2080s-and-2083s)?_g=(refreshInterval:(display:Off,section:0,value:0),time:(from:'2016-09-05 04:03:34-0600',mode:absolute,to:'2016-09-05 06:29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58" t="str">
            <v>N</v>
          </cell>
          <cell r="X158">
            <v>556</v>
          </cell>
          <cell r="Y158">
            <v>5.8605999999999998</v>
          </cell>
          <cell r="Z158">
            <v>6.4000000000000001E-2</v>
          </cell>
          <cell r="AA158">
            <v>5.7965999999999998</v>
          </cell>
          <cell r="AB158" t="e">
            <v>#N/A</v>
          </cell>
          <cell r="AC158" t="e">
            <v>#N/A</v>
          </cell>
          <cell r="AD158" t="str">
            <v>0800-05</v>
          </cell>
          <cell r="AE158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159">
          <cell r="A159" t="str">
            <v>801-05</v>
          </cell>
          <cell r="B159">
            <v>4038</v>
          </cell>
          <cell r="C159" t="str">
            <v>DE.1.0.7.0</v>
          </cell>
          <cell r="D159" t="str">
            <v>204:943</v>
          </cell>
          <cell r="E159">
            <v>42618.238206018519</v>
          </cell>
          <cell r="F159">
            <v>42618.239270833335</v>
          </cell>
          <cell r="G159">
            <v>1</v>
          </cell>
          <cell r="H159" t="str">
            <v>300:58931</v>
          </cell>
          <cell r="I159">
            <v>42618.253576388888</v>
          </cell>
          <cell r="J159">
            <v>0</v>
          </cell>
          <cell r="K159" t="str">
            <v>4037/4038</v>
          </cell>
          <cell r="L159" t="str">
            <v>DAVIS</v>
          </cell>
          <cell r="M159">
            <v>1.4305555552709848E-2</v>
          </cell>
          <cell r="N159">
            <v>20.599999995902181</v>
          </cell>
          <cell r="S159">
            <v>1</v>
          </cell>
          <cell r="T159" t="str">
            <v>NorthBound</v>
          </cell>
          <cell r="U159">
            <v>1</v>
          </cell>
          <cell r="V159" t="str">
            <v>https://search-rtdc-monitor-bjffxe2xuh6vdkpspy63sjmuny.us-east-1.es.amazonaws.com/_plugin/kibana/#/discover/Steve-Slow-Train-Analysis-(2080s-and-2083s)?_g=(refreshInterval:(display:Off,section:0,value:0),time:(from:'2016-09-05 04:43:01-0600',mode:absolute,to:'2016-09-05 07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59" t="str">
            <v>N</v>
          </cell>
          <cell r="X159">
            <v>1</v>
          </cell>
          <cell r="Y159">
            <v>9.4299999999999995E-2</v>
          </cell>
          <cell r="Z159">
            <v>5.8930999999999996</v>
          </cell>
          <cell r="AA159">
            <v>5.7988</v>
          </cell>
          <cell r="AB159" t="e">
            <v>#N/A</v>
          </cell>
          <cell r="AC159" t="e">
            <v>#N/A</v>
          </cell>
          <cell r="AD159" t="str">
            <v>0801-05</v>
          </cell>
          <cell r="AE159" t="str">
    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    </cell>
        </row>
        <row r="160">
          <cell r="A160" t="str">
            <v>802-05</v>
          </cell>
          <cell r="B160">
            <v>4037</v>
          </cell>
          <cell r="C160" t="str">
            <v>DE.1.0.7.0</v>
          </cell>
          <cell r="D160" t="str">
            <v>300:58611</v>
          </cell>
          <cell r="E160">
            <v>42618.254432870373</v>
          </cell>
          <cell r="F160">
            <v>42618.255115740743</v>
          </cell>
          <cell r="G160">
            <v>0</v>
          </cell>
          <cell r="H160" t="str">
            <v>204:643</v>
          </cell>
          <cell r="I160">
            <v>42618.268576388888</v>
          </cell>
          <cell r="J160">
            <v>0</v>
          </cell>
          <cell r="K160" t="str">
            <v>4037/4038</v>
          </cell>
          <cell r="L160" t="str">
            <v>DAVIS</v>
          </cell>
          <cell r="M160">
            <v>1.3460648144246079E-2</v>
          </cell>
          <cell r="N160">
            <v>19.383333327714354</v>
          </cell>
          <cell r="S160">
            <v>1</v>
          </cell>
          <cell r="T160" t="str">
            <v>Southbound</v>
          </cell>
          <cell r="U160">
            <v>1</v>
          </cell>
          <cell r="V160" t="str">
            <v>https://search-rtdc-monitor-bjffxe2xuh6vdkpspy63sjmuny.us-east-1.es.amazonaws.com/_plugin/kibana/#/discover/Steve-Slow-Train-Analysis-(2080s-and-2083s)?_g=(refreshInterval:(display:Off,section:0,value:0),time:(from:'2016-09-05 05:06:23-0600',mode:absolute,to:'2016-09-05 07:26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60" t="str">
            <v>N</v>
          </cell>
          <cell r="X160">
            <v>1</v>
          </cell>
          <cell r="Y160">
            <v>5.8611000000000004</v>
          </cell>
          <cell r="Z160">
            <v>6.4299999999999996E-2</v>
          </cell>
          <cell r="AA160">
            <v>5.7968000000000002</v>
          </cell>
          <cell r="AB160" t="e">
            <v>#N/A</v>
          </cell>
          <cell r="AC160" t="e">
            <v>#N/A</v>
          </cell>
          <cell r="AD160" t="str">
            <v>0802-05</v>
          </cell>
          <cell r="AE160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161">
          <cell r="A161" t="str">
            <v>803-05</v>
          </cell>
          <cell r="B161">
            <v>4029</v>
          </cell>
          <cell r="C161" t="str">
            <v>DE.1.0.7.0</v>
          </cell>
          <cell r="D161" t="str">
            <v>204:883</v>
          </cell>
          <cell r="E161">
            <v>42618.263749999998</v>
          </cell>
          <cell r="F161">
            <v>42618.264513888891</v>
          </cell>
          <cell r="G161">
            <v>1</v>
          </cell>
          <cell r="H161" t="str">
            <v>300:59016</v>
          </cell>
          <cell r="I161">
            <v>42618.274421296293</v>
          </cell>
          <cell r="J161">
            <v>0</v>
          </cell>
          <cell r="K161" t="str">
            <v>4029/4030</v>
          </cell>
          <cell r="L161" t="str">
            <v>ROCHA</v>
          </cell>
          <cell r="M161">
            <v>9.9074074023519643E-3</v>
          </cell>
          <cell r="N161">
            <v>14.266666659386829</v>
          </cell>
          <cell r="S161">
            <v>1</v>
          </cell>
          <cell r="T161" t="str">
            <v>NorthBound</v>
          </cell>
          <cell r="U161">
            <v>1</v>
          </cell>
          <cell r="V161" t="str">
            <v>https://search-rtdc-monitor-bjffxe2xuh6vdkpspy63sjmuny.us-east-1.es.amazonaws.com/_plugin/kibana/#/discover/Steve-Slow-Train-Analysis-(2080s-and-2083s)?_g=(refreshInterval:(display:Off,section:0,value:0),time:(from:'2016-09-05 05:19:48-0600',mode:absolute,to:'2016-09-05 07:35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1" t="str">
            <v>N</v>
          </cell>
          <cell r="X161">
            <v>1</v>
          </cell>
          <cell r="Y161">
            <v>8.8300000000000003E-2</v>
          </cell>
          <cell r="Z161">
            <v>5.9016000000000002</v>
          </cell>
          <cell r="AA161">
            <v>5.8132999999999999</v>
          </cell>
          <cell r="AB161" t="e">
            <v>#N/A</v>
          </cell>
          <cell r="AC161" t="e">
            <v>#N/A</v>
          </cell>
          <cell r="AD161" t="str">
            <v>0803-05</v>
          </cell>
          <cell r="AE161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62">
          <cell r="A162" t="str">
            <v>804-05</v>
          </cell>
          <cell r="B162">
            <v>4030</v>
          </cell>
          <cell r="C162" t="str">
            <v>DE.1.0.7.0</v>
          </cell>
          <cell r="D162" t="str">
            <v>300:58702</v>
          </cell>
          <cell r="E162">
            <v>42618.27548611111</v>
          </cell>
          <cell r="F162">
            <v>42618.27648148148</v>
          </cell>
          <cell r="G162">
            <v>1</v>
          </cell>
          <cell r="H162" t="str">
            <v>204:615</v>
          </cell>
          <cell r="I162">
            <v>42618.289351851854</v>
          </cell>
          <cell r="J162">
            <v>0</v>
          </cell>
          <cell r="K162" t="str">
            <v>4029/4030</v>
          </cell>
          <cell r="L162" t="str">
            <v>ROCHA</v>
          </cell>
          <cell r="M162">
            <v>1.287037037400296E-2</v>
          </cell>
          <cell r="N162">
            <v>18.533333338564262</v>
          </cell>
          <cell r="S162">
            <v>1</v>
          </cell>
          <cell r="T162" t="str">
            <v>Southbound</v>
          </cell>
          <cell r="U162">
            <v>1</v>
          </cell>
          <cell r="V162" t="str">
            <v>https://search-rtdc-monitor-bjffxe2xuh6vdkpspy63sjmuny.us-east-1.es.amazonaws.com/_plugin/kibana/#/discover/Steve-Slow-Train-Analysis-(2080s-and-2083s)?_g=(refreshInterval:(display:Off,section:0,value:0),time:(from:'2016-09-05 05:36:42-0600',mode:absolute,to:'2016-09-05 07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62" t="str">
            <v>N</v>
          </cell>
          <cell r="X162">
            <v>1</v>
          </cell>
          <cell r="Y162">
            <v>5.8701999999999996</v>
          </cell>
          <cell r="Z162">
            <v>6.1499999999999999E-2</v>
          </cell>
          <cell r="AA162">
            <v>5.8087</v>
          </cell>
          <cell r="AB162" t="e">
            <v>#N/A</v>
          </cell>
          <cell r="AC162" t="e">
            <v>#N/A</v>
          </cell>
          <cell r="AD162" t="str">
            <v>0804-05</v>
          </cell>
          <cell r="AE162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63">
          <cell r="A163" t="str">
            <v>805-05</v>
          </cell>
          <cell r="B163">
            <v>4038</v>
          </cell>
          <cell r="C163" t="str">
            <v>DE.1.0.7.0</v>
          </cell>
          <cell r="D163" t="str">
            <v>204:923</v>
          </cell>
          <cell r="E163">
            <v>42618.280972222223</v>
          </cell>
          <cell r="F163">
            <v>42618.281782407408</v>
          </cell>
          <cell r="G163">
            <v>1</v>
          </cell>
          <cell r="H163" t="str">
            <v>300:58931</v>
          </cell>
          <cell r="I163">
            <v>42618.295393518521</v>
          </cell>
          <cell r="J163">
            <v>0</v>
          </cell>
          <cell r="K163" t="str">
            <v>4037/4038</v>
          </cell>
          <cell r="L163" t="str">
            <v>DAVIS</v>
          </cell>
          <cell r="M163">
            <v>1.361111111327773E-2</v>
          </cell>
          <cell r="N163">
            <v>19.600000003119931</v>
          </cell>
          <cell r="S163">
            <v>1</v>
          </cell>
          <cell r="T163" t="str">
            <v>NorthBound</v>
          </cell>
          <cell r="U163">
            <v>1</v>
          </cell>
          <cell r="V163" t="str">
            <v>https://search-rtdc-monitor-bjffxe2xuh6vdkpspy63sjmuny.us-east-1.es.amazonaws.com/_plugin/kibana/#/discover/Steve-Slow-Train-Analysis-(2080s-and-2083s)?_g=(refreshInterval:(display:Off,section:0,value:0),time:(from:'2016-09-05 05:44:36-0600',mode:absolute,to:'2016-09-05 08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63" t="str">
            <v>N</v>
          </cell>
          <cell r="X163">
            <v>1</v>
          </cell>
          <cell r="Y163">
            <v>9.2299999999999993E-2</v>
          </cell>
          <cell r="Z163">
            <v>5.8930999999999996</v>
          </cell>
          <cell r="AA163">
            <v>5.8007999999999997</v>
          </cell>
          <cell r="AB163" t="e">
            <v>#N/A</v>
          </cell>
          <cell r="AC163" t="e">
            <v>#N/A</v>
          </cell>
          <cell r="AD163" t="str">
            <v>0805-05</v>
          </cell>
          <cell r="AE163" t="str">
    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    </cell>
        </row>
        <row r="164">
          <cell r="A164" t="str">
            <v>806-05</v>
          </cell>
          <cell r="B164">
            <v>4037</v>
          </cell>
          <cell r="C164" t="str">
            <v>DE.1.0.7.0</v>
          </cell>
          <cell r="D164" t="str">
            <v>300:58613</v>
          </cell>
          <cell r="E164">
            <v>42618.296203703707</v>
          </cell>
          <cell r="F164">
            <v>42618.296932870369</v>
          </cell>
          <cell r="G164">
            <v>1</v>
          </cell>
          <cell r="H164" t="str">
            <v>204:654</v>
          </cell>
          <cell r="I164">
            <v>42618.311631944445</v>
          </cell>
          <cell r="J164">
            <v>0</v>
          </cell>
          <cell r="K164" t="str">
            <v>4037/4038</v>
          </cell>
          <cell r="L164" t="str">
            <v>DAVIS</v>
          </cell>
          <cell r="M164">
            <v>1.4699074075906537E-2</v>
          </cell>
          <cell r="N164">
            <v>21.166666669305414</v>
          </cell>
          <cell r="S164">
            <v>1</v>
          </cell>
          <cell r="T164" t="str">
            <v>Southbound</v>
          </cell>
          <cell r="U164">
            <v>1</v>
          </cell>
          <cell r="V164" t="str">
            <v>https://search-rtdc-monitor-bjffxe2xuh6vdkpspy63sjmuny.us-east-1.es.amazonaws.com/_plugin/kibana/#/discover/Steve-Slow-Train-Analysis-(2080s-and-2083s)?_g=(refreshInterval:(display:Off,section:0,value:0),time:(from:'2016-09-05 06:06:32-0600',mode:absolute,to:'2016-09-05 08:28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64" t="str">
            <v>N</v>
          </cell>
          <cell r="X164">
            <v>1</v>
          </cell>
          <cell r="Y164">
            <v>5.8613</v>
          </cell>
          <cell r="Z164">
            <v>6.54E-2</v>
          </cell>
          <cell r="AA164">
            <v>5.7958999999999996</v>
          </cell>
          <cell r="AB164" t="e">
            <v>#N/A</v>
          </cell>
          <cell r="AC164" t="e">
            <v>#N/A</v>
          </cell>
          <cell r="AD164" t="str">
            <v>0806-05</v>
          </cell>
          <cell r="AE164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165">
          <cell r="A165" t="str">
            <v>807-05</v>
          </cell>
          <cell r="B165">
            <v>4029</v>
          </cell>
          <cell r="C165" t="str">
            <v>DE.1.0.7.0</v>
          </cell>
          <cell r="D165" t="str">
            <v>300:11925</v>
          </cell>
          <cell r="E165">
            <v>42618.309606481482</v>
          </cell>
          <cell r="F165">
            <v>42618.310347222221</v>
          </cell>
          <cell r="G165">
            <v>1</v>
          </cell>
          <cell r="H165" t="str">
            <v>300:58975</v>
          </cell>
          <cell r="I165">
            <v>42618.317766203705</v>
          </cell>
          <cell r="J165">
            <v>0</v>
          </cell>
          <cell r="K165" t="str">
            <v>4029/4030</v>
          </cell>
          <cell r="L165" t="str">
            <v>ROCHA</v>
          </cell>
          <cell r="M165">
            <v>7.4189814840792678E-3</v>
          </cell>
          <cell r="P165">
            <v>10.683333337074146</v>
          </cell>
          <cell r="R165" t="str">
            <v>Onboard in-route failure</v>
          </cell>
          <cell r="S165">
            <v>0</v>
          </cell>
          <cell r="T165" t="str">
            <v>NorthBound</v>
          </cell>
          <cell r="U165">
            <v>0</v>
          </cell>
          <cell r="V165" t="str">
            <v>https://search-rtdc-monitor-bjffxe2xuh6vdkpspy63sjmuny.us-east-1.es.amazonaws.com/_plugin/kibana/#/discover/Steve-Slow-Train-Analysis-(2080s-and-2083s)?_g=(refreshInterval:(display:Off,section:0,value:0),time:(from:'2016-09-05 06:25:50-0600',mode:absolute,to:'2016-09-05 08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5" t="str">
            <v>Y</v>
          </cell>
          <cell r="X165">
            <v>1</v>
          </cell>
          <cell r="Y165">
            <v>1.1924999999999999</v>
          </cell>
          <cell r="Z165">
            <v>5.8975</v>
          </cell>
          <cell r="AA165">
            <v>4.7050000000000001</v>
          </cell>
          <cell r="AB165" t="e">
            <v>#N/A</v>
          </cell>
          <cell r="AC165" t="e">
            <v>#N/A</v>
          </cell>
          <cell r="AD165" t="str">
            <v>0807-05</v>
          </cell>
          <cell r="AE165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66">
          <cell r="A166" t="str">
            <v>808-05</v>
          </cell>
          <cell r="B166">
            <v>4030</v>
          </cell>
          <cell r="C166" t="str">
            <v>DE.1.0.7.0</v>
          </cell>
          <cell r="D166" t="str">
            <v>300:58653</v>
          </cell>
          <cell r="E166">
            <v>42618.319409722222</v>
          </cell>
          <cell r="F166">
            <v>42618.320081018515</v>
          </cell>
          <cell r="G166">
            <v>0</v>
          </cell>
          <cell r="H166" t="str">
            <v>204:671</v>
          </cell>
          <cell r="I166">
            <v>42618.330752314818</v>
          </cell>
          <cell r="J166">
            <v>0</v>
          </cell>
          <cell r="K166" t="str">
            <v>4029/4030</v>
          </cell>
          <cell r="L166" t="str">
            <v>ROCHA</v>
          </cell>
          <cell r="M166">
            <v>1.0671296302461997E-2</v>
          </cell>
          <cell r="N166">
            <v>15.366666675545275</v>
          </cell>
          <cell r="S166">
            <v>1</v>
          </cell>
          <cell r="T166" t="str">
            <v>Southbound</v>
          </cell>
          <cell r="U166">
            <v>1</v>
          </cell>
          <cell r="V166" t="str">
            <v>https://search-rtdc-monitor-bjffxe2xuh6vdkpspy63sjmuny.us-east-1.es.amazonaws.com/_plugin/kibana/#/discover/Steve-Slow-Train-Analysis-(2080s-and-2083s)?_g=(refreshInterval:(display:Off,section:0,value:0),time:(from:'2016-09-05 06:39:57-0600',mode:absolute,to:'2016-09-05 08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66" t="str">
            <v>N</v>
          </cell>
          <cell r="X166">
            <v>1</v>
          </cell>
          <cell r="Y166">
            <v>5.8653000000000004</v>
          </cell>
          <cell r="Z166">
            <v>6.7100000000000007E-2</v>
          </cell>
          <cell r="AA166">
            <v>5.7982000000000005</v>
          </cell>
          <cell r="AB166" t="e">
            <v>#N/A</v>
          </cell>
          <cell r="AC166" t="e">
            <v>#N/A</v>
          </cell>
          <cell r="AD166" t="str">
            <v>0808-05</v>
          </cell>
          <cell r="AE166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67">
          <cell r="A167" t="str">
            <v>809-05</v>
          </cell>
          <cell r="B167">
            <v>4038</v>
          </cell>
          <cell r="C167" t="str">
            <v>DE.1.0.7.0</v>
          </cell>
          <cell r="D167" t="str">
            <v>204:937</v>
          </cell>
          <cell r="E167">
            <v>42618.324942129628</v>
          </cell>
          <cell r="F167">
            <v>42618.325798611113</v>
          </cell>
          <cell r="G167">
            <v>1</v>
          </cell>
          <cell r="H167" t="str">
            <v>300:58929</v>
          </cell>
          <cell r="I167">
            <v>42618.336944444447</v>
          </cell>
          <cell r="J167">
            <v>0</v>
          </cell>
          <cell r="K167" t="str">
            <v>4037/4038</v>
          </cell>
          <cell r="L167" t="str">
            <v>DAVIS</v>
          </cell>
          <cell r="M167">
            <v>1.1145833334012423E-2</v>
          </cell>
          <cell r="N167">
            <v>16.050000000977889</v>
          </cell>
          <cell r="S167">
            <v>1</v>
          </cell>
          <cell r="T167" t="str">
            <v>NorthBound</v>
          </cell>
          <cell r="U167">
            <v>1</v>
          </cell>
          <cell r="V167" t="str">
            <v>https://search-rtdc-monitor-bjffxe2xuh6vdkpspy63sjmuny.us-east-1.es.amazonaws.com/_plugin/kibana/#/discover/Steve-Slow-Train-Analysis-(2080s-and-2083s)?_g=(refreshInterval:(display:Off,section:0,value:0),time:(from:'2016-09-05 06:47:55-0600',mode:absolute,to:'2016-09-05 09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67" t="str">
            <v>N</v>
          </cell>
          <cell r="X167">
            <v>1</v>
          </cell>
          <cell r="Y167">
            <v>9.3700000000000006E-2</v>
          </cell>
          <cell r="Z167">
            <v>5.8929</v>
          </cell>
          <cell r="AA167">
            <v>5.7991999999999999</v>
          </cell>
          <cell r="AB167" t="e">
            <v>#N/A</v>
          </cell>
          <cell r="AC167" t="e">
            <v>#N/A</v>
          </cell>
          <cell r="AD167" t="str">
            <v>0809-05</v>
          </cell>
          <cell r="AE167" t="str">
    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    </cell>
        </row>
        <row r="168">
          <cell r="A168" t="str">
            <v>810-05</v>
          </cell>
          <cell r="B168">
            <v>4037</v>
          </cell>
          <cell r="C168" t="str">
            <v>DE.1.0.7.0</v>
          </cell>
          <cell r="D168" t="str">
            <v>300:58613</v>
          </cell>
          <cell r="E168">
            <v>42618.338020833333</v>
          </cell>
          <cell r="F168">
            <v>42618.338865740741</v>
          </cell>
          <cell r="G168">
            <v>1</v>
          </cell>
          <cell r="H168" t="str">
            <v>204:636</v>
          </cell>
          <cell r="I168">
            <v>42618.351759259262</v>
          </cell>
          <cell r="J168">
            <v>0</v>
          </cell>
          <cell r="K168" t="str">
            <v>4037/4038</v>
          </cell>
          <cell r="L168" t="str">
            <v>DAVIS</v>
          </cell>
          <cell r="M168">
            <v>1.2893518520286307E-2</v>
          </cell>
          <cell r="N168">
            <v>18.566666669212282</v>
          </cell>
          <cell r="S168">
            <v>1</v>
          </cell>
          <cell r="T168" t="str">
            <v>Southbound</v>
          </cell>
          <cell r="U168">
            <v>1</v>
          </cell>
          <cell r="V168" t="str">
            <v>https://search-rtdc-monitor-bjffxe2xuh6vdkpspy63sjmuny.us-east-1.es.amazonaws.com/_plugin/kibana/#/discover/Steve-Slow-Train-Analysis-(2080s-and-2083s)?_g=(refreshInterval:(display:Off,section:0,value:0),time:(from:'2016-09-05 07:06:45-0600',mode:absolute,to:'2016-09-05 09:26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68" t="str">
            <v>N</v>
          </cell>
          <cell r="X168">
            <v>1</v>
          </cell>
          <cell r="Y168">
            <v>5.8613</v>
          </cell>
          <cell r="Z168">
            <v>6.3600000000000004E-2</v>
          </cell>
          <cell r="AA168">
            <v>5.7976999999999999</v>
          </cell>
          <cell r="AB168" t="e">
            <v>#N/A</v>
          </cell>
          <cell r="AC168" t="e">
            <v>#N/A</v>
          </cell>
          <cell r="AD168" t="str">
            <v>0810-05</v>
          </cell>
          <cell r="AE168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169">
          <cell r="A169" t="str">
            <v>811-05</v>
          </cell>
          <cell r="B169">
            <v>4029</v>
          </cell>
          <cell r="C169" t="str">
            <v>DE.1.0.7.0</v>
          </cell>
          <cell r="D169" t="str">
            <v>204:972</v>
          </cell>
          <cell r="E169">
            <v>42618.347175925926</v>
          </cell>
          <cell r="F169">
            <v>42618.348217592589</v>
          </cell>
          <cell r="G169">
            <v>1</v>
          </cell>
          <cell r="H169" t="str">
            <v>300:58986</v>
          </cell>
          <cell r="I169">
            <v>42618.357708333337</v>
          </cell>
          <cell r="J169">
            <v>0</v>
          </cell>
          <cell r="K169" t="str">
            <v>4029/4030</v>
          </cell>
          <cell r="L169" t="str">
            <v>ROCHA</v>
          </cell>
          <cell r="M169">
            <v>9.4907407474238425E-3</v>
          </cell>
          <cell r="N169">
            <v>13.666666676290333</v>
          </cell>
          <cell r="S169">
            <v>1</v>
          </cell>
          <cell r="T169" t="str">
            <v>NorthBound</v>
          </cell>
          <cell r="U169">
            <v>1</v>
          </cell>
          <cell r="V169" t="str">
            <v>https://search-rtdc-monitor-bjffxe2xuh6vdkpspy63sjmuny.us-east-1.es.amazonaws.com/_plugin/kibana/#/discover/Steve-Slow-Train-Analysis-(2080s-and-2083s)?_g=(refreshInterval:(display:Off,section:0,value:0),time:(from:'2016-09-05 07:19:56-0600',mode:absolute,to:'2016-09-05 09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69" t="str">
            <v>N</v>
          </cell>
          <cell r="X169">
            <v>1</v>
          </cell>
          <cell r="Y169">
            <v>9.7199999999999995E-2</v>
          </cell>
          <cell r="Z169">
            <v>5.8986000000000001</v>
          </cell>
          <cell r="AA169">
            <v>5.8014000000000001</v>
          </cell>
          <cell r="AB169" t="e">
            <v>#N/A</v>
          </cell>
          <cell r="AC169" t="e">
            <v>#N/A</v>
          </cell>
          <cell r="AD169" t="str">
            <v>0811-05</v>
          </cell>
          <cell r="AE169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70">
          <cell r="A170" t="str">
            <v>812-05</v>
          </cell>
          <cell r="B170">
            <v>4030</v>
          </cell>
          <cell r="C170" t="str">
            <v>DE.1.0.7.0</v>
          </cell>
          <cell r="D170" t="str">
            <v>300:58672</v>
          </cell>
          <cell r="E170">
            <v>42618.358900462961</v>
          </cell>
          <cell r="F170">
            <v>42618.359583333331</v>
          </cell>
          <cell r="G170">
            <v>0</v>
          </cell>
          <cell r="H170" t="str">
            <v>204:656</v>
          </cell>
          <cell r="I170">
            <v>42618.372418981482</v>
          </cell>
          <cell r="J170">
            <v>0</v>
          </cell>
          <cell r="K170" t="str">
            <v>4029/4030</v>
          </cell>
          <cell r="L170" t="str">
            <v>ROCHA</v>
          </cell>
          <cell r="M170">
            <v>1.283564815093996E-2</v>
          </cell>
          <cell r="N170">
            <v>18.483333337353542</v>
          </cell>
          <cell r="S170">
            <v>1</v>
          </cell>
          <cell r="T170" t="str">
            <v>Southbound</v>
          </cell>
          <cell r="U170">
            <v>1</v>
          </cell>
          <cell r="V170" t="str">
            <v>https://search-rtdc-monitor-bjffxe2xuh6vdkpspy63sjmuny.us-east-1.es.amazonaws.com/_plugin/kibana/#/discover/Steve-Slow-Train-Analysis-(2080s-and-2083s)?_g=(refreshInterval:(display:Off,section:0,value:0),time:(from:'2016-09-05 07:36:49-0600',mode:absolute,to:'2016-09-05 09:56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0" t="str">
            <v>N</v>
          </cell>
          <cell r="X170">
            <v>1</v>
          </cell>
          <cell r="Y170">
            <v>5.8672000000000004</v>
          </cell>
          <cell r="Z170">
            <v>6.5600000000000006E-2</v>
          </cell>
          <cell r="AA170">
            <v>5.8016000000000005</v>
          </cell>
          <cell r="AB170" t="e">
            <v>#N/A</v>
          </cell>
          <cell r="AC170" t="e">
            <v>#N/A</v>
          </cell>
          <cell r="AD170" t="str">
            <v>0812-05</v>
          </cell>
          <cell r="AE170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71">
          <cell r="A171" t="str">
            <v>813-05</v>
          </cell>
          <cell r="B171">
            <v>4029</v>
          </cell>
          <cell r="C171" t="str">
            <v>DE.1.0.7.0</v>
          </cell>
          <cell r="D171" t="str">
            <v>204:957</v>
          </cell>
          <cell r="E171">
            <v>42618.388356481482</v>
          </cell>
          <cell r="F171">
            <v>42618.389247685183</v>
          </cell>
          <cell r="G171">
            <v>1</v>
          </cell>
          <cell r="H171" t="str">
            <v>300:58823</v>
          </cell>
          <cell r="I171">
            <v>42618.399456018517</v>
          </cell>
          <cell r="J171">
            <v>0</v>
          </cell>
          <cell r="K171" t="str">
            <v>4029/4030</v>
          </cell>
          <cell r="L171" t="str">
            <v>ROCHA</v>
          </cell>
          <cell r="M171">
            <v>1.0208333333139308E-2</v>
          </cell>
          <cell r="N171">
            <v>14.699999999720603</v>
          </cell>
          <cell r="S171">
            <v>1</v>
          </cell>
          <cell r="T171" t="str">
            <v>NorthBound</v>
          </cell>
          <cell r="U171">
            <v>1</v>
          </cell>
          <cell r="V171" t="str">
            <v>https://search-rtdc-monitor-bjffxe2xuh6vdkpspy63sjmuny.us-east-1.es.amazonaws.com/_plugin/kibana/#/discover/Steve-Slow-Train-Analysis-(2080s-and-2083s)?_g=(refreshInterval:(display:Off,section:0,value:0),time:(from:'2016-09-05 08:19:14-0600',mode:absolute,to:'2016-09-05 10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1" t="str">
            <v>N</v>
          </cell>
          <cell r="X171">
            <v>1</v>
          </cell>
          <cell r="Y171">
            <v>9.5699999999999993E-2</v>
          </cell>
          <cell r="Z171">
            <v>5.8822999999999999</v>
          </cell>
          <cell r="AA171">
            <v>5.7866</v>
          </cell>
          <cell r="AB171" t="e">
            <v>#N/A</v>
          </cell>
          <cell r="AC171" t="e">
            <v>#N/A</v>
          </cell>
          <cell r="AD171" t="str">
            <v>0813-05</v>
          </cell>
          <cell r="AE171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72">
          <cell r="A172" t="str">
            <v>814-05</v>
          </cell>
          <cell r="B172">
            <v>4030</v>
          </cell>
          <cell r="C172" t="str">
            <v>DE.1.0.7.0</v>
          </cell>
          <cell r="D172" t="str">
            <v>300:58509</v>
          </cell>
          <cell r="E172">
            <v>42618.400625000002</v>
          </cell>
          <cell r="F172">
            <v>42618.401365740741</v>
          </cell>
          <cell r="G172">
            <v>1</v>
          </cell>
          <cell r="H172" t="str">
            <v>204:671</v>
          </cell>
          <cell r="I172">
            <v>42618.413703703707</v>
          </cell>
          <cell r="J172">
            <v>0</v>
          </cell>
          <cell r="K172" t="str">
            <v>4029/4030</v>
          </cell>
          <cell r="L172" t="str">
            <v>ROCHA</v>
          </cell>
          <cell r="M172">
            <v>1.2337962965830229E-2</v>
          </cell>
          <cell r="N172">
            <v>17.76666667079553</v>
          </cell>
          <cell r="S172">
            <v>1</v>
          </cell>
          <cell r="T172" t="str">
            <v>Southbound</v>
          </cell>
          <cell r="U172">
            <v>1</v>
          </cell>
          <cell r="V172" t="str">
            <v>https://search-rtdc-monitor-bjffxe2xuh6vdkpspy63sjmuny.us-east-1.es.amazonaws.com/_plugin/kibana/#/discover/Steve-Slow-Train-Analysis-(2080s-and-2083s)?_g=(refreshInterval:(display:Off,section:0,value:0),time:(from:'2016-09-05 08:36:54-0600',mode:absolute,to:'2016-09-05 10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2" t="str">
            <v>N</v>
          </cell>
          <cell r="X172">
            <v>1</v>
          </cell>
          <cell r="Y172">
            <v>5.8509000000000002</v>
          </cell>
          <cell r="Z172">
            <v>6.7100000000000007E-2</v>
          </cell>
          <cell r="AA172">
            <v>5.7838000000000003</v>
          </cell>
          <cell r="AB172" t="e">
            <v>#N/A</v>
          </cell>
          <cell r="AC172" t="e">
            <v>#N/A</v>
          </cell>
          <cell r="AD172" t="str">
            <v>0814-05</v>
          </cell>
          <cell r="AE172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73">
          <cell r="A173" t="str">
            <v>815-05</v>
          </cell>
          <cell r="B173">
            <v>4029</v>
          </cell>
          <cell r="C173" t="str">
            <v>DE.1.0.7.0</v>
          </cell>
          <cell r="D173" t="str">
            <v>204:955</v>
          </cell>
          <cell r="E173">
            <v>42618.430046296293</v>
          </cell>
          <cell r="F173">
            <v>42618.431446759256</v>
          </cell>
          <cell r="G173">
            <v>2</v>
          </cell>
          <cell r="H173" t="str">
            <v>300:58996</v>
          </cell>
          <cell r="I173">
            <v>42618.441562499997</v>
          </cell>
          <cell r="J173">
            <v>0</v>
          </cell>
          <cell r="K173" t="str">
            <v>4029/4030</v>
          </cell>
          <cell r="L173" t="str">
            <v>ROCHA</v>
          </cell>
          <cell r="M173">
            <v>1.0115740740729962E-2</v>
          </cell>
          <cell r="N173">
            <v>14.566666666651145</v>
          </cell>
          <cell r="S173">
            <v>1</v>
          </cell>
          <cell r="T173" t="str">
            <v>NorthBound</v>
          </cell>
          <cell r="U173">
            <v>1</v>
          </cell>
          <cell r="V173" t="str">
            <v>https://search-rtdc-monitor-bjffxe2xuh6vdkpspy63sjmuny.us-east-1.es.amazonaws.com/_plugin/kibana/#/discover/Steve-Slow-Train-Analysis-(2080s-and-2083s)?_g=(refreshInterval:(display:Off,section:0,value:0),time:(from:'2016-09-05 09:19:16-0600',mode:absolute,to:'2016-09-05 11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3" t="str">
            <v>N</v>
          </cell>
          <cell r="X173">
            <v>1</v>
          </cell>
          <cell r="Y173">
            <v>9.5500000000000002E-2</v>
          </cell>
          <cell r="Z173">
            <v>5.8996000000000004</v>
          </cell>
          <cell r="AA173">
            <v>5.8041</v>
          </cell>
          <cell r="AB173" t="e">
            <v>#N/A</v>
          </cell>
          <cell r="AC173" t="e">
            <v>#N/A</v>
          </cell>
          <cell r="AD173" t="str">
            <v>0815-05</v>
          </cell>
          <cell r="AE173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74">
          <cell r="A174" t="str">
            <v>816-05</v>
          </cell>
          <cell r="B174">
            <v>4030</v>
          </cell>
          <cell r="C174" t="str">
            <v>DE.1.0.7.0</v>
          </cell>
          <cell r="D174" t="str">
            <v>300:58681</v>
          </cell>
          <cell r="E174">
            <v>42618.44263888889</v>
          </cell>
          <cell r="F174">
            <v>42618.443391203706</v>
          </cell>
          <cell r="G174">
            <v>1</v>
          </cell>
          <cell r="H174" t="str">
            <v>204:647</v>
          </cell>
          <cell r="I174">
            <v>42618.455925925926</v>
          </cell>
          <cell r="J174">
            <v>0</v>
          </cell>
          <cell r="K174" t="str">
            <v>4029/4030</v>
          </cell>
          <cell r="L174" t="str">
            <v>ROCHA</v>
          </cell>
          <cell r="M174">
            <v>1.2534722220152617E-2</v>
          </cell>
          <cell r="N174">
            <v>18.049999997019768</v>
          </cell>
          <cell r="S174">
            <v>1</v>
          </cell>
          <cell r="T174" t="str">
            <v>Southbound</v>
          </cell>
          <cell r="U174">
            <v>1</v>
          </cell>
          <cell r="V174" t="str">
            <v>https://search-rtdc-monitor-bjffxe2xuh6vdkpspy63sjmuny.us-east-1.es.amazonaws.com/_plugin/kibana/#/discover/Steve-Slow-Train-Analysis-(2080s-and-2083s)?_g=(refreshInterval:(display:Off,section:0,value:0),time:(from:'2016-09-05 09:37:24-0600',mode:absolute,to:'2016-09-05 11:56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4" t="str">
            <v>N</v>
          </cell>
          <cell r="X174">
            <v>1</v>
          </cell>
          <cell r="Y174">
            <v>5.8681000000000001</v>
          </cell>
          <cell r="Z174">
            <v>6.4699999999999994E-2</v>
          </cell>
          <cell r="AA174">
            <v>5.8033999999999999</v>
          </cell>
          <cell r="AB174" t="e">
            <v>#N/A</v>
          </cell>
          <cell r="AC174" t="e">
            <v>#N/A</v>
          </cell>
          <cell r="AD174" t="str">
            <v>0816-05</v>
          </cell>
          <cell r="AE174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75">
          <cell r="A175" t="str">
            <v>817-05</v>
          </cell>
          <cell r="B175">
            <v>4029</v>
          </cell>
          <cell r="C175" t="str">
            <v>DE.1.0.7.0</v>
          </cell>
          <cell r="D175" t="str">
            <v>204:950</v>
          </cell>
          <cell r="E175">
            <v>42618.471956018519</v>
          </cell>
          <cell r="F175">
            <v>42618.472777777781</v>
          </cell>
          <cell r="G175">
            <v>1</v>
          </cell>
          <cell r="H175" t="str">
            <v>300:58980</v>
          </cell>
          <cell r="I175">
            <v>42618.482673611114</v>
          </cell>
          <cell r="J175">
            <v>0</v>
          </cell>
          <cell r="K175" t="str">
            <v>4029/4030</v>
          </cell>
          <cell r="L175" t="str">
            <v>ROCHA</v>
          </cell>
          <cell r="M175">
            <v>9.8958333328482695E-3</v>
          </cell>
          <cell r="N175">
            <v>14.249999999301508</v>
          </cell>
          <cell r="S175">
            <v>1</v>
          </cell>
          <cell r="T175" t="str">
            <v>NorthBound</v>
          </cell>
          <cell r="U175">
            <v>1</v>
          </cell>
          <cell r="V175" t="str">
            <v>https://search-rtdc-monitor-bjffxe2xuh6vdkpspy63sjmuny.us-east-1.es.amazonaws.com/_plugin/kibana/#/discover/Steve-Slow-Train-Analysis-(2080s-and-2083s)?_g=(refreshInterval:(display:Off,section:0,value:0),time:(from:'2016-09-05 10:19:37-0600',mode:absolute,to:'2016-09-05 12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5" t="str">
            <v>N</v>
          </cell>
          <cell r="X175">
            <v>1</v>
          </cell>
          <cell r="Y175">
            <v>9.5000000000000001E-2</v>
          </cell>
          <cell r="Z175">
            <v>5.8979999999999997</v>
          </cell>
          <cell r="AA175">
            <v>5.8029999999999999</v>
          </cell>
          <cell r="AB175" t="e">
            <v>#N/A</v>
          </cell>
          <cell r="AC175" t="e">
            <v>#N/A</v>
          </cell>
          <cell r="AD175" t="str">
            <v>0817-05</v>
          </cell>
          <cell r="AE175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76">
          <cell r="A176" t="str">
            <v>818-05</v>
          </cell>
          <cell r="B176">
            <v>4030</v>
          </cell>
          <cell r="C176" t="str">
            <v>DE.1.0.7.0</v>
          </cell>
          <cell r="D176" t="str">
            <v>300:58664</v>
          </cell>
          <cell r="E176">
            <v>42618.48369212963</v>
          </cell>
          <cell r="F176">
            <v>42618.484340277777</v>
          </cell>
          <cell r="G176">
            <v>0</v>
          </cell>
          <cell r="H176" t="str">
            <v>204:645</v>
          </cell>
          <cell r="I176">
            <v>42618.496319444443</v>
          </cell>
          <cell r="J176">
            <v>0</v>
          </cell>
          <cell r="K176" t="str">
            <v>4029/4030</v>
          </cell>
          <cell r="L176" t="str">
            <v>ROCHA</v>
          </cell>
          <cell r="M176">
            <v>1.1979166665696539E-2</v>
          </cell>
          <cell r="N176">
            <v>17.249999998603016</v>
          </cell>
          <cell r="S176">
            <v>1</v>
          </cell>
          <cell r="T176" t="str">
            <v>Southbound</v>
          </cell>
          <cell r="U176">
            <v>1</v>
          </cell>
          <cell r="V176" t="str">
            <v>https://search-rtdc-monitor-bjffxe2xuh6vdkpspy63sjmuny.us-east-1.es.amazonaws.com/_plugin/kibana/#/discover/Steve-Slow-Train-Analysis-(2080s-and-2083s)?_g=(refreshInterval:(display:Off,section:0,value:0),time:(from:'2016-09-05 10:36:31-0600',mode:absolute,to:'2016-09-05 12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6" t="str">
            <v>N</v>
          </cell>
          <cell r="X176">
            <v>1</v>
          </cell>
          <cell r="Y176">
            <v>5.8663999999999996</v>
          </cell>
          <cell r="Z176">
            <v>6.4500000000000002E-2</v>
          </cell>
          <cell r="AA176">
            <v>5.8018999999999998</v>
          </cell>
          <cell r="AB176" t="e">
            <v>#N/A</v>
          </cell>
          <cell r="AC176" t="e">
            <v>#N/A</v>
          </cell>
          <cell r="AD176" t="str">
            <v>0818-05</v>
          </cell>
          <cell r="AE176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77">
          <cell r="A177" t="str">
            <v>819-05</v>
          </cell>
          <cell r="B177">
            <v>4029</v>
          </cell>
          <cell r="C177" t="str">
            <v>DE.1.0.7.0</v>
          </cell>
          <cell r="D177" t="str">
            <v>204:923</v>
          </cell>
          <cell r="E177">
            <v>42618.514097222222</v>
          </cell>
          <cell r="F177">
            <v>42618.51489583333</v>
          </cell>
          <cell r="G177">
            <v>1</v>
          </cell>
          <cell r="H177" t="str">
            <v>300:58988</v>
          </cell>
          <cell r="I177">
            <v>42618.525347222225</v>
          </cell>
          <cell r="J177">
            <v>0</v>
          </cell>
          <cell r="K177" t="str">
            <v>4029/4030</v>
          </cell>
          <cell r="L177" t="str">
            <v>ROCHA</v>
          </cell>
          <cell r="M177">
            <v>1.0451388894580305E-2</v>
          </cell>
          <cell r="N177">
            <v>15.050000008195639</v>
          </cell>
          <cell r="S177">
            <v>1</v>
          </cell>
          <cell r="T177" t="str">
            <v>NorthBound</v>
          </cell>
          <cell r="U177">
            <v>1</v>
          </cell>
          <cell r="V177" t="str">
            <v>https://search-rtdc-monitor-bjffxe2xuh6vdkpspy63sjmuny.us-east-1.es.amazonaws.com/_plugin/kibana/#/discover/Steve-Slow-Train-Analysis-(2080s-and-2083s)?_g=(refreshInterval:(display:Off,section:0,value:0),time:(from:'2016-09-05 11:20:18-0600',mode:absolute,to:'2016-09-05 13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7" t="str">
            <v>N</v>
          </cell>
          <cell r="X177">
            <v>1</v>
          </cell>
          <cell r="Y177">
            <v>9.2299999999999993E-2</v>
          </cell>
          <cell r="Z177">
            <v>5.8987999999999996</v>
          </cell>
          <cell r="AA177">
            <v>5.8064999999999998</v>
          </cell>
          <cell r="AB177" t="e">
            <v>#N/A</v>
          </cell>
          <cell r="AC177" t="e">
            <v>#N/A</v>
          </cell>
          <cell r="AD177" t="str">
            <v>0819-05</v>
          </cell>
          <cell r="AE177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78">
          <cell r="A178" t="str">
            <v>820-05</v>
          </cell>
          <cell r="B178">
            <v>4030</v>
          </cell>
          <cell r="C178" t="str">
            <v>DE.1.0.7.0</v>
          </cell>
          <cell r="D178" t="str">
            <v>300:58664</v>
          </cell>
          <cell r="E178">
            <v>42618.526365740741</v>
          </cell>
          <cell r="F178">
            <v>42618.527141203704</v>
          </cell>
          <cell r="G178">
            <v>1</v>
          </cell>
          <cell r="H178" t="str">
            <v>204:649</v>
          </cell>
          <cell r="I178">
            <v>42618.538993055554</v>
          </cell>
          <cell r="J178">
            <v>0</v>
          </cell>
          <cell r="K178" t="str">
            <v>4029/4030</v>
          </cell>
          <cell r="L178" t="str">
            <v>ROCHA</v>
          </cell>
          <cell r="M178">
            <v>1.1851851850224193E-2</v>
          </cell>
          <cell r="N178">
            <v>17.066666664322838</v>
          </cell>
          <cell r="S178">
            <v>1</v>
          </cell>
          <cell r="T178" t="str">
            <v>Southbound</v>
          </cell>
          <cell r="U178">
            <v>1</v>
          </cell>
          <cell r="V178" t="str">
            <v>https://search-rtdc-monitor-bjffxe2xuh6vdkpspy63sjmuny.us-east-1.es.amazonaws.com/_plugin/kibana/#/discover/Steve-Slow-Train-Analysis-(2080s-and-2083s)?_g=(refreshInterval:(display:Off,section:0,value:0),time:(from:'2016-09-05 11:37:58-0600',mode:absolute,to:'2016-09-05 13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78" t="str">
            <v>N</v>
          </cell>
          <cell r="X178">
            <v>1</v>
          </cell>
          <cell r="Y178">
            <v>5.8663999999999996</v>
          </cell>
          <cell r="Z178">
            <v>6.4899999999999999E-2</v>
          </cell>
          <cell r="AA178">
            <v>5.8014999999999999</v>
          </cell>
          <cell r="AB178" t="e">
            <v>#N/A</v>
          </cell>
          <cell r="AC178" t="e">
            <v>#N/A</v>
          </cell>
          <cell r="AD178" t="str">
            <v>0820-05</v>
          </cell>
          <cell r="AE178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79">
          <cell r="A179" t="str">
            <v>821-05</v>
          </cell>
          <cell r="B179">
            <v>4029</v>
          </cell>
          <cell r="C179" t="str">
            <v>DE.1.0.7.0</v>
          </cell>
          <cell r="D179" t="str">
            <v>204:934</v>
          </cell>
          <cell r="E179">
            <v>42618.547719907408</v>
          </cell>
          <cell r="F179">
            <v>42618.548831018517</v>
          </cell>
          <cell r="G179">
            <v>1</v>
          </cell>
          <cell r="H179" t="str">
            <v>300:58926</v>
          </cell>
          <cell r="I179">
            <v>42618.565555555557</v>
          </cell>
          <cell r="J179">
            <v>0</v>
          </cell>
          <cell r="K179" t="str">
            <v>4029/4030</v>
          </cell>
          <cell r="L179" t="str">
            <v>BRUDER</v>
          </cell>
          <cell r="M179">
            <v>1.672453703940846E-2</v>
          </cell>
          <cell r="N179">
            <v>24.083333336748183</v>
          </cell>
          <cell r="S179">
            <v>1</v>
          </cell>
          <cell r="T179" t="str">
            <v>NorthBound</v>
          </cell>
          <cell r="U179">
            <v>1</v>
          </cell>
          <cell r="V179" t="str">
            <v>https://search-rtdc-monitor-bjffxe2xuh6vdkpspy63sjmuny.us-east-1.es.amazonaws.com/_plugin/kibana/#/discover/Steve-Slow-Train-Analysis-(2080s-and-2083s)?_g=(refreshInterval:(display:Off,section:0,value:0),time:(from:'2016-09-05 12:08:43-0600',mode:absolute,to:'2016-09-05 14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79" t="str">
            <v>N</v>
          </cell>
          <cell r="X179">
            <v>1</v>
          </cell>
          <cell r="Y179">
            <v>9.3399999999999997E-2</v>
          </cell>
          <cell r="Z179">
            <v>5.8925999999999998</v>
          </cell>
          <cell r="AA179">
            <v>5.7991999999999999</v>
          </cell>
          <cell r="AB179" t="e">
            <v>#N/A</v>
          </cell>
          <cell r="AC179" t="e">
            <v>#N/A</v>
          </cell>
          <cell r="AD179" t="str">
            <v>0821-05</v>
          </cell>
          <cell r="AE179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80">
          <cell r="A180" t="str">
            <v>822-05</v>
          </cell>
          <cell r="B180">
            <v>4030</v>
          </cell>
          <cell r="C180" t="str">
            <v>DE.1.0.7.0</v>
          </cell>
          <cell r="D180" t="str">
            <v>300:58609</v>
          </cell>
          <cell r="E180">
            <v>42618.567025462966</v>
          </cell>
          <cell r="F180">
            <v>42618.568113425928</v>
          </cell>
          <cell r="G180">
            <v>1</v>
          </cell>
          <cell r="H180" t="str">
            <v>204:652</v>
          </cell>
          <cell r="I180">
            <v>42618.588449074072</v>
          </cell>
          <cell r="J180">
            <v>0</v>
          </cell>
          <cell r="K180" t="str">
            <v>4029/4030</v>
          </cell>
          <cell r="L180" t="str">
            <v>BRUDER</v>
          </cell>
          <cell r="M180">
            <v>2.0335648143372964E-2</v>
          </cell>
          <cell r="N180">
            <v>29.283333326457068</v>
          </cell>
          <cell r="S180">
            <v>1</v>
          </cell>
          <cell r="T180" t="str">
            <v>Southbound</v>
          </cell>
          <cell r="U180">
            <v>1</v>
          </cell>
          <cell r="V180" t="str">
            <v>https://search-rtdc-monitor-bjffxe2xuh6vdkpspy63sjmuny.us-east-1.es.amazonaws.com/_plugin/kibana/#/discover/Steve-Slow-Train-Analysis-(2080s-and-2083s)?_g=(refreshInterval:(display:Off,section:0,value:0),time:(from:'2016-09-05 12:36:31-0600',mode:absolute,to:'2016-09-05 15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0" t="str">
            <v>N</v>
          </cell>
          <cell r="X180">
            <v>1</v>
          </cell>
          <cell r="Y180">
            <v>5.8609</v>
          </cell>
          <cell r="Z180">
            <v>6.5199999999999994E-2</v>
          </cell>
          <cell r="AA180">
            <v>5.7957000000000001</v>
          </cell>
          <cell r="AB180" t="e">
            <v>#N/A</v>
          </cell>
          <cell r="AC180" t="e">
            <v>#N/A</v>
          </cell>
          <cell r="AD180" t="str">
            <v>0822-05</v>
          </cell>
          <cell r="AE180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81">
          <cell r="A181" t="str">
            <v>823-05</v>
          </cell>
          <cell r="B181">
            <v>4029</v>
          </cell>
          <cell r="C181" t="str">
            <v>DE.1.0.7.0</v>
          </cell>
          <cell r="D181" t="str">
            <v>204:974</v>
          </cell>
          <cell r="E181">
            <v>42618.593263888892</v>
          </cell>
          <cell r="F181">
            <v>42618.594247685185</v>
          </cell>
          <cell r="G181">
            <v>1</v>
          </cell>
          <cell r="H181" t="str">
            <v>300:58924</v>
          </cell>
          <cell r="I181">
            <v>42618.609386574077</v>
          </cell>
          <cell r="J181">
            <v>0</v>
          </cell>
          <cell r="K181" t="str">
            <v>4029/4030</v>
          </cell>
          <cell r="L181" t="str">
            <v>BRUDER</v>
          </cell>
          <cell r="M181">
            <v>1.5138888891669922E-2</v>
          </cell>
          <cell r="N181">
            <v>21.800000004004687</v>
          </cell>
          <cell r="S181">
            <v>1</v>
          </cell>
          <cell r="T181" t="str">
            <v>NorthBound</v>
          </cell>
          <cell r="U181">
            <v>1</v>
          </cell>
          <cell r="V181" t="str">
            <v>https://search-rtdc-monitor-bjffxe2xuh6vdkpspy63sjmuny.us-east-1.es.amazonaws.com/_plugin/kibana/#/discover/Steve-Slow-Train-Analysis-(2080s-and-2083s)?_g=(refreshInterval:(display:Off,section:0,value:0),time:(from:'2016-09-05 13:14:18-0600',mode:absolute,to:'2016-09-05 15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81" t="str">
            <v>N</v>
          </cell>
          <cell r="X181">
            <v>1</v>
          </cell>
          <cell r="Y181">
            <v>9.74E-2</v>
          </cell>
          <cell r="Z181">
            <v>5.8924000000000003</v>
          </cell>
          <cell r="AA181">
            <v>5.7949999999999999</v>
          </cell>
          <cell r="AB181" t="e">
            <v>#N/A</v>
          </cell>
          <cell r="AC181" t="e">
            <v>#N/A</v>
          </cell>
          <cell r="AD181" t="str">
            <v>0823-05</v>
          </cell>
          <cell r="AE181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82">
          <cell r="A182" t="str">
            <v>824-05</v>
          </cell>
          <cell r="B182">
            <v>4030</v>
          </cell>
          <cell r="C182" t="str">
            <v>DE.1.0.7.0</v>
          </cell>
          <cell r="D182" t="str">
            <v>300:58613</v>
          </cell>
          <cell r="E182">
            <v>42618.610532407409</v>
          </cell>
          <cell r="F182">
            <v>42618.611377314817</v>
          </cell>
          <cell r="G182">
            <v>1</v>
          </cell>
          <cell r="H182" t="str">
            <v>204:645</v>
          </cell>
          <cell r="I182">
            <v>42618.623020833336</v>
          </cell>
          <cell r="J182">
            <v>0</v>
          </cell>
          <cell r="K182" t="str">
            <v>4029/4030</v>
          </cell>
          <cell r="L182" t="str">
            <v>BRUDER</v>
          </cell>
          <cell r="M182">
            <v>1.1643518519122154E-2</v>
          </cell>
          <cell r="N182">
            <v>16.766666667535901</v>
          </cell>
          <cell r="S182">
            <v>1</v>
          </cell>
          <cell r="T182" t="str">
            <v>Southbound</v>
          </cell>
          <cell r="U182">
            <v>1</v>
          </cell>
          <cell r="V182" t="str">
            <v>https://search-rtdc-monitor-bjffxe2xuh6vdkpspy63sjmuny.us-east-1.es.amazonaws.com/_plugin/kibana/#/discover/Steve-Slow-Train-Analysis-(2080s-and-2083s)?_g=(refreshInterval:(display:Off,section:0,value:0),time:(from:'2016-09-05 13:39:10-0600',mode:absolute,to:'2016-09-05 15:57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2" t="str">
            <v>N</v>
          </cell>
          <cell r="X182">
            <v>1</v>
          </cell>
          <cell r="Y182">
            <v>5.8613</v>
          </cell>
          <cell r="Z182">
            <v>6.4500000000000002E-2</v>
          </cell>
          <cell r="AA182">
            <v>5.7968000000000002</v>
          </cell>
          <cell r="AB182" t="e">
            <v>#N/A</v>
          </cell>
          <cell r="AC182" t="e">
            <v>#N/A</v>
          </cell>
          <cell r="AD182" t="str">
            <v>0824-05</v>
          </cell>
          <cell r="AE182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83">
          <cell r="A183" t="str">
            <v>825-05</v>
          </cell>
          <cell r="B183">
            <v>4029</v>
          </cell>
          <cell r="C183" t="str">
            <v>DE.1.0.7.0</v>
          </cell>
          <cell r="D183" t="str">
            <v>204:979</v>
          </cell>
          <cell r="E183">
            <v>42618.634155092594</v>
          </cell>
          <cell r="F183">
            <v>42618.635231481479</v>
          </cell>
          <cell r="G183">
            <v>1</v>
          </cell>
          <cell r="H183" t="str">
            <v>300:58926</v>
          </cell>
          <cell r="I183">
            <v>42618.649467592593</v>
          </cell>
          <cell r="J183">
            <v>0</v>
          </cell>
          <cell r="K183" t="str">
            <v>4029/4030</v>
          </cell>
          <cell r="L183" t="str">
            <v>BRUDER</v>
          </cell>
          <cell r="M183">
            <v>1.4236111113859806E-2</v>
          </cell>
          <cell r="N183">
            <v>20.500000003958121</v>
          </cell>
          <cell r="S183">
            <v>1</v>
          </cell>
          <cell r="T183" t="str">
            <v>NorthBound</v>
          </cell>
          <cell r="U183">
            <v>1</v>
          </cell>
          <cell r="V183" t="str">
            <v>https://search-rtdc-monitor-bjffxe2xuh6vdkpspy63sjmuny.us-east-1.es.amazonaws.com/_plugin/kibana/#/discover/Steve-Slow-Train-Analysis-(2080s-and-2083s)?_g=(refreshInterval:(display:Off,section:0,value:0),time:(from:'2016-09-05 14:13:11-0600',mode:absolute,to:'2016-09-05 16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83" t="str">
            <v>N</v>
          </cell>
          <cell r="X183">
            <v>1</v>
          </cell>
          <cell r="Y183">
            <v>9.7900000000000001E-2</v>
          </cell>
          <cell r="Z183">
            <v>5.8925999999999998</v>
          </cell>
          <cell r="AA183">
            <v>5.7946999999999997</v>
          </cell>
          <cell r="AB183" t="e">
            <v>#N/A</v>
          </cell>
          <cell r="AC183" t="e">
            <v>#N/A</v>
          </cell>
          <cell r="AD183" t="str">
            <v>0825-05</v>
          </cell>
          <cell r="AE183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84">
          <cell r="A184" t="str">
            <v>826-05</v>
          </cell>
          <cell r="B184">
            <v>4030</v>
          </cell>
          <cell r="C184" t="str">
            <v>DE.1.0.7.0</v>
          </cell>
          <cell r="D184" t="str">
            <v>300:58604</v>
          </cell>
          <cell r="E184">
            <v>42618.651018518518</v>
          </cell>
          <cell r="F184">
            <v>42618.651898148149</v>
          </cell>
          <cell r="G184">
            <v>1</v>
          </cell>
          <cell r="H184" t="str">
            <v>204:684</v>
          </cell>
          <cell r="I184">
            <v>42618.663912037038</v>
          </cell>
          <cell r="J184">
            <v>0</v>
          </cell>
          <cell r="K184" t="str">
            <v>4029/4030</v>
          </cell>
          <cell r="L184" t="str">
            <v>BRUDER</v>
          </cell>
          <cell r="M184">
            <v>1.2013888888759539E-2</v>
          </cell>
          <cell r="N184">
            <v>17.299999999813735</v>
          </cell>
          <cell r="S184">
            <v>1</v>
          </cell>
          <cell r="T184" t="str">
            <v>Southbound</v>
          </cell>
          <cell r="U184">
            <v>1</v>
          </cell>
          <cell r="V184" t="str">
            <v>https://search-rtdc-monitor-bjffxe2xuh6vdkpspy63sjmuny.us-east-1.es.amazonaws.com/_plugin/kibana/#/discover/Steve-Slow-Train-Analysis-(2080s-and-2083s)?_g=(refreshInterval:(display:Off,section:0,value:0),time:(from:'2016-09-05 14:37:28-0600',mode:absolute,to:'2016-09-05 16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4" t="str">
            <v>N</v>
          </cell>
          <cell r="X184">
            <v>1</v>
          </cell>
          <cell r="Y184">
            <v>5.8604000000000003</v>
          </cell>
          <cell r="Z184">
            <v>6.8400000000000002E-2</v>
          </cell>
          <cell r="AA184">
            <v>5.7920000000000007</v>
          </cell>
          <cell r="AB184" t="e">
            <v>#N/A</v>
          </cell>
          <cell r="AC184" t="e">
            <v>#N/A</v>
          </cell>
          <cell r="AD184" t="str">
            <v>0826-05</v>
          </cell>
          <cell r="AE184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85">
          <cell r="A185" t="str">
            <v>827-05</v>
          </cell>
          <cell r="B185">
            <v>4038</v>
          </cell>
          <cell r="C185" t="str">
            <v>DE.1.0.7.0</v>
          </cell>
          <cell r="D185" t="str">
            <v>204:937</v>
          </cell>
          <cell r="E185">
            <v>42618.657037037039</v>
          </cell>
          <cell r="F185">
            <v>42618.65829861111</v>
          </cell>
          <cell r="G185">
            <v>1</v>
          </cell>
          <cell r="H185" t="str">
            <v>300:58982</v>
          </cell>
          <cell r="I185">
            <v>42618.6715625</v>
          </cell>
          <cell r="J185">
            <v>0</v>
          </cell>
          <cell r="K185" t="str">
            <v>4037/4038</v>
          </cell>
          <cell r="L185" t="str">
            <v>COOLAHAN</v>
          </cell>
          <cell r="M185">
            <v>1.3263888889923692E-2</v>
          </cell>
          <cell r="N185">
            <v>19.100000001490116</v>
          </cell>
          <cell r="S185">
            <v>1</v>
          </cell>
          <cell r="T185" t="str">
            <v>NorthBound</v>
          </cell>
          <cell r="U185">
            <v>1</v>
          </cell>
          <cell r="V185" t="str">
            <v>https://search-rtdc-monitor-bjffxe2xuh6vdkpspy63sjmuny.us-east-1.es.amazonaws.com/_plugin/kibana/#/discover/Steve-Slow-Train-Analysis-(2080s-and-2083s)?_g=(refreshInterval:(display:Off,section:0,value:0),time:(from:'2016-09-05 14:46:08-0600',mode:absolute,to:'2016-09-05 17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85" t="str">
            <v>N</v>
          </cell>
          <cell r="X185">
            <v>1</v>
          </cell>
          <cell r="Y185">
            <v>9.3700000000000006E-2</v>
          </cell>
          <cell r="Z185">
            <v>5.8982000000000001</v>
          </cell>
          <cell r="AA185">
            <v>5.8045</v>
          </cell>
          <cell r="AB185" t="e">
            <v>#N/A</v>
          </cell>
          <cell r="AC185" t="e">
            <v>#N/A</v>
          </cell>
          <cell r="AD185" t="str">
            <v>0827-05</v>
          </cell>
          <cell r="AE185" t="str">
    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    </cell>
        </row>
        <row r="186">
          <cell r="A186" t="str">
            <v>828-05</v>
          </cell>
          <cell r="B186">
            <v>4037</v>
          </cell>
          <cell r="C186" t="str">
            <v>DE.1.0.7.0</v>
          </cell>
          <cell r="D186" t="str">
            <v>300:58664</v>
          </cell>
          <cell r="E186">
            <v>42618.672569444447</v>
          </cell>
          <cell r="F186">
            <v>42618.673750000002</v>
          </cell>
          <cell r="G186">
            <v>1</v>
          </cell>
          <cell r="H186" t="str">
            <v>204:671</v>
          </cell>
          <cell r="I186">
            <v>42618.684907407405</v>
          </cell>
          <cell r="J186">
            <v>0</v>
          </cell>
          <cell r="K186" t="str">
            <v>4037/4038</v>
          </cell>
          <cell r="L186" t="str">
            <v>COOLAHAN</v>
          </cell>
          <cell r="M186">
            <v>1.1157407403516117E-2</v>
          </cell>
          <cell r="N186">
            <v>16.066666661063209</v>
          </cell>
          <cell r="S186">
            <v>1</v>
          </cell>
          <cell r="T186" t="str">
            <v>Southbound</v>
          </cell>
          <cell r="U186">
            <v>1</v>
          </cell>
          <cell r="V186" t="str">
            <v>https://search-rtdc-monitor-bjffxe2xuh6vdkpspy63sjmuny.us-east-1.es.amazonaws.com/_plugin/kibana/#/discover/Steve-Slow-Train-Analysis-(2080s-and-2083s)?_g=(refreshInterval:(display:Off,section:0,value:0),time:(from:'2016-09-05 15:08:30-0600',mode:absolute,to:'2016-09-05 17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86" t="str">
            <v>N</v>
          </cell>
          <cell r="X186">
            <v>1</v>
          </cell>
          <cell r="Y186">
            <v>5.8663999999999996</v>
          </cell>
          <cell r="Z186">
            <v>6.7100000000000007E-2</v>
          </cell>
          <cell r="AA186">
            <v>5.7992999999999997</v>
          </cell>
          <cell r="AB186" t="e">
            <v>#N/A</v>
          </cell>
          <cell r="AC186" t="e">
            <v>#N/A</v>
          </cell>
          <cell r="AD186" t="str">
            <v>0828-05</v>
          </cell>
          <cell r="AE186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187">
          <cell r="A187" t="str">
            <v>829-05</v>
          </cell>
          <cell r="B187">
            <v>4029</v>
          </cell>
          <cell r="C187" t="str">
            <v>DE.1.0.7.0</v>
          </cell>
          <cell r="D187" t="str">
            <v>204:971</v>
          </cell>
          <cell r="E187">
            <v>42618.67728009259</v>
          </cell>
          <cell r="F187">
            <v>42618.678101851852</v>
          </cell>
          <cell r="G187">
            <v>1</v>
          </cell>
          <cell r="H187" t="str">
            <v>300:58926</v>
          </cell>
          <cell r="I187">
            <v>42618.690972222219</v>
          </cell>
          <cell r="J187">
            <v>0</v>
          </cell>
          <cell r="K187" t="str">
            <v>4029/4030</v>
          </cell>
          <cell r="L187" t="str">
            <v>BRUDER</v>
          </cell>
          <cell r="M187">
            <v>1.2870370366727002E-2</v>
          </cell>
          <cell r="N187">
            <v>18.533333328086883</v>
          </cell>
          <cell r="S187">
            <v>1</v>
          </cell>
          <cell r="T187" t="str">
            <v>NorthBound</v>
          </cell>
          <cell r="U187">
            <v>1</v>
          </cell>
          <cell r="V187" t="str">
            <v>https://search-rtdc-monitor-bjffxe2xuh6vdkpspy63sjmuny.us-east-1.es.amazonaws.com/_plugin/kibana/#/discover/Steve-Slow-Train-Analysis-(2080s-and-2083s)?_g=(refreshInterval:(display:Off,section:0,value:0),time:(from:'2016-09-05 15:15:17-0600',mode:absolute,to:'2016-09-05 17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87" t="str">
            <v>N</v>
          </cell>
          <cell r="X187">
            <v>1</v>
          </cell>
          <cell r="Y187">
            <v>9.7100000000000006E-2</v>
          </cell>
          <cell r="Z187">
            <v>5.8925999999999998</v>
          </cell>
          <cell r="AA187">
            <v>5.7954999999999997</v>
          </cell>
          <cell r="AB187" t="e">
            <v>#N/A</v>
          </cell>
          <cell r="AC187" t="e">
            <v>#N/A</v>
          </cell>
          <cell r="AD187" t="str">
            <v>0829-05</v>
          </cell>
          <cell r="AE187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88">
          <cell r="A188" t="str">
            <v>830-05</v>
          </cell>
          <cell r="B188">
            <v>4030</v>
          </cell>
          <cell r="C188" t="str">
            <v>DE.1.0.7.0</v>
          </cell>
          <cell r="D188" t="str">
            <v>300:58606</v>
          </cell>
          <cell r="E188">
            <v>42618.692337962966</v>
          </cell>
          <cell r="F188">
            <v>42618.693113425928</v>
          </cell>
          <cell r="G188">
            <v>1</v>
          </cell>
          <cell r="H188" t="str">
            <v>204:671</v>
          </cell>
          <cell r="I188">
            <v>42618.705370370371</v>
          </cell>
          <cell r="J188">
            <v>0</v>
          </cell>
          <cell r="K188" t="str">
            <v>4029/4030</v>
          </cell>
          <cell r="L188" t="str">
            <v>BRUDER</v>
          </cell>
          <cell r="M188">
            <v>1.2256944442924578E-2</v>
          </cell>
          <cell r="N188">
            <v>17.649999997811392</v>
          </cell>
          <cell r="S188">
            <v>1</v>
          </cell>
          <cell r="T188" t="str">
            <v>Southbound</v>
          </cell>
          <cell r="U188">
            <v>1</v>
          </cell>
          <cell r="V188" t="str">
            <v>https://search-rtdc-monitor-bjffxe2xuh6vdkpspy63sjmuny.us-east-1.es.amazonaws.com/_plugin/kibana/#/discover/Steve-Slow-Train-Analysis-(2080s-and-2083s)?_g=(refreshInterval:(display:Off,section:0,value:0),time:(from:'2016-09-05 15:36:58-0600',mode:absolute,to:'2016-09-05 17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88" t="str">
            <v>N</v>
          </cell>
          <cell r="X188">
            <v>1</v>
          </cell>
          <cell r="Y188">
            <v>5.8605999999999998</v>
          </cell>
          <cell r="Z188">
            <v>6.7100000000000007E-2</v>
          </cell>
          <cell r="AA188">
            <v>5.7934999999999999</v>
          </cell>
          <cell r="AB188" t="e">
            <v>#N/A</v>
          </cell>
          <cell r="AC188" t="e">
            <v>#N/A</v>
          </cell>
          <cell r="AD188" t="str">
            <v>0830-05</v>
          </cell>
          <cell r="AE188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89">
          <cell r="A189" t="str">
            <v>831-05</v>
          </cell>
          <cell r="B189">
            <v>4038</v>
          </cell>
          <cell r="C189" t="str">
            <v>DE.1.0.7.0</v>
          </cell>
          <cell r="D189" t="str">
            <v>204:946</v>
          </cell>
          <cell r="E189">
            <v>42618.697523148148</v>
          </cell>
          <cell r="F189">
            <v>42618.698599537034</v>
          </cell>
          <cell r="G189">
            <v>1</v>
          </cell>
          <cell r="H189" t="str">
            <v>300:58990</v>
          </cell>
          <cell r="I189">
            <v>42618.711875000001</v>
          </cell>
          <cell r="J189">
            <v>0</v>
          </cell>
          <cell r="K189" t="str">
            <v>4037/4038</v>
          </cell>
          <cell r="L189" t="str">
            <v>COOLAHAN</v>
          </cell>
          <cell r="M189">
            <v>1.3275462966703344E-2</v>
          </cell>
          <cell r="N189">
            <v>19.116666672052816</v>
          </cell>
          <cell r="S189">
            <v>1</v>
          </cell>
          <cell r="T189" t="str">
            <v>NorthBound</v>
          </cell>
          <cell r="U189">
            <v>1</v>
          </cell>
          <cell r="V189" t="str">
            <v>https://search-rtdc-monitor-bjffxe2xuh6vdkpspy63sjmuny.us-east-1.es.amazonaws.com/_plugin/kibana/#/discover/Steve-Slow-Train-Analysis-(2080s-and-2083s)?_g=(refreshInterval:(display:Off,section:0,value:0),time:(from:'2016-09-05 15:44:26-0600',mode:absolute,to:'2016-09-05 18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89" t="str">
            <v>N</v>
          </cell>
          <cell r="X189">
            <v>1</v>
          </cell>
          <cell r="Y189">
            <v>9.4600000000000004E-2</v>
          </cell>
          <cell r="Z189">
            <v>5.899</v>
          </cell>
          <cell r="AA189">
            <v>5.8044000000000002</v>
          </cell>
          <cell r="AB189" t="e">
            <v>#N/A</v>
          </cell>
          <cell r="AC189" t="e">
            <v>#N/A</v>
          </cell>
          <cell r="AD189" t="str">
            <v>0831-05</v>
          </cell>
          <cell r="AE189" t="str">
    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    </cell>
        </row>
        <row r="190">
          <cell r="A190" t="str">
            <v>832-05</v>
          </cell>
          <cell r="B190">
            <v>4037</v>
          </cell>
          <cell r="C190" t="str">
            <v>DE.1.0.7.0</v>
          </cell>
          <cell r="D190" t="str">
            <v>300:58660</v>
          </cell>
          <cell r="E190">
            <v>42618.71266203704</v>
          </cell>
          <cell r="F190">
            <v>42618.713865740741</v>
          </cell>
          <cell r="G190">
            <v>1</v>
          </cell>
          <cell r="H190" t="str">
            <v>204:650</v>
          </cell>
          <cell r="I190">
            <v>42618.726458333331</v>
          </cell>
          <cell r="J190">
            <v>0</v>
          </cell>
          <cell r="K190" t="str">
            <v>4037/4038</v>
          </cell>
          <cell r="L190" t="str">
            <v>COOLAHAN</v>
          </cell>
          <cell r="M190">
            <v>1.2592592589498963E-2</v>
          </cell>
          <cell r="N190">
            <v>18.133333328878507</v>
          </cell>
          <cell r="S190">
            <v>1</v>
          </cell>
          <cell r="T190" t="str">
            <v>Southbound</v>
          </cell>
          <cell r="U190">
            <v>1</v>
          </cell>
          <cell r="V190" t="str">
            <v>https://search-rtdc-monitor-bjffxe2xuh6vdkpspy63sjmuny.us-east-1.es.amazonaws.com/_plugin/kibana/#/discover/Steve-Slow-Train-Analysis-(2080s-and-2083s)?_g=(refreshInterval:(display:Off,section:0,value:0),time:(from:'2016-09-05 16:06:14-0600',mode:absolute,to:'2016-09-05 18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90" t="str">
            <v>N</v>
          </cell>
          <cell r="X190">
            <v>1</v>
          </cell>
          <cell r="Y190">
            <v>5.8659999999999997</v>
          </cell>
          <cell r="Z190">
            <v>6.5000000000000002E-2</v>
          </cell>
          <cell r="AA190">
            <v>5.8009999999999993</v>
          </cell>
          <cell r="AB190" t="e">
            <v>#N/A</v>
          </cell>
          <cell r="AC190" t="e">
            <v>#N/A</v>
          </cell>
          <cell r="AD190" t="str">
            <v>0832-05</v>
          </cell>
          <cell r="AE190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191">
          <cell r="A191" t="str">
            <v>833-05</v>
          </cell>
          <cell r="B191">
            <v>4029</v>
          </cell>
          <cell r="C191" t="str">
            <v>DE.1.0.7.0</v>
          </cell>
          <cell r="D191" t="str">
            <v>204:967</v>
          </cell>
          <cell r="E191">
            <v>42618.718888888892</v>
          </cell>
          <cell r="F191">
            <v>42618.719583333332</v>
          </cell>
          <cell r="G191">
            <v>1</v>
          </cell>
          <cell r="H191" t="str">
            <v>300:58935</v>
          </cell>
          <cell r="I191">
            <v>42618.732523148145</v>
          </cell>
          <cell r="J191">
            <v>0</v>
          </cell>
          <cell r="K191" t="str">
            <v>4029/4030</v>
          </cell>
          <cell r="L191" t="str">
            <v>BRUDER</v>
          </cell>
          <cell r="M191">
            <v>1.2939814812853001E-2</v>
          </cell>
          <cell r="N191">
            <v>18.633333330508322</v>
          </cell>
          <cell r="S191">
            <v>1</v>
          </cell>
          <cell r="T191" t="str">
            <v>NorthBound</v>
          </cell>
          <cell r="U191">
            <v>1</v>
          </cell>
          <cell r="V191" t="str">
            <v>https://search-rtdc-monitor-bjffxe2xuh6vdkpspy63sjmuny.us-east-1.es.amazonaws.com/_plugin/kibana/#/discover/Steve-Slow-Train-Analysis-(2080s-and-2083s)?_g=(refreshInterval:(display:Off,section:0,value:0),time:(from:'2016-09-05 16:15:12-0600',mode:absolute,to:'2016-09-05 18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91" t="str">
            <v>N</v>
          </cell>
          <cell r="X191">
            <v>1</v>
          </cell>
          <cell r="Y191">
            <v>9.6699999999999994E-2</v>
          </cell>
          <cell r="Z191">
            <v>5.8935000000000004</v>
          </cell>
          <cell r="AA191">
            <v>5.7968000000000002</v>
          </cell>
          <cell r="AB191" t="e">
            <v>#N/A</v>
          </cell>
          <cell r="AC191" t="e">
            <v>#N/A</v>
          </cell>
          <cell r="AD191" t="str">
            <v>0833-05</v>
          </cell>
          <cell r="AE191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92">
          <cell r="A192" t="str">
            <v>834-05</v>
          </cell>
          <cell r="B192">
            <v>4030</v>
          </cell>
          <cell r="C192" t="str">
            <v>DE.1.0.7.0</v>
          </cell>
          <cell r="D192" t="str">
            <v>300:58623</v>
          </cell>
          <cell r="E192">
            <v>42618.734236111108</v>
          </cell>
          <cell r="F192">
            <v>42618.735000000001</v>
          </cell>
          <cell r="G192">
            <v>1</v>
          </cell>
          <cell r="H192" t="str">
            <v>204:682</v>
          </cell>
          <cell r="I192">
            <v>42618.746840277781</v>
          </cell>
          <cell r="J192">
            <v>0</v>
          </cell>
          <cell r="K192" t="str">
            <v>4029/4030</v>
          </cell>
          <cell r="L192" t="str">
            <v>BRUDER</v>
          </cell>
          <cell r="M192">
            <v>1.1840277780720498E-2</v>
          </cell>
          <cell r="N192">
            <v>17.050000004237518</v>
          </cell>
          <cell r="S192">
            <v>1</v>
          </cell>
          <cell r="T192" t="str">
            <v>Southbound</v>
          </cell>
          <cell r="U192">
            <v>1</v>
          </cell>
          <cell r="V192" t="str">
            <v>https://search-rtdc-monitor-bjffxe2xuh6vdkpspy63sjmuny.us-east-1.es.amazonaws.com/_plugin/kibana/#/discover/Steve-Slow-Train-Analysis-(2080s-and-2083s)?_g=(refreshInterval:(display:Off,section:0,value:0),time:(from:'2016-09-05 16:37:18-0600',mode:absolute,to:'2016-09-05 18:55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92" t="str">
            <v>N</v>
          </cell>
          <cell r="X192">
            <v>1</v>
          </cell>
          <cell r="Y192">
            <v>5.8623000000000003</v>
          </cell>
          <cell r="Z192">
            <v>6.8199999999999997E-2</v>
          </cell>
          <cell r="AA192">
            <v>5.7941000000000003</v>
          </cell>
          <cell r="AB192" t="e">
            <v>#N/A</v>
          </cell>
          <cell r="AC192" t="e">
            <v>#N/A</v>
          </cell>
          <cell r="AD192" t="str">
            <v>0834-05</v>
          </cell>
          <cell r="AE192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93">
          <cell r="A193" t="str">
            <v>835-05</v>
          </cell>
          <cell r="B193">
            <v>4038</v>
          </cell>
          <cell r="C193" t="str">
            <v>DE.1.0.7.0</v>
          </cell>
          <cell r="D193" t="str">
            <v>204:960</v>
          </cell>
          <cell r="E193">
            <v>42618.739351851851</v>
          </cell>
          <cell r="F193">
            <v>42618.740266203706</v>
          </cell>
          <cell r="G193">
            <v>1</v>
          </cell>
          <cell r="H193" t="str">
            <v>300:58965</v>
          </cell>
          <cell r="I193">
            <v>42618.754548611112</v>
          </cell>
          <cell r="J193">
            <v>0</v>
          </cell>
          <cell r="K193" t="str">
            <v>4037/4038</v>
          </cell>
          <cell r="L193" t="str">
            <v>COOLAHAN</v>
          </cell>
          <cell r="M193">
            <v>1.4282407406426501E-2</v>
          </cell>
          <cell r="N193">
            <v>20.566666665254161</v>
          </cell>
          <cell r="S193">
            <v>1</v>
          </cell>
          <cell r="T193" t="str">
            <v>NorthBound</v>
          </cell>
          <cell r="U193">
            <v>1</v>
          </cell>
          <cell r="V193" t="str">
            <v>https://search-rtdc-monitor-bjffxe2xuh6vdkpspy63sjmuny.us-east-1.es.amazonaws.com/_plugin/kibana/#/discover/Steve-Slow-Train-Analysis-(2080s-and-2083s)?_g=(refreshInterval:(display:Off,section:0,value:0),time:(from:'2016-09-05 16:44:40-0600',mode:absolute,to:'2016-09-05 19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93" t="str">
            <v>N</v>
          </cell>
          <cell r="X193">
            <v>1</v>
          </cell>
          <cell r="Y193">
            <v>9.6000000000000002E-2</v>
          </cell>
          <cell r="Z193">
            <v>5.8964999999999996</v>
          </cell>
          <cell r="AA193">
            <v>5.8004999999999995</v>
          </cell>
          <cell r="AB193" t="e">
            <v>#N/A</v>
          </cell>
          <cell r="AC193" t="e">
            <v>#N/A</v>
          </cell>
          <cell r="AD193" t="str">
            <v>0835-05</v>
          </cell>
          <cell r="AE193" t="str">
    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    </cell>
        </row>
        <row r="194">
          <cell r="A194" t="str">
            <v>836-05</v>
          </cell>
          <cell r="B194">
            <v>4037</v>
          </cell>
          <cell r="C194" t="str">
            <v>DE.1.0.7.0</v>
          </cell>
          <cell r="D194" t="str">
            <v>300:58647</v>
          </cell>
          <cell r="E194">
            <v>42618.755370370367</v>
          </cell>
          <cell r="F194">
            <v>42618.756377314814</v>
          </cell>
          <cell r="G194">
            <v>1</v>
          </cell>
          <cell r="H194" t="str">
            <v>204:803</v>
          </cell>
          <cell r="I194">
            <v>42618.767905092594</v>
          </cell>
          <cell r="J194">
            <v>0</v>
          </cell>
          <cell r="K194" t="str">
            <v>4037/4038</v>
          </cell>
          <cell r="L194" t="str">
            <v>COOLAHAN</v>
          </cell>
          <cell r="M194">
            <v>1.152777778042946E-2</v>
          </cell>
          <cell r="N194">
            <v>16.600000003818423</v>
          </cell>
          <cell r="S194">
            <v>1</v>
          </cell>
          <cell r="T194" t="str">
            <v>Southbound</v>
          </cell>
          <cell r="U194">
            <v>1</v>
          </cell>
          <cell r="V194" t="str">
            <v>https://search-rtdc-monitor-bjffxe2xuh6vdkpspy63sjmuny.us-east-1.es.amazonaws.com/_plugin/kibana/#/discover/Steve-Slow-Train-Analysis-(2080s-and-2083s)?_g=(refreshInterval:(display:Off,section:0,value:0),time:(from:'2016-09-05 17:07:44-0600',mode:absolute,to:'2016-09-05 19:25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194" t="str">
            <v>N</v>
          </cell>
          <cell r="X194">
            <v>1</v>
          </cell>
          <cell r="Y194">
            <v>5.8647</v>
          </cell>
          <cell r="Z194">
            <v>8.0299999999999996E-2</v>
          </cell>
          <cell r="AA194">
            <v>5.7843999999999998</v>
          </cell>
          <cell r="AB194" t="e">
            <v>#N/A</v>
          </cell>
          <cell r="AC194" t="e">
            <v>#N/A</v>
          </cell>
          <cell r="AD194" t="str">
            <v>0836-05</v>
          </cell>
          <cell r="AE194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195">
          <cell r="A195" t="str">
            <v>837-05</v>
          </cell>
          <cell r="B195">
            <v>4029</v>
          </cell>
          <cell r="C195" t="str">
            <v>DE.1.0.7.0</v>
          </cell>
          <cell r="D195" t="str">
            <v>204:974</v>
          </cell>
          <cell r="E195">
            <v>42618.759189814817</v>
          </cell>
          <cell r="F195">
            <v>42618.760254629633</v>
          </cell>
          <cell r="G195">
            <v>1</v>
          </cell>
          <cell r="H195" t="str">
            <v>300:58931</v>
          </cell>
          <cell r="I195">
            <v>42618.774085648147</v>
          </cell>
          <cell r="J195">
            <v>0</v>
          </cell>
          <cell r="K195" t="str">
            <v>4029/4030</v>
          </cell>
          <cell r="L195" t="str">
            <v>BRUDER</v>
          </cell>
          <cell r="M195">
            <v>1.3831018513883464E-2</v>
          </cell>
          <cell r="N195">
            <v>19.916666659992188</v>
          </cell>
          <cell r="S195">
            <v>1</v>
          </cell>
          <cell r="T195" t="str">
            <v>NorthBound</v>
          </cell>
          <cell r="U195">
            <v>1</v>
          </cell>
          <cell r="V195" t="str">
            <v>https://search-rtdc-monitor-bjffxe2xuh6vdkpspy63sjmuny.us-east-1.es.amazonaws.com/_plugin/kibana/#/discover/Steve-Slow-Train-Analysis-(2080s-and-2083s)?_g=(refreshInterval:(display:Off,section:0,value:0),time:(from:'2016-09-05 17:13:14-0600',mode:absolute,to:'2016-09-05 19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95" t="str">
            <v>N</v>
          </cell>
          <cell r="X195">
            <v>1</v>
          </cell>
          <cell r="Y195">
            <v>9.74E-2</v>
          </cell>
          <cell r="Z195">
            <v>5.8930999999999996</v>
          </cell>
          <cell r="AA195">
            <v>5.7956999999999992</v>
          </cell>
          <cell r="AB195" t="e">
            <v>#N/A</v>
          </cell>
          <cell r="AC195" t="e">
            <v>#N/A</v>
          </cell>
          <cell r="AD195" t="str">
            <v>0837-05</v>
          </cell>
          <cell r="AE195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196">
          <cell r="A196" t="str">
            <v>838-05</v>
          </cell>
          <cell r="B196">
            <v>4030</v>
          </cell>
          <cell r="C196" t="str">
            <v>DE.1.0.7.0</v>
          </cell>
          <cell r="D196" t="str">
            <v>300:58604</v>
          </cell>
          <cell r="E196">
            <v>42618.775462962964</v>
          </cell>
          <cell r="F196">
            <v>42618.77615740741</v>
          </cell>
          <cell r="G196">
            <v>1</v>
          </cell>
          <cell r="H196" t="str">
            <v>204:680</v>
          </cell>
          <cell r="I196">
            <v>42618.788460648146</v>
          </cell>
          <cell r="J196">
            <v>0</v>
          </cell>
          <cell r="K196" t="str">
            <v>4029/4030</v>
          </cell>
          <cell r="L196" t="str">
            <v>BRUDER</v>
          </cell>
          <cell r="M196">
            <v>1.2303240735491272E-2</v>
          </cell>
          <cell r="N196">
            <v>17.716666659107432</v>
          </cell>
          <cell r="S196">
            <v>1</v>
          </cell>
          <cell r="T196" t="str">
            <v>Southbound</v>
          </cell>
          <cell r="U196">
            <v>1</v>
          </cell>
          <cell r="V196" t="str">
            <v>https://search-rtdc-monitor-bjffxe2xuh6vdkpspy63sjmuny.us-east-1.es.amazonaws.com/_plugin/kibana/#/discover/Steve-Slow-Train-Analysis-(2080s-and-2083s)?_g=(refreshInterval:(display:Off,section:0,value:0),time:(from:'2016-09-05 17:36:40-0600',mode:absolute,to:'2016-09-05 19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96" t="str">
            <v>N</v>
          </cell>
          <cell r="X196">
            <v>1</v>
          </cell>
          <cell r="Y196">
            <v>5.8604000000000003</v>
          </cell>
          <cell r="Z196">
            <v>6.8000000000000005E-2</v>
          </cell>
          <cell r="AA196">
            <v>5.7924000000000007</v>
          </cell>
          <cell r="AB196" t="e">
            <v>#N/A</v>
          </cell>
          <cell r="AC196" t="e">
            <v>#N/A</v>
          </cell>
          <cell r="AD196" t="str">
            <v>0838-05</v>
          </cell>
          <cell r="AE196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97">
          <cell r="A197" t="str">
            <v>839-05</v>
          </cell>
          <cell r="B197">
            <v>4038</v>
          </cell>
          <cell r="C197" t="str">
            <v>DE.1.0.7.0</v>
          </cell>
          <cell r="D197" t="str">
            <v>204:1069</v>
          </cell>
          <cell r="E197">
            <v>42618.781921296293</v>
          </cell>
          <cell r="F197">
            <v>42618.782893518517</v>
          </cell>
          <cell r="G197">
            <v>1</v>
          </cell>
          <cell r="H197" t="str">
            <v>300:58982</v>
          </cell>
          <cell r="I197">
            <v>42618.796678240738</v>
          </cell>
          <cell r="J197">
            <v>0</v>
          </cell>
          <cell r="K197" t="str">
            <v>4037/4038</v>
          </cell>
          <cell r="L197" t="str">
            <v>COOLAHAN</v>
          </cell>
          <cell r="M197">
            <v>1.378472222131677E-2</v>
          </cell>
          <cell r="N197">
            <v>19.849999998696148</v>
          </cell>
          <cell r="S197">
            <v>1</v>
          </cell>
          <cell r="T197" t="str">
            <v>NorthBound</v>
          </cell>
          <cell r="U197">
            <v>1</v>
          </cell>
          <cell r="V197" t="str">
            <v>https://search-rtdc-monitor-bjffxe2xuh6vdkpspy63sjmuny.us-east-1.es.amazonaws.com/_plugin/kibana/#/discover/Steve-Slow-Train-Analysis-(2080s-and-2083s)?_g=(refreshInterval:(display:Off,section:0,value:0),time:(from:'2016-09-05 17:45:58-0600',mode:absolute,to:'2016-09-05 20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    </cell>
          <cell r="W197" t="str">
            <v>N</v>
          </cell>
          <cell r="X197">
            <v>1</v>
          </cell>
          <cell r="Y197">
            <v>0.1069</v>
          </cell>
          <cell r="Z197">
            <v>5.8982000000000001</v>
          </cell>
          <cell r="AA197">
            <v>5.7912999999999997</v>
          </cell>
          <cell r="AB197" t="e">
            <v>#N/A</v>
          </cell>
          <cell r="AC197" t="e">
            <v>#N/A</v>
          </cell>
          <cell r="AD197" t="str">
            <v>0839-05</v>
          </cell>
          <cell r="AE197" t="str">
    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    </cell>
        </row>
        <row r="198">
          <cell r="A198" t="str">
            <v>840-05</v>
          </cell>
          <cell r="B198">
            <v>4030</v>
          </cell>
          <cell r="C198" t="str">
            <v>DE.1.0.7.0</v>
          </cell>
          <cell r="D198" t="str">
            <v>300:58615</v>
          </cell>
          <cell r="E198">
            <v>42618.817210648151</v>
          </cell>
          <cell r="F198">
            <v>42618.817997685182</v>
          </cell>
          <cell r="G198">
            <v>1</v>
          </cell>
          <cell r="H198" t="str">
            <v>204:677</v>
          </cell>
          <cell r="I198">
            <v>42618.82980324074</v>
          </cell>
          <cell r="J198">
            <v>0</v>
          </cell>
          <cell r="K198" t="str">
            <v>4029/4030</v>
          </cell>
          <cell r="L198" t="str">
            <v>BRUDER</v>
          </cell>
          <cell r="M198">
            <v>1.1805555557657499E-2</v>
          </cell>
          <cell r="N198">
            <v>17.000000003026798</v>
          </cell>
          <cell r="S198">
            <v>1</v>
          </cell>
          <cell r="T198" t="str">
            <v>Southbound</v>
          </cell>
          <cell r="U198">
            <v>1</v>
          </cell>
          <cell r="V198" t="str">
            <v>https://search-rtdc-monitor-bjffxe2xuh6vdkpspy63sjmuny.us-east-1.es.amazonaws.com/_plugin/kibana/#/discover/Steve-Slow-Train-Analysis-(2080s-and-2083s)?_g=(refreshInterval:(display:Off,section:0,value:0),time:(from:'2016-09-05 18:36:47-0600',mode:absolute,to:'2016-09-05 20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198" t="str">
            <v>N</v>
          </cell>
          <cell r="X198">
            <v>1</v>
          </cell>
          <cell r="Y198">
            <v>5.8615000000000004</v>
          </cell>
          <cell r="Z198">
            <v>6.7699999999999996E-2</v>
          </cell>
          <cell r="AA198">
            <v>5.7938000000000001</v>
          </cell>
          <cell r="AB198" t="e">
            <v>#N/A</v>
          </cell>
          <cell r="AC198" t="e">
            <v>#N/A</v>
          </cell>
          <cell r="AD198" t="str">
            <v>0840-05</v>
          </cell>
          <cell r="AE198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199">
          <cell r="A199" t="str">
            <v>841-05</v>
          </cell>
          <cell r="B199">
            <v>4029</v>
          </cell>
          <cell r="C199" t="str">
            <v>DE.1.0.7.0</v>
          </cell>
          <cell r="D199" t="str">
            <v>204:967</v>
          </cell>
          <cell r="E199">
            <v>42618.801562499997</v>
          </cell>
          <cell r="F199">
            <v>42618.802268518521</v>
          </cell>
          <cell r="G199">
            <v>1</v>
          </cell>
          <cell r="H199" t="str">
            <v>300:58920</v>
          </cell>
          <cell r="I199">
            <v>42618.815740740742</v>
          </cell>
          <cell r="J199">
            <v>0</v>
          </cell>
          <cell r="K199" t="str">
            <v>4029/4030</v>
          </cell>
          <cell r="L199" t="str">
            <v>BRUDER</v>
          </cell>
          <cell r="M199">
            <v>1.3472222221025731E-2</v>
          </cell>
          <cell r="N199">
            <v>19.399999998277053</v>
          </cell>
          <cell r="S199">
            <v>1</v>
          </cell>
          <cell r="T199" t="str">
            <v>NorthBound</v>
          </cell>
          <cell r="U199">
            <v>1</v>
          </cell>
          <cell r="V199" t="str">
            <v>https://search-rtdc-monitor-bjffxe2xuh6vdkpspy63sjmuny.us-east-1.es.amazonaws.com/_plugin/kibana/#/discover/Steve-Slow-Train-Analysis-(2080s-and-2083s)?_g=(refreshInterval:(display:Off,section:0,value:0),time:(from:'2016-09-05 18:14:15-0600',mode:absolute,to:'2016-09-05 20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199" t="str">
            <v>N</v>
          </cell>
          <cell r="X199">
            <v>1</v>
          </cell>
          <cell r="Y199">
            <v>9.6699999999999994E-2</v>
          </cell>
          <cell r="Z199">
            <v>5.8920000000000003</v>
          </cell>
          <cell r="AA199">
            <v>5.7953000000000001</v>
          </cell>
          <cell r="AB199" t="e">
            <v>#N/A</v>
          </cell>
          <cell r="AC199" t="e">
            <v>#N/A</v>
          </cell>
          <cell r="AD199" t="str">
            <v>0841-05</v>
          </cell>
          <cell r="AE199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200">
          <cell r="A200" t="str">
            <v>842-05</v>
          </cell>
          <cell r="B200">
            <v>4030</v>
          </cell>
          <cell r="C200" t="str">
            <v>DE.1.0.7.0</v>
          </cell>
          <cell r="D200" t="str">
            <v>300:58613</v>
          </cell>
          <cell r="E200">
            <v>42618.85869212963</v>
          </cell>
          <cell r="F200">
            <v>42618.859398148146</v>
          </cell>
          <cell r="G200">
            <v>1</v>
          </cell>
          <cell r="H200" t="str">
            <v>204:689</v>
          </cell>
          <cell r="I200">
            <v>42618.87164351852</v>
          </cell>
          <cell r="J200">
            <v>0</v>
          </cell>
          <cell r="K200" t="str">
            <v>4029/4030</v>
          </cell>
          <cell r="L200" t="str">
            <v>BRUDER</v>
          </cell>
          <cell r="M200">
            <v>1.2245370373420883E-2</v>
          </cell>
          <cell r="N200">
            <v>17.633333337726071</v>
          </cell>
          <cell r="S200">
            <v>1</v>
          </cell>
          <cell r="T200" t="str">
            <v>Southbound</v>
          </cell>
          <cell r="U200">
            <v>1</v>
          </cell>
          <cell r="V200" t="str">
            <v>https://search-rtdc-monitor-bjffxe2xuh6vdkpspy63sjmuny.us-east-1.es.amazonaws.com/_plugin/kibana/#/discover/Steve-Slow-Train-Analysis-(2080s-and-2083s)?_g=(refreshInterval:(display:Off,section:0,value:0),time:(from:'2016-09-05 19:36:31-0600',mode:absolute,to:'2016-09-05 21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200" t="str">
            <v>N</v>
          </cell>
          <cell r="X200">
            <v>1</v>
          </cell>
          <cell r="Y200">
            <v>5.8613</v>
          </cell>
          <cell r="Z200">
            <v>6.8900000000000003E-2</v>
          </cell>
          <cell r="AA200">
            <v>5.7923999999999998</v>
          </cell>
          <cell r="AB200" t="e">
            <v>#N/A</v>
          </cell>
          <cell r="AC200" t="e">
            <v>#N/A</v>
          </cell>
          <cell r="AD200" t="str">
            <v>0842-05</v>
          </cell>
          <cell r="AE200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201">
          <cell r="A201" t="str">
            <v>843-05</v>
          </cell>
          <cell r="B201">
            <v>4029</v>
          </cell>
          <cell r="C201" t="str">
            <v>DE.1.0.7.0</v>
          </cell>
          <cell r="D201" t="str">
            <v>204:969</v>
          </cell>
          <cell r="E201">
            <v>42618.842812499999</v>
          </cell>
          <cell r="F201">
            <v>42618.843923611108</v>
          </cell>
          <cell r="G201">
            <v>1</v>
          </cell>
          <cell r="H201" t="str">
            <v>300:58928</v>
          </cell>
          <cell r="I201">
            <v>42618.857499999998</v>
          </cell>
          <cell r="J201">
            <v>0</v>
          </cell>
          <cell r="K201" t="str">
            <v>4029/4030</v>
          </cell>
          <cell r="L201" t="str">
            <v>BRUDER</v>
          </cell>
          <cell r="M201">
            <v>1.357638889021473E-2</v>
          </cell>
          <cell r="N201">
            <v>19.550000001909211</v>
          </cell>
          <cell r="S201">
            <v>1</v>
          </cell>
          <cell r="T201" t="str">
            <v>NorthBound</v>
          </cell>
          <cell r="U201">
            <v>1</v>
          </cell>
          <cell r="V201" t="str">
            <v>https://search-rtdc-monitor-bjffxe2xuh6vdkpspy63sjmuny.us-east-1.es.amazonaws.com/_plugin/kibana/#/discover/Steve-Slow-Train-Analysis-(2080s-and-2083s)?_g=(refreshInterval:(display:Off,section:0,value:0),time:(from:'2016-09-05 19:13:39-0600',mode:absolute,to:'2016-09-05 21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01" t="str">
            <v>N</v>
          </cell>
          <cell r="X201">
            <v>1</v>
          </cell>
          <cell r="Y201">
            <v>9.69E-2</v>
          </cell>
          <cell r="Z201">
            <v>5.8928000000000003</v>
          </cell>
          <cell r="AA201">
            <v>5.7959000000000005</v>
          </cell>
          <cell r="AB201" t="e">
            <v>#N/A</v>
          </cell>
          <cell r="AC201" t="e">
            <v>#N/A</v>
          </cell>
          <cell r="AD201" t="str">
            <v>0843-05</v>
          </cell>
          <cell r="AE201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202">
          <cell r="A202" t="str">
            <v>844-05</v>
          </cell>
          <cell r="B202">
            <v>4030</v>
          </cell>
          <cell r="C202" t="str">
            <v>DE.1.0.7.0</v>
          </cell>
          <cell r="D202" t="str">
            <v>300:58640</v>
          </cell>
          <cell r="E202">
            <v>42618.900601851848</v>
          </cell>
          <cell r="F202">
            <v>42618.901585648149</v>
          </cell>
          <cell r="G202">
            <v>1</v>
          </cell>
          <cell r="H202" t="str">
            <v>204:759</v>
          </cell>
          <cell r="I202">
            <v>42618.914814814816</v>
          </cell>
          <cell r="J202">
            <v>0</v>
          </cell>
          <cell r="K202" t="str">
            <v>4029/4030</v>
          </cell>
          <cell r="L202" t="str">
            <v>COOLAHAN</v>
          </cell>
          <cell r="M202">
            <v>1.3229166666860692E-2</v>
          </cell>
          <cell r="N202">
            <v>19.050000000279397</v>
          </cell>
          <cell r="S202">
            <v>1</v>
          </cell>
          <cell r="T202" t="str">
            <v>Southbound</v>
          </cell>
          <cell r="U202">
            <v>1</v>
          </cell>
          <cell r="V202" t="str">
            <v>https://search-rtdc-monitor-bjffxe2xuh6vdkpspy63sjmuny.us-east-1.es.amazonaws.com/_plugin/kibana/#/discover/Steve-Slow-Train-Analysis-(2080s-and-2083s)?_g=(refreshInterval:(display:Off,section:0,value:0),time:(from:'2016-09-05 20:36:52-0600',mode:absolute,to:'2016-09-05 22:57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202" t="str">
            <v>N</v>
          </cell>
          <cell r="X202">
            <v>1</v>
          </cell>
          <cell r="Y202">
            <v>5.8639999999999999</v>
          </cell>
          <cell r="Z202">
            <v>7.5899999999999995E-2</v>
          </cell>
          <cell r="AA202">
            <v>5.7881</v>
          </cell>
          <cell r="AB202" t="e">
            <v>#N/A</v>
          </cell>
          <cell r="AC202" t="e">
            <v>#N/A</v>
          </cell>
          <cell r="AD202" t="str">
            <v>0844-05</v>
          </cell>
          <cell r="AE202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203">
          <cell r="A203" t="str">
            <v>845-05</v>
          </cell>
          <cell r="B203">
            <v>4029</v>
          </cell>
          <cell r="C203" t="str">
            <v>DE.1.0.7.0</v>
          </cell>
          <cell r="D203" t="str">
            <v>204:958</v>
          </cell>
          <cell r="E203">
            <v>42618.884513888886</v>
          </cell>
          <cell r="F203">
            <v>42618.885891203703</v>
          </cell>
          <cell r="G203">
            <v>1</v>
          </cell>
          <cell r="H203" t="str">
            <v>300:58956</v>
          </cell>
          <cell r="I203">
            <v>42618.899768518517</v>
          </cell>
          <cell r="J203">
            <v>0</v>
          </cell>
          <cell r="K203" t="str">
            <v>4029/4030</v>
          </cell>
          <cell r="L203" t="str">
            <v>COOLAHAN</v>
          </cell>
          <cell r="M203">
            <v>1.3877314813726116E-2</v>
          </cell>
          <cell r="N203">
            <v>19.983333331765607</v>
          </cell>
          <cell r="S203">
            <v>1</v>
          </cell>
          <cell r="T203" t="str">
            <v>NorthBound</v>
          </cell>
          <cell r="U203">
            <v>1</v>
          </cell>
          <cell r="V203" t="str">
            <v>https://search-rtdc-monitor-bjffxe2xuh6vdkpspy63sjmuny.us-east-1.es.amazonaws.com/_plugin/kibana/#/discover/Steve-Slow-Train-Analysis-(2080s-and-2083s)?_g=(refreshInterval:(display:Off,section:0,value:0),time:(from:'2016-09-05 20:13:42-0600',mode:absolute,to:'2016-09-05 22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03" t="str">
            <v>N</v>
          </cell>
          <cell r="X203">
            <v>1</v>
          </cell>
          <cell r="Y203">
            <v>9.5799999999999996E-2</v>
          </cell>
          <cell r="Z203">
            <v>5.8956</v>
          </cell>
          <cell r="AA203">
            <v>5.7998000000000003</v>
          </cell>
          <cell r="AB203" t="e">
            <v>#N/A</v>
          </cell>
          <cell r="AC203" t="e">
            <v>#N/A</v>
          </cell>
          <cell r="AD203" t="str">
            <v>0845-05</v>
          </cell>
          <cell r="AE203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204">
          <cell r="A204" t="str">
            <v>847-05</v>
          </cell>
          <cell r="B204">
            <v>4029</v>
          </cell>
          <cell r="C204" t="str">
            <v>DE.1.0.7.0</v>
          </cell>
          <cell r="D204" t="str">
            <v>204:1037</v>
          </cell>
          <cell r="E204">
            <v>42618.925717592596</v>
          </cell>
          <cell r="F204">
            <v>42618.926990740743</v>
          </cell>
          <cell r="G204">
            <v>1</v>
          </cell>
          <cell r="H204" t="str">
            <v>300:58965</v>
          </cell>
          <cell r="I204">
            <v>42618.941770833335</v>
          </cell>
          <cell r="J204">
            <v>0</v>
          </cell>
          <cell r="K204" t="str">
            <v>4029/4030</v>
          </cell>
          <cell r="L204" t="str">
            <v>COOLAHAN</v>
          </cell>
          <cell r="M204">
            <v>1.4780092591536231E-2</v>
          </cell>
          <cell r="N204">
            <v>21.283333331812173</v>
          </cell>
          <cell r="S204">
            <v>1</v>
          </cell>
          <cell r="T204" t="str">
            <v>NorthBound</v>
          </cell>
          <cell r="U204">
            <v>1</v>
          </cell>
          <cell r="V204" t="str">
            <v>https://search-rtdc-monitor-bjffxe2xuh6vdkpspy63sjmuny.us-east-1.es.amazonaws.com/_plugin/kibana/#/discover/Steve-Slow-Train-Analysis-(2080s-and-2083s)?_g=(refreshInterval:(display:Off,section:0,value:0),time:(from:'2016-09-05 21:13:02-0600',mode:absolute,to:'2016-09-05 23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    </cell>
          <cell r="W204" t="str">
            <v>N</v>
          </cell>
          <cell r="X204">
            <v>2</v>
          </cell>
          <cell r="Y204">
            <v>0.1037</v>
          </cell>
          <cell r="Z204">
            <v>5.8964999999999996</v>
          </cell>
          <cell r="AA204">
            <v>5.7927999999999997</v>
          </cell>
          <cell r="AB204" t="e">
            <v>#N/A</v>
          </cell>
          <cell r="AC204" t="e">
            <v>#N/A</v>
          </cell>
          <cell r="AD204" t="str">
            <v>0847-05</v>
          </cell>
          <cell r="AE204" t="str">
    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    </cell>
        </row>
        <row r="205">
          <cell r="A205" t="str">
            <v>309-05</v>
          </cell>
          <cell r="B205">
            <v>4014</v>
          </cell>
          <cell r="C205" t="str">
            <v>DE.1.0.7.0</v>
          </cell>
          <cell r="D205" t="str">
            <v>204:457</v>
          </cell>
          <cell r="E205">
            <v>42619.02915509259</v>
          </cell>
          <cell r="F205">
            <v>42619.030092592591</v>
          </cell>
          <cell r="G205">
            <v>1</v>
          </cell>
          <cell r="H205" t="str">
            <v>300:22854</v>
          </cell>
          <cell r="I205">
            <v>42619.037199074075</v>
          </cell>
          <cell r="J205">
            <v>0</v>
          </cell>
          <cell r="K205" t="str">
            <v>4013/4014</v>
          </cell>
          <cell r="L205" t="str">
            <v>LEVERE</v>
          </cell>
          <cell r="M205">
            <v>7.1064814837882295E-3</v>
          </cell>
          <cell r="N205">
            <v>10.233333336655051</v>
          </cell>
          <cell r="S205">
            <v>1</v>
          </cell>
          <cell r="T205" t="str">
            <v>NorthBound</v>
          </cell>
          <cell r="U205">
            <v>1</v>
          </cell>
          <cell r="V205" t="str">
            <v>https://search-rtdc-monitor-bjffxe2xuh6vdkpspy63sjmuny.us-east-1.es.amazonaws.com/_plugin/kibana/#/discover/Steve-Slow-Train-Analysis-(2080s-and-2083s)?_g=(refreshInterval:(display:Off,section:0,value:0),time:(from:'2016-09-05 23:41:59-0600',mode:absolute,to:'2016-09-06 01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    </cell>
          <cell r="W205" t="str">
            <v>Y</v>
          </cell>
          <cell r="X205">
            <v>-538</v>
          </cell>
          <cell r="Y205">
            <v>4.5699999999999998E-2</v>
          </cell>
          <cell r="Z205">
            <v>2.2854000000000001</v>
          </cell>
          <cell r="AA205">
            <v>2.2397</v>
          </cell>
          <cell r="AB205" t="e">
            <v>#N/A</v>
          </cell>
          <cell r="AC205" t="e">
            <v>#N/A</v>
          </cell>
          <cell r="AD205" t="str">
            <v>0309-05</v>
          </cell>
          <cell r="AE205" t="str">
    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    </cell>
        </row>
        <row r="206">
          <cell r="A206" t="str">
            <v>311-05</v>
          </cell>
          <cell r="B206">
            <v>4027</v>
          </cell>
          <cell r="C206" t="str">
            <v>DE.1.0.7.0</v>
          </cell>
          <cell r="D206" t="str">
            <v>204:444</v>
          </cell>
          <cell r="E206">
            <v>42619.045798611114</v>
          </cell>
          <cell r="F206">
            <v>42619.046793981484</v>
          </cell>
          <cell r="G206">
            <v>1</v>
          </cell>
          <cell r="H206" t="str">
            <v>300:23310</v>
          </cell>
          <cell r="I206">
            <v>42619.05395833333</v>
          </cell>
          <cell r="J206">
            <v>0</v>
          </cell>
          <cell r="K206" t="str">
            <v>4027/4028</v>
          </cell>
          <cell r="L206" t="str">
            <v>NEWELL</v>
          </cell>
          <cell r="M206">
            <v>7.1643518458586186E-3</v>
          </cell>
          <cell r="N206">
            <v>10.316666658036411</v>
          </cell>
          <cell r="S206">
            <v>1</v>
          </cell>
          <cell r="T206" t="str">
            <v>NorthBound</v>
          </cell>
          <cell r="U206">
            <v>1</v>
          </cell>
          <cell r="V206" t="str">
            <v>https://search-rtdc-monitor-bjffxe2xuh6vdkpspy63sjmuny.us-east-1.es.amazonaws.com/_plugin/kibana/#/discover/Steve-Slow-Train-Analysis-(2080s-and-2083s)?_g=(refreshInterval:(display:Off,section:0,value:0),time:(from:'2016-09-06 00:05:57-0600',mode:absolute,to:'2016-09-06 02:17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    </cell>
          <cell r="W206" t="str">
            <v>Y</v>
          </cell>
          <cell r="X206">
            <v>2</v>
          </cell>
          <cell r="Y206">
            <v>4.4400000000000002E-2</v>
          </cell>
          <cell r="Z206">
            <v>2.331</v>
          </cell>
          <cell r="AA206">
            <v>2.2866</v>
          </cell>
          <cell r="AB206" t="e">
            <v>#N/A</v>
          </cell>
          <cell r="AC206" t="e">
            <v>#N/A</v>
          </cell>
          <cell r="AD206" t="str">
            <v>0311-05</v>
          </cell>
          <cell r="AE206" t="str">
    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    </cell>
        </row>
        <row r="207">
          <cell r="A207" t="str">
            <v>313-05</v>
          </cell>
          <cell r="B207">
            <v>4020</v>
          </cell>
          <cell r="C207" t="str">
            <v>DE.1.0.7.0</v>
          </cell>
          <cell r="D207" t="str">
            <v>204:471</v>
          </cell>
          <cell r="E207">
            <v>42619.071805555555</v>
          </cell>
          <cell r="F207">
            <v>42619.072465277779</v>
          </cell>
          <cell r="G207">
            <v>0</v>
          </cell>
          <cell r="H207" t="str">
            <v>300:22850</v>
          </cell>
          <cell r="I207">
            <v>42619.079097222224</v>
          </cell>
          <cell r="J207">
            <v>0</v>
          </cell>
          <cell r="K207" t="str">
            <v>4019/4020</v>
          </cell>
          <cell r="L207" t="str">
            <v>CHANDLER</v>
          </cell>
          <cell r="M207">
            <v>6.6319444449618459E-3</v>
          </cell>
          <cell r="N207">
            <v>9.5500000007450581</v>
          </cell>
          <cell r="S207">
            <v>1</v>
          </cell>
          <cell r="T207" t="str">
            <v>NorthBound</v>
          </cell>
          <cell r="U207">
            <v>1</v>
          </cell>
          <cell r="V207" t="str">
            <v>https://search-rtdc-monitor-bjffxe2xuh6vdkpspy63sjmuny.us-east-1.es.amazonaws.com/_plugin/kibana/#/discover/Steve-Slow-Train-Analysis-(2080s-and-2083s)?_g=(refreshInterval:(display:Off,section:0,value:0),time:(from:'2016-09-06 00:43:24-0600',mode:absolute,to:'2016-09-06 02:53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    </cell>
          <cell r="W207" t="str">
            <v>Y</v>
          </cell>
          <cell r="X207">
            <v>2</v>
          </cell>
          <cell r="Y207">
            <v>4.7100000000000003E-2</v>
          </cell>
          <cell r="Z207">
            <v>2.2850000000000001</v>
          </cell>
          <cell r="AA207">
            <v>2.2379000000000002</v>
          </cell>
          <cell r="AB207" t="e">
            <v>#N/A</v>
          </cell>
          <cell r="AC207" t="e">
            <v>#N/A</v>
          </cell>
          <cell r="AD207" t="str">
            <v>0313-05</v>
          </cell>
          <cell r="AE207" t="str">
            <v>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 &amp; aws s3 cp s3://rtdc.mdm.uploadarchive/RTDC4020/2016-09-07/ "%USERPROFILE%\AppData\Local\Temp\OnboardLogs"\RTDC4020\2016-09-07 --recursive &amp; "%USERPROFILE%\Documents\GitHub\mrs-test-scripts\Headless Mode &amp; Sideloading\WalkAndUnGZ.bat" "%USERPROFILE%\AppData\Local\Temp\OnboardLogs"\RTDC4020\2016-09-07</v>
          </cell>
        </row>
        <row r="208">
          <cell r="A208" t="str">
            <v>315-04</v>
          </cell>
          <cell r="B208">
            <v>4031</v>
          </cell>
          <cell r="C208" t="str">
            <v>DE.1.0.7.0</v>
          </cell>
          <cell r="D208" t="str">
            <v>204:466</v>
          </cell>
          <cell r="E208">
            <v>42618.090879629628</v>
          </cell>
          <cell r="F208">
            <v>42618.091828703706</v>
          </cell>
          <cell r="G208">
            <v>1</v>
          </cell>
          <cell r="H208" t="str">
            <v>300:22856</v>
          </cell>
          <cell r="I208">
            <v>42618.098229166666</v>
          </cell>
          <cell r="J208">
            <v>0</v>
          </cell>
          <cell r="K208" t="str">
            <v>4031/4032</v>
          </cell>
          <cell r="L208" t="str">
            <v>CHANDLER</v>
          </cell>
          <cell r="M208">
            <v>6.4004629603005014E-3</v>
          </cell>
          <cell r="N208">
            <v>9.2166666628327221</v>
          </cell>
          <cell r="S208">
            <v>1</v>
          </cell>
          <cell r="T208" t="str">
            <v>NorthBound</v>
          </cell>
          <cell r="U208">
            <v>1</v>
          </cell>
          <cell r="V208" t="str">
            <v>https://search-rtdc-monitor-bjffxe2xuh6vdkpspy63sjmuny.us-east-1.es.amazonaws.com/_plugin/kibana/#/discover/Steve-Slow-Train-Analysis-(2080s-and-2083s)?_g=(refreshInterval:(display:Off,section:0,value:0),time:(from:'2016-09-05 01:10:52-0600',mode:absolute,to:'2016-09-05 03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    </cell>
          <cell r="W208" t="str">
            <v>Y</v>
          </cell>
          <cell r="X208">
            <v>2</v>
          </cell>
          <cell r="Y208">
            <v>4.6600000000000003E-2</v>
          </cell>
          <cell r="Z208">
            <v>2.2856000000000001</v>
          </cell>
          <cell r="AA208">
            <v>2.2389999999999999</v>
          </cell>
          <cell r="AB208" t="e">
            <v>#N/A</v>
          </cell>
          <cell r="AC208" t="e">
            <v>#N/A</v>
          </cell>
          <cell r="AD208" t="str">
            <v>0315-04</v>
          </cell>
          <cell r="AE208" t="str">
            <v>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 &amp; aws s3 cp s3://rtdc.mdm.uploadarchive/RTDC4031/2016-09-06/ "%USERPROFILE%\AppData\Local\Temp\OnboardLogs"\RTDC4031\2016-09-06 --recursive &amp; "%USERPROFILE%\Documents\GitHub\mrs-test-scripts\Headless Mode &amp; Sideloading\WalkAndUnGZ.bat" "%USERPROFILE%\AppData\Local\Temp\OnboardLogs"\RTDC4031\2016-09-06</v>
          </cell>
        </row>
        <row r="209">
          <cell r="A209" t="str">
            <v>315-05</v>
          </cell>
          <cell r="B209">
            <v>4044</v>
          </cell>
          <cell r="C209" t="str">
            <v>DE.1.0.7.0</v>
          </cell>
          <cell r="D209" t="str">
            <v>204:460</v>
          </cell>
          <cell r="E209">
            <v>42619.087800925925</v>
          </cell>
          <cell r="F209">
            <v>42619.08861111111</v>
          </cell>
          <cell r="G209">
            <v>1</v>
          </cell>
          <cell r="H209" t="str">
            <v>300:22255</v>
          </cell>
          <cell r="I209">
            <v>42619.092939814815</v>
          </cell>
          <cell r="J209">
            <v>0</v>
          </cell>
          <cell r="K209" t="str">
            <v>4043/4044</v>
          </cell>
          <cell r="L209" t="str">
            <v>YANAI</v>
          </cell>
          <cell r="M209">
            <v>4.3287037042318843E-3</v>
          </cell>
          <cell r="N209">
            <v>6.2333333340939134</v>
          </cell>
          <cell r="S209">
            <v>1</v>
          </cell>
          <cell r="T209" t="str">
            <v>NorthBound</v>
          </cell>
          <cell r="U209">
            <v>1</v>
          </cell>
          <cell r="V209" t="str">
            <v>https://search-rtdc-monitor-bjffxe2xuh6vdkpspy63sjmuny.us-east-1.es.amazonaws.com/_plugin/kibana/#/discover/Steve-Slow-Train-Analysis-(2080s-and-2083s)?_g=(refreshInterval:(display:Off,section:0,value:0),time:(from:'2016-09-06 01:06:26-0600',mode:absolute,to:'2016-09-06 03:13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    </cell>
          <cell r="W209" t="str">
            <v>Y</v>
          </cell>
          <cell r="X209">
            <v>0</v>
          </cell>
          <cell r="Y209">
            <v>4.5999999999999999E-2</v>
          </cell>
          <cell r="Z209">
            <v>2.2254999999999998</v>
          </cell>
          <cell r="AA209">
            <v>2.1795</v>
          </cell>
          <cell r="AB209" t="e">
            <v>#N/A</v>
          </cell>
          <cell r="AC209" t="e">
            <v>#N/A</v>
          </cell>
          <cell r="AD209" t="str">
            <v>0315-05</v>
          </cell>
          <cell r="AE209" t="str">
            <v>aws s3 cp s3://rtdc.mdm.uploadarchive/RTDC4044/2016-09-06/ "%USERPROFILE%\AppData\Local\Temp\OnboardLogs"\RTDC4044\2016-09-06 --recursive &amp; "%USERPROFILE%\Documents\GitHub\mrs-test-scripts\Headless Mode &amp; Sideloading\WalkAndUnGZ.bat" "%USERPROFILE%\AppData\Local\Temp\OnboardLogs"\RTDC4044\2016-09-06 &amp; aws s3 cp s3://rtdc.mdm.uploadarchive/RTDC4044/2016-09-07/ "%USERPROFILE%\AppData\Local\Temp\OnboardLogs"\RTDC4044\2016-09-07 --recursive &amp; "%USERPROFILE%\Documents\GitHub\mrs-test-scripts\Headless Mode &amp; Sideloading\WalkAndUnGZ.bat" "%USERPROFILE%\AppData\Local\Temp\OnboardLogs"\RTDC4044\2016-09-07</v>
          </cell>
        </row>
        <row r="210">
          <cell r="A210" t="str">
            <v>904-05</v>
          </cell>
          <cell r="B210">
            <v>4037</v>
          </cell>
          <cell r="C210" t="str">
            <v>DE.1.0.7.0</v>
          </cell>
          <cell r="D210" t="str">
            <v>300:23510</v>
          </cell>
          <cell r="E210">
            <v>42618.638483796298</v>
          </cell>
          <cell r="F210">
            <v>42618.642326388886</v>
          </cell>
          <cell r="G210">
            <v>5</v>
          </cell>
          <cell r="H210" t="str">
            <v>204:649</v>
          </cell>
          <cell r="I210">
            <v>42618.648935185185</v>
          </cell>
          <cell r="J210">
            <v>0</v>
          </cell>
          <cell r="K210" t="str">
            <v>4037/4038</v>
          </cell>
          <cell r="L210" t="str">
            <v>COOLAHAN</v>
          </cell>
          <cell r="M210">
            <v>6.6087962986784987E-3</v>
          </cell>
          <cell r="N210">
            <v>9.5166666700970381</v>
          </cell>
          <cell r="S210">
            <v>1</v>
          </cell>
          <cell r="T210" t="str">
            <v>Southbound</v>
          </cell>
          <cell r="U210">
            <v>1</v>
          </cell>
          <cell r="V210" t="str">
            <v>https://search-rtdc-monitor-bjffxe2xuh6vdkpspy63sjmuny.us-east-1.es.amazonaws.com/_plugin/kibana/#/discover/Steve-Slow-Train-Analysis-(2080s-and-2083s)?_g=(refreshInterval:(display:Off,section:0,value:0),time:(from:'2016-09-05 14:19:25-0600',mode:absolute,to:'2016-09-05 16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210" t="str">
            <v>Y</v>
          </cell>
          <cell r="X210">
            <v>589</v>
          </cell>
          <cell r="Y210">
            <v>2.351</v>
          </cell>
          <cell r="Z210">
            <v>6.4899999999999999E-2</v>
          </cell>
          <cell r="AA210">
            <v>2.2860999999999998</v>
          </cell>
          <cell r="AB210" t="e">
            <v>#N/A</v>
          </cell>
          <cell r="AC210" t="e">
            <v>#N/A</v>
          </cell>
          <cell r="AD210" t="str">
            <v>0904-05</v>
          </cell>
          <cell r="AE210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211">
          <cell r="A211" t="str">
            <v>906-05</v>
          </cell>
          <cell r="B211">
            <v>4037</v>
          </cell>
          <cell r="C211" t="str">
            <v>DE.1.0.7.0</v>
          </cell>
          <cell r="D211" t="str">
            <v>300:58655</v>
          </cell>
          <cell r="E211">
            <v>42618.796956018516</v>
          </cell>
          <cell r="F211">
            <v>42618.797997685186</v>
          </cell>
          <cell r="G211">
            <v>1</v>
          </cell>
          <cell r="H211" t="str">
            <v>300:28782</v>
          </cell>
          <cell r="I211">
            <v>42618.803148148145</v>
          </cell>
          <cell r="J211">
            <v>0</v>
          </cell>
          <cell r="K211" t="str">
            <v>4037/4038</v>
          </cell>
          <cell r="L211" t="str">
            <v>COOLAHAN</v>
          </cell>
          <cell r="M211">
            <v>5.1504629591363482E-3</v>
          </cell>
          <cell r="N211">
            <v>7.4166666611563414</v>
          </cell>
          <cell r="S211">
            <v>0</v>
          </cell>
          <cell r="T211" t="str">
            <v>Southbound</v>
          </cell>
          <cell r="U211">
            <v>0</v>
          </cell>
          <cell r="V211" t="str">
            <v>https://search-rtdc-monitor-bjffxe2xuh6vdkpspy63sjmuny.us-east-1.es.amazonaws.com/_plugin/kibana/#/discover/Steve-Slow-Train-Analysis-(2080s-and-2083s)?_g=(refreshInterval:(display:Off,section:0,value:0),time:(from:'2016-09-05 18:07:37-0600',mode:absolute,to:'2016-09-05 20:16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    </cell>
          <cell r="W211" t="str">
            <v>Y</v>
          </cell>
          <cell r="X211">
            <v>2</v>
          </cell>
          <cell r="Y211">
            <v>5.8654999999999999</v>
          </cell>
          <cell r="Z211">
            <v>2.8782000000000001</v>
          </cell>
          <cell r="AA211">
            <v>2.9872999999999998</v>
          </cell>
          <cell r="AB211" t="e">
            <v>#N/A</v>
          </cell>
          <cell r="AC211" t="e">
            <v>#N/A</v>
          </cell>
          <cell r="AD211" t="str">
            <v>0906-05</v>
          </cell>
          <cell r="AE211" t="str">
    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    </cell>
        </row>
        <row r="212">
          <cell r="A212" t="str">
            <v>908-05</v>
          </cell>
          <cell r="B212">
            <v>4030</v>
          </cell>
          <cell r="C212" t="str">
            <v>DE.1.0.7.0</v>
          </cell>
          <cell r="D212" t="str">
            <v>300:58643</v>
          </cell>
          <cell r="E212">
            <v>42618.942627314813</v>
          </cell>
          <cell r="F212">
            <v>42618.943564814814</v>
          </cell>
          <cell r="G212">
            <v>1</v>
          </cell>
          <cell r="H212" t="str">
            <v>300:21282</v>
          </cell>
          <cell r="I212">
            <v>42618.95008101852</v>
          </cell>
          <cell r="J212">
            <v>0</v>
          </cell>
          <cell r="K212" t="str">
            <v>4029/4030</v>
          </cell>
          <cell r="L212" t="str">
            <v>COOLAHAN</v>
          </cell>
          <cell r="M212">
            <v>6.5162037062691525E-3</v>
          </cell>
          <cell r="N212">
            <v>9.3833333370275795</v>
          </cell>
          <cell r="S212">
            <v>0</v>
          </cell>
          <cell r="T212" t="str">
            <v>Southbound</v>
          </cell>
          <cell r="U212">
            <v>0</v>
          </cell>
          <cell r="V212" t="str">
            <v>https://search-rtdc-monitor-bjffxe2xuh6vdkpspy63sjmuny.us-east-1.es.amazonaws.com/_plugin/kibana/#/discover/Steve-Slow-Train-Analysis-(2080s-and-2083s)?_g=(refreshInterval:(display:Off,section:0,value:0),time:(from:'2016-09-05 21:37:23-0600',mode:absolute,to:'2016-09-05 23:48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    </cell>
          <cell r="W212" t="str">
            <v>Y</v>
          </cell>
          <cell r="X212">
            <v>2</v>
          </cell>
          <cell r="Y212">
            <v>5.8643000000000001</v>
          </cell>
          <cell r="Z212">
            <v>2.1282000000000001</v>
          </cell>
          <cell r="AA212">
            <v>3.7361</v>
          </cell>
          <cell r="AB212" t="e">
            <v>#N/A</v>
          </cell>
          <cell r="AC212" t="e">
            <v>#N/A</v>
          </cell>
          <cell r="AD212" t="str">
            <v>0908-05</v>
          </cell>
          <cell r="AE212" t="str">
    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    </cell>
        </row>
        <row r="213">
          <cell r="A213" t="str">
            <v>63-05</v>
          </cell>
          <cell r="B213">
            <v>4025</v>
          </cell>
          <cell r="C213" t="str">
            <v>DE.1.0.7.0</v>
          </cell>
          <cell r="D213" t="str">
            <v>204:1481</v>
          </cell>
          <cell r="E213">
            <v>42618.755324074074</v>
          </cell>
          <cell r="F213">
            <v>42618.757037037038</v>
          </cell>
          <cell r="G213">
            <v>2</v>
          </cell>
          <cell r="H213" t="str">
            <v>204:1840</v>
          </cell>
          <cell r="I213">
            <v>42618.773113425923</v>
          </cell>
          <cell r="J213">
            <v>0</v>
          </cell>
          <cell r="K213" t="str">
            <v>4025/4026</v>
          </cell>
          <cell r="L213" t="str">
            <v>DE LA ROSA</v>
          </cell>
          <cell r="M213">
            <v>1.6076388885267079E-2</v>
          </cell>
          <cell r="N213">
            <v>23.149999994784594</v>
          </cell>
          <cell r="S213">
            <v>0</v>
          </cell>
          <cell r="T213" t="e">
            <v>#VALUE!</v>
          </cell>
          <cell r="U213">
            <v>0</v>
          </cell>
          <cell r="V213" t="str">
            <v>https://search-rtdc-monitor-bjffxe2xuh6vdkpspy63sjmuny.us-east-1.es.amazonaws.com/_plugin/kibana/#/discover/Steve-Slow-Train-Analysis-(2080s-and-2083s)?_g=(refreshInterval:(display:Off,section:0,value:0),time:(from:'2016-09-05 17:07:40-0600',mode:absolute,to:'2016-09-05 19:33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    </cell>
          <cell r="W213" t="str">
            <v>Y</v>
          </cell>
          <cell r="X213" t="e">
            <v>#VALUE!</v>
          </cell>
          <cell r="Y213">
            <v>0.14810000000000001</v>
          </cell>
          <cell r="Z213">
            <v>0.184</v>
          </cell>
          <cell r="AA213">
            <v>3.5899999999999987E-2</v>
          </cell>
          <cell r="AB213" t="e">
            <v>#N/A</v>
          </cell>
          <cell r="AC213" t="e">
            <v>#N/A</v>
          </cell>
          <cell r="AD213" t="str">
            <v>63-05</v>
          </cell>
          <cell r="AE213" t="str">
            <v>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 &amp; 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</v>
          </cell>
        </row>
        <row r="214">
          <cell r="A214" t="str">
            <v>64-05</v>
          </cell>
          <cell r="B214">
            <v>4052</v>
          </cell>
          <cell r="C214" t="str">
            <v>DE.1.0.8.0.ENG1</v>
          </cell>
          <cell r="D214" t="str">
            <v>204:127813</v>
          </cell>
          <cell r="E214">
            <v>42619.092152777775</v>
          </cell>
          <cell r="F214">
            <v>42619.093576388892</v>
          </cell>
          <cell r="G214">
            <v>2</v>
          </cell>
          <cell r="H214" t="str">
            <v>204:10347</v>
          </cell>
          <cell r="I214">
            <v>42619.109780092593</v>
          </cell>
          <cell r="J214">
            <v>0</v>
          </cell>
          <cell r="K214" t="str">
            <v>4051/4052</v>
          </cell>
          <cell r="L214" t="b">
            <v>1</v>
          </cell>
          <cell r="M214">
            <v>1.6203703700739425E-2</v>
          </cell>
          <cell r="N214">
            <v>23.333333329064772</v>
          </cell>
          <cell r="S214">
            <v>0</v>
          </cell>
          <cell r="T214" t="e">
            <v>#VALUE!</v>
          </cell>
          <cell r="U214">
            <v>0</v>
          </cell>
          <cell r="V214" t="str">
            <v>https://search-rtdc-monitor-bjffxe2xuh6vdkpspy63sjmuny.us-east-1.es.amazonaws.com/_plugin/kibana/#/discover/Steve-Slow-Train-Analysis-(2080s-and-2083s)?_g=(refreshInterval:(display:Off,section:0,value:0),time:(from:'2016-09-06 01:12:42-0600',mode:absolute,to:'2016-09-06 03:38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    </cell>
          <cell r="W214" t="str">
            <v>N</v>
          </cell>
          <cell r="X214" t="e">
            <v>#VALUE!</v>
          </cell>
          <cell r="Y214">
            <v>12.7813</v>
          </cell>
          <cell r="Z214">
            <v>1.0347</v>
          </cell>
          <cell r="AA214">
            <v>11.746600000000001</v>
          </cell>
          <cell r="AB214" t="e">
            <v>#N/A</v>
          </cell>
          <cell r="AC214" t="e">
            <v>#N/A</v>
          </cell>
          <cell r="AD214" t="str">
            <v>64-05</v>
          </cell>
          <cell r="AE214" t="str">
            <v>aws s3 cp s3://rtdc.mdm.uploadarchive/RTDC4052/2016-09-06/ "%USERPROFILE%\AppData\Local\Temp\OnboardLogs"\RTDC4052\2016-09-06 --recursive &amp; "%USERPROFILE%\Documents\GitHub\mrs-test-scripts\Headless Mode &amp; Sideloading\WalkAndUnGZ.bat" "%USERPROFILE%\AppData\Local\Temp\OnboardLogs"\RTDC4052\2016-09-06 &amp; 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</v>
          </cell>
        </row>
        <row r="215">
          <cell r="A215" t="str">
            <v>65-05</v>
          </cell>
          <cell r="B215">
            <v>4051</v>
          </cell>
          <cell r="C215" t="str">
            <v>DE.1.0.8.0.ENG1</v>
          </cell>
          <cell r="D215" t="str">
            <v>204:10515</v>
          </cell>
          <cell r="E215">
            <v>42619.073425925926</v>
          </cell>
          <cell r="F215">
            <v>42619.074745370373</v>
          </cell>
          <cell r="G215">
            <v>1</v>
          </cell>
          <cell r="H215" t="str">
            <v>204:128079</v>
          </cell>
          <cell r="I215">
            <v>42619.090208333335</v>
          </cell>
          <cell r="J215">
            <v>0</v>
          </cell>
          <cell r="K215" t="str">
            <v>4051/4052</v>
          </cell>
          <cell r="L215" t="b">
            <v>1</v>
          </cell>
          <cell r="M215">
            <v>1.5462962961464655E-2</v>
          </cell>
          <cell r="N215">
            <v>22.266666664509103</v>
          </cell>
          <cell r="S215">
            <v>0</v>
          </cell>
          <cell r="T215" t="e">
            <v>#VALUE!</v>
          </cell>
          <cell r="U215">
            <v>0</v>
          </cell>
          <cell r="V215" t="str">
            <v>https://search-rtdc-monitor-bjffxe2xuh6vdkpspy63sjmuny.us-east-1.es.amazonaws.com/_plugin/kibana/#/discover/Steve-Slow-Train-Analysis-(2080s-and-2083s)?_g=(refreshInterval:(display:Off,section:0,value:0),time:(from:'2016-09-06 00:45:44-0600',mode:absolute,to:'2016-09-06 03:09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    </cell>
          <cell r="W215" t="str">
            <v>N</v>
          </cell>
          <cell r="X215" t="e">
            <v>#VALUE!</v>
          </cell>
          <cell r="Y215">
            <v>1.0515000000000001</v>
          </cell>
          <cell r="Z215">
            <v>12.8079</v>
          </cell>
          <cell r="AA215">
            <v>11.756399999999999</v>
          </cell>
          <cell r="AB215" t="e">
            <v>#N/A</v>
          </cell>
          <cell r="AC215" t="e">
            <v>#N/A</v>
          </cell>
          <cell r="AD215" t="str">
            <v>65-05</v>
          </cell>
          <cell r="AE215" t="str">
    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    </cell>
        </row>
        <row r="216">
          <cell r="A216" t="str">
            <v>65-05</v>
          </cell>
          <cell r="B216">
            <v>4051</v>
          </cell>
          <cell r="C216" t="str">
            <v>DE.1.0.8.0.ENG1</v>
          </cell>
          <cell r="D216" t="str">
            <v>204:10583</v>
          </cell>
          <cell r="E216">
            <v>42619.110497685186</v>
          </cell>
          <cell r="F216">
            <v>42619.111145833333</v>
          </cell>
          <cell r="G216">
            <v>0</v>
          </cell>
          <cell r="H216" t="str">
            <v>204:128131</v>
          </cell>
          <cell r="I216">
            <v>42619.126527777778</v>
          </cell>
          <cell r="J216">
            <v>0</v>
          </cell>
          <cell r="K216" t="str">
            <v>4051/4052</v>
          </cell>
          <cell r="L216" t="b">
            <v>1</v>
          </cell>
          <cell r="M216">
            <v>1.5381944445834961E-2</v>
          </cell>
          <cell r="N216">
            <v>22.150000002002344</v>
          </cell>
          <cell r="S216">
            <v>0</v>
          </cell>
          <cell r="T216" t="e">
            <v>#VALUE!</v>
          </cell>
          <cell r="U216">
            <v>0</v>
          </cell>
          <cell r="V216" t="str">
            <v>https://search-rtdc-monitor-bjffxe2xuh6vdkpspy63sjmuny.us-east-1.es.amazonaws.com/_plugin/kibana/#/discover/Steve-Slow-Train-Analysis-(2080s-and-2083s)?_g=(refreshInterval:(display:Off,section:0,value:0),time:(from:'2016-09-06 01:39:07-0600',mode:absolute,to:'2016-09-06 04:02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    </cell>
          <cell r="W216" t="str">
            <v>N</v>
          </cell>
          <cell r="X216" t="e">
            <v>#VALUE!</v>
          </cell>
          <cell r="Y216">
            <v>1.0583</v>
          </cell>
          <cell r="Z216">
            <v>12.8131</v>
          </cell>
          <cell r="AA216">
            <v>11.754799999999999</v>
          </cell>
          <cell r="AB216" t="e">
            <v>#N/A</v>
          </cell>
          <cell r="AC216" t="e">
            <v>#N/A</v>
          </cell>
          <cell r="AD216" t="str">
            <v>65-05</v>
          </cell>
          <cell r="AE216" t="str">
    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    </cell>
        </row>
        <row r="217">
          <cell r="A217" t="str">
            <v>65-05</v>
          </cell>
          <cell r="B217">
            <v>4051</v>
          </cell>
          <cell r="C217" t="str">
            <v>DE.1.0.8.0.ENG1</v>
          </cell>
          <cell r="D217" t="str">
            <v>204:1535</v>
          </cell>
          <cell r="E217">
            <v>42619.06585648148</v>
          </cell>
          <cell r="F217">
            <v>42619.067777777775</v>
          </cell>
          <cell r="G217">
            <v>2</v>
          </cell>
          <cell r="H217" t="str">
            <v>204:1835</v>
          </cell>
          <cell r="I217">
            <v>42619.069374999999</v>
          </cell>
          <cell r="J217">
            <v>0</v>
          </cell>
          <cell r="K217" t="str">
            <v>4051/4052</v>
          </cell>
          <cell r="L217" t="b">
            <v>1</v>
          </cell>
          <cell r="M217">
            <v>1.5972222245181911E-3</v>
          </cell>
          <cell r="N217">
            <v>2.3000000033061951</v>
          </cell>
          <cell r="S217">
            <v>0</v>
          </cell>
          <cell r="T217" t="e">
            <v>#VALUE!</v>
          </cell>
          <cell r="U217">
            <v>0</v>
          </cell>
          <cell r="V217" t="str">
            <v>https://search-rtdc-monitor-bjffxe2xuh6vdkpspy63sjmuny.us-east-1.es.amazonaws.com/_plugin/kibana/#/discover/Steve-Slow-Train-Analysis-(2080s-and-2083s)?_g=(refreshInterval:(display:Off,section:0,value:0),time:(from:'2016-09-06 00:34:50-0600',mode:absolute,to:'2016-09-06 02:39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    </cell>
          <cell r="W217" t="str">
            <v>Y</v>
          </cell>
          <cell r="X217" t="e">
            <v>#VALUE!</v>
          </cell>
          <cell r="Y217">
            <v>0.1535</v>
          </cell>
          <cell r="Z217">
            <v>0.1835</v>
          </cell>
          <cell r="AA217">
            <v>0.03</v>
          </cell>
          <cell r="AB217" t="e">
            <v>#N/A</v>
          </cell>
          <cell r="AC217" t="e">
            <v>#N/A</v>
          </cell>
          <cell r="AD217" t="str">
            <v>65-05</v>
          </cell>
          <cell r="AE217" t="str">
    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    </cell>
        </row>
      </sheetData>
      <sheetData sheetId="1" refreshError="1"/>
      <sheetData sheetId="2" refreshError="1"/>
      <sheetData sheetId="3">
        <row r="1">
          <cell r="C1" t="str">
            <v>Train ID</v>
          </cell>
          <cell r="D1" t="str">
            <v>Employee Identifier</v>
          </cell>
          <cell r="E1" t="str">
            <v>Employee Last Name</v>
          </cell>
        </row>
        <row r="2">
          <cell r="C2" t="str">
            <v>242-04</v>
          </cell>
          <cell r="D2">
            <v>1810000</v>
          </cell>
          <cell r="E2" t="str">
            <v>NEWELL</v>
          </cell>
        </row>
        <row r="3">
          <cell r="C3" t="str">
            <v>242-04</v>
          </cell>
          <cell r="D3">
            <v>1810000</v>
          </cell>
          <cell r="E3" t="str">
            <v>NEWELL</v>
          </cell>
        </row>
        <row r="4">
          <cell r="C4" t="str">
            <v>311-04</v>
          </cell>
          <cell r="D4">
            <v>1290000</v>
          </cell>
          <cell r="E4" t="str">
            <v>COOLAHAN</v>
          </cell>
        </row>
        <row r="5">
          <cell r="C5" t="str">
            <v>242-04</v>
          </cell>
          <cell r="D5">
            <v>1810000</v>
          </cell>
          <cell r="E5" t="str">
            <v>NEWELL</v>
          </cell>
        </row>
        <row r="6">
          <cell r="C6" t="str">
            <v>244-04</v>
          </cell>
          <cell r="D6">
            <v>1800000</v>
          </cell>
          <cell r="E6" t="str">
            <v>CHANDLER</v>
          </cell>
        </row>
        <row r="7">
          <cell r="C7" t="str">
            <v>313-04</v>
          </cell>
          <cell r="D7">
            <v>1810000</v>
          </cell>
          <cell r="E7" t="str">
            <v>NEWELL</v>
          </cell>
        </row>
        <row r="8">
          <cell r="C8" t="str">
            <v>313-04</v>
          </cell>
          <cell r="D8">
            <v>1810000</v>
          </cell>
          <cell r="E8" t="str">
            <v>NEWELL</v>
          </cell>
        </row>
        <row r="9">
          <cell r="C9" t="str">
            <v>315-04</v>
          </cell>
          <cell r="D9">
            <v>1800000</v>
          </cell>
          <cell r="E9" t="str">
            <v>CHANDLER</v>
          </cell>
        </row>
        <row r="10">
          <cell r="C10" t="str">
            <v>101-05</v>
          </cell>
          <cell r="D10">
            <v>2030000</v>
          </cell>
          <cell r="E10" t="str">
            <v>KILLION</v>
          </cell>
        </row>
        <row r="11">
          <cell r="C11" t="str">
            <v>103-05</v>
          </cell>
          <cell r="D11">
            <v>1260000</v>
          </cell>
          <cell r="E11" t="str">
            <v>ACKERMAN</v>
          </cell>
        </row>
        <row r="12">
          <cell r="C12" t="str">
            <v>102-05</v>
          </cell>
          <cell r="D12">
            <v>2030000</v>
          </cell>
          <cell r="E12" t="str">
            <v>KILLION</v>
          </cell>
        </row>
        <row r="13">
          <cell r="C13" t="str">
            <v>105-05</v>
          </cell>
          <cell r="D13">
            <v>1190000</v>
          </cell>
          <cell r="E13" t="str">
            <v>BRANNON</v>
          </cell>
        </row>
        <row r="14">
          <cell r="C14" t="str">
            <v>107-05</v>
          </cell>
          <cell r="D14">
            <v>1090000</v>
          </cell>
          <cell r="E14" t="str">
            <v>SPECTOR</v>
          </cell>
        </row>
        <row r="15">
          <cell r="C15" t="str">
            <v>109-05</v>
          </cell>
          <cell r="D15">
            <v>1830000</v>
          </cell>
          <cell r="E15" t="str">
            <v>YORK</v>
          </cell>
        </row>
        <row r="16">
          <cell r="C16" t="str">
            <v>104-05</v>
          </cell>
          <cell r="D16">
            <v>1260000</v>
          </cell>
          <cell r="E16" t="str">
            <v>ACKERMAN</v>
          </cell>
        </row>
        <row r="17">
          <cell r="C17" t="str">
            <v>111-05</v>
          </cell>
          <cell r="D17">
            <v>1110000</v>
          </cell>
          <cell r="E17" t="str">
            <v>STARKS</v>
          </cell>
        </row>
        <row r="18">
          <cell r="C18" t="str">
            <v>113-05</v>
          </cell>
          <cell r="D18">
            <v>2030000</v>
          </cell>
          <cell r="E18" t="str">
            <v>KILLION</v>
          </cell>
        </row>
        <row r="19">
          <cell r="C19" t="str">
            <v>800-05</v>
          </cell>
          <cell r="D19">
            <v>1990000</v>
          </cell>
          <cell r="E19" t="str">
            <v>DAVIS</v>
          </cell>
        </row>
        <row r="20">
          <cell r="C20" t="str">
            <v>106-05</v>
          </cell>
          <cell r="D20">
            <v>1190000</v>
          </cell>
          <cell r="E20" t="str">
            <v>BRANNON</v>
          </cell>
        </row>
        <row r="21">
          <cell r="C21" t="str">
            <v>110-05</v>
          </cell>
          <cell r="D21">
            <v>1830000</v>
          </cell>
          <cell r="E21" t="str">
            <v>YORK</v>
          </cell>
        </row>
        <row r="22">
          <cell r="C22" t="str">
            <v>108-05</v>
          </cell>
          <cell r="D22">
            <v>1090000</v>
          </cell>
          <cell r="E22" t="str">
            <v>SPECTOR</v>
          </cell>
        </row>
        <row r="23">
          <cell r="C23" t="str">
            <v>115-05</v>
          </cell>
          <cell r="D23">
            <v>1310000</v>
          </cell>
          <cell r="E23" t="str">
            <v>MALAVE</v>
          </cell>
        </row>
        <row r="24">
          <cell r="C24" t="str">
            <v>117-05</v>
          </cell>
          <cell r="D24">
            <v>1260000</v>
          </cell>
          <cell r="E24" t="str">
            <v>ACKERMAN</v>
          </cell>
        </row>
        <row r="25">
          <cell r="C25" t="str">
            <v>801-05</v>
          </cell>
          <cell r="D25">
            <v>1990000</v>
          </cell>
          <cell r="E25" t="str">
            <v>DAVIS</v>
          </cell>
        </row>
        <row r="26">
          <cell r="C26" t="str">
            <v>112-05</v>
          </cell>
          <cell r="D26">
            <v>1110000</v>
          </cell>
          <cell r="E26" t="str">
            <v>STARKS</v>
          </cell>
        </row>
        <row r="27">
          <cell r="C27" t="str">
            <v>119-05</v>
          </cell>
          <cell r="D27">
            <v>1190000</v>
          </cell>
          <cell r="E27" t="str">
            <v>BRANNON</v>
          </cell>
        </row>
        <row r="28">
          <cell r="C28" t="str">
            <v>114-05</v>
          </cell>
          <cell r="D28">
            <v>2030000</v>
          </cell>
          <cell r="E28" t="str">
            <v>KILLION</v>
          </cell>
        </row>
        <row r="29">
          <cell r="C29" t="str">
            <v>802-05</v>
          </cell>
          <cell r="D29">
            <v>1990000</v>
          </cell>
          <cell r="E29" t="str">
            <v>DAVIS</v>
          </cell>
        </row>
        <row r="30">
          <cell r="C30" t="str">
            <v>121-05</v>
          </cell>
          <cell r="D30">
            <v>1090000</v>
          </cell>
          <cell r="E30" t="str">
            <v>SPECTOR</v>
          </cell>
        </row>
        <row r="31">
          <cell r="C31" t="str">
            <v>803-05</v>
          </cell>
          <cell r="D31">
            <v>900000</v>
          </cell>
          <cell r="E31" t="str">
            <v>ROCHA</v>
          </cell>
        </row>
        <row r="32">
          <cell r="C32" t="str">
            <v>803-05</v>
          </cell>
          <cell r="D32">
            <v>900000</v>
          </cell>
          <cell r="E32" t="str">
            <v>ROCHA</v>
          </cell>
        </row>
        <row r="33">
          <cell r="C33" t="str">
            <v>123-05</v>
          </cell>
          <cell r="D33">
            <v>1830000</v>
          </cell>
          <cell r="E33" t="str">
            <v>YORK</v>
          </cell>
        </row>
        <row r="34">
          <cell r="C34" t="str">
            <v>116-05</v>
          </cell>
          <cell r="D34">
            <v>1310000</v>
          </cell>
          <cell r="E34" t="str">
            <v>MALAVE</v>
          </cell>
        </row>
        <row r="35">
          <cell r="C35" t="str">
            <v>118-05</v>
          </cell>
          <cell r="D35">
            <v>1260000</v>
          </cell>
          <cell r="E35" t="str">
            <v>ACKERMAN</v>
          </cell>
        </row>
        <row r="36">
          <cell r="C36" t="str">
            <v>804-05</v>
          </cell>
          <cell r="D36">
            <v>900000</v>
          </cell>
          <cell r="E36" t="str">
            <v>ROCHA</v>
          </cell>
        </row>
        <row r="37">
          <cell r="C37" t="str">
            <v>125-05</v>
          </cell>
          <cell r="D37">
            <v>1110000</v>
          </cell>
          <cell r="E37" t="str">
            <v>STARKS</v>
          </cell>
        </row>
        <row r="38">
          <cell r="C38" t="str">
            <v>120-05</v>
          </cell>
          <cell r="D38">
            <v>1190000</v>
          </cell>
          <cell r="E38" t="str">
            <v>BRANNON</v>
          </cell>
        </row>
        <row r="39">
          <cell r="C39" t="str">
            <v>805-05</v>
          </cell>
          <cell r="D39">
            <v>1990000</v>
          </cell>
          <cell r="E39" t="str">
            <v>DAVIS</v>
          </cell>
        </row>
        <row r="40">
          <cell r="C40" t="str">
            <v>127-05</v>
          </cell>
          <cell r="D40">
            <v>2030000</v>
          </cell>
          <cell r="E40" t="str">
            <v>KILLION</v>
          </cell>
        </row>
        <row r="41">
          <cell r="C41" t="str">
            <v>122-05</v>
          </cell>
          <cell r="D41">
            <v>1090000</v>
          </cell>
          <cell r="E41" t="str">
            <v>SPECTOR</v>
          </cell>
        </row>
        <row r="42">
          <cell r="C42" t="str">
            <v>806-05</v>
          </cell>
          <cell r="D42">
            <v>1990000</v>
          </cell>
          <cell r="E42" t="str">
            <v>DAVIS</v>
          </cell>
        </row>
        <row r="43">
          <cell r="C43" t="str">
            <v>124-05</v>
          </cell>
          <cell r="D43">
            <v>1830000</v>
          </cell>
          <cell r="E43" t="str">
            <v>YORK</v>
          </cell>
        </row>
        <row r="44">
          <cell r="C44" t="str">
            <v>129-05</v>
          </cell>
          <cell r="D44">
            <v>1310000</v>
          </cell>
          <cell r="E44" t="str">
            <v>MALAVE</v>
          </cell>
        </row>
        <row r="45">
          <cell r="C45" t="str">
            <v>807-05</v>
          </cell>
          <cell r="D45">
            <v>900000</v>
          </cell>
          <cell r="E45" t="str">
            <v>ROCHA</v>
          </cell>
        </row>
        <row r="46">
          <cell r="C46" t="str">
            <v>131-05</v>
          </cell>
          <cell r="D46">
            <v>1260000</v>
          </cell>
          <cell r="E46" t="str">
            <v>ACKERMAN</v>
          </cell>
        </row>
        <row r="47">
          <cell r="C47" t="str">
            <v>807-05</v>
          </cell>
          <cell r="D47">
            <v>900000</v>
          </cell>
          <cell r="E47" t="str">
            <v>ROCHA</v>
          </cell>
        </row>
        <row r="48">
          <cell r="C48" t="str">
            <v>133-05</v>
          </cell>
          <cell r="D48">
            <v>1190000</v>
          </cell>
          <cell r="E48" t="str">
            <v>BRANNON</v>
          </cell>
        </row>
        <row r="49">
          <cell r="C49" t="str">
            <v>126-05</v>
          </cell>
          <cell r="D49">
            <v>1110000</v>
          </cell>
          <cell r="E49" t="str">
            <v>STARKS</v>
          </cell>
        </row>
        <row r="50">
          <cell r="C50" t="str">
            <v>808-05</v>
          </cell>
          <cell r="D50">
            <v>900000</v>
          </cell>
          <cell r="E50" t="str">
            <v>ROCHA</v>
          </cell>
        </row>
        <row r="51">
          <cell r="C51" t="str">
            <v>128-05</v>
          </cell>
          <cell r="D51">
            <v>2030000</v>
          </cell>
          <cell r="E51" t="str">
            <v>KILLION</v>
          </cell>
        </row>
        <row r="52">
          <cell r="C52" t="str">
            <v>809-05</v>
          </cell>
          <cell r="D52">
            <v>1990000</v>
          </cell>
          <cell r="E52" t="str">
            <v>DAVIS</v>
          </cell>
        </row>
        <row r="53">
          <cell r="C53" t="str">
            <v>135-05</v>
          </cell>
          <cell r="D53">
            <v>1090000</v>
          </cell>
          <cell r="E53" t="str">
            <v>SPECTOR</v>
          </cell>
        </row>
        <row r="54">
          <cell r="C54" t="str">
            <v>137-05</v>
          </cell>
          <cell r="D54">
            <v>1830000</v>
          </cell>
          <cell r="E54" t="str">
            <v>YORK</v>
          </cell>
        </row>
        <row r="55">
          <cell r="C55" t="str">
            <v>810-05</v>
          </cell>
          <cell r="D55">
            <v>1990000</v>
          </cell>
          <cell r="E55" t="str">
            <v>DAVIS</v>
          </cell>
        </row>
        <row r="56">
          <cell r="C56" t="str">
            <v>130-05</v>
          </cell>
          <cell r="D56">
            <v>1310000</v>
          </cell>
          <cell r="E56" t="str">
            <v>MALAVE</v>
          </cell>
        </row>
        <row r="57">
          <cell r="C57" t="str">
            <v>132-05</v>
          </cell>
          <cell r="D57">
            <v>1260000</v>
          </cell>
          <cell r="E57" t="str">
            <v>ACKERMAN</v>
          </cell>
        </row>
        <row r="58">
          <cell r="C58" t="str">
            <v>811-05</v>
          </cell>
          <cell r="D58">
            <v>900000</v>
          </cell>
          <cell r="E58" t="str">
            <v>ROCHA</v>
          </cell>
        </row>
        <row r="59">
          <cell r="C59" t="str">
            <v>126-05</v>
          </cell>
          <cell r="D59">
            <v>1110000</v>
          </cell>
          <cell r="E59" t="str">
            <v>STARKS</v>
          </cell>
        </row>
        <row r="60">
          <cell r="C60" t="str">
            <v>139-05</v>
          </cell>
          <cell r="D60">
            <v>1110000</v>
          </cell>
          <cell r="E60" t="str">
            <v>STARKS</v>
          </cell>
        </row>
        <row r="61">
          <cell r="C61" t="str">
            <v>134-05</v>
          </cell>
          <cell r="D61">
            <v>1190000</v>
          </cell>
          <cell r="E61" t="str">
            <v>BRANNON</v>
          </cell>
        </row>
        <row r="62">
          <cell r="C62" t="str">
            <v>812-05</v>
          </cell>
          <cell r="D62">
            <v>900000</v>
          </cell>
          <cell r="E62" t="str">
            <v>ROCHA</v>
          </cell>
        </row>
        <row r="63">
          <cell r="C63" t="str">
            <v>141-05</v>
          </cell>
          <cell r="D63">
            <v>2030000</v>
          </cell>
          <cell r="E63" t="str">
            <v>KILLION</v>
          </cell>
        </row>
        <row r="64">
          <cell r="C64" t="str">
            <v>136-05</v>
          </cell>
          <cell r="D64">
            <v>1090000</v>
          </cell>
          <cell r="E64" t="str">
            <v>SPECTOR</v>
          </cell>
        </row>
        <row r="65">
          <cell r="C65" t="str">
            <v>138-05</v>
          </cell>
          <cell r="D65">
            <v>1830000</v>
          </cell>
          <cell r="E65" t="str">
            <v>YORK</v>
          </cell>
        </row>
        <row r="66">
          <cell r="C66" t="str">
            <v>143-05</v>
          </cell>
          <cell r="D66">
            <v>1310000</v>
          </cell>
          <cell r="E66" t="str">
            <v>MALAVE</v>
          </cell>
        </row>
        <row r="67">
          <cell r="C67" t="str">
            <v>145-05</v>
          </cell>
          <cell r="D67">
            <v>1260000</v>
          </cell>
          <cell r="E67" t="str">
            <v>ACKERMAN</v>
          </cell>
        </row>
        <row r="68">
          <cell r="C68" t="str">
            <v>140-05</v>
          </cell>
          <cell r="D68">
            <v>1110000</v>
          </cell>
          <cell r="E68" t="str">
            <v>STARKS</v>
          </cell>
        </row>
        <row r="69">
          <cell r="C69" t="str">
            <v>813-05</v>
          </cell>
          <cell r="D69">
            <v>900000</v>
          </cell>
          <cell r="E69" t="str">
            <v>ROCHA</v>
          </cell>
        </row>
        <row r="70">
          <cell r="C70" t="str">
            <v>147-05</v>
          </cell>
          <cell r="D70">
            <v>1190000</v>
          </cell>
          <cell r="E70" t="str">
            <v>BRANNON</v>
          </cell>
        </row>
        <row r="71">
          <cell r="C71" t="str">
            <v>142-05</v>
          </cell>
          <cell r="D71">
            <v>2030000</v>
          </cell>
          <cell r="E71" t="str">
            <v>KILLION</v>
          </cell>
        </row>
        <row r="72">
          <cell r="C72" t="str">
            <v>814-05</v>
          </cell>
          <cell r="D72">
            <v>900000</v>
          </cell>
          <cell r="E72" t="str">
            <v>ROCHA</v>
          </cell>
        </row>
        <row r="73">
          <cell r="C73" t="str">
            <v>149-05</v>
          </cell>
          <cell r="D73">
            <v>1090000</v>
          </cell>
          <cell r="E73" t="str">
            <v>SPECTOR</v>
          </cell>
        </row>
        <row r="74">
          <cell r="C74" t="str">
            <v>151-05</v>
          </cell>
          <cell r="D74">
            <v>1830000</v>
          </cell>
          <cell r="E74" t="str">
            <v>YORK</v>
          </cell>
        </row>
        <row r="75">
          <cell r="C75" t="str">
            <v>144-05</v>
          </cell>
          <cell r="D75">
            <v>1310000</v>
          </cell>
          <cell r="E75" t="str">
            <v>MALAVE</v>
          </cell>
        </row>
        <row r="76">
          <cell r="C76" t="str">
            <v>146-05</v>
          </cell>
          <cell r="D76">
            <v>1260000</v>
          </cell>
          <cell r="E76" t="str">
            <v>ACKERMAN</v>
          </cell>
        </row>
        <row r="77">
          <cell r="C77" t="str">
            <v>153-05</v>
          </cell>
          <cell r="D77">
            <v>1110000</v>
          </cell>
          <cell r="E77" t="str">
            <v>STARKS</v>
          </cell>
        </row>
        <row r="78">
          <cell r="C78" t="str">
            <v>148-05</v>
          </cell>
          <cell r="D78">
            <v>1190000</v>
          </cell>
          <cell r="E78" t="str">
            <v>BRANNON</v>
          </cell>
        </row>
        <row r="79">
          <cell r="C79" t="str">
            <v>815-05</v>
          </cell>
          <cell r="D79">
            <v>900000</v>
          </cell>
          <cell r="E79" t="str">
            <v>ROCHA</v>
          </cell>
        </row>
        <row r="80">
          <cell r="C80" t="str">
            <v>155-05</v>
          </cell>
          <cell r="D80">
            <v>1990000</v>
          </cell>
          <cell r="E80" t="str">
            <v>DAVIS</v>
          </cell>
        </row>
        <row r="81">
          <cell r="C81" t="str">
            <v>150-05</v>
          </cell>
          <cell r="D81">
            <v>1090000</v>
          </cell>
          <cell r="E81" t="str">
            <v>SPECTOR</v>
          </cell>
        </row>
        <row r="82">
          <cell r="C82" t="str">
            <v>152-05</v>
          </cell>
          <cell r="D82">
            <v>1830000</v>
          </cell>
          <cell r="E82" t="str">
            <v>YORK</v>
          </cell>
        </row>
        <row r="83">
          <cell r="C83" t="str">
            <v>816-05</v>
          </cell>
          <cell r="D83">
            <v>900000</v>
          </cell>
          <cell r="E83" t="str">
            <v>ROCHA</v>
          </cell>
        </row>
        <row r="84">
          <cell r="C84" t="str">
            <v>157-05</v>
          </cell>
          <cell r="D84">
            <v>1310000</v>
          </cell>
          <cell r="E84" t="str">
            <v>MALAVE</v>
          </cell>
        </row>
        <row r="85">
          <cell r="C85" t="str">
            <v>159-05</v>
          </cell>
          <cell r="D85">
            <v>880000</v>
          </cell>
          <cell r="E85" t="str">
            <v>STEWART</v>
          </cell>
        </row>
        <row r="86">
          <cell r="C86" t="str">
            <v>154-05</v>
          </cell>
          <cell r="D86">
            <v>1110000</v>
          </cell>
          <cell r="E86" t="str">
            <v>STARKS</v>
          </cell>
        </row>
        <row r="87">
          <cell r="C87" t="str">
            <v>161-05</v>
          </cell>
          <cell r="D87">
            <v>1280000</v>
          </cell>
          <cell r="E87" t="str">
            <v>BARTLETT</v>
          </cell>
        </row>
        <row r="88">
          <cell r="C88" t="str">
            <v>817-05</v>
          </cell>
          <cell r="D88">
            <v>900000</v>
          </cell>
          <cell r="E88" t="str">
            <v>ROCHA</v>
          </cell>
        </row>
        <row r="89">
          <cell r="C89" t="str">
            <v>156-05</v>
          </cell>
          <cell r="D89">
            <v>1990000</v>
          </cell>
          <cell r="E89" t="str">
            <v>DAVIS</v>
          </cell>
        </row>
        <row r="90">
          <cell r="C90" t="str">
            <v>163-05</v>
          </cell>
          <cell r="D90">
            <v>940000</v>
          </cell>
          <cell r="E90" t="str">
            <v>BONDS</v>
          </cell>
        </row>
        <row r="91">
          <cell r="C91" t="str">
            <v>818-05</v>
          </cell>
          <cell r="D91">
            <v>900000</v>
          </cell>
          <cell r="E91" t="str">
            <v>ROCHA</v>
          </cell>
        </row>
        <row r="92">
          <cell r="C92" t="str">
            <v>158-05</v>
          </cell>
          <cell r="D92">
            <v>1310000</v>
          </cell>
          <cell r="E92" t="str">
            <v>MALAVE</v>
          </cell>
        </row>
        <row r="93">
          <cell r="C93" t="str">
            <v>165-05</v>
          </cell>
          <cell r="D93">
            <v>930000</v>
          </cell>
          <cell r="E93" t="str">
            <v>CLARK</v>
          </cell>
        </row>
        <row r="94">
          <cell r="C94" t="str">
            <v>160-05</v>
          </cell>
          <cell r="D94">
            <v>880000</v>
          </cell>
          <cell r="E94" t="str">
            <v>STEWART</v>
          </cell>
        </row>
        <row r="95">
          <cell r="C95" t="str">
            <v>162-05</v>
          </cell>
          <cell r="D95">
            <v>1280000</v>
          </cell>
          <cell r="E95" t="str">
            <v>BARTLETT</v>
          </cell>
        </row>
        <row r="96">
          <cell r="C96" t="str">
            <v>167-05</v>
          </cell>
          <cell r="D96">
            <v>1140000</v>
          </cell>
          <cell r="E96" t="str">
            <v>YOUNG</v>
          </cell>
        </row>
        <row r="97">
          <cell r="C97" t="str">
            <v>169-05</v>
          </cell>
          <cell r="D97">
            <v>1540000</v>
          </cell>
          <cell r="E97" t="str">
            <v>HELVIE</v>
          </cell>
        </row>
        <row r="98">
          <cell r="C98" t="str">
            <v>164-05</v>
          </cell>
          <cell r="D98">
            <v>940000</v>
          </cell>
          <cell r="E98" t="str">
            <v>BONDS</v>
          </cell>
        </row>
        <row r="99">
          <cell r="C99" t="str">
            <v>819-05</v>
          </cell>
          <cell r="D99">
            <v>900000</v>
          </cell>
          <cell r="E99" t="str">
            <v>ROCHA</v>
          </cell>
        </row>
        <row r="100">
          <cell r="C100" t="str">
            <v>171-05</v>
          </cell>
          <cell r="D100">
            <v>2020000</v>
          </cell>
          <cell r="E100" t="str">
            <v>SHOOK</v>
          </cell>
        </row>
        <row r="101">
          <cell r="C101" t="str">
            <v>166-05</v>
          </cell>
          <cell r="D101">
            <v>930000</v>
          </cell>
          <cell r="E101" t="str">
            <v>CLARK</v>
          </cell>
        </row>
        <row r="102">
          <cell r="C102" t="str">
            <v>820-05</v>
          </cell>
          <cell r="D102">
            <v>900000</v>
          </cell>
          <cell r="E102" t="str">
            <v>ROCHA</v>
          </cell>
        </row>
        <row r="103">
          <cell r="C103" t="str">
            <v>173-05</v>
          </cell>
          <cell r="D103">
            <v>880000</v>
          </cell>
          <cell r="E103" t="str">
            <v>STEWART</v>
          </cell>
        </row>
        <row r="104">
          <cell r="C104" t="str">
            <v>168-05</v>
          </cell>
          <cell r="D104">
            <v>1140000</v>
          </cell>
          <cell r="E104" t="str">
            <v>YOUNG</v>
          </cell>
        </row>
        <row r="105">
          <cell r="C105" t="str">
            <v>175-05</v>
          </cell>
          <cell r="D105">
            <v>1280000</v>
          </cell>
          <cell r="E105" t="str">
            <v>BARTLETT</v>
          </cell>
        </row>
        <row r="106">
          <cell r="C106" t="str">
            <v>170-05</v>
          </cell>
          <cell r="D106">
            <v>1540000</v>
          </cell>
          <cell r="E106" t="str">
            <v>HELVIE</v>
          </cell>
        </row>
        <row r="107">
          <cell r="C107" t="str">
            <v>177-05</v>
          </cell>
          <cell r="D107">
            <v>940000</v>
          </cell>
          <cell r="E107" t="str">
            <v>BONDS</v>
          </cell>
        </row>
        <row r="108">
          <cell r="C108" t="str">
            <v>821-05</v>
          </cell>
          <cell r="D108">
            <v>1770000</v>
          </cell>
          <cell r="E108" t="str">
            <v>BRUDER</v>
          </cell>
        </row>
        <row r="109">
          <cell r="C109" t="str">
            <v>172-05</v>
          </cell>
          <cell r="D109">
            <v>2020000</v>
          </cell>
          <cell r="E109" t="str">
            <v>SHOOK</v>
          </cell>
        </row>
        <row r="110">
          <cell r="C110" t="str">
            <v>179-05</v>
          </cell>
          <cell r="D110">
            <v>930000</v>
          </cell>
          <cell r="E110" t="str">
            <v>CLARK</v>
          </cell>
        </row>
        <row r="111">
          <cell r="C111" t="str">
            <v>822-05</v>
          </cell>
          <cell r="D111">
            <v>1770000</v>
          </cell>
          <cell r="E111" t="str">
            <v>BRUDER</v>
          </cell>
        </row>
        <row r="112">
          <cell r="C112" t="str">
            <v>174-05</v>
          </cell>
          <cell r="D112">
            <v>880000</v>
          </cell>
          <cell r="E112" t="str">
            <v>STEWART</v>
          </cell>
        </row>
        <row r="113">
          <cell r="C113" t="str">
            <v>181-05</v>
          </cell>
          <cell r="D113">
            <v>1140000</v>
          </cell>
          <cell r="E113" t="str">
            <v>YOUNG</v>
          </cell>
        </row>
        <row r="114">
          <cell r="C114" t="str">
            <v>176-05</v>
          </cell>
          <cell r="D114">
            <v>1280000</v>
          </cell>
          <cell r="E114" t="str">
            <v>BARTLETT</v>
          </cell>
        </row>
        <row r="115">
          <cell r="C115" t="str">
            <v>183-05</v>
          </cell>
          <cell r="D115">
            <v>1540000</v>
          </cell>
          <cell r="E115" t="str">
            <v>HELVIE</v>
          </cell>
        </row>
        <row r="116">
          <cell r="C116" t="str">
            <v>178-05</v>
          </cell>
          <cell r="D116">
            <v>940000</v>
          </cell>
          <cell r="E116" t="str">
            <v>BONDS</v>
          </cell>
        </row>
        <row r="117">
          <cell r="C117" t="str">
            <v>185-05</v>
          </cell>
          <cell r="D117">
            <v>2020000</v>
          </cell>
          <cell r="E117" t="str">
            <v>SHOOK</v>
          </cell>
        </row>
        <row r="118">
          <cell r="C118" t="str">
            <v>822-05</v>
          </cell>
          <cell r="D118">
            <v>1770000</v>
          </cell>
          <cell r="E118" t="str">
            <v>BRUDER</v>
          </cell>
        </row>
        <row r="119">
          <cell r="C119" t="str">
            <v>823-05</v>
          </cell>
          <cell r="D119">
            <v>1770000</v>
          </cell>
          <cell r="E119" t="str">
            <v>BRUDER</v>
          </cell>
        </row>
        <row r="120">
          <cell r="C120" t="str">
            <v>180-05</v>
          </cell>
          <cell r="D120">
            <v>930000</v>
          </cell>
          <cell r="E120" t="str">
            <v>CLARK</v>
          </cell>
        </row>
        <row r="121">
          <cell r="C121" t="str">
            <v>187-05</v>
          </cell>
          <cell r="D121">
            <v>880000</v>
          </cell>
          <cell r="E121" t="str">
            <v>STEWART</v>
          </cell>
        </row>
        <row r="122">
          <cell r="C122" t="str">
            <v>182-05</v>
          </cell>
          <cell r="D122">
            <v>1140000</v>
          </cell>
          <cell r="E122" t="str">
            <v>YOUNG</v>
          </cell>
        </row>
        <row r="123">
          <cell r="C123" t="str">
            <v>824-05</v>
          </cell>
          <cell r="D123">
            <v>1770000</v>
          </cell>
          <cell r="E123" t="str">
            <v>BRUDER</v>
          </cell>
        </row>
        <row r="124">
          <cell r="C124" t="str">
            <v>189-05</v>
          </cell>
          <cell r="D124">
            <v>1280000</v>
          </cell>
          <cell r="E124" t="str">
            <v>BARTLETT</v>
          </cell>
        </row>
        <row r="125">
          <cell r="C125" t="str">
            <v>184-05</v>
          </cell>
          <cell r="D125">
            <v>1540000</v>
          </cell>
          <cell r="E125" t="str">
            <v>HELVIE</v>
          </cell>
        </row>
        <row r="126">
          <cell r="C126" t="str">
            <v>191-05</v>
          </cell>
          <cell r="D126">
            <v>940000</v>
          </cell>
          <cell r="E126" t="str">
            <v>BONDS</v>
          </cell>
        </row>
        <row r="127">
          <cell r="C127" t="str">
            <v>186-05</v>
          </cell>
          <cell r="D127">
            <v>2020000</v>
          </cell>
          <cell r="E127" t="str">
            <v>SHOOK</v>
          </cell>
        </row>
        <row r="128">
          <cell r="C128" t="str">
            <v>193-05</v>
          </cell>
          <cell r="D128">
            <v>930000</v>
          </cell>
          <cell r="E128" t="str">
            <v>CLARK</v>
          </cell>
        </row>
        <row r="129">
          <cell r="C129" t="str">
            <v>825-05</v>
          </cell>
          <cell r="D129">
            <v>1770000</v>
          </cell>
          <cell r="E129" t="str">
            <v>BRUDER</v>
          </cell>
        </row>
        <row r="130">
          <cell r="C130" t="str">
            <v>904-05</v>
          </cell>
          <cell r="D130">
            <v>1290000</v>
          </cell>
          <cell r="E130" t="str">
            <v>COOLAHAN</v>
          </cell>
        </row>
        <row r="131">
          <cell r="C131" t="str">
            <v>188-05</v>
          </cell>
          <cell r="D131">
            <v>880000</v>
          </cell>
          <cell r="E131" t="str">
            <v>STEWART</v>
          </cell>
        </row>
        <row r="132">
          <cell r="C132" t="str">
            <v>195-05</v>
          </cell>
          <cell r="D132">
            <v>1140000</v>
          </cell>
          <cell r="E132" t="str">
            <v>YOUNG</v>
          </cell>
        </row>
        <row r="133">
          <cell r="C133" t="str">
            <v>190-05</v>
          </cell>
          <cell r="D133">
            <v>1280000</v>
          </cell>
          <cell r="E133" t="str">
            <v>BARTLETT</v>
          </cell>
        </row>
        <row r="134">
          <cell r="C134" t="str">
            <v>826-05</v>
          </cell>
          <cell r="D134">
            <v>1770000</v>
          </cell>
          <cell r="E134" t="str">
            <v>BRUDER</v>
          </cell>
        </row>
        <row r="135">
          <cell r="C135" t="str">
            <v>197-05</v>
          </cell>
          <cell r="D135">
            <v>1540000</v>
          </cell>
          <cell r="E135" t="str">
            <v>HELVIE</v>
          </cell>
        </row>
        <row r="136">
          <cell r="C136" t="str">
            <v>192-05</v>
          </cell>
          <cell r="D136">
            <v>940000</v>
          </cell>
          <cell r="E136" t="str">
            <v>BONDS</v>
          </cell>
        </row>
        <row r="137">
          <cell r="C137" t="str">
            <v>827-05</v>
          </cell>
          <cell r="D137">
            <v>1290000</v>
          </cell>
          <cell r="E137" t="str">
            <v>COOLAHAN</v>
          </cell>
        </row>
        <row r="138">
          <cell r="C138" t="str">
            <v>199-05</v>
          </cell>
          <cell r="D138">
            <v>2020000</v>
          </cell>
          <cell r="E138" t="str">
            <v>SHOOK</v>
          </cell>
        </row>
        <row r="139">
          <cell r="C139" t="str">
            <v>194-05</v>
          </cell>
          <cell r="D139">
            <v>930000</v>
          </cell>
          <cell r="E139" t="str">
            <v>CLARK</v>
          </cell>
        </row>
        <row r="140">
          <cell r="C140" t="str">
            <v>828-05</v>
          </cell>
          <cell r="D140">
            <v>1290000</v>
          </cell>
          <cell r="E140" t="str">
            <v>COOLAHAN</v>
          </cell>
        </row>
        <row r="141">
          <cell r="C141" t="str">
            <v>201-05</v>
          </cell>
          <cell r="D141">
            <v>880000</v>
          </cell>
          <cell r="E141" t="str">
            <v>STEWART</v>
          </cell>
        </row>
        <row r="142">
          <cell r="C142" t="str">
            <v>829-05</v>
          </cell>
          <cell r="D142">
            <v>1770000</v>
          </cell>
          <cell r="E142" t="str">
            <v>BRUDER</v>
          </cell>
        </row>
        <row r="143">
          <cell r="C143" t="str">
            <v>196-05</v>
          </cell>
          <cell r="D143">
            <v>1140000</v>
          </cell>
          <cell r="E143" t="str">
            <v>YOUNG</v>
          </cell>
        </row>
        <row r="144">
          <cell r="C144" t="str">
            <v>203-05</v>
          </cell>
          <cell r="D144">
            <v>1280000</v>
          </cell>
          <cell r="E144" t="str">
            <v>BARTLETT</v>
          </cell>
        </row>
        <row r="145">
          <cell r="C145" t="str">
            <v>830-05</v>
          </cell>
          <cell r="D145">
            <v>1770000</v>
          </cell>
          <cell r="E145" t="str">
            <v>BRUDER</v>
          </cell>
        </row>
        <row r="146">
          <cell r="C146" t="str">
            <v>198-05</v>
          </cell>
          <cell r="D146">
            <v>1540000</v>
          </cell>
          <cell r="E146" t="str">
            <v>HELVIE</v>
          </cell>
        </row>
        <row r="147">
          <cell r="C147" t="str">
            <v>205-05</v>
          </cell>
          <cell r="D147">
            <v>940000</v>
          </cell>
          <cell r="E147" t="str">
            <v>BONDS</v>
          </cell>
        </row>
        <row r="148">
          <cell r="C148" t="str">
            <v>831-05</v>
          </cell>
          <cell r="D148">
            <v>1290000</v>
          </cell>
          <cell r="E148" t="str">
            <v>COOLAHAN</v>
          </cell>
        </row>
        <row r="149">
          <cell r="C149" t="str">
            <v>200-05</v>
          </cell>
          <cell r="D149">
            <v>2020000</v>
          </cell>
          <cell r="E149" t="str">
            <v>SHOOK</v>
          </cell>
        </row>
        <row r="150">
          <cell r="C150" t="str">
            <v>207-05</v>
          </cell>
          <cell r="D150">
            <v>930000</v>
          </cell>
          <cell r="E150" t="str">
            <v>CLARK</v>
          </cell>
        </row>
        <row r="151">
          <cell r="C151" t="str">
            <v>832-05</v>
          </cell>
          <cell r="D151">
            <v>1290000</v>
          </cell>
          <cell r="E151" t="str">
            <v>COOLAHAN</v>
          </cell>
        </row>
        <row r="152">
          <cell r="C152" t="str">
            <v>202-05</v>
          </cell>
          <cell r="D152">
            <v>880000</v>
          </cell>
          <cell r="E152" t="str">
            <v>STEWART</v>
          </cell>
        </row>
        <row r="153">
          <cell r="C153" t="str">
            <v>204-05</v>
          </cell>
          <cell r="D153">
            <v>1280000</v>
          </cell>
          <cell r="E153" t="str">
            <v>BARTLETT</v>
          </cell>
        </row>
        <row r="154">
          <cell r="C154" t="str">
            <v>833-05</v>
          </cell>
          <cell r="D154">
            <v>1770000</v>
          </cell>
          <cell r="E154" t="str">
            <v>BRUDER</v>
          </cell>
        </row>
        <row r="155">
          <cell r="C155" t="str">
            <v>209-05</v>
          </cell>
          <cell r="D155">
            <v>1180000</v>
          </cell>
          <cell r="E155" t="str">
            <v>LEVERE</v>
          </cell>
        </row>
        <row r="156">
          <cell r="C156" t="str">
            <v>211-05</v>
          </cell>
          <cell r="D156">
            <v>1140000</v>
          </cell>
          <cell r="E156" t="str">
            <v>YOUNG</v>
          </cell>
        </row>
        <row r="157">
          <cell r="C157" t="str">
            <v>206-05</v>
          </cell>
          <cell r="D157">
            <v>940000</v>
          </cell>
          <cell r="E157" t="str">
            <v>BONDS</v>
          </cell>
        </row>
        <row r="158">
          <cell r="C158" t="str">
            <v>834-05</v>
          </cell>
          <cell r="D158">
            <v>1770000</v>
          </cell>
          <cell r="E158" t="str">
            <v>BRUDER</v>
          </cell>
        </row>
        <row r="159">
          <cell r="C159" t="str">
            <v>213-05</v>
          </cell>
          <cell r="D159">
            <v>1810000</v>
          </cell>
          <cell r="E159" t="str">
            <v>NEWELL</v>
          </cell>
        </row>
        <row r="160">
          <cell r="C160" t="str">
            <v>217-05</v>
          </cell>
          <cell r="D160">
            <v>1800000</v>
          </cell>
          <cell r="E160" t="str">
            <v>CHANDLER</v>
          </cell>
        </row>
        <row r="161">
          <cell r="C161" t="str">
            <v>835-05</v>
          </cell>
          <cell r="D161">
            <v>1290000</v>
          </cell>
          <cell r="E161" t="str">
            <v>COOLAHAN</v>
          </cell>
        </row>
        <row r="162">
          <cell r="C162" t="str">
            <v>215-05</v>
          </cell>
          <cell r="D162">
            <v>2020000</v>
          </cell>
          <cell r="E162" t="str">
            <v>SHOOK</v>
          </cell>
        </row>
        <row r="163">
          <cell r="C163" t="str">
            <v>208-05</v>
          </cell>
          <cell r="D163">
            <v>930000</v>
          </cell>
          <cell r="E163" t="str">
            <v>CLARK</v>
          </cell>
        </row>
        <row r="164">
          <cell r="C164" t="str">
            <v>210-05</v>
          </cell>
          <cell r="D164">
            <v>1180000</v>
          </cell>
          <cell r="E164" t="str">
            <v>LEVERE</v>
          </cell>
        </row>
        <row r="165">
          <cell r="C165" t="str">
            <v>836-05</v>
          </cell>
          <cell r="D165">
            <v>1290000</v>
          </cell>
          <cell r="E165" t="str">
            <v>COOLAHAN</v>
          </cell>
        </row>
        <row r="166">
          <cell r="C166" t="str">
            <v>63-05</v>
          </cell>
          <cell r="D166">
            <v>1780000</v>
          </cell>
          <cell r="E166" t="str">
            <v>DE LA ROSA</v>
          </cell>
        </row>
        <row r="167">
          <cell r="C167" t="str">
            <v>837-05</v>
          </cell>
          <cell r="D167">
            <v>1770000</v>
          </cell>
          <cell r="E167" t="str">
            <v>BRUDER</v>
          </cell>
        </row>
        <row r="168">
          <cell r="C168" t="str">
            <v>212-05</v>
          </cell>
          <cell r="D168">
            <v>1140000</v>
          </cell>
          <cell r="E168" t="str">
            <v>YOUNG</v>
          </cell>
        </row>
        <row r="169">
          <cell r="C169" t="str">
            <v>217-05</v>
          </cell>
          <cell r="D169">
            <v>1800000</v>
          </cell>
          <cell r="E169" t="str">
            <v>CHANDLER</v>
          </cell>
        </row>
        <row r="170">
          <cell r="C170" t="str">
            <v>219-05</v>
          </cell>
          <cell r="D170">
            <v>1230000</v>
          </cell>
          <cell r="E170" t="str">
            <v>YANAI</v>
          </cell>
        </row>
        <row r="171">
          <cell r="C171" t="str">
            <v>214-05</v>
          </cell>
          <cell r="D171">
            <v>1810000</v>
          </cell>
          <cell r="E171" t="str">
            <v>NEWELL</v>
          </cell>
        </row>
        <row r="172">
          <cell r="C172" t="str">
            <v>838-05</v>
          </cell>
          <cell r="D172">
            <v>1770000</v>
          </cell>
          <cell r="E172" t="str">
            <v>BRUDER</v>
          </cell>
        </row>
        <row r="173">
          <cell r="C173" t="str">
            <v>839-05</v>
          </cell>
          <cell r="D173">
            <v>1290000</v>
          </cell>
          <cell r="E173" t="str">
            <v>COOLAHAN</v>
          </cell>
        </row>
        <row r="174">
          <cell r="C174" t="str">
            <v>216-05</v>
          </cell>
          <cell r="D174">
            <v>2020000</v>
          </cell>
          <cell r="E174" t="str">
            <v>SHOOK</v>
          </cell>
        </row>
        <row r="175">
          <cell r="C175" t="str">
            <v>221-05</v>
          </cell>
          <cell r="D175">
            <v>1180000</v>
          </cell>
          <cell r="E175" t="str">
            <v>LEVERE</v>
          </cell>
        </row>
        <row r="176">
          <cell r="C176" t="str">
            <v>218-05</v>
          </cell>
          <cell r="D176">
            <v>1800000</v>
          </cell>
          <cell r="E176" t="str">
            <v>CHANDLER</v>
          </cell>
        </row>
        <row r="177">
          <cell r="C177" t="str">
            <v>906-05</v>
          </cell>
          <cell r="D177">
            <v>1290000</v>
          </cell>
          <cell r="E177" t="str">
            <v>COOLAHAN</v>
          </cell>
        </row>
        <row r="178">
          <cell r="C178" t="str">
            <v>841-05</v>
          </cell>
          <cell r="D178">
            <v>1770000</v>
          </cell>
          <cell r="E178" t="str">
            <v>BRUDER</v>
          </cell>
        </row>
        <row r="179">
          <cell r="C179" t="str">
            <v>220-05</v>
          </cell>
          <cell r="D179">
            <v>1230000</v>
          </cell>
          <cell r="E179" t="str">
            <v>YANAI</v>
          </cell>
        </row>
        <row r="180">
          <cell r="C180" t="str">
            <v>223-05</v>
          </cell>
          <cell r="D180">
            <v>1810000</v>
          </cell>
          <cell r="E180" t="str">
            <v>NEWELL</v>
          </cell>
        </row>
        <row r="181">
          <cell r="C181" t="str">
            <v>840-05</v>
          </cell>
          <cell r="D181">
            <v>1770000</v>
          </cell>
          <cell r="E181" t="str">
            <v>BRUDER</v>
          </cell>
        </row>
        <row r="182">
          <cell r="C182" t="str">
            <v>307-05</v>
          </cell>
          <cell r="D182">
            <v>2020000</v>
          </cell>
          <cell r="E182" t="str">
            <v>SHOOK</v>
          </cell>
        </row>
        <row r="183">
          <cell r="C183" t="str">
            <v>222-05</v>
          </cell>
          <cell r="D183">
            <v>1180000</v>
          </cell>
          <cell r="E183" t="str">
            <v>LEVERE</v>
          </cell>
        </row>
        <row r="184">
          <cell r="C184" t="str">
            <v>225-05</v>
          </cell>
          <cell r="D184">
            <v>1800000</v>
          </cell>
          <cell r="E184" t="str">
            <v>CHANDLER</v>
          </cell>
        </row>
        <row r="185">
          <cell r="C185" t="str">
            <v>843-05</v>
          </cell>
          <cell r="D185">
            <v>1770000</v>
          </cell>
          <cell r="E185" t="str">
            <v>BRUDER</v>
          </cell>
        </row>
        <row r="186">
          <cell r="C186" t="str">
            <v>224-05</v>
          </cell>
          <cell r="D186">
            <v>1810000</v>
          </cell>
          <cell r="E186" t="str">
            <v>NEWELL</v>
          </cell>
        </row>
        <row r="187">
          <cell r="C187" t="str">
            <v>227-05</v>
          </cell>
          <cell r="D187">
            <v>1230000</v>
          </cell>
          <cell r="E187" t="str">
            <v>YANAI</v>
          </cell>
        </row>
        <row r="188">
          <cell r="C188" t="str">
            <v>842-05</v>
          </cell>
          <cell r="D188">
            <v>1770000</v>
          </cell>
          <cell r="E188" t="str">
            <v>BRUDER</v>
          </cell>
        </row>
        <row r="189">
          <cell r="C189" t="str">
            <v>229-05</v>
          </cell>
          <cell r="D189">
            <v>1180000</v>
          </cell>
          <cell r="E189" t="str">
            <v>LEVERE</v>
          </cell>
        </row>
        <row r="190">
          <cell r="C190" t="str">
            <v>226-05</v>
          </cell>
          <cell r="D190">
            <v>1800000</v>
          </cell>
          <cell r="E190" t="str">
            <v>CHANDLER</v>
          </cell>
        </row>
        <row r="191">
          <cell r="C191" t="str">
            <v>231-05</v>
          </cell>
          <cell r="D191">
            <v>1810000</v>
          </cell>
          <cell r="E191" t="str">
            <v>NEWELL</v>
          </cell>
        </row>
        <row r="192">
          <cell r="C192" t="str">
            <v>845-05</v>
          </cell>
          <cell r="D192">
            <v>1290000</v>
          </cell>
          <cell r="E192" t="str">
            <v>COOLAHAN</v>
          </cell>
        </row>
        <row r="193">
          <cell r="C193" t="str">
            <v>228-05</v>
          </cell>
          <cell r="D193">
            <v>1230000</v>
          </cell>
          <cell r="E193" t="str">
            <v>YANAI</v>
          </cell>
        </row>
        <row r="194">
          <cell r="C194" t="str">
            <v>844-05</v>
          </cell>
          <cell r="D194">
            <v>1290000</v>
          </cell>
          <cell r="E194" t="str">
            <v>COOLAHAN</v>
          </cell>
        </row>
        <row r="195">
          <cell r="C195" t="str">
            <v>230-05</v>
          </cell>
          <cell r="D195">
            <v>1180000</v>
          </cell>
          <cell r="E195" t="str">
            <v>LEVERE</v>
          </cell>
        </row>
        <row r="196">
          <cell r="C196" t="str">
            <v>233-05</v>
          </cell>
          <cell r="D196">
            <v>1800000</v>
          </cell>
          <cell r="E196" t="str">
            <v>CHANDLER</v>
          </cell>
        </row>
        <row r="197">
          <cell r="C197" t="str">
            <v>232-05</v>
          </cell>
          <cell r="D197">
            <v>1810000</v>
          </cell>
          <cell r="E197" t="str">
            <v>NEWELL</v>
          </cell>
        </row>
        <row r="198">
          <cell r="C198" t="str">
            <v>847-05</v>
          </cell>
          <cell r="D198">
            <v>1290000</v>
          </cell>
          <cell r="E198" t="str">
            <v>COOLAHAN</v>
          </cell>
        </row>
        <row r="199">
          <cell r="C199" t="str">
            <v>235-05</v>
          </cell>
          <cell r="D199">
            <v>1230000</v>
          </cell>
          <cell r="E199" t="str">
            <v>YANAI</v>
          </cell>
        </row>
        <row r="200">
          <cell r="C200" t="str">
            <v>908-05</v>
          </cell>
          <cell r="D200">
            <v>1290000</v>
          </cell>
          <cell r="E200" t="str">
            <v>COOLAHAN</v>
          </cell>
        </row>
        <row r="201">
          <cell r="C201" t="str">
            <v>237-05</v>
          </cell>
          <cell r="D201">
            <v>1180000</v>
          </cell>
          <cell r="E201" t="str">
            <v>LEVERE</v>
          </cell>
        </row>
        <row r="202">
          <cell r="C202" t="str">
            <v>234-05</v>
          </cell>
          <cell r="D202">
            <v>1800000</v>
          </cell>
          <cell r="E202" t="str">
            <v>CHANDLER</v>
          </cell>
        </row>
        <row r="203">
          <cell r="C203" t="str">
            <v>239-05</v>
          </cell>
          <cell r="D203">
            <v>1810000</v>
          </cell>
          <cell r="E203" t="str">
            <v>NEWELL</v>
          </cell>
        </row>
        <row r="204">
          <cell r="C204" t="str">
            <v>236-05</v>
          </cell>
          <cell r="D204">
            <v>1230000</v>
          </cell>
          <cell r="E204" t="str">
            <v>YANAI</v>
          </cell>
        </row>
        <row r="205">
          <cell r="C205" t="str">
            <v>239-05</v>
          </cell>
          <cell r="D205">
            <v>1810000</v>
          </cell>
          <cell r="E205" t="str">
            <v>NEWELL</v>
          </cell>
        </row>
        <row r="206">
          <cell r="C206" t="str">
            <v>238-05</v>
          </cell>
          <cell r="D206">
            <v>1180000</v>
          </cell>
          <cell r="E206" t="str">
            <v>LEVERE</v>
          </cell>
        </row>
        <row r="207">
          <cell r="C207" t="str">
            <v>241-05</v>
          </cell>
          <cell r="D207">
            <v>1800000</v>
          </cell>
          <cell r="E207" t="str">
            <v>CHANDLER</v>
          </cell>
        </row>
        <row r="208">
          <cell r="C208" t="str">
            <v>240-05</v>
          </cell>
          <cell r="D208">
            <v>1810000</v>
          </cell>
          <cell r="E208" t="str">
            <v>NEWELL</v>
          </cell>
        </row>
        <row r="209">
          <cell r="C209" t="str">
            <v>243-05</v>
          </cell>
          <cell r="D209">
            <v>1230000</v>
          </cell>
          <cell r="E209" t="str">
            <v>YANAI</v>
          </cell>
        </row>
        <row r="210">
          <cell r="C210" t="str">
            <v>309-05</v>
          </cell>
          <cell r="D210">
            <v>1180000</v>
          </cell>
          <cell r="E210" t="str">
            <v>LEVERE</v>
          </cell>
        </row>
        <row r="211">
          <cell r="C211" t="str">
            <v>309-05</v>
          </cell>
          <cell r="D211">
            <v>1180000</v>
          </cell>
          <cell r="E211" t="str">
            <v>LEVERE</v>
          </cell>
        </row>
        <row r="212">
          <cell r="C212" t="str">
            <v>242-05</v>
          </cell>
          <cell r="D212">
            <v>1800000</v>
          </cell>
          <cell r="E212" t="str">
            <v>CHANDLER</v>
          </cell>
        </row>
        <row r="213">
          <cell r="C213" t="str">
            <v>311-05</v>
          </cell>
          <cell r="D213">
            <v>1810000</v>
          </cell>
          <cell r="E213" t="str">
            <v>NEWELL</v>
          </cell>
        </row>
        <row r="214">
          <cell r="C214" t="str">
            <v>65-05</v>
          </cell>
          <cell r="D214">
            <v>630000</v>
          </cell>
          <cell r="E214" t="b">
            <v>1</v>
          </cell>
        </row>
        <row r="215">
          <cell r="C215" t="str">
            <v>244-05</v>
          </cell>
          <cell r="D215">
            <v>1230000</v>
          </cell>
          <cell r="E215" t="str">
            <v>YANAI</v>
          </cell>
        </row>
        <row r="216">
          <cell r="C216" t="str">
            <v>65-05</v>
          </cell>
          <cell r="D216">
            <v>630000</v>
          </cell>
          <cell r="E216" t="b">
            <v>1</v>
          </cell>
        </row>
        <row r="217">
          <cell r="C217" t="str">
            <v>313-05</v>
          </cell>
          <cell r="D217">
            <v>1800000</v>
          </cell>
          <cell r="E217" t="str">
            <v>CHANDLER</v>
          </cell>
        </row>
        <row r="218">
          <cell r="C218" t="str">
            <v>313-05</v>
          </cell>
          <cell r="D218">
            <v>1800000</v>
          </cell>
          <cell r="E218" t="str">
            <v>CHANDLER</v>
          </cell>
        </row>
        <row r="219">
          <cell r="C219" t="str">
            <v>65-05</v>
          </cell>
          <cell r="D219">
            <v>630000</v>
          </cell>
          <cell r="E219" t="b">
            <v>1</v>
          </cell>
        </row>
        <row r="220">
          <cell r="C220" t="str">
            <v>315-05</v>
          </cell>
          <cell r="D220">
            <v>1230000</v>
          </cell>
          <cell r="E220" t="str">
            <v>YANAI</v>
          </cell>
        </row>
        <row r="221">
          <cell r="C221" t="str">
            <v>315-05</v>
          </cell>
          <cell r="D221">
            <v>1230000</v>
          </cell>
          <cell r="E221" t="str">
            <v>YANAI</v>
          </cell>
        </row>
        <row r="222">
          <cell r="C222" t="str">
            <v>64-05</v>
          </cell>
          <cell r="D222">
            <v>630000</v>
          </cell>
          <cell r="E222" t="b">
            <v>1</v>
          </cell>
        </row>
        <row r="223">
          <cell r="C223" t="str">
            <v>65-05</v>
          </cell>
          <cell r="D223">
            <v>630000</v>
          </cell>
          <cell r="E223" t="b">
            <v>1</v>
          </cell>
        </row>
        <row r="225">
          <cell r="C225" t="str">
            <v>245-02</v>
          </cell>
          <cell r="D225">
            <v>2090000</v>
          </cell>
          <cell r="E225" t="str">
            <v>HAITHCOX</v>
          </cell>
        </row>
        <row r="226">
          <cell r="C226" t="str">
            <v>309-02</v>
          </cell>
          <cell r="D226">
            <v>1230000</v>
          </cell>
          <cell r="E226" t="str">
            <v>YANAI</v>
          </cell>
        </row>
        <row r="227">
          <cell r="C227" t="str">
            <v>244-02</v>
          </cell>
          <cell r="D227">
            <v>2220000</v>
          </cell>
          <cell r="E227" t="str">
            <v>HILLS</v>
          </cell>
        </row>
        <row r="228">
          <cell r="C228" t="str">
            <v>311-02</v>
          </cell>
          <cell r="D228">
            <v>1800000</v>
          </cell>
          <cell r="E228" t="str">
            <v>CHANDLER</v>
          </cell>
        </row>
        <row r="229">
          <cell r="C229" t="str">
            <v>246-02</v>
          </cell>
          <cell r="D229">
            <v>2090000</v>
          </cell>
          <cell r="E229" t="str">
            <v>HAITHCOX</v>
          </cell>
        </row>
        <row r="230">
          <cell r="C230" t="str">
            <v>313-02</v>
          </cell>
          <cell r="D230">
            <v>2220000</v>
          </cell>
          <cell r="E230" t="str">
            <v>HILLS</v>
          </cell>
        </row>
        <row r="231">
          <cell r="C231" t="str">
            <v>315-02</v>
          </cell>
          <cell r="D231">
            <v>2090000</v>
          </cell>
          <cell r="E231" t="str">
            <v>HAITHCOX</v>
          </cell>
        </row>
        <row r="233">
          <cell r="C233" t="str">
            <v>309-26</v>
          </cell>
          <cell r="D233">
            <v>1230000</v>
          </cell>
          <cell r="E233" t="str">
            <v>YANAI</v>
          </cell>
        </row>
        <row r="234">
          <cell r="C234" t="str">
            <v>244-26</v>
          </cell>
          <cell r="D234">
            <v>2260000</v>
          </cell>
          <cell r="E234" t="str">
            <v>ARVIDSON</v>
          </cell>
        </row>
        <row r="235">
          <cell r="C235" t="str">
            <v>311-26</v>
          </cell>
          <cell r="D235">
            <v>1800000</v>
          </cell>
          <cell r="E235" t="str">
            <v>CHANDLER</v>
          </cell>
        </row>
        <row r="236">
          <cell r="C236" t="str">
            <v>246-26</v>
          </cell>
          <cell r="D236">
            <v>2090000</v>
          </cell>
          <cell r="E236" t="str">
            <v>HAITHCOX</v>
          </cell>
        </row>
        <row r="237">
          <cell r="C237" t="str">
            <v>313-26</v>
          </cell>
          <cell r="D237">
            <v>2260000</v>
          </cell>
          <cell r="E237" t="str">
            <v>ARVIDSON</v>
          </cell>
        </row>
        <row r="239">
          <cell r="C239" t="str">
            <v>236-12</v>
          </cell>
          <cell r="D239">
            <v>2100000</v>
          </cell>
          <cell r="E239" t="str">
            <v>ISHMAEL</v>
          </cell>
        </row>
        <row r="240">
          <cell r="C240" t="str">
            <v>238-12</v>
          </cell>
          <cell r="D240">
            <v>1300000</v>
          </cell>
          <cell r="E240" t="str">
            <v>LEVIN</v>
          </cell>
        </row>
        <row r="241">
          <cell r="C241" t="str">
            <v>241-12</v>
          </cell>
          <cell r="D241">
            <v>2000000</v>
          </cell>
          <cell r="E241" t="str">
            <v>STAMBAUGH</v>
          </cell>
        </row>
        <row r="242">
          <cell r="C242" t="str">
            <v>240-12</v>
          </cell>
          <cell r="D242">
            <v>1230000</v>
          </cell>
          <cell r="E242" t="str">
            <v>YANAI</v>
          </cell>
        </row>
        <row r="243">
          <cell r="C243" t="str">
            <v>243-12</v>
          </cell>
          <cell r="D243">
            <v>2100000</v>
          </cell>
          <cell r="E243" t="str">
            <v>ISHMAEL</v>
          </cell>
        </row>
        <row r="244">
          <cell r="C244" t="str">
            <v>245-12</v>
          </cell>
          <cell r="D244">
            <v>1300000</v>
          </cell>
          <cell r="E244" t="str">
            <v>LEVIN</v>
          </cell>
        </row>
        <row r="245">
          <cell r="C245" t="str">
            <v>242-12</v>
          </cell>
          <cell r="D245">
            <v>2000000</v>
          </cell>
          <cell r="E245" t="str">
            <v>STAMBAUGH</v>
          </cell>
        </row>
        <row r="246">
          <cell r="C246" t="str">
            <v>309-12</v>
          </cell>
          <cell r="D246">
            <v>1230000</v>
          </cell>
          <cell r="E246" t="str">
            <v>YANAI</v>
          </cell>
        </row>
        <row r="247">
          <cell r="C247" t="str">
            <v>244-12</v>
          </cell>
          <cell r="D247">
            <v>2100000</v>
          </cell>
          <cell r="E247" t="str">
            <v>ISHMAEL</v>
          </cell>
        </row>
        <row r="248">
          <cell r="C248" t="str">
            <v>311-12</v>
          </cell>
          <cell r="D248">
            <v>2000000</v>
          </cell>
          <cell r="E248" t="str">
            <v>STAMBAUGH</v>
          </cell>
        </row>
        <row r="249">
          <cell r="C249" t="str">
            <v>246-12</v>
          </cell>
          <cell r="D249">
            <v>1300000</v>
          </cell>
          <cell r="E249" t="str">
            <v>LEVIN</v>
          </cell>
        </row>
        <row r="250">
          <cell r="C250" t="str">
            <v>313-12</v>
          </cell>
          <cell r="D250">
            <v>2100000</v>
          </cell>
          <cell r="E250" t="str">
            <v>ISHMAEL</v>
          </cell>
        </row>
        <row r="251">
          <cell r="C251" t="str">
            <v>315-12</v>
          </cell>
          <cell r="D251">
            <v>1300000</v>
          </cell>
          <cell r="E251" t="str">
            <v>LEVIN</v>
          </cell>
        </row>
      </sheetData>
      <sheetData sheetId="4" refreshError="1"/>
      <sheetData sheetId="5" refreshError="1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24"/>
  <sheetViews>
    <sheetView topLeftCell="A142" zoomScaleNormal="100" workbookViewId="0">
      <selection activeCell="R163" sqref="R163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39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121</v>
      </c>
      <c r="J1" s="43"/>
      <c r="K1" s="30"/>
      <c r="L1" s="30"/>
      <c r="M1" s="42"/>
      <c r="N1" s="43"/>
      <c r="O1" s="2"/>
      <c r="P1" s="2"/>
      <c r="R1" s="40" t="s">
        <v>122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42619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42619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46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COUNTIFS($N$13:$N$9379,"&gt;0",$AG$13:$AG$9379,I1)</f>
        <v>141</v>
      </c>
      <c r="K5" s="46"/>
      <c r="L5" s="46"/>
      <c r="M5" s="47">
        <f>AVERAGEIFS($N$13:$N$9379,$AG$13:$AG$9379,I1)</f>
        <v>38.96111111129396</v>
      </c>
      <c r="N5" s="45">
        <f t="array" ref="N5">MIN(IF($AG$13:$AG$9379=I1,IF(ISNUMBER($N$13:$N$9379),IF($N$13:$N$9379&gt;0,$N$13:$N$9379))))</f>
        <v>33.75</v>
      </c>
      <c r="O5" s="3">
        <f t="array" ref="O5">MAX(IF($AG$13:$AG$9379=I1,IF(ISNUMBER($N$13:$N$9379),IF($N$13:$N$9379&gt;0,$N$13:$N$9379))))</f>
        <v>52.033333332510665</v>
      </c>
      <c r="P5" s="2"/>
      <c r="R5" s="87" t="s">
        <v>17</v>
      </c>
      <c r="S5" s="57">
        <f>COUNTIFS($N$13:$N$9379,"&gt;0",$AG$13:$AG$9379,R1)</f>
        <v>44</v>
      </c>
      <c r="T5" s="46"/>
      <c r="U5" s="124"/>
      <c r="V5" s="47">
        <f>AVERAGEIFS($N$13:$N$9379,$AG$13:$AG$9379,R1)</f>
        <v>14.821481480961666</v>
      </c>
      <c r="W5" s="45">
        <f t="array" ref="W5">MIN(IF($AG$13:$AG$9379=R1,IF(ISNUMBER($N$13:$N$9379),IF($N$13:$N$9379&gt;0,$N$13:$N$9379))))</f>
        <v>12.516666669398546</v>
      </c>
      <c r="X5" s="116">
        <f t="array" ref="X5">MAX(IF($AG$13:$AG$9379=R1,IF(ISNUMBER($N$13:$N$9379),IF($N$13:$N$9379&gt;0,$N$13:$N$9379))))</f>
        <v>24.516666666604578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COUNT($O$13:$O$149)</f>
        <v>0</v>
      </c>
      <c r="K6" s="46"/>
      <c r="L6" s="46"/>
      <c r="M6" s="47">
        <f>IFERROR(AVERAGE($O$13:$O$149),0)</f>
        <v>0</v>
      </c>
      <c r="N6" s="45">
        <f>MIN($O$13:$O$149)</f>
        <v>0</v>
      </c>
      <c r="O6" s="3">
        <f>MAX($O$13:$O$149)</f>
        <v>0</v>
      </c>
      <c r="P6" s="2"/>
      <c r="R6" s="88" t="s">
        <v>43</v>
      </c>
      <c r="S6" s="57">
        <f>COUNT($O$13:$O$149)</f>
        <v>0</v>
      </c>
      <c r="T6" s="46"/>
      <c r="U6" s="124"/>
      <c r="V6" s="47">
        <f>IFERROR(AVERAGE($O$13:$O$149),0)</f>
        <v>0</v>
      </c>
      <c r="W6" s="45">
        <f>MIN($O$13:$O$149)</f>
        <v>0</v>
      </c>
      <c r="X6" s="116">
        <f>MAX($O$13:$O$149)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COUNTIFS($P$13:$P$9379,"&gt;0",$AG$13:$AG$9379,I1)</f>
        <v>3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COUNTIFS($P$13:$P$9379,"&gt;0",$AG$13:$AG$9379,R1)</f>
        <v>2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141</v>
      </c>
      <c r="K8" s="46"/>
      <c r="L8" s="46"/>
      <c r="M8" s="47">
        <f>M5</f>
        <v>38.96111111129396</v>
      </c>
      <c r="N8" s="45">
        <f>N5</f>
        <v>33.75</v>
      </c>
      <c r="O8" s="3">
        <f>O5</f>
        <v>52.033333332510665</v>
      </c>
      <c r="P8" s="2"/>
      <c r="R8" s="87" t="s">
        <v>16</v>
      </c>
      <c r="S8" s="57">
        <f>S5</f>
        <v>44</v>
      </c>
      <c r="T8" s="46"/>
      <c r="U8" s="124"/>
      <c r="V8" s="47">
        <f>V5</f>
        <v>14.821481480961666</v>
      </c>
      <c r="W8" s="45">
        <f>W5</f>
        <v>12.516666669398546</v>
      </c>
      <c r="X8" s="116">
        <f>X5</f>
        <v>24.516666666604578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0.97916666666666663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0.95652173913043481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98" t="str">
        <f>"Eagle P3 System Performance - "&amp;TEXT(Variables!A2,"yyyy-mm-dd")</f>
        <v>Eagle P3 System Performance - 2016-09-06</v>
      </c>
      <c r="B11" s="198"/>
      <c r="C11" s="198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S11" s="72">
        <f>AVERAGE(S13:S99)</f>
        <v>0.9885057471264368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123</v>
      </c>
      <c r="AH12" s="101" t="s">
        <v>126</v>
      </c>
      <c r="AI12" s="146" t="s">
        <v>194</v>
      </c>
      <c r="AJ12" s="53" t="s">
        <v>195</v>
      </c>
      <c r="AK12" s="53" t="s">
        <v>167</v>
      </c>
      <c r="AL12" s="53" t="s">
        <v>196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339</v>
      </c>
      <c r="B13" s="7">
        <v>4038</v>
      </c>
      <c r="C13" s="24" t="s">
        <v>112</v>
      </c>
      <c r="D13" s="24" t="s">
        <v>552</v>
      </c>
      <c r="E13" s="15">
        <v>42619.127986111111</v>
      </c>
      <c r="F13" s="15">
        <v>42619.135810185187</v>
      </c>
      <c r="G13" s="7">
        <v>1</v>
      </c>
      <c r="H13" s="15" t="s">
        <v>553</v>
      </c>
      <c r="I13" s="15">
        <v>42619.160694444443</v>
      </c>
      <c r="J13" s="7">
        <v>0</v>
      </c>
      <c r="K13" s="132" t="str">
        <f t="shared" ref="K13:K76" si="0">IF(ISEVEN(B13),(B13-1)&amp;"/"&amp;B13,B13&amp;"/"&amp;(B13+1))</f>
        <v>4037/4038</v>
      </c>
      <c r="L13" s="24" t="e">
        <f>VLOOKUP(A13,'Trips&amp;Operators'!$C$1:$E$10000,3,FALSE)</f>
        <v>#N/A</v>
      </c>
      <c r="M13" s="6">
        <f t="shared" ref="M13:M76" si="1">I13-F13</f>
        <v>2.488425925548654E-2</v>
      </c>
      <c r="N13" s="7">
        <f t="shared" ref="N13:N35" si="2">24*60*SUM($M13:$M13)</f>
        <v>35.833333327900618</v>
      </c>
      <c r="O13" s="7"/>
      <c r="P13" s="7"/>
      <c r="Q13" s="25"/>
      <c r="R13" s="25"/>
      <c r="S13" s="37">
        <f t="shared" ref="S13:S76" si="3">SUM(U13:U13)/IF(AG13="EC",12,1)</f>
        <v>1</v>
      </c>
      <c r="T13" s="52" t="str">
        <f t="shared" ref="T13:T76" si="4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https://search-rtdc-monitor-bjffxe2xuh6vdkpspy63sjmuny.us-east-1.es.amazonaws.com/_plugin/kibana/#/discover/Steve-Slow-Train-Analysis-(2080s-and-2083s)?_g=(refreshInterval:(display:Off,section:0,value:0),time:(from:'2016-09-06 02:04:18-0600',mode:absolute,to:'2016-09-06 04:51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3" s="54" t="str">
        <f t="shared" ref="W13:W76" si="6">IF(AA13&lt;IF(AG13="EC",23,5.65),"Y","N")</f>
        <v>N</v>
      </c>
      <c r="X13" s="120" t="e">
        <f t="shared" ref="X13:X55" si="7">VALUE(LEFT(AD13,4))-VALUE(LEFT(AD12,4))</f>
        <v>#VALUE!</v>
      </c>
      <c r="Y13" s="69">
        <f t="shared" ref="Y13:Y76" si="8">RIGHT(D13,LEN(D13)-4)/10000</f>
        <v>7.6999999999999999E-2</v>
      </c>
      <c r="Z13" s="69">
        <f t="shared" ref="Z13:Z76" si="9">RIGHT(H13,LEN(H13)-4)/10000</f>
        <v>23.328800000000001</v>
      </c>
      <c r="AA13" s="69">
        <f t="shared" ref="AA13:AA76" si="10">ABS(Z13-Y13)</f>
        <v>23.251799999999999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76" si="11">IF(LEN(A13)=6,"0"&amp;A13,A13)</f>
        <v>0101-06</v>
      </c>
      <c r="AE13" s="99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3" s="96" t="str">
        <f t="shared" ref="AF13:AF76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/stypes="*4038*20160906*"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4038 --swversion DE.1.0.7.0 --startMP 204:770 --initTime 2016-09-06T03:04:18 --startdatetime 2016-09-06T03:15:34 --delay 1 --endMP 204:233288 --enddatetime 2016-09-06T03:51:24 --enforcementcount 0 &gt;&gt;C:\Users\stu\Documents\GitHub\eaglep3-reporting\EC\2016-09-06-refined-times.txt</v>
      </c>
      <c r="AI13" s="147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{"issue":{"subject":"","project_id":79,"tracker_id":40,"status_id":1,"priority_id":2,"assigned_to_id":23,"start_date":"2016-09-06","description":"","custom_fields":[{"id":1,"name":"Subdivision","value":"EC"},{"id":4,"name":"Milepost","value":"23.2518"},{"id":17,"name":"Train ID","value":"101-06"},{"id":16,"name":"Locomotive ID","value":"4038"},{"id":130,"name":"Impact","value":""},{"id":150,"name":"Time of Event (Mountain Time)","value":"03:51:24"},{"id":151,"name":"Denver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342</v>
      </c>
      <c r="B14" s="7">
        <v>4026</v>
      </c>
      <c r="C14" s="24" t="s">
        <v>112</v>
      </c>
      <c r="D14" s="24" t="s">
        <v>554</v>
      </c>
      <c r="E14" s="15">
        <v>42619.167962962965</v>
      </c>
      <c r="F14" s="15">
        <v>42619.174618055556</v>
      </c>
      <c r="G14" s="7">
        <v>1</v>
      </c>
      <c r="H14" s="15" t="s">
        <v>150</v>
      </c>
      <c r="I14" s="15">
        <v>42619.204664351855</v>
      </c>
      <c r="J14" s="7">
        <v>0</v>
      </c>
      <c r="K14" s="132" t="str">
        <f t="shared" si="0"/>
        <v>4025/4026</v>
      </c>
      <c r="L14" s="24" t="e">
        <f>VLOOKUP(A14,'Trips&amp;Operators'!$C$1:$E$10000,3,FALSE)</f>
        <v>#N/A</v>
      </c>
      <c r="M14" s="6">
        <f t="shared" si="1"/>
        <v>3.0046296298678499E-2</v>
      </c>
      <c r="N14" s="7">
        <f t="shared" si="2"/>
        <v>43.266666670097038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03:01:52-0600',mode:absolute,to:'2016-09-06 05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4" s="54" t="str">
        <f t="shared" si="6"/>
        <v>N</v>
      </c>
      <c r="X14" s="120">
        <f t="shared" si="7"/>
        <v>1</v>
      </c>
      <c r="Y14" s="69">
        <f t="shared" si="8"/>
        <v>23.2639</v>
      </c>
      <c r="Z14" s="69">
        <f t="shared" si="9"/>
        <v>1.52E-2</v>
      </c>
      <c r="AA14" s="69">
        <f t="shared" si="10"/>
        <v>23.248699999999999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0102-06</v>
      </c>
      <c r="AE14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14" s="96" t="str">
        <f t="shared" si="13"/>
        <v>"C:\Program Files (x86)\AstroGrep\AstroGrep.exe" /spath="%USERPROFILE%\AppData\Local\Temp\OnboardLogs" /stypes="*4026*20160906*"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4026 --swversion DE.1.0.7.0 --startMP 204:232639 --initTime 2016-09-06T04:01:52 --startdatetime 2016-09-06T04:11:27 --delay 1 --endMP 204:152 --enddatetime 2016-09-06T04:54:43 --enforcementcount 0 &gt;&gt;C:\Users\stu\Documents\GitHub\eaglep3-reporting\EC\2016-09-06-refined-times.txt</v>
      </c>
      <c r="AI14" s="147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{"issue":{"subject":"","project_id":79,"tracker_id":40,"status_id":1,"priority_id":2,"assigned_to_id":23,"start_date":"2016-09-06","description":"","custom_fields":[{"id":1,"name":"Subdivision","value":"EC"},{"id":4,"name":"Milepost","value":"23.2487"},{"id":17,"name":"Train ID","value":"102-06"},{"id":16,"name":"Locomotive ID","value":"4026"},{"id":130,"name":"Impact","value":""},{"id":150,"name":"Time of Event (Mountain Time)","value":"04:54:43"},{"id":151,"name":"Denver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340</v>
      </c>
      <c r="B15" s="7">
        <v>4029</v>
      </c>
      <c r="C15" s="24" t="s">
        <v>112</v>
      </c>
      <c r="D15" s="24" t="s">
        <v>318</v>
      </c>
      <c r="E15" s="15">
        <v>42619.151956018519</v>
      </c>
      <c r="F15" s="15">
        <v>42619.156446759262</v>
      </c>
      <c r="G15" s="7">
        <v>2</v>
      </c>
      <c r="H15" s="15" t="s">
        <v>555</v>
      </c>
      <c r="I15" s="15">
        <v>42619.183506944442</v>
      </c>
      <c r="J15" s="7">
        <v>0</v>
      </c>
      <c r="K15" s="132" t="str">
        <f t="shared" si="0"/>
        <v>4029/4030</v>
      </c>
      <c r="L15" s="24" t="e">
        <f>VLOOKUP(A15,'Trips&amp;Operators'!$C$1:$E$10000,3,FALSE)</f>
        <v>#N/A</v>
      </c>
      <c r="M15" s="6">
        <f t="shared" si="1"/>
        <v>2.7060185180744156E-2</v>
      </c>
      <c r="N15" s="7">
        <f t="shared" si="2"/>
        <v>38.966666660271585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02:38:49-0600',mode:absolute,to:'2016-09-06 05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5" s="54" t="str">
        <f t="shared" si="6"/>
        <v>N</v>
      </c>
      <c r="X15" s="120">
        <f t="shared" si="7"/>
        <v>1</v>
      </c>
      <c r="Y15" s="69">
        <f t="shared" si="8"/>
        <v>6.5199999999999994E-2</v>
      </c>
      <c r="Z15" s="69">
        <f t="shared" si="9"/>
        <v>23.336400000000001</v>
      </c>
      <c r="AA15" s="69">
        <f t="shared" si="10"/>
        <v>23.2712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0103-06</v>
      </c>
      <c r="AE15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5" s="96" t="str">
        <f t="shared" si="13"/>
        <v>"C:\Program Files (x86)\AstroGrep\AstroGrep.exe" /spath="%USERPROFILE%\AppData\Local\Temp\OnboardLogs" /stypes="*4029*20160906*"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103-06 --locoid 4029 --swversion DE.1.0.7.0 --startMP 204:652 --initTime 2016-09-06T03:38:49 --startdatetime 2016-09-06T03:45:17 --delay 2 --endMP 204:233364 --enddatetime 2016-09-06T04:24:15 --enforcementcount 0 &gt;&gt;C:\Users\stu\Documents\GitHub\eaglep3-reporting\EC\2016-09-06-refined-times.txt</v>
      </c>
      <c r="AI15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{"issue":{"subject":"","project_id":79,"tracker_id":40,"status_id":1,"priority_id":2,"assigned_to_id":23,"start_date":"2016-09-06","description":"","custom_fields":[{"id":1,"name":"Subdivision","value":"EC"},{"id":4,"name":"Milepost","value":"23.2712"},{"id":17,"name":"Train ID","value":"103-06"},{"id":16,"name":"Locomotive ID","value":"4029"},{"id":130,"name":"Impact","value":""},{"id":150,"name":"Time of Event (Mountain Time)","value":"04:24:15"},{"id":151,"name":"Denver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344</v>
      </c>
      <c r="B16" s="7">
        <v>4012</v>
      </c>
      <c r="C16" s="24" t="s">
        <v>112</v>
      </c>
      <c r="D16" s="24" t="s">
        <v>556</v>
      </c>
      <c r="E16" s="15">
        <v>42619.190486111111</v>
      </c>
      <c r="F16" s="15">
        <v>42619.195324074077</v>
      </c>
      <c r="G16" s="7">
        <v>1</v>
      </c>
      <c r="H16" s="15" t="s">
        <v>145</v>
      </c>
      <c r="I16" s="15">
        <v>42619.231458333335</v>
      </c>
      <c r="J16" s="7">
        <v>0</v>
      </c>
      <c r="K16" s="132" t="str">
        <f t="shared" si="0"/>
        <v>4011/4012</v>
      </c>
      <c r="L16" s="24" t="e">
        <f>VLOOKUP(A16,'Trips&amp;Operators'!$C$1:$E$10000,3,FALSE)</f>
        <v>#N/A</v>
      </c>
      <c r="M16" s="6">
        <f t="shared" si="1"/>
        <v>3.6134259258687962E-2</v>
      </c>
      <c r="N16" s="7">
        <f t="shared" si="2"/>
        <v>52.033333332510665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03:34:18-0600',mode:absolute,to:'2016-09-06 06:33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6" s="54" t="str">
        <f t="shared" si="6"/>
        <v>N</v>
      </c>
      <c r="X16" s="120">
        <f t="shared" si="7"/>
        <v>1</v>
      </c>
      <c r="Y16" s="69">
        <f t="shared" si="8"/>
        <v>23.272300000000001</v>
      </c>
      <c r="Z16" s="69">
        <f t="shared" si="9"/>
        <v>1.5599999999999999E-2</v>
      </c>
      <c r="AA16" s="69">
        <f t="shared" si="10"/>
        <v>23.256700000000002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1"/>
        <v>0104-06</v>
      </c>
      <c r="AE16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16" s="96" t="str">
        <f t="shared" si="13"/>
        <v>"C:\Program Files (x86)\AstroGrep\AstroGrep.exe" /spath="%USERPROFILE%\AppData\Local\Temp\OnboardLogs" /stypes="*4012*20160906*"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104-06 --locoid 4012 --swversion DE.1.0.7.0 --startMP 204:232723 --initTime 2016-09-06T04:34:18 --startdatetime 2016-09-06T04:41:16 --delay 1 --endMP 204:156 --enddatetime 2016-09-06T05:33:18 --enforcementcount 0 &gt;&gt;C:\Users\stu\Documents\GitHub\eaglep3-reporting\EC\2016-09-06-refined-times.txt</v>
      </c>
      <c r="AI16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{"issue":{"subject":"","project_id":79,"tracker_id":40,"status_id":1,"priority_id":2,"assigned_to_id":23,"start_date":"2016-09-06","description":"","custom_fields":[{"id":1,"name":"Subdivision","value":"EC"},{"id":4,"name":"Milepost","value":"23.2567"},{"id":17,"name":"Train ID","value":"104-06"},{"id":16,"name":"Locomotive ID","value":"4012"},{"id":130,"name":"Impact","value":""},{"id":150,"name":"Time of Event (Mountain Time)","value":"05:33:18"},{"id":151,"name":"Denver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341</v>
      </c>
      <c r="B17" s="7">
        <v>4002</v>
      </c>
      <c r="C17" s="24" t="s">
        <v>112</v>
      </c>
      <c r="D17" s="24" t="s">
        <v>557</v>
      </c>
      <c r="E17" s="15">
        <v>42619.167453703703</v>
      </c>
      <c r="F17" s="15">
        <v>42619.177268518521</v>
      </c>
      <c r="G17" s="7">
        <v>2</v>
      </c>
      <c r="H17" s="15" t="s">
        <v>255</v>
      </c>
      <c r="I17" s="15">
        <v>42619.202835648146</v>
      </c>
      <c r="J17" s="7">
        <v>0</v>
      </c>
      <c r="K17" s="132" t="str">
        <f t="shared" si="0"/>
        <v>4001/4002</v>
      </c>
      <c r="L17" s="24" t="e">
        <f>VLOOKUP(A17,'Trips&amp;Operators'!$C$1:$E$10000,3,FALSE)</f>
        <v>#N/A</v>
      </c>
      <c r="M17" s="6">
        <f t="shared" si="1"/>
        <v>2.5567129625414964E-2</v>
      </c>
      <c r="N17" s="7">
        <f t="shared" si="2"/>
        <v>36.816666660597548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03:01:08-0600',mode:absolute,to:'2016-09-06 05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7" s="54" t="str">
        <f t="shared" si="6"/>
        <v>N</v>
      </c>
      <c r="X17" s="120">
        <f t="shared" si="7"/>
        <v>1</v>
      </c>
      <c r="Y17" s="69">
        <f t="shared" si="8"/>
        <v>7.4999999999999997E-2</v>
      </c>
      <c r="Z17" s="69">
        <f t="shared" si="9"/>
        <v>23.329899999999999</v>
      </c>
      <c r="AA17" s="69">
        <f t="shared" si="10"/>
        <v>23.254899999999999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0105-06</v>
      </c>
      <c r="AE17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7" s="96" t="str">
        <f t="shared" si="13"/>
        <v>"C:\Program Files (x86)\AstroGrep\AstroGrep.exe" /spath="%USERPROFILE%\AppData\Local\Temp\OnboardLogs" /stypes="*4002*20160906*"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105-06 --locoid 4002 --swversion DE.1.0.7.0 --startMP 204:750 --initTime 2016-09-06T04:01:08 --startdatetime 2016-09-06T04:15:16 --delay 2 --endMP 204:233299 --enddatetime 2016-09-06T04:52:05 --enforcementcount 0 &gt;&gt;C:\Users\stu\Documents\GitHub\eaglep3-reporting\EC\2016-09-06-refined-times.txt</v>
      </c>
      <c r="AI17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{"issue":{"subject":"","project_id":79,"tracker_id":40,"status_id":1,"priority_id":2,"assigned_to_id":23,"start_date":"2016-09-06","description":"","custom_fields":[{"id":1,"name":"Subdivision","value":"EC"},{"id":4,"name":"Milepost","value":"23.2549"},{"id":17,"name":"Train ID","value":"105-06"},{"id":16,"name":"Locomotive ID","value":"4002"},{"id":130,"name":"Impact","value":""},{"id":150,"name":"Time of Event (Mountain Time)","value":"04:52:05"},{"id":151,"name":"Denver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350</v>
      </c>
      <c r="B18" s="7">
        <v>4041</v>
      </c>
      <c r="C18" s="24" t="s">
        <v>112</v>
      </c>
      <c r="D18" s="24" t="s">
        <v>558</v>
      </c>
      <c r="E18" s="15">
        <v>42619.208969907406</v>
      </c>
      <c r="F18" s="15">
        <v>42619.216192129628</v>
      </c>
      <c r="G18" s="7">
        <v>1</v>
      </c>
      <c r="H18" s="15" t="s">
        <v>559</v>
      </c>
      <c r="I18" s="15">
        <v>42619.247129629628</v>
      </c>
      <c r="J18" s="7">
        <v>0</v>
      </c>
      <c r="K18" s="132" t="str">
        <f t="shared" si="0"/>
        <v>4041/4042</v>
      </c>
      <c r="L18" s="24" t="e">
        <f>VLOOKUP(A18,'Trips&amp;Operators'!$C$1:$E$10000,3,FALSE)</f>
        <v>#N/A</v>
      </c>
      <c r="M18" s="6">
        <f t="shared" si="1"/>
        <v>3.0937499999708962E-2</v>
      </c>
      <c r="N18" s="7">
        <f t="shared" si="2"/>
        <v>44.549999999580905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04:00:55-0600',mode:absolute,to:'2016-09-06 06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" s="54" t="str">
        <f t="shared" si="6"/>
        <v>N</v>
      </c>
      <c r="X18" s="120">
        <f t="shared" si="7"/>
        <v>1</v>
      </c>
      <c r="Y18" s="69">
        <f t="shared" si="8"/>
        <v>23.266200000000001</v>
      </c>
      <c r="Z18" s="69">
        <f t="shared" si="9"/>
        <v>2.9399999999999999E-2</v>
      </c>
      <c r="AA18" s="69">
        <f t="shared" si="10"/>
        <v>23.236800000000002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1"/>
        <v>0106-06</v>
      </c>
      <c r="AE18" s="99" t="str">
        <f t="shared" si="12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8" s="96" t="str">
        <f t="shared" si="13"/>
        <v>"C:\Program Files (x86)\AstroGrep\AstroGrep.exe" /spath="%USERPROFILE%\AppData\Local\Temp\OnboardLogs" /stypes="*4041*20160906*"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106-06 --locoid 4041 --swversion DE.1.0.7.0 --startMP 204:232662 --initTime 2016-09-06T05:00:55 --startdatetime 2016-09-06T05:11:19 --delay 1 --endMP 204:294 --enddatetime 2016-09-06T05:55:52 --enforcementcount 0 &gt;&gt;C:\Users\stu\Documents\GitHub\eaglep3-reporting\EC\2016-09-06-refined-times.txt</v>
      </c>
      <c r="AI18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{"issue":{"subject":"","project_id":79,"tracker_id":40,"status_id":1,"priority_id":2,"assigned_to_id":23,"start_date":"2016-09-06","description":"","custom_fields":[{"id":1,"name":"Subdivision","value":"EC"},{"id":4,"name":"Milepost","value":"23.2368"},{"id":17,"name":"Train ID","value":"106-06"},{"id":16,"name":"Locomotive ID","value":"4041"},{"id":130,"name":"Impact","value":""},{"id":150,"name":"Time of Event (Mountain Time)","value":"05:55:52"},{"id":151,"name":"Denver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343</v>
      </c>
      <c r="B19" s="7">
        <v>4014</v>
      </c>
      <c r="C19" s="24" t="s">
        <v>112</v>
      </c>
      <c r="D19" s="24" t="s">
        <v>157</v>
      </c>
      <c r="E19" s="15">
        <v>42619.180868055555</v>
      </c>
      <c r="F19" s="15">
        <v>42619.187777777777</v>
      </c>
      <c r="G19" s="7">
        <v>2</v>
      </c>
      <c r="H19" s="15" t="s">
        <v>560</v>
      </c>
      <c r="I19" s="15">
        <v>42619.213240740741</v>
      </c>
      <c r="J19" s="7">
        <v>0</v>
      </c>
      <c r="K19" s="132" t="str">
        <f t="shared" si="0"/>
        <v>4013/4014</v>
      </c>
      <c r="L19" s="24" t="e">
        <f>VLOOKUP(A19,'Trips&amp;Operators'!$C$1:$E$10000,3,FALSE)</f>
        <v>#N/A</v>
      </c>
      <c r="M19" s="6">
        <f t="shared" si="1"/>
        <v>2.5462962963501923E-2</v>
      </c>
      <c r="N19" s="7">
        <f t="shared" si="2"/>
        <v>36.666666667442769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03:20:27-0600',mode:absolute,to:'2016-09-06 06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" s="54" t="str">
        <f t="shared" si="6"/>
        <v>N</v>
      </c>
      <c r="X19" s="120">
        <f t="shared" si="7"/>
        <v>1</v>
      </c>
      <c r="Y19" s="69">
        <f t="shared" si="8"/>
        <v>4.4699999999999997E-2</v>
      </c>
      <c r="Z19" s="69">
        <f t="shared" si="9"/>
        <v>23.3276</v>
      </c>
      <c r="AA19" s="69">
        <f t="shared" si="10"/>
        <v>23.282900000000001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0107-06</v>
      </c>
      <c r="AE19" s="99" t="str">
        <f t="shared" si="12"/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19" s="96" t="str">
        <f t="shared" si="13"/>
        <v>"C:\Program Files (x86)\AstroGrep\AstroGrep.exe" /spath="%USERPROFILE%\AppData\Local\Temp\OnboardLogs" /stypes="*4014*20160906*"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107-06 --locoid 4014 --swversion DE.1.0.7.0 --startMP 204:447 --initTime 2016-09-06T04:20:27 --startdatetime 2016-09-06T04:30:24 --delay 2 --endMP 204:233276 --enddatetime 2016-09-06T05:07:04 --enforcementcount 0 &gt;&gt;C:\Users\stu\Documents\GitHub\eaglep3-reporting\EC\2016-09-06-refined-times.txt</v>
      </c>
      <c r="AI19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{"issue":{"subject":"","project_id":79,"tracker_id":40,"status_id":1,"priority_id":2,"assigned_to_id":23,"start_date":"2016-09-06","description":"","custom_fields":[{"id":1,"name":"Subdivision","value":"EC"},{"id":4,"name":"Milepost","value":"23.2829"},{"id":17,"name":"Train ID","value":"107-06"},{"id":16,"name":"Locomotive ID","value":"4014"},{"id":130,"name":"Impact","value":""},{"id":150,"name":"Time of Event (Mountain Time)","value":"05:07:04"},{"id":151,"name":"Denver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353</v>
      </c>
      <c r="B20" s="7">
        <v>4013</v>
      </c>
      <c r="C20" s="24" t="s">
        <v>112</v>
      </c>
      <c r="D20" s="24" t="s">
        <v>289</v>
      </c>
      <c r="E20" s="15">
        <v>42619.221932870372</v>
      </c>
      <c r="F20" s="15">
        <v>42619.226736111108</v>
      </c>
      <c r="G20" s="7">
        <v>2</v>
      </c>
      <c r="H20" s="15" t="s">
        <v>135</v>
      </c>
      <c r="I20" s="15">
        <v>42619.25712962963</v>
      </c>
      <c r="J20" s="7">
        <v>0</v>
      </c>
      <c r="K20" s="132" t="str">
        <f t="shared" si="0"/>
        <v>4013/4014</v>
      </c>
      <c r="L20" s="24" t="e">
        <f>VLOOKUP(A20,'Trips&amp;Operators'!$C$1:$E$10000,3,FALSE)</f>
        <v>#N/A</v>
      </c>
      <c r="M20" s="6">
        <f t="shared" si="1"/>
        <v>3.0393518522032537E-2</v>
      </c>
      <c r="N20" s="7">
        <f t="shared" si="2"/>
        <v>43.766666671726853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04:19:35-0600',mode:absolute,to:'2016-09-06 07:10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" s="54" t="str">
        <f t="shared" si="6"/>
        <v>N</v>
      </c>
      <c r="X20" s="120">
        <f t="shared" si="7"/>
        <v>1</v>
      </c>
      <c r="Y20" s="69">
        <f t="shared" si="8"/>
        <v>23.295100000000001</v>
      </c>
      <c r="Z20" s="69">
        <f t="shared" si="9"/>
        <v>1.49E-2</v>
      </c>
      <c r="AA20" s="69">
        <f t="shared" si="10"/>
        <v>23.280200000000001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1"/>
        <v>0108-06</v>
      </c>
      <c r="AE20" s="99" t="str">
        <f t="shared" si="12"/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AF20" s="96" t="str">
        <f t="shared" si="13"/>
        <v>"C:\Program Files (x86)\AstroGrep\AstroGrep.exe" /spath="%USERPROFILE%\AppData\Local\Temp\OnboardLogs" /stypes="*4013*20160906*"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108-06 --locoid 4013 --swversion DE.1.0.7.0 --startMP 204:232951 --initTime 2016-09-06T05:19:35 --startdatetime 2016-09-06T05:26:30 --delay 2 --endMP 204:149 --enddatetime 2016-09-06T06:10:16 --enforcementcount 0 &gt;&gt;C:\Users\stu\Documents\GitHub\eaglep3-reporting\EC\2016-09-06-refined-times.txt</v>
      </c>
      <c r="AI20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{"issue":{"subject":"","project_id":79,"tracker_id":40,"status_id":1,"priority_id":2,"assigned_to_id":23,"start_date":"2016-09-06","description":"","custom_fields":[{"id":1,"name":"Subdivision","value":"EC"},{"id":4,"name":"Milepost","value":"23.2802"},{"id":17,"name":"Train ID","value":"108-06"},{"id":16,"name":"Locomotive ID","value":"4013"},{"id":130,"name":"Impact","value":""},{"id":150,"name":"Time of Event (Mountain Time)","value":"06:10:16"},{"id":151,"name":"Denver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345</v>
      </c>
      <c r="B21" s="7">
        <v>4027</v>
      </c>
      <c r="C21" s="24" t="s">
        <v>112</v>
      </c>
      <c r="D21" s="24" t="s">
        <v>561</v>
      </c>
      <c r="E21" s="15">
        <v>42619.194409722222</v>
      </c>
      <c r="F21" s="15">
        <v>42619.198495370372</v>
      </c>
      <c r="G21" s="7">
        <v>1</v>
      </c>
      <c r="H21" s="15" t="s">
        <v>251</v>
      </c>
      <c r="I21" s="15">
        <v>42619.226354166669</v>
      </c>
      <c r="J21" s="7">
        <v>0</v>
      </c>
      <c r="K21" s="132" t="str">
        <f t="shared" si="0"/>
        <v>4027/4028</v>
      </c>
      <c r="L21" s="24" t="e">
        <f>VLOOKUP(A21,'Trips&amp;Operators'!$C$1:$E$10000,3,FALSE)</f>
        <v>#N/A</v>
      </c>
      <c r="M21" s="6">
        <f t="shared" si="1"/>
        <v>2.7858796296641231E-2</v>
      </c>
      <c r="N21" s="7">
        <f t="shared" si="2"/>
        <v>40.116666667163372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03:39:57-0600',mode:absolute,to:'2016-09-06 06:25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1" s="54" t="str">
        <f t="shared" si="6"/>
        <v>N</v>
      </c>
      <c r="X21" s="120">
        <f t="shared" si="7"/>
        <v>1</v>
      </c>
      <c r="Y21" s="69">
        <f t="shared" si="8"/>
        <v>4.3299999999999998E-2</v>
      </c>
      <c r="Z21" s="69">
        <f t="shared" si="9"/>
        <v>23.329499999999999</v>
      </c>
      <c r="AA21" s="69">
        <f t="shared" si="10"/>
        <v>23.286200000000001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0109-06</v>
      </c>
      <c r="AE21" s="99" t="str">
        <f t="shared" si="12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21" s="96" t="str">
        <f t="shared" si="13"/>
        <v>"C:\Program Files (x86)\AstroGrep\AstroGrep.exe" /spath="%USERPROFILE%\AppData\Local\Temp\OnboardLogs" /stypes="*4027*20160906*"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109-06 --locoid 4027 --swversion DE.1.0.7.0 --startMP 204:433 --initTime 2016-09-06T04:39:57 --startdatetime 2016-09-06T04:45:50 --delay 1 --endMP 204:233295 --enddatetime 2016-09-06T05:25:57 --enforcementcount 0 &gt;&gt;C:\Users\stu\Documents\GitHub\eaglep3-reporting\EC\2016-09-06-refined-times.txt</v>
      </c>
      <c r="AI21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{"issue":{"subject":"","project_id":79,"tracker_id":40,"status_id":1,"priority_id":2,"assigned_to_id":23,"start_date":"2016-09-06","description":"","custom_fields":[{"id":1,"name":"Subdivision","value":"EC"},{"id":4,"name":"Milepost","value":"23.2862"},{"id":17,"name":"Train ID","value":"109-06"},{"id":16,"name":"Locomotive ID","value":"4027"},{"id":130,"name":"Impact","value":""},{"id":150,"name":"Time of Event (Mountain Time)","value":"05:25:57"},{"id":151,"name":"Denver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354</v>
      </c>
      <c r="B22" s="7">
        <v>4028</v>
      </c>
      <c r="C22" s="24" t="s">
        <v>112</v>
      </c>
      <c r="D22" s="24" t="s">
        <v>562</v>
      </c>
      <c r="E22" s="15">
        <v>42619.234317129631</v>
      </c>
      <c r="F22" s="15">
        <v>42619.236979166664</v>
      </c>
      <c r="G22" s="7">
        <v>1</v>
      </c>
      <c r="H22" s="15" t="s">
        <v>222</v>
      </c>
      <c r="I22" s="15">
        <v>42619.268587962964</v>
      </c>
      <c r="J22" s="7">
        <v>0</v>
      </c>
      <c r="K22" s="132" t="str">
        <f t="shared" si="0"/>
        <v>4027/4028</v>
      </c>
      <c r="L22" s="24" t="e">
        <f>VLOOKUP(A22,'Trips&amp;Operators'!$C$1:$E$10000,3,FALSE)</f>
        <v>#N/A</v>
      </c>
      <c r="M22" s="6">
        <f t="shared" si="1"/>
        <v>3.160879630013369E-2</v>
      </c>
      <c r="N22" s="7">
        <f t="shared" si="2"/>
        <v>45.516666672192514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04:37:25-0600',mode:absolute,to:'2016-09-06 07:26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2" s="54" t="str">
        <f t="shared" si="6"/>
        <v>N</v>
      </c>
      <c r="X22" s="120">
        <f t="shared" si="7"/>
        <v>1</v>
      </c>
      <c r="Y22" s="69">
        <f t="shared" si="8"/>
        <v>23.2988</v>
      </c>
      <c r="Z22" s="69">
        <f t="shared" si="9"/>
        <v>1.4999999999999999E-2</v>
      </c>
      <c r="AA22" s="69">
        <f t="shared" si="10"/>
        <v>23.283799999999999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11"/>
        <v>0110-06</v>
      </c>
      <c r="AE22" s="99" t="str">
        <f t="shared" si="12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22" s="96" t="str">
        <f t="shared" si="13"/>
        <v>"C:\Program Files (x86)\AstroGrep\AstroGrep.exe" /spath="%USERPROFILE%\AppData\Local\Temp\OnboardLogs" /stypes="*4028*20160906*"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110-06 --locoid 4028 --swversion DE.1.0.7.0 --startMP 204:232988 --initTime 2016-09-06T05:37:25 --startdatetime 2016-09-06T05:41:15 --delay 1 --endMP 204:150 --enddatetime 2016-09-06T06:26:46 --enforcementcount 0 &gt;&gt;C:\Users\stu\Documents\GitHub\eaglep3-reporting\EC\2016-09-06-refined-times.txt</v>
      </c>
      <c r="AI22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{"issue":{"subject":"","project_id":79,"tracker_id":40,"status_id":1,"priority_id":2,"assigned_to_id":23,"start_date":"2016-09-06","description":"","custom_fields":[{"id":1,"name":"Subdivision","value":"EC"},{"id":4,"name":"Milepost","value":"23.2838"},{"id":17,"name":"Train ID","value":"110-06"},{"id":16,"name":"Locomotive ID","value":"4028"},{"id":130,"name":"Impact","value":""},{"id":150,"name":"Time of Event (Mountain Time)","value":"06:26:46"},{"id":151,"name":"Denver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346</v>
      </c>
      <c r="B23" s="7">
        <v>4038</v>
      </c>
      <c r="C23" s="24" t="s">
        <v>112</v>
      </c>
      <c r="D23" s="24" t="s">
        <v>563</v>
      </c>
      <c r="E23" s="15">
        <v>42619.206597222219</v>
      </c>
      <c r="F23" s="15">
        <v>42619.209247685183</v>
      </c>
      <c r="G23" s="7">
        <v>2</v>
      </c>
      <c r="H23" s="15" t="s">
        <v>231</v>
      </c>
      <c r="I23" s="15">
        <v>42619.23678240741</v>
      </c>
      <c r="J23" s="7">
        <v>0</v>
      </c>
      <c r="K23" s="132" t="str">
        <f t="shared" si="0"/>
        <v>4037/4038</v>
      </c>
      <c r="L23" s="24" t="e">
        <f>VLOOKUP(A23,'Trips&amp;Operators'!$C$1:$E$10000,3,FALSE)</f>
        <v>#N/A</v>
      </c>
      <c r="M23" s="6">
        <f t="shared" si="1"/>
        <v>2.7534722226846498E-2</v>
      </c>
      <c r="N23" s="7">
        <f t="shared" si="2"/>
        <v>39.650000006658956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03:57:30-0600',mode:absolute,to:'2016-09-06 06:40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3" s="54" t="str">
        <f t="shared" si="6"/>
        <v>N</v>
      </c>
      <c r="X23" s="120">
        <f t="shared" si="7"/>
        <v>1</v>
      </c>
      <c r="Y23" s="69">
        <f t="shared" si="8"/>
        <v>7.7700000000000005E-2</v>
      </c>
      <c r="Z23" s="69">
        <f t="shared" si="9"/>
        <v>23.331499999999998</v>
      </c>
      <c r="AA23" s="69">
        <f t="shared" si="10"/>
        <v>23.253799999999998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0111-06</v>
      </c>
      <c r="AE23" s="99" t="str">
        <f t="shared" si="12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23" s="96" t="str">
        <f t="shared" si="13"/>
        <v>"C:\Program Files (x86)\AstroGrep\AstroGrep.exe" /spath="%USERPROFILE%\AppData\Local\Temp\OnboardLogs" /stypes="*4038*20160906*"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111-06 --locoid 4038 --swversion DE.1.0.7.0 --startMP 204:777 --initTime 2016-09-06T04:57:30 --startdatetime 2016-09-06T05:01:19 --delay 2 --endMP 204:233315 --enddatetime 2016-09-06T05:40:58 --enforcementcount 0 &gt;&gt;C:\Users\stu\Documents\GitHub\eaglep3-reporting\EC\2016-09-06-refined-times.txt</v>
      </c>
      <c r="AI23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{"issue":{"subject":"","project_id":79,"tracker_id":40,"status_id":1,"priority_id":2,"assigned_to_id":23,"start_date":"2016-09-06","description":"","custom_fields":[{"id":1,"name":"Subdivision","value":"EC"},{"id":4,"name":"Milepost","value":"23.2538"},{"id":17,"name":"Train ID","value":"111-06"},{"id":16,"name":"Locomotive ID","value":"4038"},{"id":130,"name":"Impact","value":""},{"id":150,"name":"Time of Event (Mountain Time)","value":"05:40:58"},{"id":151,"name":"Denver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358</v>
      </c>
      <c r="B24" s="7">
        <v>4037</v>
      </c>
      <c r="C24" s="24" t="s">
        <v>112</v>
      </c>
      <c r="D24" s="24" t="s">
        <v>233</v>
      </c>
      <c r="E24" s="15">
        <v>42619.243645833332</v>
      </c>
      <c r="F24" s="15">
        <v>42619.247499999998</v>
      </c>
      <c r="G24" s="7">
        <v>1</v>
      </c>
      <c r="H24" s="15" t="s">
        <v>564</v>
      </c>
      <c r="I24" s="15">
        <v>42619.27542824074</v>
      </c>
      <c r="J24" s="7">
        <v>0</v>
      </c>
      <c r="K24" s="132" t="str">
        <f t="shared" si="0"/>
        <v>4037/4038</v>
      </c>
      <c r="L24" s="24" t="e">
        <f>VLOOKUP(A24,'Trips&amp;Operators'!$C$1:$E$10000,3,FALSE)</f>
        <v>#N/A</v>
      </c>
      <c r="M24" s="6">
        <f t="shared" si="1"/>
        <v>2.792824074276723E-2</v>
      </c>
      <c r="N24" s="7">
        <f t="shared" si="2"/>
        <v>40.216666669584811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04:50:51-0600',mode:absolute,to:'2016-09-06 07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4" s="54" t="str">
        <f t="shared" si="6"/>
        <v>N</v>
      </c>
      <c r="X24" s="120">
        <f t="shared" si="7"/>
        <v>1</v>
      </c>
      <c r="Y24" s="69">
        <f t="shared" si="8"/>
        <v>23.299800000000001</v>
      </c>
      <c r="Z24" s="69">
        <f t="shared" si="9"/>
        <v>1.34E-2</v>
      </c>
      <c r="AA24" s="69">
        <f t="shared" si="10"/>
        <v>23.2864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11"/>
        <v>0112-06</v>
      </c>
      <c r="AE24" s="99" t="str">
        <f t="shared" si="12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24" s="96" t="str">
        <f t="shared" si="13"/>
        <v>"C:\Program Files (x86)\AstroGrep\AstroGrep.exe" /spath="%USERPROFILE%\AppData\Local\Temp\OnboardLogs" /stypes="*4037*20160906*"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112-06 --locoid 4037 --swversion DE.1.0.7.0 --startMP 204:232998 --initTime 2016-09-06T05:50:51 --startdatetime 2016-09-06T05:56:24 --delay 1 --endMP 204:134 --enddatetime 2016-09-06T06:36:37 --enforcementcount 0 &gt;&gt;C:\Users\stu\Documents\GitHub\eaglep3-reporting\EC\2016-09-06-refined-times.txt</v>
      </c>
      <c r="AI24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{"issue":{"subject":"","project_id":79,"tracker_id":40,"status_id":1,"priority_id":2,"assigned_to_id":23,"start_date":"2016-09-06","description":"","custom_fields":[{"id":1,"name":"Subdivision","value":"EC"},{"id":4,"name":"Milepost","value":"23.2864"},{"id":17,"name":"Train ID","value":"112-06"},{"id":16,"name":"Locomotive ID","value":"4037"},{"id":130,"name":"Impact","value":""},{"id":150,"name":"Time of Event (Mountain Time)","value":"06:36:37"},{"id":151,"name":"Denver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348</v>
      </c>
      <c r="B25" s="7">
        <v>4025</v>
      </c>
      <c r="C25" s="24" t="s">
        <v>112</v>
      </c>
      <c r="D25" s="24" t="s">
        <v>297</v>
      </c>
      <c r="E25" s="15">
        <v>42619.207511574074</v>
      </c>
      <c r="F25" s="15">
        <v>42619.218969907408</v>
      </c>
      <c r="G25" s="7">
        <v>2</v>
      </c>
      <c r="H25" s="15" t="s">
        <v>565</v>
      </c>
      <c r="I25" s="15">
        <v>42619.245023148149</v>
      </c>
      <c r="J25" s="7">
        <v>0</v>
      </c>
      <c r="K25" s="132" t="str">
        <f t="shared" si="0"/>
        <v>4025/4026</v>
      </c>
      <c r="L25" s="24" t="e">
        <f>VLOOKUP(A25,'Trips&amp;Operators'!$C$1:$E$10000,3,FALSE)</f>
        <v>#N/A</v>
      </c>
      <c r="M25" s="6">
        <f t="shared" si="1"/>
        <v>2.6053240741021E-2</v>
      </c>
      <c r="N25" s="7">
        <f t="shared" si="2"/>
        <v>37.51666666707024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03:58:49-0600',mode:absolute,to:'2016-09-06 06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5" s="54" t="str">
        <f t="shared" si="6"/>
        <v>N</v>
      </c>
      <c r="X25" s="120">
        <f t="shared" si="7"/>
        <v>1</v>
      </c>
      <c r="Y25" s="69">
        <f t="shared" si="8"/>
        <v>4.3499999999999997E-2</v>
      </c>
      <c r="Z25" s="69">
        <f t="shared" si="9"/>
        <v>23.328399999999998</v>
      </c>
      <c r="AA25" s="69">
        <f t="shared" si="10"/>
        <v>23.284899999999997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11"/>
        <v>0113-06</v>
      </c>
      <c r="AE25" s="99" t="str">
        <f t="shared" si="12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25" s="96" t="str">
        <f t="shared" si="13"/>
        <v>"C:\Program Files (x86)\AstroGrep\AstroGrep.exe" /spath="%USERPROFILE%\AppData\Local\Temp\OnboardLogs" /stypes="*4025*20160906*"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113-06 --locoid 4025 --swversion DE.1.0.7.0 --startMP 204:435 --initTime 2016-09-06T04:58:49 --startdatetime 2016-09-06T05:15:19 --delay 2 --endMP 204:233284 --enddatetime 2016-09-06T05:52:50 --enforcementcount 0 &gt;&gt;C:\Users\stu\Documents\GitHub\eaglep3-reporting\EC\2016-09-06-refined-times.txt</v>
      </c>
      <c r="AI25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{"issue":{"subject":"","project_id":79,"tracker_id":40,"status_id":1,"priority_id":2,"assigned_to_id":23,"start_date":"2016-09-06","description":"","custom_fields":[{"id":1,"name":"Subdivision","value":"EC"},{"id":4,"name":"Milepost","value":"23.2849"},{"id":17,"name":"Train ID","value":"113-06"},{"id":16,"name":"Locomotive ID","value":"4025"},{"id":130,"name":"Impact","value":""},{"id":150,"name":"Time of Event (Mountain Time)","value":"05:52:50"},{"id":151,"name":"Denver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360</v>
      </c>
      <c r="B26" s="7">
        <v>4026</v>
      </c>
      <c r="C26" s="24" t="s">
        <v>112</v>
      </c>
      <c r="D26" s="24" t="s">
        <v>566</v>
      </c>
      <c r="E26" s="15">
        <v>42619.252129629633</v>
      </c>
      <c r="F26" s="15">
        <v>42619.258125</v>
      </c>
      <c r="G26" s="7">
        <v>1</v>
      </c>
      <c r="H26" s="15" t="s">
        <v>135</v>
      </c>
      <c r="I26" s="15">
        <v>42619.284618055557</v>
      </c>
      <c r="J26" s="7">
        <v>0</v>
      </c>
      <c r="K26" s="132" t="str">
        <f t="shared" si="0"/>
        <v>4025/4026</v>
      </c>
      <c r="L26" s="24" t="e">
        <f>VLOOKUP(A26,'Trips&amp;Operators'!$C$1:$E$10000,3,FALSE)</f>
        <v>#N/A</v>
      </c>
      <c r="M26" s="6">
        <f t="shared" si="1"/>
        <v>2.6493055556784384E-2</v>
      </c>
      <c r="N26" s="7">
        <f t="shared" si="2"/>
        <v>38.150000001769513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05:03:04-0600',mode:absolute,to:'2016-09-06 07:49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6" s="54" t="str">
        <f t="shared" si="6"/>
        <v>N</v>
      </c>
      <c r="X26" s="120">
        <f t="shared" si="7"/>
        <v>1</v>
      </c>
      <c r="Y26" s="69">
        <f t="shared" si="8"/>
        <v>23.298200000000001</v>
      </c>
      <c r="Z26" s="69">
        <f t="shared" si="9"/>
        <v>1.49E-2</v>
      </c>
      <c r="AA26" s="69">
        <f t="shared" si="10"/>
        <v>23.283300000000001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0114-06</v>
      </c>
      <c r="AE26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26" s="96" t="str">
        <f t="shared" si="13"/>
        <v>"C:\Program Files (x86)\AstroGrep\AstroGrep.exe" /spath="%USERPROFILE%\AppData\Local\Temp\OnboardLogs" /stypes="*4026*20160906*"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114-06 --locoid 4026 --swversion DE.1.0.7.0 --startMP 204:232982 --initTime 2016-09-06T06:03:04 --startdatetime 2016-09-06T06:11:42 --delay 1 --endMP 204:149 --enddatetime 2016-09-06T06:49:51 --enforcementcount 0 &gt;&gt;C:\Users\stu\Documents\GitHub\eaglep3-reporting\EC\2016-09-06-refined-times.txt</v>
      </c>
      <c r="AI26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{"issue":{"subject":"","project_id":79,"tracker_id":40,"status_id":1,"priority_id":2,"assigned_to_id":23,"start_date":"2016-09-06","description":"","custom_fields":[{"id":1,"name":"Subdivision","value":"EC"},{"id":4,"name":"Milepost","value":"23.2833"},{"id":17,"name":"Train ID","value":"114-06"},{"id":16,"name":"Locomotive ID","value":"4026"},{"id":130,"name":"Impact","value":""},{"id":150,"name":"Time of Event (Mountain Time)","value":"06:49:51"},{"id":151,"name":"Denver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355</v>
      </c>
      <c r="B27" s="7">
        <v>4029</v>
      </c>
      <c r="C27" s="24" t="s">
        <v>112</v>
      </c>
      <c r="D27" s="24" t="s">
        <v>567</v>
      </c>
      <c r="E27" s="15">
        <v>42619.235879629632</v>
      </c>
      <c r="F27" s="15">
        <v>42619.238726851851</v>
      </c>
      <c r="G27" s="7">
        <v>1</v>
      </c>
      <c r="H27" s="15" t="s">
        <v>210</v>
      </c>
      <c r="I27" s="15">
        <v>42619.263645833336</v>
      </c>
      <c r="J27" s="7">
        <v>0</v>
      </c>
      <c r="K27" s="132" t="str">
        <f t="shared" si="0"/>
        <v>4029/4030</v>
      </c>
      <c r="L27" s="24" t="e">
        <f>VLOOKUP(A27,'Trips&amp;Operators'!$C$1:$E$10000,3,FALSE)</f>
        <v>#N/A</v>
      </c>
      <c r="M27" s="6">
        <f t="shared" si="1"/>
        <v>2.4918981485825498E-2</v>
      </c>
      <c r="N27" s="7">
        <f t="shared" si="2"/>
        <v>35.883333339588717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04:39:40-0600',mode:absolute,to:'2016-09-06 07:19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7" s="54" t="str">
        <f t="shared" si="6"/>
        <v>N</v>
      </c>
      <c r="X27" s="120">
        <f t="shared" si="7"/>
        <v>1</v>
      </c>
      <c r="Y27" s="69">
        <f t="shared" si="8"/>
        <v>7.6499999999999999E-2</v>
      </c>
      <c r="Z27" s="69">
        <f t="shared" si="9"/>
        <v>23.329699999999999</v>
      </c>
      <c r="AA27" s="69">
        <f t="shared" si="10"/>
        <v>23.2532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0115-06</v>
      </c>
      <c r="AE27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27" s="96" t="str">
        <f t="shared" si="13"/>
        <v>"C:\Program Files (x86)\AstroGrep\AstroGrep.exe" /spath="%USERPROFILE%\AppData\Local\Temp\OnboardLogs" /stypes="*4029*20160906*"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115-06 --locoid 4029 --swversion DE.1.0.7.0 --startMP 204:765 --initTime 2016-09-06T05:39:40 --startdatetime 2016-09-06T05:43:46 --delay 1 --endMP 204:233297 --enddatetime 2016-09-06T06:19:39 --enforcementcount 0 &gt;&gt;C:\Users\stu\Documents\GitHub\eaglep3-reporting\EC\2016-09-06-refined-times.txt</v>
      </c>
      <c r="AI27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{"issue":{"subject":"","project_id":79,"tracker_id":40,"status_id":1,"priority_id":2,"assigned_to_id":23,"start_date":"2016-09-06","description":"","custom_fields":[{"id":1,"name":"Subdivision","value":"EC"},{"id":4,"name":"Milepost","value":"23.2532"},{"id":17,"name":"Train ID","value":"115-06"},{"id":16,"name":"Locomotive ID","value":"4029"},{"id":130,"name":"Impact","value":""},{"id":150,"name":"Time of Event (Mountain Time)","value":"06:19:39"},{"id":151,"name":"Denver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364</v>
      </c>
      <c r="B28" s="7">
        <v>4030</v>
      </c>
      <c r="C28" s="24" t="s">
        <v>112</v>
      </c>
      <c r="D28" s="24" t="s">
        <v>197</v>
      </c>
      <c r="E28" s="15">
        <v>42619.266967592594</v>
      </c>
      <c r="F28" s="15">
        <v>42619.302442129629</v>
      </c>
      <c r="G28" s="7">
        <v>1</v>
      </c>
      <c r="H28" s="15" t="s">
        <v>150</v>
      </c>
      <c r="I28" s="15">
        <v>42619.327048611114</v>
      </c>
      <c r="J28" s="7">
        <v>0</v>
      </c>
      <c r="K28" s="132" t="str">
        <f t="shared" si="0"/>
        <v>4029/4030</v>
      </c>
      <c r="L28" s="24" t="e">
        <f>VLOOKUP(A28,'Trips&amp;Operators'!$C$1:$E$10000,3,FALSE)</f>
        <v>#N/A</v>
      </c>
      <c r="M28" s="6">
        <f t="shared" si="1"/>
        <v>2.4606481485534459E-2</v>
      </c>
      <c r="N28" s="7">
        <f t="shared" si="2"/>
        <v>35.433333339169621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05:24:26-0600',mode:absolute,to:'2016-09-06 08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28" s="54" t="str">
        <f t="shared" si="6"/>
        <v>N</v>
      </c>
      <c r="X28" s="120">
        <f t="shared" si="7"/>
        <v>1</v>
      </c>
      <c r="Y28" s="69">
        <f t="shared" si="8"/>
        <v>23.297999999999998</v>
      </c>
      <c r="Z28" s="69">
        <f t="shared" si="9"/>
        <v>1.52E-2</v>
      </c>
      <c r="AA28" s="69">
        <f t="shared" si="10"/>
        <v>23.282799999999998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11"/>
        <v>0116-06</v>
      </c>
      <c r="AE28" s="99" t="str">
        <f t="shared" si="12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28" s="96" t="str">
        <f t="shared" si="13"/>
        <v>"C:\Program Files (x86)\AstroGrep\AstroGrep.exe" /spath="%USERPROFILE%\AppData\Local\Temp\OnboardLogs" /stypes="*4030*20160906*"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116-06 --locoid 4030 --swversion DE.1.0.7.0 --startMP 204:232980 --initTime 2016-09-06T06:24:26 --startdatetime 2016-09-06T07:15:31 --delay 1 --endMP 204:152 --enddatetime 2016-09-06T07:50:57 --enforcementcount 0 &gt;&gt;C:\Users\stu\Documents\GitHub\eaglep3-reporting\EC\2016-09-06-refined-times.txt</v>
      </c>
      <c r="AI28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{"issue":{"subject":"","project_id":79,"tracker_id":40,"status_id":1,"priority_id":2,"assigned_to_id":23,"start_date":"2016-09-06","description":"","custom_fields":[{"id":1,"name":"Subdivision","value":"EC"},{"id":4,"name":"Milepost","value":"23.2828"},{"id":17,"name":"Train ID","value":"116-06"},{"id":16,"name":"Locomotive ID","value":"4030"},{"id":130,"name":"Impact","value":""},{"id":150,"name":"Time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356</v>
      </c>
      <c r="B29" s="7">
        <v>4011</v>
      </c>
      <c r="C29" s="24" t="s">
        <v>112</v>
      </c>
      <c r="D29" s="24" t="s">
        <v>278</v>
      </c>
      <c r="E29" s="15">
        <v>42619.239386574074</v>
      </c>
      <c r="F29" s="15">
        <v>42619.242002314815</v>
      </c>
      <c r="G29" s="7">
        <v>1</v>
      </c>
      <c r="H29" s="15" t="s">
        <v>251</v>
      </c>
      <c r="I29" s="15">
        <v>42619.272418981483</v>
      </c>
      <c r="J29" s="7">
        <v>0</v>
      </c>
      <c r="K29" s="132" t="str">
        <f t="shared" si="0"/>
        <v>4011/4012</v>
      </c>
      <c r="L29" s="24" t="e">
        <f>VLOOKUP(A29,'Trips&amp;Operators'!$C$1:$E$10000,3,FALSE)</f>
        <v>#N/A</v>
      </c>
      <c r="M29" s="6">
        <f t="shared" si="1"/>
        <v>3.0416666668315884E-2</v>
      </c>
      <c r="N29" s="7">
        <f t="shared" si="2"/>
        <v>43.800000002374873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04:44:43-0600',mode:absolute,to:'2016-09-06 07:32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9" s="54" t="str">
        <f t="shared" si="6"/>
        <v>N</v>
      </c>
      <c r="X29" s="120">
        <f t="shared" si="7"/>
        <v>1</v>
      </c>
      <c r="Y29" s="69">
        <f t="shared" si="8"/>
        <v>4.4600000000000001E-2</v>
      </c>
      <c r="Z29" s="69">
        <f t="shared" si="9"/>
        <v>23.329499999999999</v>
      </c>
      <c r="AA29" s="69">
        <f t="shared" si="10"/>
        <v>23.2849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0117-06</v>
      </c>
      <c r="AE29" s="99" t="str">
        <f t="shared" si="12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29" s="96" t="str">
        <f t="shared" si="13"/>
        <v>"C:\Program Files (x86)\AstroGrep\AstroGrep.exe" /spath="%USERPROFILE%\AppData\Local\Temp\OnboardLogs" /stypes="*4011*20160906*"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117-06 --locoid 4011 --swversion DE.1.0.7.0 --startMP 204:446 --initTime 2016-09-06T05:44:43 --startdatetime 2016-09-06T05:48:29 --delay 1 --endMP 204:233295 --enddatetime 2016-09-06T06:32:17 --enforcementcount 0 &gt;&gt;C:\Users\stu\Documents\GitHub\eaglep3-reporting\EC\2016-09-06-refined-times.txt</v>
      </c>
      <c r="AI29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{"issue":{"subject":"","project_id":79,"tracker_id":40,"status_id":1,"priority_id":2,"assigned_to_id":23,"start_date":"2016-09-06","description":"","custom_fields":[{"id":1,"name":"Subdivision","value":"EC"},{"id":4,"name":"Milepost","value":"23.2849"},{"id":17,"name":"Train ID","value":"117-06"},{"id":16,"name":"Locomotive ID","value":"4011"},{"id":130,"name":"Impact","value":""},{"id":150,"name":"Time of Event (Mountain Time)","value":"06:32:17"},{"id":151,"name":"Denver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366</v>
      </c>
      <c r="B30" s="7">
        <v>4012</v>
      </c>
      <c r="C30" s="24" t="s">
        <v>112</v>
      </c>
      <c r="D30" s="24" t="s">
        <v>216</v>
      </c>
      <c r="E30" s="15">
        <v>42619.273842592593</v>
      </c>
      <c r="F30" s="15">
        <v>42619.278773148151</v>
      </c>
      <c r="G30" s="7">
        <v>1</v>
      </c>
      <c r="H30" s="15" t="s">
        <v>145</v>
      </c>
      <c r="I30" s="15">
        <v>42619.306631944448</v>
      </c>
      <c r="J30" s="7">
        <v>0</v>
      </c>
      <c r="K30" s="132" t="str">
        <f t="shared" si="0"/>
        <v>4011/4012</v>
      </c>
      <c r="L30" s="24" t="e">
        <f>VLOOKUP(A30,'Trips&amp;Operators'!$C$1:$E$10000,3,FALSE)</f>
        <v>#N/A</v>
      </c>
      <c r="M30" s="6">
        <f t="shared" si="1"/>
        <v>2.7858796296641231E-2</v>
      </c>
      <c r="N30" s="7">
        <f t="shared" si="2"/>
        <v>40.116666667163372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05:34:20-0600',mode:absolute,to:'2016-09-06 08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30" s="54" t="str">
        <f t="shared" si="6"/>
        <v>N</v>
      </c>
      <c r="X30" s="120">
        <f t="shared" si="7"/>
        <v>1</v>
      </c>
      <c r="Y30" s="69">
        <f t="shared" si="8"/>
        <v>23.299600000000002</v>
      </c>
      <c r="Z30" s="69">
        <f t="shared" si="9"/>
        <v>1.5599999999999999E-2</v>
      </c>
      <c r="AA30" s="69">
        <f t="shared" si="10"/>
        <v>23.284000000000002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0118-06</v>
      </c>
      <c r="AE30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30" s="96" t="str">
        <f t="shared" si="13"/>
        <v>"C:\Program Files (x86)\AstroGrep\AstroGrep.exe" /spath="%USERPROFILE%\AppData\Local\Temp\OnboardLogs" /stypes="*4012*20160906*"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118-06 --locoid 4012 --swversion DE.1.0.7.0 --startMP 204:232996 --initTime 2016-09-06T06:34:20 --startdatetime 2016-09-06T06:41:26 --delay 1 --endMP 204:156 --enddatetime 2016-09-06T07:21:33 --enforcementcount 0 &gt;&gt;C:\Users\stu\Documents\GitHub\eaglep3-reporting\EC\2016-09-06-refined-times.txt</v>
      </c>
      <c r="AI30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{"issue":{"subject":"","project_id":79,"tracker_id":40,"status_id":1,"priority_id":2,"assigned_to_id":23,"start_date":"2016-09-06","description":"","custom_fields":[{"id":1,"name":"Subdivision","value":"EC"},{"id":4,"name":"Milepost","value":"23.284"},{"id":17,"name":"Train ID","value":"118-06"},{"id":16,"name":"Locomotive ID","value":"4012"},{"id":130,"name":"Impact","value":""},{"id":150,"name":"Time of Event (Mountain Time)","value":"07:21:33"},{"id":151,"name":"Denver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359</v>
      </c>
      <c r="B31" s="7">
        <v>4002</v>
      </c>
      <c r="C31" s="24" t="s">
        <v>112</v>
      </c>
      <c r="D31" s="24" t="s">
        <v>568</v>
      </c>
      <c r="E31" s="15">
        <v>42619.253842592596</v>
      </c>
      <c r="F31" s="15">
        <v>42619.258553240739</v>
      </c>
      <c r="G31" s="7">
        <v>1</v>
      </c>
      <c r="H31" s="15" t="s">
        <v>250</v>
      </c>
      <c r="I31" s="15">
        <v>42619.283680555556</v>
      </c>
      <c r="J31" s="7">
        <v>0</v>
      </c>
      <c r="K31" s="132" t="str">
        <f t="shared" si="0"/>
        <v>4001/4002</v>
      </c>
      <c r="L31" s="24" t="e">
        <f>VLOOKUP(A31,'Trips&amp;Operators'!$C$1:$E$10000,3,FALSE)</f>
        <v>#N/A</v>
      </c>
      <c r="M31" s="6">
        <f t="shared" si="1"/>
        <v>2.5127314816927537E-2</v>
      </c>
      <c r="N31" s="7">
        <f t="shared" si="2"/>
        <v>36.183333336375654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05:05:32-0600',mode:absolute,to:'2016-09-06 07:48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31" s="54" t="str">
        <f t="shared" si="6"/>
        <v>N</v>
      </c>
      <c r="X31" s="120">
        <f t="shared" si="7"/>
        <v>1</v>
      </c>
      <c r="Y31" s="69">
        <f t="shared" si="8"/>
        <v>7.6100000000000001E-2</v>
      </c>
      <c r="Z31" s="69">
        <f t="shared" si="9"/>
        <v>23.330100000000002</v>
      </c>
      <c r="AA31" s="69">
        <f t="shared" si="10"/>
        <v>23.254000000000001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0119-06</v>
      </c>
      <c r="AE31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31" s="96" t="str">
        <f t="shared" si="13"/>
        <v>"C:\Program Files (x86)\AstroGrep\AstroGrep.exe" /spath="%USERPROFILE%\AppData\Local\Temp\OnboardLogs" /stypes="*4002*20160906*"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119-06 --locoid 4002 --swversion DE.1.0.7.0 --startMP 204:761 --initTime 2016-09-06T06:05:32 --startdatetime 2016-09-06T06:12:19 --delay 1 --endMP 204:233301 --enddatetime 2016-09-06T06:48:30 --enforcementcount 0 &gt;&gt;C:\Users\stu\Documents\GitHub\eaglep3-reporting\EC\2016-09-06-refined-times.txt</v>
      </c>
      <c r="AI31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{"issue":{"subject":"","project_id":79,"tracker_id":40,"status_id":1,"priority_id":2,"assigned_to_id":23,"start_date":"2016-09-06","description":"","custom_fields":[{"id":1,"name":"Subdivision","value":"EC"},{"id":4,"name":"Milepost","value":"23.254"},{"id":17,"name":"Train ID","value":"119-06"},{"id":16,"name":"Locomotive ID","value":"4002"},{"id":130,"name":"Impact","value":""},{"id":150,"name":"Time of Event (Mountain Time)","value":"06:48:30"},{"id":151,"name":"Denver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369</v>
      </c>
      <c r="B32" s="7">
        <v>4001</v>
      </c>
      <c r="C32" s="24" t="s">
        <v>112</v>
      </c>
      <c r="D32" s="24" t="s">
        <v>569</v>
      </c>
      <c r="E32" s="15">
        <v>42619.285185185188</v>
      </c>
      <c r="F32" s="15">
        <v>42619.2890625</v>
      </c>
      <c r="G32" s="7">
        <v>1</v>
      </c>
      <c r="H32" s="15" t="s">
        <v>156</v>
      </c>
      <c r="I32" s="15">
        <v>42619.31763888889</v>
      </c>
      <c r="J32" s="7">
        <v>0</v>
      </c>
      <c r="K32" s="132" t="str">
        <f t="shared" si="0"/>
        <v>4001/4002</v>
      </c>
      <c r="L32" s="24" t="e">
        <f>VLOOKUP(A32,'Trips&amp;Operators'!$C$1:$E$10000,3,FALSE)</f>
        <v>#N/A</v>
      </c>
      <c r="M32" s="6">
        <f t="shared" si="1"/>
        <v>2.8576388889632653E-2</v>
      </c>
      <c r="N32" s="7">
        <f t="shared" si="2"/>
        <v>41.150000001071021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05:50:40-0600',mode:absolute,to:'2016-09-06 08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32" s="54" t="str">
        <f t="shared" si="6"/>
        <v>N</v>
      </c>
      <c r="X32" s="120">
        <f t="shared" si="7"/>
        <v>1</v>
      </c>
      <c r="Y32" s="69">
        <f t="shared" si="8"/>
        <v>23.298999999999999</v>
      </c>
      <c r="Z32" s="69">
        <f t="shared" si="9"/>
        <v>1.4500000000000001E-2</v>
      </c>
      <c r="AA32" s="69">
        <f t="shared" si="10"/>
        <v>23.284499999999998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11"/>
        <v>0120-06</v>
      </c>
      <c r="AE32" s="99" t="str">
        <f t="shared" si="12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32" s="96" t="str">
        <f t="shared" si="13"/>
        <v>"C:\Program Files (x86)\AstroGrep\AstroGrep.exe" /spath="%USERPROFILE%\AppData\Local\Temp\OnboardLogs" /stypes="*4001*20160906*"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120-06 --locoid 4001 --swversion DE.1.0.7.0 --startMP 204:232990 --initTime 2016-09-06T06:50:40 --startdatetime 2016-09-06T06:56:15 --delay 1 --endMP 204:145 --enddatetime 2016-09-06T07:37:24 --enforcementcount 0 &gt;&gt;C:\Users\stu\Documents\GitHub\eaglep3-reporting\EC\2016-09-06-refined-times.txt</v>
      </c>
      <c r="AI32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{"issue":{"subject":"","project_id":79,"tracker_id":40,"status_id":1,"priority_id":2,"assigned_to_id":23,"start_date":"2016-09-06","description":"","custom_fields":[{"id":1,"name":"Subdivision","value":"EC"},{"id":4,"name":"Milepost","value":"23.2845"},{"id":17,"name":"Train ID","value":"120-06"},{"id":16,"name":"Locomotive ID","value":"4001"},{"id":130,"name":"Impact","value":""},{"id":150,"name":"Time of Event (Mountain Time)","value":"07:37:24"},{"id":151,"name":"Denver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363</v>
      </c>
      <c r="B33" s="7">
        <v>4014</v>
      </c>
      <c r="C33" s="24" t="s">
        <v>112</v>
      </c>
      <c r="D33" s="24" t="s">
        <v>277</v>
      </c>
      <c r="E33" s="15">
        <v>42619.259664351855</v>
      </c>
      <c r="F33" s="15">
        <v>42619.262511574074</v>
      </c>
      <c r="G33" s="7">
        <v>1</v>
      </c>
      <c r="H33" s="15" t="s">
        <v>570</v>
      </c>
      <c r="I33" s="15">
        <v>42619.287199074075</v>
      </c>
      <c r="J33" s="7">
        <v>0</v>
      </c>
      <c r="K33" s="132" t="str">
        <f t="shared" si="0"/>
        <v>4013/4014</v>
      </c>
      <c r="L33" s="24" t="e">
        <f>VLOOKUP(A33,'Trips&amp;Operators'!$C$1:$E$10000,3,FALSE)</f>
        <v>#N/A</v>
      </c>
      <c r="M33" s="6">
        <f t="shared" si="1"/>
        <v>2.4687500001164153E-2</v>
      </c>
      <c r="N33" s="7">
        <f t="shared" si="2"/>
        <v>35.550000001676381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05:13:55-0600',mode:absolute,to:'2016-09-06 07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33" s="54" t="str">
        <f t="shared" si="6"/>
        <v>N</v>
      </c>
      <c r="X33" s="120">
        <f t="shared" si="7"/>
        <v>1</v>
      </c>
      <c r="Y33" s="69">
        <f t="shared" si="8"/>
        <v>4.8800000000000003E-2</v>
      </c>
      <c r="Z33" s="69">
        <f t="shared" si="9"/>
        <v>23.324400000000001</v>
      </c>
      <c r="AA33" s="69">
        <f t="shared" si="10"/>
        <v>23.275600000000001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1"/>
        <v>0121-06</v>
      </c>
      <c r="AE33" s="99" t="str">
        <f t="shared" si="12"/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33" s="96" t="str">
        <f t="shared" si="13"/>
        <v>"C:\Program Files (x86)\AstroGrep\AstroGrep.exe" /spath="%USERPROFILE%\AppData\Local\Temp\OnboardLogs" /stypes="*4014*20160906*"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121-06 --locoid 4014 --swversion DE.1.0.7.0 --startMP 204:488 --initTime 2016-09-06T06:13:55 --startdatetime 2016-09-06T06:18:01 --delay 1 --endMP 204:233244 --enddatetime 2016-09-06T06:53:34 --enforcementcount 0 &gt;&gt;C:\Users\stu\Documents\GitHub\eaglep3-reporting\EC\2016-09-06-refined-times.txt</v>
      </c>
      <c r="AI33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{"issue":{"subject":"","project_id":79,"tracker_id":40,"status_id":1,"priority_id":2,"assigned_to_id":23,"start_date":"2016-09-06","description":"","custom_fields":[{"id":1,"name":"Subdivision","value":"EC"},{"id":4,"name":"Milepost","value":"23.2756"},{"id":17,"name":"Train ID","value":"121-06"},{"id":16,"name":"Locomotive ID","value":"4014"},{"id":130,"name":"Impact","value":""},{"id":150,"name":"Time of Event (Mountain Time)","value":"06:53:34"},{"id":151,"name":"Denver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371</v>
      </c>
      <c r="B34" s="7">
        <v>4013</v>
      </c>
      <c r="C34" s="24" t="s">
        <v>112</v>
      </c>
      <c r="D34" s="24" t="s">
        <v>571</v>
      </c>
      <c r="E34" s="15">
        <v>42619.293680555558</v>
      </c>
      <c r="F34" s="15">
        <v>42619.299537037034</v>
      </c>
      <c r="G34" s="7">
        <v>1</v>
      </c>
      <c r="H34" s="15" t="s">
        <v>220</v>
      </c>
      <c r="I34" s="15">
        <v>42619.326006944444</v>
      </c>
      <c r="J34" s="7">
        <v>0</v>
      </c>
      <c r="K34" s="132" t="str">
        <f t="shared" si="0"/>
        <v>4013/4014</v>
      </c>
      <c r="L34" s="24" t="e">
        <f>VLOOKUP(A34,'Trips&amp;Operators'!$C$1:$E$10000,3,FALSE)</f>
        <v>#N/A</v>
      </c>
      <c r="M34" s="6">
        <f t="shared" si="1"/>
        <v>2.6469907410501037E-2</v>
      </c>
      <c r="N34" s="7">
        <f t="shared" si="2"/>
        <v>38.116666671121493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06:02:54-0600',mode:absolute,to:'2016-09-06 08:49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34" s="54" t="str">
        <f t="shared" si="6"/>
        <v>N</v>
      </c>
      <c r="X34" s="120">
        <f t="shared" si="7"/>
        <v>1</v>
      </c>
      <c r="Y34" s="69">
        <f t="shared" si="8"/>
        <v>23.2928</v>
      </c>
      <c r="Z34" s="69">
        <f t="shared" si="9"/>
        <v>1.38E-2</v>
      </c>
      <c r="AA34" s="69">
        <f t="shared" si="10"/>
        <v>23.279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11"/>
        <v>0122-06</v>
      </c>
      <c r="AE34" s="99" t="str">
        <f t="shared" si="12"/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AF34" s="96" t="str">
        <f t="shared" si="13"/>
        <v>"C:\Program Files (x86)\AstroGrep\AstroGrep.exe" /spath="%USERPROFILE%\AppData\Local\Temp\OnboardLogs" /stypes="*4013*20160906*"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122-06 --locoid 4013 --swversion DE.1.0.7.0 --startMP 204:232928 --initTime 2016-09-06T07:02:54 --startdatetime 2016-09-06T07:11:20 --delay 1 --endMP 204:138 --enddatetime 2016-09-06T07:49:27 --enforcementcount 0 &gt;&gt;C:\Users\stu\Documents\GitHub\eaglep3-reporting\EC\2016-09-06-refined-times.txt</v>
      </c>
      <c r="AI34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{"issue":{"subject":"","project_id":79,"tracker_id":40,"status_id":1,"priority_id":2,"assigned_to_id":23,"start_date":"2016-09-06","description":"","custom_fields":[{"id":1,"name":"Subdivision","value":"EC"},{"id":4,"name":"Milepost","value":"23.279"},{"id":17,"name":"Train ID","value":"122-06"},{"id":16,"name":"Locomotive ID","value":"4013"},{"id":130,"name":"Impact","value":""},{"id":150,"name":"Time of Event (Mountain Time)","value":"07:49:27"},{"id":151,"name":"Denver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365</v>
      </c>
      <c r="B35" s="7">
        <v>4027</v>
      </c>
      <c r="C35" s="24" t="s">
        <v>112</v>
      </c>
      <c r="D35" s="24" t="s">
        <v>124</v>
      </c>
      <c r="E35" s="15">
        <v>42619.269456018519</v>
      </c>
      <c r="F35" s="15">
        <v>42619.271377314813</v>
      </c>
      <c r="G35" s="7">
        <v>1</v>
      </c>
      <c r="H35" s="15" t="s">
        <v>232</v>
      </c>
      <c r="I35" s="15">
        <v>42619.297812500001</v>
      </c>
      <c r="J35" s="7">
        <v>0</v>
      </c>
      <c r="K35" s="132" t="str">
        <f t="shared" si="0"/>
        <v>4027/4028</v>
      </c>
      <c r="L35" s="24" t="e">
        <f>VLOOKUP(A35,'Trips&amp;Operators'!$C$1:$E$10000,3,FALSE)</f>
        <v>#N/A</v>
      </c>
      <c r="M35" s="6">
        <f t="shared" si="1"/>
        <v>2.6435185187438037E-2</v>
      </c>
      <c r="N35" s="7">
        <f t="shared" si="2"/>
        <v>38.066666669910774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05:28:01-0600',mode:absolute,to:'2016-09-06 08:08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35" s="54" t="str">
        <f t="shared" si="6"/>
        <v>N</v>
      </c>
      <c r="X35" s="120">
        <f t="shared" si="7"/>
        <v>1</v>
      </c>
      <c r="Y35" s="69">
        <f t="shared" si="8"/>
        <v>4.5499999999999999E-2</v>
      </c>
      <c r="Z35" s="69">
        <f t="shared" si="9"/>
        <v>23.331199999999999</v>
      </c>
      <c r="AA35" s="69">
        <f t="shared" si="10"/>
        <v>23.285699999999999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0123-06</v>
      </c>
      <c r="AE35" s="99" t="str">
        <f t="shared" si="12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35" s="96" t="str">
        <f t="shared" si="13"/>
        <v>"C:\Program Files (x86)\AstroGrep\AstroGrep.exe" /spath="%USERPROFILE%\AppData\Local\Temp\OnboardLogs" /stypes="*4027*20160906*"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123-06 --locoid 4027 --swversion DE.1.0.7.0 --startMP 204:455 --initTime 2016-09-06T06:28:01 --startdatetime 2016-09-06T06:30:47 --delay 1 --endMP 204:233312 --enddatetime 2016-09-06T07:08:51 --enforcementcount 0 &gt;&gt;C:\Users\stu\Documents\GitHub\eaglep3-reporting\EC\2016-09-06-refined-times.txt</v>
      </c>
      <c r="AI35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{"issue":{"subject":"","project_id":79,"tracker_id":40,"status_id":1,"priority_id":2,"assigned_to_id":23,"start_date":"2016-09-06","description":"","custom_fields":[{"id":1,"name":"Subdivision","value":"EC"},{"id":4,"name":"Milepost","value":"23.2857"},{"id":17,"name":"Train ID","value":"123-06"},{"id":16,"name":"Locomotive ID","value":"4027"},{"id":130,"name":"Impact","value":""},{"id":150,"name":"Time of Event (Mountain Time)","value":"07:08:51"},{"id":151,"name":"Denver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ht="16.5" customHeight="1" x14ac:dyDescent="0.25">
      <c r="A36" s="39" t="s">
        <v>375</v>
      </c>
      <c r="B36" s="7">
        <v>4028</v>
      </c>
      <c r="C36" s="24" t="s">
        <v>112</v>
      </c>
      <c r="D36" s="24" t="s">
        <v>572</v>
      </c>
      <c r="E36" s="15">
        <v>42619.305405092593</v>
      </c>
      <c r="F36" s="15">
        <v>42619.309930555559</v>
      </c>
      <c r="G36" s="7">
        <v>1</v>
      </c>
      <c r="H36" s="15" t="s">
        <v>573</v>
      </c>
      <c r="I36" s="15">
        <v>42619.336226851854</v>
      </c>
      <c r="J36" s="7">
        <v>0</v>
      </c>
      <c r="K36" s="132" t="str">
        <f t="shared" si="0"/>
        <v>4027/4028</v>
      </c>
      <c r="L36" s="24" t="e">
        <f>VLOOKUP(A36,'Trips&amp;Operators'!$C$1:$E$10000,3,FALSE)</f>
        <v>#N/A</v>
      </c>
      <c r="M36" s="6">
        <f t="shared" si="1"/>
        <v>2.6296296295186039E-2</v>
      </c>
      <c r="N36" s="7">
        <f>24*60*SUM($M36:$M36)</f>
        <v>37.866666665067896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06:19:47-0600',mode:absolute,to:'2016-09-06 09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36" s="54" t="str">
        <f t="shared" si="6"/>
        <v>Y</v>
      </c>
      <c r="X36" s="120">
        <f t="shared" si="7"/>
        <v>1</v>
      </c>
      <c r="Y36" s="69">
        <f t="shared" si="8"/>
        <v>23.299199999999999</v>
      </c>
      <c r="Z36" s="69">
        <f t="shared" si="9"/>
        <v>0.76170000000000004</v>
      </c>
      <c r="AA36" s="69">
        <f t="shared" si="10"/>
        <v>22.537499999999998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0124-06</v>
      </c>
      <c r="AE36" s="99" t="str">
        <f t="shared" si="12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36" s="96" t="str">
        <f t="shared" si="13"/>
        <v>"C:\Program Files (x86)\AstroGrep\AstroGrep.exe" /spath="%USERPROFILE%\AppData\Local\Temp\OnboardLogs" /stypes="*4028*20160906*"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124-06 --locoid 4028 --swversion DE.1.0.7.0 --startMP 204:232992 --initTime 2016-09-06T07:19:47 --startdatetime 2016-09-06T07:26:18 --delay 1 --endMP 204:7617 --enddatetime 2016-09-06T08:04:10 --enforcementcount 0 &gt;&gt;C:\Users\stu\Documents\GitHub\eaglep3-reporting\EC\2016-09-06-refined-times.txt</v>
      </c>
      <c r="AI36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{"issue":{"subject":"","project_id":79,"tracker_id":40,"status_id":1,"priority_id":2,"assigned_to_id":23,"start_date":"2016-09-06","description":"","custom_fields":[{"id":1,"name":"Subdivision","value":"EC"},{"id":4,"name":"Milepost","value":"22.5375"},{"id":17,"name":"Train ID","value":"124-06"},{"id":16,"name":"Locomotive ID","value":"4028"},{"id":130,"name":"Impact","value":""},{"id":150,"name":"Time of Event (Mountain Time)","value":"08:04:10"},{"id":151,"name":"Denver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367</v>
      </c>
      <c r="B37" s="7">
        <v>4038</v>
      </c>
      <c r="C37" s="24" t="s">
        <v>112</v>
      </c>
      <c r="D37" s="24" t="s">
        <v>574</v>
      </c>
      <c r="E37" s="15">
        <v>42619.278263888889</v>
      </c>
      <c r="F37" s="15">
        <v>42619.281435185185</v>
      </c>
      <c r="G37" s="7">
        <v>1</v>
      </c>
      <c r="H37" s="15" t="s">
        <v>253</v>
      </c>
      <c r="I37" s="15">
        <v>42619.306192129632</v>
      </c>
      <c r="J37" s="7">
        <v>0</v>
      </c>
      <c r="K37" s="132" t="str">
        <f t="shared" si="0"/>
        <v>4037/4038</v>
      </c>
      <c r="L37" s="24" t="e">
        <f>VLOOKUP(A37,'Trips&amp;Operators'!$C$1:$E$10000,3,FALSE)</f>
        <v>#N/A</v>
      </c>
      <c r="M37" s="6">
        <f t="shared" si="1"/>
        <v>2.4756944447290152E-2</v>
      </c>
      <c r="N37" s="7">
        <f t="shared" ref="N37:N55" si="19">24*60*SUM($M37:$M37)</f>
        <v>35.650000004097819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05:40:42-0600',mode:absolute,to:'2016-09-06 08:20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7" s="54" t="str">
        <f t="shared" si="6"/>
        <v>N</v>
      </c>
      <c r="X37" s="120">
        <f t="shared" si="7"/>
        <v>1</v>
      </c>
      <c r="Y37" s="69">
        <f t="shared" si="8"/>
        <v>4.7300000000000002E-2</v>
      </c>
      <c r="Z37" s="69">
        <f t="shared" si="9"/>
        <v>23.331</v>
      </c>
      <c r="AA37" s="69">
        <f t="shared" si="10"/>
        <v>23.2837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11"/>
        <v>0125-06</v>
      </c>
      <c r="AE37" s="99" t="str">
        <f t="shared" si="12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37" s="96" t="str">
        <f t="shared" si="13"/>
        <v>"C:\Program Files (x86)\AstroGrep\AstroGrep.exe" /spath="%USERPROFILE%\AppData\Local\Temp\OnboardLogs" /stypes="*4038*20160906*"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125-06 --locoid 4038 --swversion DE.1.0.7.0 --startMP 204:473 --initTime 2016-09-06T06:40:42 --startdatetime 2016-09-06T06:45:16 --delay 1 --endMP 204:233310 --enddatetime 2016-09-06T07:20:55 --enforcementcount 0 &gt;&gt;C:\Users\stu\Documents\GitHub\eaglep3-reporting\EC\2016-09-06-refined-times.txt</v>
      </c>
      <c r="AI37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{"issue":{"subject":"","project_id":79,"tracker_id":40,"status_id":1,"priority_id":2,"assigned_to_id":23,"start_date":"2016-09-06","description":"","custom_fields":[{"id":1,"name":"Subdivision","value":"EC"},{"id":4,"name":"Milepost","value":"23.2837"},{"id":17,"name":"Train ID","value":"125-06"},{"id":16,"name":"Locomotive ID","value":"4038"},{"id":130,"name":"Impact","value":""},{"id":150,"name":"Time of Event (Mountain Time)","value":"07:20:55"},{"id":151,"name":"Denver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31" customFormat="1" x14ac:dyDescent="0.25">
      <c r="A38" s="39" t="s">
        <v>377</v>
      </c>
      <c r="B38" s="7">
        <v>4037</v>
      </c>
      <c r="C38" s="24" t="s">
        <v>112</v>
      </c>
      <c r="D38" s="24" t="s">
        <v>575</v>
      </c>
      <c r="E38" s="15">
        <v>42619.315578703703</v>
      </c>
      <c r="F38" s="15">
        <v>42619.320324074077</v>
      </c>
      <c r="G38" s="7">
        <v>1</v>
      </c>
      <c r="H38" s="15" t="s">
        <v>148</v>
      </c>
      <c r="I38" s="15">
        <v>42619.348715277774</v>
      </c>
      <c r="J38" s="7">
        <v>0</v>
      </c>
      <c r="K38" s="132" t="str">
        <f t="shared" si="0"/>
        <v>4037/4038</v>
      </c>
      <c r="L38" s="24" t="e">
        <f>VLOOKUP(A38,'Trips&amp;Operators'!$C$1:$E$10000,3,FALSE)</f>
        <v>#N/A</v>
      </c>
      <c r="M38" s="6">
        <f t="shared" si="1"/>
        <v>2.8391203697538003E-2</v>
      </c>
      <c r="N38" s="7">
        <f t="shared" si="19"/>
        <v>40.883333324454725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06:34:26-0600',mode:absolute,to:'2016-09-06 09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8" s="54" t="str">
        <f t="shared" si="6"/>
        <v>N</v>
      </c>
      <c r="X38" s="120">
        <f t="shared" si="7"/>
        <v>1</v>
      </c>
      <c r="Y38" s="69">
        <f t="shared" si="8"/>
        <v>23.301300000000001</v>
      </c>
      <c r="Z38" s="69">
        <f t="shared" si="9"/>
        <v>1.54E-2</v>
      </c>
      <c r="AA38" s="69">
        <f t="shared" si="10"/>
        <v>23.285900000000002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0126-06</v>
      </c>
      <c r="AE38" s="99" t="str">
        <f t="shared" si="12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38" s="96" t="str">
        <f t="shared" si="13"/>
        <v>"C:\Program Files (x86)\AstroGrep\AstroGrep.exe" /spath="%USERPROFILE%\AppData\Local\Temp\OnboardLogs" /stypes="*4037*20160906*"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126-06 --locoid 4037 --swversion DE.1.0.7.0 --startMP 204:233013 --initTime 2016-09-06T07:34:26 --startdatetime 2016-09-06T07:41:16 --delay 1 --endMP 204:154 --enddatetime 2016-09-06T08:22:09 --enforcementcount 0 &gt;&gt;C:\Users\stu\Documents\GitHub\eaglep3-reporting\EC\2016-09-06-refined-times.txt</v>
      </c>
      <c r="AI38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{"issue":{"subject":"","project_id":79,"tracker_id":40,"status_id":1,"priority_id":2,"assigned_to_id":23,"start_date":"2016-09-06","description":"","custom_fields":[{"id":1,"name":"Subdivision","value":"EC"},{"id":4,"name":"Milepost","value":"23.2859"},{"id":17,"name":"Train ID","value":"126-06"},{"id":16,"name":"Locomotive ID","value":"4037"},{"id":130,"name":"Impact","value":""},{"id":150,"name":"Time of Event (Mountain Time)","value":"08:22:09"},{"id":151,"name":"Denver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370</v>
      </c>
      <c r="B39" s="7">
        <v>4025</v>
      </c>
      <c r="C39" s="24" t="s">
        <v>112</v>
      </c>
      <c r="D39" s="24" t="s">
        <v>134</v>
      </c>
      <c r="E39" s="15">
        <v>42619.286481481482</v>
      </c>
      <c r="F39" s="15">
        <v>42619.292141203703</v>
      </c>
      <c r="G39" s="7">
        <v>1</v>
      </c>
      <c r="H39" s="15" t="s">
        <v>147</v>
      </c>
      <c r="I39" s="15">
        <v>42619.317002314812</v>
      </c>
      <c r="J39" s="7">
        <v>0</v>
      </c>
      <c r="K39" s="132" t="str">
        <f t="shared" si="0"/>
        <v>4025/4026</v>
      </c>
      <c r="L39" s="24" t="e">
        <f>VLOOKUP(A39,'Trips&amp;Operators'!$C$1:$E$10000,3,FALSE)</f>
        <v>#N/A</v>
      </c>
      <c r="M39" s="6">
        <f t="shared" si="1"/>
        <v>2.4861111109203193E-2</v>
      </c>
      <c r="N39" s="7">
        <f t="shared" si="19"/>
        <v>35.799999997252598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05:52:32-0600',mode:absolute,to:'2016-09-06 08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39" s="54" t="str">
        <f t="shared" si="6"/>
        <v>N</v>
      </c>
      <c r="X39" s="120">
        <f t="shared" si="7"/>
        <v>1</v>
      </c>
      <c r="Y39" s="69">
        <f t="shared" si="8"/>
        <v>4.4900000000000002E-2</v>
      </c>
      <c r="Z39" s="69">
        <f t="shared" si="9"/>
        <v>23.3291</v>
      </c>
      <c r="AA39" s="69">
        <f t="shared" si="10"/>
        <v>23.284200000000002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1"/>
        <v>0127-06</v>
      </c>
      <c r="AE39" s="99" t="str">
        <f t="shared" si="12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39" s="96" t="str">
        <f t="shared" si="13"/>
        <v>"C:\Program Files (x86)\AstroGrep\AstroGrep.exe" /spath="%USERPROFILE%\AppData\Local\Temp\OnboardLogs" /stypes="*4025*20160906*"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127-06 --locoid 4025 --swversion DE.1.0.7.0 --startMP 204:449 --initTime 2016-09-06T06:52:32 --startdatetime 2016-09-06T07:00:41 --delay 1 --endMP 204:233291 --enddatetime 2016-09-06T07:36:29 --enforcementcount 0 &gt;&gt;C:\Users\stu\Documents\GitHub\eaglep3-reporting\EC\2016-09-06-refined-times.txt</v>
      </c>
      <c r="AI39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{"issue":{"subject":"","project_id":79,"tracker_id":40,"status_id":1,"priority_id":2,"assigned_to_id":23,"start_date":"2016-09-06","description":"","custom_fields":[{"id":1,"name":"Subdivision","value":"EC"},{"id":4,"name":"Milepost","value":"23.2842"},{"id":17,"name":"Train ID","value":"127-06"},{"id":16,"name":"Locomotive ID","value":"4025"},{"id":130,"name":"Impact","value":""},{"id":150,"name":"Time of Event (Mountain Time)","value":"07:36:29"},{"id":151,"name":"Denver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380</v>
      </c>
      <c r="B40" s="7">
        <v>4026</v>
      </c>
      <c r="C40" s="24" t="s">
        <v>112</v>
      </c>
      <c r="D40" s="24" t="s">
        <v>281</v>
      </c>
      <c r="E40" s="15">
        <v>42619.323888888888</v>
      </c>
      <c r="F40" s="15">
        <v>42619.330775462964</v>
      </c>
      <c r="G40" s="7">
        <v>1</v>
      </c>
      <c r="H40" s="15" t="s">
        <v>145</v>
      </c>
      <c r="I40" s="15">
        <v>42619.359837962962</v>
      </c>
      <c r="J40" s="7">
        <v>0</v>
      </c>
      <c r="K40" s="132" t="str">
        <f t="shared" si="0"/>
        <v>4025/4026</v>
      </c>
      <c r="L40" s="24" t="e">
        <f>VLOOKUP(A40,'Trips&amp;Operators'!$C$1:$E$10000,3,FALSE)</f>
        <v>#N/A</v>
      </c>
      <c r="M40" s="6">
        <f t="shared" si="1"/>
        <v>2.9062499997962732E-2</v>
      </c>
      <c r="N40" s="7">
        <f t="shared" si="19"/>
        <v>41.849999997066334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06:46:24-0600',mode:absolute,to:'2016-09-06 09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40" s="54" t="str">
        <f t="shared" si="6"/>
        <v>N</v>
      </c>
      <c r="X40" s="120">
        <f t="shared" si="7"/>
        <v>1</v>
      </c>
      <c r="Y40" s="69">
        <f t="shared" si="8"/>
        <v>23.296099999999999</v>
      </c>
      <c r="Z40" s="69">
        <f t="shared" si="9"/>
        <v>1.5599999999999999E-2</v>
      </c>
      <c r="AA40" s="69">
        <f t="shared" si="10"/>
        <v>23.2805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11"/>
        <v>0128-06</v>
      </c>
      <c r="AE40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40" s="96" t="str">
        <f t="shared" si="13"/>
        <v>"C:\Program Files (x86)\AstroGrep\AstroGrep.exe" /spath="%USERPROFILE%\AppData\Local\Temp\OnboardLogs" /stypes="*4026*20160906*"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128-06 --locoid 4026 --swversion DE.1.0.7.0 --startMP 204:232961 --initTime 2016-09-06T07:46:24 --startdatetime 2016-09-06T07:56:19 --delay 1 --endMP 204:156 --enddatetime 2016-09-06T08:38:10 --enforcementcount 0 &gt;&gt;C:\Users\stu\Documents\GitHub\eaglep3-reporting\EC\2016-09-06-refined-times.txt</v>
      </c>
      <c r="AI40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{"issue":{"subject":"","project_id":79,"tracker_id":40,"status_id":1,"priority_id":2,"assigned_to_id":23,"start_date":"2016-09-06","description":"","custom_fields":[{"id":1,"name":"Subdivision","value":"EC"},{"id":4,"name":"Milepost","value":"23.2805"},{"id":17,"name":"Train ID","value":"128-06"},{"id":16,"name":"Locomotive ID","value":"4026"},{"id":130,"name":"Impact","value":""},{"id":150,"name":"Time of Event (Mountain Time)","value":"08:38:10"},{"id":151,"name":"Denver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373</v>
      </c>
      <c r="B41" s="7">
        <v>4029</v>
      </c>
      <c r="C41" s="24" t="s">
        <v>112</v>
      </c>
      <c r="D41" s="24" t="s">
        <v>199</v>
      </c>
      <c r="E41" s="15">
        <v>42619.300428240742</v>
      </c>
      <c r="F41" s="15">
        <v>42619.302442129629</v>
      </c>
      <c r="G41" s="7">
        <v>2</v>
      </c>
      <c r="H41" s="15" t="s">
        <v>159</v>
      </c>
      <c r="I41" s="15">
        <v>42619.327048611114</v>
      </c>
      <c r="J41" s="7">
        <v>0</v>
      </c>
      <c r="K41" s="132" t="str">
        <f t="shared" si="0"/>
        <v>4029/4030</v>
      </c>
      <c r="L41" s="24" t="e">
        <f>VLOOKUP(A41,'Trips&amp;Operators'!$C$1:$E$10000,3,FALSE)</f>
        <v>#N/A</v>
      </c>
      <c r="M41" s="6">
        <f t="shared" si="1"/>
        <v>2.4606481485534459E-2</v>
      </c>
      <c r="N41" s="7">
        <f t="shared" si="19"/>
        <v>35.433333339169621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06:12:37-0600',mode:absolute,to:'2016-09-06 08:50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41" s="54" t="str">
        <f t="shared" si="6"/>
        <v>N</v>
      </c>
      <c r="X41" s="120">
        <f t="shared" si="7"/>
        <v>1</v>
      </c>
      <c r="Y41" s="69">
        <f t="shared" si="8"/>
        <v>4.3799999999999999E-2</v>
      </c>
      <c r="Z41" s="69">
        <f t="shared" si="9"/>
        <v>23.3293</v>
      </c>
      <c r="AA41" s="69">
        <f t="shared" si="10"/>
        <v>23.285499999999999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11"/>
        <v>0129-06</v>
      </c>
      <c r="AE41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41" s="96" t="str">
        <f t="shared" si="13"/>
        <v>"C:\Program Files (x86)\AstroGrep\AstroGrep.exe" /spath="%USERPROFILE%\AppData\Local\Temp\OnboardLogs" /stypes="*4029*20160906*"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129-06 --locoid 4029 --swversion DE.1.0.7.0 --startMP 204:438 --initTime 2016-09-06T07:12:37 --startdatetime 2016-09-06T07:15:31 --delay 2 --endMP 204:233293 --enddatetime 2016-09-06T07:50:57 --enforcementcount 0 &gt;&gt;C:\Users\stu\Documents\GitHub\eaglep3-reporting\EC\2016-09-06-refined-times.txt</v>
      </c>
      <c r="AI41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{"issue":{"subject":"","project_id":79,"tracker_id":40,"status_id":1,"priority_id":2,"assigned_to_id":23,"start_date":"2016-09-06","description":"","custom_fields":[{"id":1,"name":"Subdivision","value":"EC"},{"id":4,"name":"Milepost","value":"23.2855"},{"id":17,"name":"Train ID","value":"129-06"},{"id":16,"name":"Locomotive ID","value":"4029"},{"id":130,"name":"Impact","value":""},{"id":150,"name":"Time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384</v>
      </c>
      <c r="B42" s="7">
        <v>4030</v>
      </c>
      <c r="C42" s="24" t="s">
        <v>112</v>
      </c>
      <c r="D42" s="24" t="s">
        <v>291</v>
      </c>
      <c r="E42" s="15">
        <v>42619.340231481481</v>
      </c>
      <c r="F42" s="15">
        <v>42619.341504629629</v>
      </c>
      <c r="G42" s="7">
        <v>1</v>
      </c>
      <c r="H42" s="15" t="s">
        <v>150</v>
      </c>
      <c r="I42" s="15">
        <v>42619.366932870369</v>
      </c>
      <c r="J42" s="7">
        <v>0</v>
      </c>
      <c r="K42" s="132" t="str">
        <f t="shared" si="0"/>
        <v>4029/4030</v>
      </c>
      <c r="L42" s="24" t="e">
        <f>VLOOKUP(A42,'Trips&amp;Operators'!$C$1:$E$10000,3,FALSE)</f>
        <v>#N/A</v>
      </c>
      <c r="M42" s="6">
        <f t="shared" si="1"/>
        <v>2.5428240740438923E-2</v>
      </c>
      <c r="N42" s="7">
        <f t="shared" si="19"/>
        <v>36.616666666232049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07:09:56-0600',mode:absolute,to:'2016-09-06 09:48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42" s="54" t="str">
        <f t="shared" si="6"/>
        <v>N</v>
      </c>
      <c r="X42" s="120">
        <f t="shared" si="7"/>
        <v>1</v>
      </c>
      <c r="Y42" s="69">
        <f t="shared" si="8"/>
        <v>23.298300000000001</v>
      </c>
      <c r="Z42" s="69">
        <f t="shared" si="9"/>
        <v>1.52E-2</v>
      </c>
      <c r="AA42" s="69">
        <f t="shared" si="10"/>
        <v>23.283100000000001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0130-06</v>
      </c>
      <c r="AE42" s="99" t="str">
        <f t="shared" si="12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42" s="96" t="str">
        <f t="shared" si="13"/>
        <v>"C:\Program Files (x86)\AstroGrep\AstroGrep.exe" /spath="%USERPROFILE%\AppData\Local\Temp\OnboardLogs" /stypes="*4030*20160906*"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130-06 --locoid 4030 --swversion DE.1.0.7.0 --startMP 204:232983 --initTime 2016-09-06T08:09:56 --startdatetime 2016-09-06T08:11:46 --delay 1 --endMP 204:152 --enddatetime 2016-09-06T08:48:23 --enforcementcount 0 &gt;&gt;C:\Users\stu\Documents\GitHub\eaglep3-reporting\EC\2016-09-06-refined-times.txt</v>
      </c>
      <c r="AI42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{"issue":{"subject":"","project_id":79,"tracker_id":40,"status_id":1,"priority_id":2,"assigned_to_id":23,"start_date":"2016-09-06","description":"","custom_fields":[{"id":1,"name":"Subdivision","value":"EC"},{"id":4,"name":"Milepost","value":"23.2831"},{"id":17,"name":"Train ID","value":"130-06"},{"id":16,"name":"Locomotive ID","value":"4030"},{"id":130,"name":"Impact","value":""},{"id":150,"name":"Time of Event (Mountain Time)","value":"08:48:23"},{"id":151,"name":"Denver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376</v>
      </c>
      <c r="B43" s="7">
        <v>4011</v>
      </c>
      <c r="C43" s="24" t="s">
        <v>112</v>
      </c>
      <c r="D43" s="24" t="s">
        <v>235</v>
      </c>
      <c r="E43" s="15">
        <v>42619.308229166665</v>
      </c>
      <c r="F43" s="15">
        <v>42619.315150462964</v>
      </c>
      <c r="G43" s="7">
        <v>1</v>
      </c>
      <c r="H43" s="15" t="s">
        <v>232</v>
      </c>
      <c r="I43" s="15">
        <v>42619.340219907404</v>
      </c>
      <c r="J43" s="7">
        <v>0</v>
      </c>
      <c r="K43" s="132" t="str">
        <f t="shared" si="0"/>
        <v>4011/4012</v>
      </c>
      <c r="L43" s="24" t="e">
        <f>VLOOKUP(A43,'Trips&amp;Operators'!$C$1:$E$10000,3,FALSE)</f>
        <v>#N/A</v>
      </c>
      <c r="M43" s="6">
        <f t="shared" si="1"/>
        <v>2.5069444440305233E-2</v>
      </c>
      <c r="N43" s="7">
        <f t="shared" si="19"/>
        <v>36.099999994039536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06:23:51-0600',mode:absolute,to:'2016-09-06 09:09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43" s="54" t="str">
        <f t="shared" si="6"/>
        <v>N</v>
      </c>
      <c r="X43" s="120">
        <f t="shared" si="7"/>
        <v>1</v>
      </c>
      <c r="Y43" s="69">
        <f t="shared" si="8"/>
        <v>4.6399999999999997E-2</v>
      </c>
      <c r="Z43" s="69">
        <f t="shared" si="9"/>
        <v>23.331199999999999</v>
      </c>
      <c r="AA43" s="69">
        <f t="shared" si="10"/>
        <v>23.284800000000001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1"/>
        <v>0131-06</v>
      </c>
      <c r="AE43" s="99" t="str">
        <f t="shared" si="12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43" s="96" t="str">
        <f t="shared" si="13"/>
        <v>"C:\Program Files (x86)\AstroGrep\AstroGrep.exe" /spath="%USERPROFILE%\AppData\Local\Temp\OnboardLogs" /stypes="*4011*20160906*"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131-06 --locoid 4011 --swversion DE.1.0.7.0 --startMP 204:464 --initTime 2016-09-06T07:23:51 --startdatetime 2016-09-06T07:33:49 --delay 1 --endMP 204:233312 --enddatetime 2016-09-06T08:09:55 --enforcementcount 0 &gt;&gt;C:\Users\stu\Documents\GitHub\eaglep3-reporting\EC\2016-09-06-refined-times.txt</v>
      </c>
      <c r="AI43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{"issue":{"subject":"","project_id":79,"tracker_id":40,"status_id":1,"priority_id":2,"assigned_to_id":23,"start_date":"2016-09-06","description":"","custom_fields":[{"id":1,"name":"Subdivision","value":"EC"},{"id":4,"name":"Milepost","value":"23.2848"},{"id":17,"name":"Train ID","value":"131-06"},{"id":16,"name":"Locomotive ID","value":"4011"},{"id":130,"name":"Impact","value":""},{"id":150,"name":"Time of Event (Mountain Time)","value":"08:09:55"},{"id":151,"name":"Denver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387</v>
      </c>
      <c r="B44" s="7">
        <v>4012</v>
      </c>
      <c r="C44" s="24" t="s">
        <v>112</v>
      </c>
      <c r="D44" s="24" t="s">
        <v>216</v>
      </c>
      <c r="E44" s="15">
        <v>42619.346261574072</v>
      </c>
      <c r="F44" s="15">
        <v>42619.351712962962</v>
      </c>
      <c r="G44" s="7">
        <v>1</v>
      </c>
      <c r="H44" s="15" t="s">
        <v>234</v>
      </c>
      <c r="I44" s="15">
        <v>42619.378287037034</v>
      </c>
      <c r="J44" s="7">
        <v>0</v>
      </c>
      <c r="K44" s="132" t="str">
        <f t="shared" si="0"/>
        <v>4011/4012</v>
      </c>
      <c r="L44" s="24" t="e">
        <f>VLOOKUP(A44,'Trips&amp;Operators'!$C$1:$E$10000,3,FALSE)</f>
        <v>#N/A</v>
      </c>
      <c r="M44" s="6">
        <f t="shared" si="1"/>
        <v>2.6574074072414078E-2</v>
      </c>
      <c r="N44" s="7">
        <f t="shared" si="19"/>
        <v>38.266666664276272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07:18:37-0600',mode:absolute,to:'2016-09-06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44" s="54" t="str">
        <f t="shared" si="6"/>
        <v>N</v>
      </c>
      <c r="X44" s="120">
        <f t="shared" si="7"/>
        <v>1</v>
      </c>
      <c r="Y44" s="69">
        <f t="shared" si="8"/>
        <v>23.299600000000002</v>
      </c>
      <c r="Z44" s="69">
        <f t="shared" si="9"/>
        <v>1.3599999999999999E-2</v>
      </c>
      <c r="AA44" s="69">
        <f t="shared" si="10"/>
        <v>23.286000000000001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11"/>
        <v>0132-06</v>
      </c>
      <c r="AE44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44" s="96" t="str">
        <f t="shared" si="13"/>
        <v>"C:\Program Files (x86)\AstroGrep\AstroGrep.exe" /spath="%USERPROFILE%\AppData\Local\Temp\OnboardLogs" /stypes="*4012*20160906*"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132-06 --locoid 4012 --swversion DE.1.0.7.0 --startMP 204:232996 --initTime 2016-09-06T08:18:37 --startdatetime 2016-09-06T08:26:28 --delay 1 --endMP 204:136 --enddatetime 2016-09-06T09:04:44 --enforcementcount 0 &gt;&gt;C:\Users\stu\Documents\GitHub\eaglep3-reporting\EC\2016-09-06-refined-times.txt</v>
      </c>
      <c r="AI44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{"issue":{"subject":"","project_id":79,"tracker_id":40,"status_id":1,"priority_id":2,"assigned_to_id":23,"start_date":"2016-09-06","description":"","custom_fields":[{"id":1,"name":"Subdivision","value":"EC"},{"id":4,"name":"Milepost","value":"23.286"},{"id":17,"name":"Train ID","value":"132-06"},{"id":16,"name":"Locomotive ID","value":"4012"},{"id":130,"name":"Impact","value":""},{"id":150,"name":"Time of Event (Mountain Time)","value":"09:04:44"},{"id":151,"name":"Denver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379</v>
      </c>
      <c r="B45" s="7">
        <v>4002</v>
      </c>
      <c r="C45" s="24" t="s">
        <v>112</v>
      </c>
      <c r="D45" s="24" t="s">
        <v>211</v>
      </c>
      <c r="E45" s="15">
        <v>42619.319282407407</v>
      </c>
      <c r="F45" s="15">
        <v>42619.323078703703</v>
      </c>
      <c r="G45" s="7">
        <v>1</v>
      </c>
      <c r="H45" s="15" t="s">
        <v>219</v>
      </c>
      <c r="I45" s="15">
        <v>42619.348032407404</v>
      </c>
      <c r="J45" s="7">
        <v>0</v>
      </c>
      <c r="K45" s="132" t="str">
        <f t="shared" si="0"/>
        <v>4001/4002</v>
      </c>
      <c r="L45" s="24" t="e">
        <f>VLOOKUP(A45,'Trips&amp;Operators'!$C$1:$E$10000,3,FALSE)</f>
        <v>#N/A</v>
      </c>
      <c r="M45" s="6">
        <f t="shared" si="1"/>
        <v>2.495370370161254E-2</v>
      </c>
      <c r="N45" s="7">
        <f t="shared" si="19"/>
        <v>35.933333330322057</v>
      </c>
      <c r="O45" s="7"/>
      <c r="P45" s="7"/>
      <c r="Q45" s="25"/>
      <c r="R45" s="25"/>
      <c r="S45" s="37">
        <f t="shared" si="3"/>
        <v>1</v>
      </c>
      <c r="T45" s="52" t="str">
        <f t="shared" si="4"/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06:39:46-0600',mode:absolute,to:'2016-09-06 09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45" s="54" t="str">
        <f t="shared" si="6"/>
        <v>N</v>
      </c>
      <c r="X45" s="120">
        <f t="shared" si="7"/>
        <v>1</v>
      </c>
      <c r="Y45" s="69">
        <f t="shared" si="8"/>
        <v>4.4200000000000003E-2</v>
      </c>
      <c r="Z45" s="69">
        <f t="shared" si="9"/>
        <v>23.330200000000001</v>
      </c>
      <c r="AA45" s="69">
        <f t="shared" si="10"/>
        <v>23.286000000000001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11"/>
        <v>0133-06</v>
      </c>
      <c r="AE45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45" s="96" t="str">
        <f t="shared" si="13"/>
        <v>"C:\Program Files (x86)\AstroGrep\AstroGrep.exe" /spath="%USERPROFILE%\AppData\Local\Temp\OnboardLogs" /stypes="*4002*20160906*"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7"/>
        <v>"%USERPROFILE%\Documents\GitHub\eaglep3\Utilities\RefineRTDCRunTimes.py" --tripid 133-06 --locoid 4002 --swversion DE.1.0.7.0 --startMP 204:442 --initTime 2016-09-06T07:39:46 --startdatetime 2016-09-06T07:45:14 --delay 1 --endMP 204:233302 --enddatetime 2016-09-06T08:21:10 --enforcementcount 0 &gt;&gt;C:\Users\stu\Documents\GitHub\eaglep3-reporting\EC\2016-09-06-refined-times.txt</v>
      </c>
      <c r="AI45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{"issue":{"subject":"","project_id":79,"tracker_id":40,"status_id":1,"priority_id":2,"assigned_to_id":23,"start_date":"2016-09-06","description":"","custom_fields":[{"id":1,"name":"Subdivision","value":"EC"},{"id":4,"name":"Milepost","value":"23.286"},{"id":17,"name":"Train ID","value":"133-06"},{"id":16,"name":"Locomotive ID","value":"4002"},{"id":130,"name":"Impact","value":""},{"id":150,"name":"Time of Event (Mountain Time)","value":"08:21:10"},{"id":151,"name":"Denver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390</v>
      </c>
      <c r="B46" s="7">
        <v>4001</v>
      </c>
      <c r="C46" s="24" t="s">
        <v>112</v>
      </c>
      <c r="D46" s="24" t="s">
        <v>237</v>
      </c>
      <c r="E46" s="15">
        <v>42619.359189814815</v>
      </c>
      <c r="F46" s="15">
        <v>42619.361967592595</v>
      </c>
      <c r="G46" s="7">
        <v>1</v>
      </c>
      <c r="H46" s="15" t="s">
        <v>576</v>
      </c>
      <c r="I46" s="15">
        <v>42619.387766203705</v>
      </c>
      <c r="J46" s="7">
        <v>0</v>
      </c>
      <c r="K46" s="132" t="str">
        <f t="shared" si="0"/>
        <v>4001/4002</v>
      </c>
      <c r="L46" s="24" t="e">
        <f>VLOOKUP(A46,'Trips&amp;Operators'!$C$1:$E$10000,3,FALSE)</f>
        <v>#N/A</v>
      </c>
      <c r="M46" s="6">
        <f t="shared" si="1"/>
        <v>2.5798611110076308E-2</v>
      </c>
      <c r="N46" s="7">
        <f t="shared" si="19"/>
        <v>37.149999998509884</v>
      </c>
      <c r="O46" s="7"/>
      <c r="P46" s="7"/>
      <c r="Q46" s="25"/>
      <c r="R46" s="25"/>
      <c r="S46" s="37">
        <f t="shared" si="3"/>
        <v>1</v>
      </c>
      <c r="T46" s="52" t="str">
        <f t="shared" si="4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07:37:14-0600',mode:absolute,to:'2016-09-06 10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46" s="54" t="str">
        <f t="shared" si="6"/>
        <v>N</v>
      </c>
      <c r="X46" s="120">
        <f t="shared" si="7"/>
        <v>1</v>
      </c>
      <c r="Y46" s="69">
        <f t="shared" si="8"/>
        <v>23.3</v>
      </c>
      <c r="Z46" s="69">
        <f t="shared" si="9"/>
        <v>1.89E-2</v>
      </c>
      <c r="AA46" s="69">
        <f t="shared" si="10"/>
        <v>23.281100000000002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11"/>
        <v>0134-06</v>
      </c>
      <c r="AE46" s="99" t="str">
        <f t="shared" si="12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46" s="96" t="str">
        <f t="shared" si="13"/>
        <v>"C:\Program Files (x86)\AstroGrep\AstroGrep.exe" /spath="%USERPROFILE%\AppData\Local\Temp\OnboardLogs" /stypes="*4001*20160906*"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7"/>
        <v>"%USERPROFILE%\Documents\GitHub\eaglep3\Utilities\RefineRTDCRunTimes.py" --tripid 134-06 --locoid 4001 --swversion DE.1.0.7.0 --startMP 204:233000 --initTime 2016-09-06T08:37:14 --startdatetime 2016-09-06T08:41:14 --delay 1 --endMP 204:189 --enddatetime 2016-09-06T09:18:23 --enforcementcount 0 &gt;&gt;C:\Users\stu\Documents\GitHub\eaglep3-reporting\EC\2016-09-06-refined-times.txt</v>
      </c>
      <c r="AI46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{"issue":{"subject":"","project_id":79,"tracker_id":40,"status_id":1,"priority_id":2,"assigned_to_id":23,"start_date":"2016-09-06","description":"","custom_fields":[{"id":1,"name":"Subdivision","value":"EC"},{"id":4,"name":"Milepost","value":"23.2811"},{"id":17,"name":"Train ID","value":"134-06"},{"id":16,"name":"Locomotive ID","value":"4001"},{"id":130,"name":"Impact","value":""},{"id":150,"name":"Time of Event (Mountain Time)","value":"09:18:23"},{"id":151,"name":"Denver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382</v>
      </c>
      <c r="B47" s="7">
        <v>4014</v>
      </c>
      <c r="C47" s="24" t="s">
        <v>112</v>
      </c>
      <c r="D47" s="24" t="s">
        <v>132</v>
      </c>
      <c r="E47" s="15">
        <v>42619.329895833333</v>
      </c>
      <c r="F47" s="15">
        <v>42619.333506944444</v>
      </c>
      <c r="G47" s="7">
        <v>1</v>
      </c>
      <c r="H47" s="15" t="s">
        <v>577</v>
      </c>
      <c r="I47" s="15">
        <v>42619.358414351853</v>
      </c>
      <c r="J47" s="7">
        <v>0</v>
      </c>
      <c r="K47" s="132" t="str">
        <f t="shared" si="0"/>
        <v>4013/4014</v>
      </c>
      <c r="L47" s="24" t="e">
        <f>VLOOKUP(A47,'Trips&amp;Operators'!$C$1:$E$10000,3,FALSE)</f>
        <v>#N/A</v>
      </c>
      <c r="M47" s="6">
        <f t="shared" si="1"/>
        <v>2.4907407409045845E-2</v>
      </c>
      <c r="N47" s="7">
        <f t="shared" si="19"/>
        <v>35.866666669026017</v>
      </c>
      <c r="O47" s="7"/>
      <c r="P47" s="7"/>
      <c r="Q47" s="25"/>
      <c r="R47" s="25"/>
      <c r="S47" s="37">
        <f t="shared" si="3"/>
        <v>1</v>
      </c>
      <c r="T47" s="52" t="str">
        <f t="shared" si="4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06:55:03-0600',mode:absolute,to:'2016-09-06 09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47" s="54" t="str">
        <f t="shared" si="6"/>
        <v>N</v>
      </c>
      <c r="X47" s="120">
        <f t="shared" si="7"/>
        <v>1</v>
      </c>
      <c r="Y47" s="69">
        <f t="shared" si="8"/>
        <v>4.53E-2</v>
      </c>
      <c r="Z47" s="69">
        <f t="shared" si="9"/>
        <v>23.331800000000001</v>
      </c>
      <c r="AA47" s="69">
        <f t="shared" si="10"/>
        <v>23.2865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11"/>
        <v>0135-06</v>
      </c>
      <c r="AE47" s="99" t="str">
        <f t="shared" si="12"/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47" s="96" t="str">
        <f t="shared" si="13"/>
        <v>"C:\Program Files (x86)\AstroGrep\AstroGrep.exe" /spath="%USERPROFILE%\AppData\Local\Temp\OnboardLogs" /stypes="*4014*20160906*"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17"/>
        <v>"%USERPROFILE%\Documents\GitHub\eaglep3\Utilities\RefineRTDCRunTimes.py" --tripid 135-06 --locoid 4014 --swversion DE.1.0.7.0 --startMP 204:453 --initTime 2016-09-06T07:55:03 --startdatetime 2016-09-06T08:00:15 --delay 1 --endMP 204:233318 --enddatetime 2016-09-06T08:36:07 --enforcementcount 0 &gt;&gt;C:\Users\stu\Documents\GitHub\eaglep3-reporting\EC\2016-09-06-refined-times.txt</v>
      </c>
      <c r="AI47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{"issue":{"subject":"","project_id":79,"tracker_id":40,"status_id":1,"priority_id":2,"assigned_to_id":23,"start_date":"2016-09-06","description":"","custom_fields":[{"id":1,"name":"Subdivision","value":"EC"},{"id":4,"name":"Milepost","value":"23.2865"},{"id":17,"name":"Train ID","value":"135-06"},{"id":16,"name":"Locomotive ID","value":"4014"},{"id":130,"name":"Impact","value":""},{"id":150,"name":"Time of Event (Mountain Time)","value":"08:36:07"},{"id":151,"name":"Denver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392</v>
      </c>
      <c r="B48" s="7">
        <v>4013</v>
      </c>
      <c r="C48" s="24" t="s">
        <v>112</v>
      </c>
      <c r="D48" s="24" t="s">
        <v>286</v>
      </c>
      <c r="E48" s="15">
        <v>42619.366481481484</v>
      </c>
      <c r="F48" s="15">
        <v>42619.37290509259</v>
      </c>
      <c r="G48" s="7">
        <v>2</v>
      </c>
      <c r="H48" s="15" t="s">
        <v>578</v>
      </c>
      <c r="I48" s="15">
        <v>42619.40011574074</v>
      </c>
      <c r="J48" s="7">
        <v>0</v>
      </c>
      <c r="K48" s="132" t="str">
        <f t="shared" si="0"/>
        <v>4013/4014</v>
      </c>
      <c r="L48" s="24" t="e">
        <f>VLOOKUP(A48,'Trips&amp;Operators'!$C$1:$E$10000,3,FALSE)</f>
        <v>#N/A</v>
      </c>
      <c r="M48" s="6">
        <f t="shared" si="1"/>
        <v>2.7210648149775807E-2</v>
      </c>
      <c r="N48" s="7">
        <f t="shared" si="19"/>
        <v>39.183333335677162</v>
      </c>
      <c r="O48" s="7"/>
      <c r="P48" s="7"/>
      <c r="Q48" s="25"/>
      <c r="R48" s="25"/>
      <c r="S48" s="37">
        <f t="shared" si="3"/>
        <v>1</v>
      </c>
      <c r="T48" s="52" t="str">
        <f t="shared" si="4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07:47:44-0600',mode:absolute,to:'2016-09-06 10:36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48" s="54" t="str">
        <f t="shared" si="6"/>
        <v>N</v>
      </c>
      <c r="X48" s="120">
        <f t="shared" si="7"/>
        <v>1</v>
      </c>
      <c r="Y48" s="69">
        <f t="shared" si="8"/>
        <v>23.3001</v>
      </c>
      <c r="Z48" s="69">
        <f t="shared" si="9"/>
        <v>0.19420000000000001</v>
      </c>
      <c r="AA48" s="69">
        <f t="shared" si="10"/>
        <v>23.105900000000002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11"/>
        <v>0136-06</v>
      </c>
      <c r="AE48" s="99" t="str">
        <f t="shared" si="12"/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AF48" s="96" t="str">
        <f t="shared" si="13"/>
        <v>"C:\Program Files (x86)\AstroGrep\AstroGrep.exe" /spath="%USERPROFILE%\AppData\Local\Temp\OnboardLogs" /stypes="*4013*20160906*"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7"/>
        <v>"%USERPROFILE%\Documents\GitHub\eaglep3\Utilities\RefineRTDCRunTimes.py" --tripid 136-06 --locoid 4013 --swversion DE.1.0.7.0 --startMP 204:233001 --initTime 2016-09-06T08:47:44 --startdatetime 2016-09-06T08:56:59 --delay 2 --endMP 204:1942 --enddatetime 2016-09-06T09:36:10 --enforcementcount 0 &gt;&gt;C:\Users\stu\Documents\GitHub\eaglep3-reporting\EC\2016-09-06-refined-times.txt</v>
      </c>
      <c r="AI48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{"issue":{"subject":"","project_id":79,"tracker_id":40,"status_id":1,"priority_id":2,"assigned_to_id":23,"start_date":"2016-09-06","description":"","custom_fields":[{"id":1,"name":"Subdivision","value":"EC"},{"id":4,"name":"Milepost","value":"23.1059"},{"id":17,"name":"Train ID","value":"136-06"},{"id":16,"name":"Locomotive ID","value":"4013"},{"id":130,"name":"Impact","value":""},{"id":150,"name":"Time of Event (Mountain Time)","value":"09:36:10"},{"id":151,"name":"Denver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385</v>
      </c>
      <c r="B49" s="7">
        <v>4027</v>
      </c>
      <c r="C49" s="24" t="s">
        <v>112</v>
      </c>
      <c r="D49" s="24" t="s">
        <v>235</v>
      </c>
      <c r="E49" s="15">
        <v>42619.341145833336</v>
      </c>
      <c r="F49" s="15">
        <v>42619.343900462962</v>
      </c>
      <c r="G49" s="7">
        <v>1</v>
      </c>
      <c r="H49" s="15" t="s">
        <v>224</v>
      </c>
      <c r="I49" s="15">
        <v>42619.369143518517</v>
      </c>
      <c r="J49" s="7">
        <v>0</v>
      </c>
      <c r="K49" s="132" t="str">
        <f t="shared" si="0"/>
        <v>4027/4028</v>
      </c>
      <c r="L49" s="24" t="e">
        <f>VLOOKUP(A49,'Trips&amp;Operators'!$C$1:$E$10000,3,FALSE)</f>
        <v>#N/A</v>
      </c>
      <c r="M49" s="6">
        <f t="shared" si="1"/>
        <v>2.5243055555620231E-2</v>
      </c>
      <c r="N49" s="7">
        <f t="shared" si="19"/>
        <v>36.350000000093132</v>
      </c>
      <c r="O49" s="7"/>
      <c r="P49" s="7"/>
      <c r="Q49" s="25"/>
      <c r="R49" s="25"/>
      <c r="S49" s="37">
        <f t="shared" si="3"/>
        <v>1</v>
      </c>
      <c r="T49" s="52" t="str">
        <f t="shared" si="4"/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07:11:15-0600',mode:absolute,to:'2016-09-06 09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49" s="54" t="str">
        <f t="shared" si="6"/>
        <v>N</v>
      </c>
      <c r="X49" s="120">
        <f t="shared" si="7"/>
        <v>1</v>
      </c>
      <c r="Y49" s="69">
        <f t="shared" si="8"/>
        <v>4.6399999999999997E-2</v>
      </c>
      <c r="Z49" s="69">
        <f t="shared" si="9"/>
        <v>23.330400000000001</v>
      </c>
      <c r="AA49" s="69">
        <f t="shared" si="10"/>
        <v>23.284000000000002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11"/>
        <v>0137-06</v>
      </c>
      <c r="AE49" s="99" t="str">
        <f t="shared" si="12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49" s="96" t="str">
        <f t="shared" si="13"/>
        <v>"C:\Program Files (x86)\AstroGrep\AstroGrep.exe" /spath="%USERPROFILE%\AppData\Local\Temp\OnboardLogs" /stypes="*4027*20160906*"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7"/>
        <v>"%USERPROFILE%\Documents\GitHub\eaglep3\Utilities\RefineRTDCRunTimes.py" --tripid 137-06 --locoid 4027 --swversion DE.1.0.7.0 --startMP 204:464 --initTime 2016-09-06T08:11:15 --startdatetime 2016-09-06T08:15:13 --delay 1 --endMP 204:233304 --enddatetime 2016-09-06T08:51:34 --enforcementcount 0 &gt;&gt;C:\Users\stu\Documents\GitHub\eaglep3-reporting\EC\2016-09-06-refined-times.txt</v>
      </c>
      <c r="AI49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{"issue":{"subject":"","project_id":79,"tracker_id":40,"status_id":1,"priority_id":2,"assigned_to_id":23,"start_date":"2016-09-06","description":"","custom_fields":[{"id":1,"name":"Subdivision","value":"EC"},{"id":4,"name":"Milepost","value":"23.284"},{"id":17,"name":"Train ID","value":"137-06"},{"id":16,"name":"Locomotive ID","value":"4027"},{"id":130,"name":"Impact","value":""},{"id":150,"name":"Time of Event (Mountain Time)","value":"08:51:34"},{"id":151,"name":"Denver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395</v>
      </c>
      <c r="B50" s="7">
        <v>4028</v>
      </c>
      <c r="C50" s="24" t="s">
        <v>112</v>
      </c>
      <c r="D50" s="24" t="s">
        <v>237</v>
      </c>
      <c r="E50" s="15">
        <v>42619.380543981482</v>
      </c>
      <c r="F50" s="15">
        <v>42619.382789351854</v>
      </c>
      <c r="G50" s="7">
        <v>1</v>
      </c>
      <c r="H50" s="15" t="s">
        <v>158</v>
      </c>
      <c r="I50" s="15">
        <v>42619.410011574073</v>
      </c>
      <c r="J50" s="7">
        <v>0</v>
      </c>
      <c r="K50" s="132" t="str">
        <f t="shared" si="0"/>
        <v>4027/4028</v>
      </c>
      <c r="L50" s="24" t="e">
        <f>VLOOKUP(A50,'Trips&amp;Operators'!$C$1:$E$10000,3,FALSE)</f>
        <v>#N/A</v>
      </c>
      <c r="M50" s="6">
        <f t="shared" si="1"/>
        <v>2.7222222219279502E-2</v>
      </c>
      <c r="N50" s="7">
        <f t="shared" si="19"/>
        <v>39.199999995762482</v>
      </c>
      <c r="O50" s="7"/>
      <c r="P50" s="7"/>
      <c r="Q50" s="25"/>
      <c r="R50" s="25"/>
      <c r="S50" s="37">
        <f t="shared" si="3"/>
        <v>1</v>
      </c>
      <c r="T50" s="52" t="str">
        <f t="shared" si="4"/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08:07:59-0600',mode:absolute,to:'2016-09-06 10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50" s="54" t="str">
        <f t="shared" si="6"/>
        <v>N</v>
      </c>
      <c r="X50" s="120">
        <f t="shared" si="7"/>
        <v>1</v>
      </c>
      <c r="Y50" s="69">
        <f t="shared" si="8"/>
        <v>23.3</v>
      </c>
      <c r="Z50" s="69">
        <f t="shared" si="9"/>
        <v>1.6E-2</v>
      </c>
      <c r="AA50" s="69">
        <f t="shared" si="10"/>
        <v>23.284000000000002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11"/>
        <v>0138-06</v>
      </c>
      <c r="AE50" s="99" t="str">
        <f t="shared" si="12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50" s="96" t="str">
        <f t="shared" si="13"/>
        <v>"C:\Program Files (x86)\AstroGrep\AstroGrep.exe" /spath="%USERPROFILE%\AppData\Local\Temp\OnboardLogs" /stypes="*4028*20160906*"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7"/>
        <v>"%USERPROFILE%\Documents\GitHub\eaglep3\Utilities\RefineRTDCRunTimes.py" --tripid 138-06 --locoid 4028 --swversion DE.1.0.7.0 --startMP 204:233000 --initTime 2016-09-06T09:07:59 --startdatetime 2016-09-06T09:11:13 --delay 1 --endMP 204:160 --enddatetime 2016-09-06T09:50:25 --enforcementcount 0 &gt;&gt;C:\Users\stu\Documents\GitHub\eaglep3-reporting\EC\2016-09-06-refined-times.txt</v>
      </c>
      <c r="AI50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{"issue":{"subject":"","project_id":79,"tracker_id":40,"status_id":1,"priority_id":2,"assigned_to_id":23,"start_date":"2016-09-06","description":"","custom_fields":[{"id":1,"name":"Subdivision","value":"EC"},{"id":4,"name":"Milepost","value":"23.284"},{"id":17,"name":"Train ID","value":"138-06"},{"id":16,"name":"Locomotive ID","value":"4028"},{"id":130,"name":"Impact","value":""},{"id":150,"name":"Time of Event (Mountain Time)","value":"09:50:25"},{"id":151,"name":"Denver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388</v>
      </c>
      <c r="B51" s="7">
        <v>4038</v>
      </c>
      <c r="C51" s="24" t="s">
        <v>112</v>
      </c>
      <c r="D51" s="24" t="s">
        <v>160</v>
      </c>
      <c r="E51" s="15">
        <v>42619.351666666669</v>
      </c>
      <c r="F51" s="15">
        <v>42619.354837962965</v>
      </c>
      <c r="G51" s="7">
        <v>1</v>
      </c>
      <c r="H51" s="15" t="s">
        <v>553</v>
      </c>
      <c r="I51" s="15">
        <v>42619.379224537035</v>
      </c>
      <c r="J51" s="7">
        <v>0</v>
      </c>
      <c r="K51" s="132" t="str">
        <f t="shared" si="0"/>
        <v>4037/4038</v>
      </c>
      <c r="L51" s="24" t="e">
        <f>VLOOKUP(A51,'Trips&amp;Operators'!$C$1:$E$10000,3,FALSE)</f>
        <v>#N/A</v>
      </c>
      <c r="M51" s="6">
        <f t="shared" si="1"/>
        <v>2.438657407037681E-2</v>
      </c>
      <c r="N51" s="7">
        <f t="shared" si="19"/>
        <v>35.116666661342606</v>
      </c>
      <c r="O51" s="7"/>
      <c r="P51" s="7"/>
      <c r="Q51" s="25"/>
      <c r="R51" s="25"/>
      <c r="S51" s="37">
        <f t="shared" si="3"/>
        <v>1</v>
      </c>
      <c r="T51" s="52" t="str">
        <f t="shared" si="4"/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07:26:24-0600',mode:absolute,to:'2016-09-06 10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51" s="54" t="str">
        <f t="shared" si="6"/>
        <v>N</v>
      </c>
      <c r="X51" s="120">
        <f t="shared" si="7"/>
        <v>1</v>
      </c>
      <c r="Y51" s="69">
        <f t="shared" si="8"/>
        <v>4.5999999999999999E-2</v>
      </c>
      <c r="Z51" s="69">
        <f t="shared" si="9"/>
        <v>23.328800000000001</v>
      </c>
      <c r="AA51" s="69">
        <f t="shared" si="10"/>
        <v>23.282800000000002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11"/>
        <v>0139-06</v>
      </c>
      <c r="AE51" s="99" t="str">
        <f t="shared" si="12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51" s="96" t="str">
        <f t="shared" si="13"/>
        <v>"C:\Program Files (x86)\AstroGrep\AstroGrep.exe" /spath="%USERPROFILE%\AppData\Local\Temp\OnboardLogs" /stypes="*4038*20160906*"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7"/>
        <v>"%USERPROFILE%\Documents\GitHub\eaglep3\Utilities\RefineRTDCRunTimes.py" --tripid 139-06 --locoid 4038 --swversion DE.1.0.7.0 --startMP 204:460 --initTime 2016-09-06T08:26:24 --startdatetime 2016-09-06T08:30:58 --delay 1 --endMP 204:233288 --enddatetime 2016-09-06T09:06:05 --enforcementcount 0 &gt;&gt;C:\Users\stu\Documents\GitHub\eaglep3-reporting\EC\2016-09-06-refined-times.txt</v>
      </c>
      <c r="AI51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{"issue":{"subject":"","project_id":79,"tracker_id":40,"status_id":1,"priority_id":2,"assigned_to_id":23,"start_date":"2016-09-06","description":"","custom_fields":[{"id":1,"name":"Subdivision","value":"EC"},{"id":4,"name":"Milepost","value":"23.2828"},{"id":17,"name":"Train ID","value":"139-06"},{"id":16,"name":"Locomotive ID","value":"4038"},{"id":130,"name":"Impact","value":""},{"id":150,"name":"Time of Event (Mountain Time)","value":"09:06:05"},{"id":151,"name":"Denver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397</v>
      </c>
      <c r="B52" s="7">
        <v>4037</v>
      </c>
      <c r="C52" s="24" t="s">
        <v>112</v>
      </c>
      <c r="D52" s="24" t="s">
        <v>198</v>
      </c>
      <c r="E52" s="15">
        <v>42619.38894675926</v>
      </c>
      <c r="F52" s="15">
        <v>42619.393217592595</v>
      </c>
      <c r="G52" s="7">
        <v>1</v>
      </c>
      <c r="H52" s="15" t="s">
        <v>145</v>
      </c>
      <c r="I52" s="15">
        <v>42619.419583333336</v>
      </c>
      <c r="J52" s="7">
        <v>0</v>
      </c>
      <c r="K52" s="132" t="str">
        <f t="shared" si="0"/>
        <v>4037/4038</v>
      </c>
      <c r="L52" s="24" t="e">
        <f>VLOOKUP(A52,'Trips&amp;Operators'!$C$1:$E$10000,3,FALSE)</f>
        <v>#N/A</v>
      </c>
      <c r="M52" s="6">
        <f t="shared" si="1"/>
        <v>2.6365740741312038E-2</v>
      </c>
      <c r="N52" s="7">
        <f t="shared" si="19"/>
        <v>37.966666667489335</v>
      </c>
      <c r="O52" s="7"/>
      <c r="P52" s="7"/>
      <c r="Q52" s="25"/>
      <c r="R52" s="25"/>
      <c r="S52" s="37">
        <f t="shared" si="3"/>
        <v>1</v>
      </c>
      <c r="T52" s="52" t="str">
        <f t="shared" si="4"/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08:20:05-0600',mode:absolute,to:'2016-09-06 11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52" s="54" t="str">
        <f t="shared" si="6"/>
        <v>N</v>
      </c>
      <c r="X52" s="120">
        <f t="shared" si="7"/>
        <v>1</v>
      </c>
      <c r="Y52" s="69">
        <f t="shared" si="8"/>
        <v>23.297699999999999</v>
      </c>
      <c r="Z52" s="69">
        <f t="shared" si="9"/>
        <v>1.5599999999999999E-2</v>
      </c>
      <c r="AA52" s="69">
        <f t="shared" si="10"/>
        <v>23.2821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11"/>
        <v>0140-06</v>
      </c>
      <c r="AE52" s="99" t="str">
        <f t="shared" si="12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52" s="96" t="str">
        <f t="shared" si="13"/>
        <v>"C:\Program Files (x86)\AstroGrep\AstroGrep.exe" /spath="%USERPROFILE%\AppData\Local\Temp\OnboardLogs" /stypes="*4037*20160906*"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7"/>
        <v>"%USERPROFILE%\Documents\GitHub\eaglep3\Utilities\RefineRTDCRunTimes.py" --tripid 140-06 --locoid 4037 --swversion DE.1.0.7.0 --startMP 204:232977 --initTime 2016-09-06T09:20:05 --startdatetime 2016-09-06T09:26:14 --delay 1 --endMP 204:156 --enddatetime 2016-09-06T10:04:12 --enforcementcount 0 &gt;&gt;C:\Users\stu\Documents\GitHub\eaglep3-reporting\EC\2016-09-06-refined-times.txt</v>
      </c>
      <c r="AI52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{"issue":{"subject":"","project_id":79,"tracker_id":40,"status_id":1,"priority_id":2,"assigned_to_id":23,"start_date":"2016-09-06","description":"","custom_fields":[{"id":1,"name":"Subdivision","value":"EC"},{"id":4,"name":"Milepost","value":"23.2821"},{"id":17,"name":"Train ID","value":"140-06"},{"id":16,"name":"Locomotive ID","value":"4037"},{"id":130,"name":"Impact","value":""},{"id":150,"name":"Time of Event (Mountain Time)","value":"10:04:12"},{"id":151,"name":"Denver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391</v>
      </c>
      <c r="B53" s="7">
        <v>4025</v>
      </c>
      <c r="C53" s="24" t="s">
        <v>112</v>
      </c>
      <c r="D53" s="24" t="s">
        <v>265</v>
      </c>
      <c r="E53" s="15">
        <v>42619.36383101852</v>
      </c>
      <c r="F53" s="15">
        <v>42619.365601851852</v>
      </c>
      <c r="G53" s="7">
        <v>1</v>
      </c>
      <c r="H53" s="15" t="s">
        <v>268</v>
      </c>
      <c r="I53" s="15">
        <v>42619.389872685184</v>
      </c>
      <c r="J53" s="7">
        <v>0</v>
      </c>
      <c r="K53" s="132" t="str">
        <f t="shared" si="0"/>
        <v>4025/4026</v>
      </c>
      <c r="L53" s="24" t="e">
        <f>VLOOKUP(A53,'Trips&amp;Operators'!$C$1:$E$10000,3,FALSE)</f>
        <v>#N/A</v>
      </c>
      <c r="M53" s="6">
        <f t="shared" si="1"/>
        <v>2.4270833331684116E-2</v>
      </c>
      <c r="N53" s="7">
        <f t="shared" si="19"/>
        <v>34.949999997625127</v>
      </c>
      <c r="O53" s="7"/>
      <c r="P53" s="7"/>
      <c r="Q53" s="25"/>
      <c r="R53" s="25"/>
      <c r="S53" s="37">
        <f t="shared" si="3"/>
        <v>1</v>
      </c>
      <c r="T53" s="52" t="str">
        <f t="shared" si="4"/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07:43:55-0600',mode:absolute,to:'2016-09-06 10:21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53" s="54" t="str">
        <f t="shared" si="6"/>
        <v>N</v>
      </c>
      <c r="X53" s="120">
        <f t="shared" si="7"/>
        <v>1</v>
      </c>
      <c r="Y53" s="69">
        <f t="shared" si="8"/>
        <v>4.6199999999999998E-2</v>
      </c>
      <c r="Z53" s="69">
        <f t="shared" si="9"/>
        <v>23.327400000000001</v>
      </c>
      <c r="AA53" s="69">
        <f t="shared" si="10"/>
        <v>23.281200000000002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11"/>
        <v>0141-06</v>
      </c>
      <c r="AE53" s="99" t="str">
        <f t="shared" si="12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53" s="96" t="str">
        <f t="shared" si="13"/>
        <v>"C:\Program Files (x86)\AstroGrep\AstroGrep.exe" /spath="%USERPROFILE%\AppData\Local\Temp\OnboardLogs" /stypes="*4025*20160906*"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17"/>
        <v>"%USERPROFILE%\Documents\GitHub\eaglep3\Utilities\RefineRTDCRunTimes.py" --tripid 141-06 --locoid 4025 --swversion DE.1.0.7.0 --startMP 204:462 --initTime 2016-09-06T08:43:55 --startdatetime 2016-09-06T08:46:28 --delay 1 --endMP 204:233274 --enddatetime 2016-09-06T09:21:25 --enforcementcount 0 &gt;&gt;C:\Users\stu\Documents\GitHub\eaglep3-reporting\EC\2016-09-06-refined-times.txt</v>
      </c>
      <c r="AI53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{"issue":{"subject":"","project_id":79,"tracker_id":40,"status_id":1,"priority_id":2,"assigned_to_id":23,"start_date":"2016-09-06","description":"","custom_fields":[{"id":1,"name":"Subdivision","value":"EC"},{"id":4,"name":"Milepost","value":"23.2812"},{"id":17,"name":"Train ID","value":"141-06"},{"id":16,"name":"Locomotive ID","value":"4025"},{"id":130,"name":"Impact","value":""},{"id":150,"name":"Time of Event (Mountain Time)","value":"09:21:25"},{"id":151,"name":"Denver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399</v>
      </c>
      <c r="B54" s="7">
        <v>4026</v>
      </c>
      <c r="C54" s="24" t="s">
        <v>112</v>
      </c>
      <c r="D54" s="24" t="s">
        <v>264</v>
      </c>
      <c r="E54" s="15">
        <v>42619.39638888889</v>
      </c>
      <c r="F54" s="15">
        <v>42619.403726851851</v>
      </c>
      <c r="G54" s="7">
        <v>1</v>
      </c>
      <c r="H54" s="15" t="s">
        <v>579</v>
      </c>
      <c r="I54" s="15">
        <v>42619.430462962962</v>
      </c>
      <c r="J54" s="7">
        <v>0</v>
      </c>
      <c r="K54" s="132" t="str">
        <f t="shared" si="0"/>
        <v>4025/4026</v>
      </c>
      <c r="L54" s="24" t="e">
        <f>VLOOKUP(A54,'Trips&amp;Operators'!$C$1:$E$10000,3,FALSE)</f>
        <v>#N/A</v>
      </c>
      <c r="M54" s="6">
        <f t="shared" si="1"/>
        <v>2.6736111110949423E-2</v>
      </c>
      <c r="N54" s="7">
        <f t="shared" si="19"/>
        <v>38.499999999767169</v>
      </c>
      <c r="O54" s="7"/>
      <c r="P54" s="7"/>
      <c r="Q54" s="25"/>
      <c r="R54" s="25"/>
      <c r="S54" s="37">
        <f t="shared" si="3"/>
        <v>1</v>
      </c>
      <c r="T54" s="52" t="str">
        <f t="shared" si="4"/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08:30:48-0600',mode:absolute,to:'2016-09-06 11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54" s="54" t="str">
        <f t="shared" si="6"/>
        <v>N</v>
      </c>
      <c r="X54" s="120">
        <f t="shared" si="7"/>
        <v>1</v>
      </c>
      <c r="Y54" s="69">
        <f t="shared" si="8"/>
        <v>23.297899999999998</v>
      </c>
      <c r="Z54" s="69">
        <f t="shared" si="9"/>
        <v>1.7399999999999999E-2</v>
      </c>
      <c r="AA54" s="69">
        <f t="shared" si="10"/>
        <v>23.2805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11"/>
        <v>0142-06</v>
      </c>
      <c r="AE54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54" s="96" t="str">
        <f t="shared" si="13"/>
        <v>"C:\Program Files (x86)\AstroGrep\AstroGrep.exe" /spath="%USERPROFILE%\AppData\Local\Temp\OnboardLogs" /stypes="*4026*20160906*"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7"/>
        <v>"%USERPROFILE%\Documents\GitHub\eaglep3\Utilities\RefineRTDCRunTimes.py" --tripid 142-06 --locoid 4026 --swversion DE.1.0.7.0 --startMP 204:232979 --initTime 2016-09-06T09:30:48 --startdatetime 2016-09-06T09:41:22 --delay 1 --endMP 204:174 --enddatetime 2016-09-06T10:19:52 --enforcementcount 0 &gt;&gt;C:\Users\stu\Documents\GitHub\eaglep3-reporting\EC\2016-09-06-refined-times.txt</v>
      </c>
      <c r="AI54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{"issue":{"subject":"","project_id":79,"tracker_id":40,"status_id":1,"priority_id":2,"assigned_to_id":23,"start_date":"2016-09-06","description":"","custom_fields":[{"id":1,"name":"Subdivision","value":"EC"},{"id":4,"name":"Milepost","value":"23.2805"},{"id":17,"name":"Train ID","value":"142-06"},{"id":16,"name":"Locomotive ID","value":"4026"},{"id":130,"name":"Impact","value":""},{"id":150,"name":"Time of Event (Mountain Time)","value":"10:19:52"},{"id":151,"name":"Denver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393</v>
      </c>
      <c r="B55" s="7">
        <v>4029</v>
      </c>
      <c r="C55" s="24" t="s">
        <v>112</v>
      </c>
      <c r="D55" s="24" t="s">
        <v>235</v>
      </c>
      <c r="E55" s="15">
        <v>42619.373761574076</v>
      </c>
      <c r="F55" s="15">
        <v>42619.376331018517</v>
      </c>
      <c r="G55" s="7">
        <v>1</v>
      </c>
      <c r="H55" s="15" t="s">
        <v>230</v>
      </c>
      <c r="I55" s="15">
        <v>42619.399768518517</v>
      </c>
      <c r="J55" s="7">
        <v>0</v>
      </c>
      <c r="K55" s="132" t="str">
        <f t="shared" si="0"/>
        <v>4029/4030</v>
      </c>
      <c r="L55" s="24" t="e">
        <f>VLOOKUP(A55,'Trips&amp;Operators'!$C$1:$E$10000,3,FALSE)</f>
        <v>#N/A</v>
      </c>
      <c r="M55" s="6">
        <f t="shared" si="1"/>
        <v>2.34375E-2</v>
      </c>
      <c r="N55" s="7">
        <f t="shared" si="19"/>
        <v>33.75</v>
      </c>
      <c r="O55" s="7"/>
      <c r="P55" s="7"/>
      <c r="Q55" s="25"/>
      <c r="R55" s="25"/>
      <c r="S55" s="37">
        <f t="shared" si="3"/>
        <v>1</v>
      </c>
      <c r="T55" s="52" t="str">
        <f t="shared" si="4"/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07:58:13-0600',mode:absolute,to:'2016-09-06 10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55" s="54" t="str">
        <f t="shared" si="6"/>
        <v>N</v>
      </c>
      <c r="X55" s="120">
        <f t="shared" si="7"/>
        <v>1</v>
      </c>
      <c r="Y55" s="69">
        <f t="shared" si="8"/>
        <v>4.6399999999999997E-2</v>
      </c>
      <c r="Z55" s="69">
        <f t="shared" si="9"/>
        <v>23.327999999999999</v>
      </c>
      <c r="AA55" s="69">
        <f t="shared" si="10"/>
        <v>23.281600000000001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11"/>
        <v>0143-06</v>
      </c>
      <c r="AE55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55" s="96" t="str">
        <f t="shared" si="13"/>
        <v>"C:\Program Files (x86)\AstroGrep\AstroGrep.exe" /spath="%USERPROFILE%\AppData\Local\Temp\OnboardLogs" /stypes="*4029*20160906*"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7"/>
        <v>"%USERPROFILE%\Documents\GitHub\eaglep3\Utilities\RefineRTDCRunTimes.py" --tripid 143-06 --locoid 4029 --swversion DE.1.0.7.0 --startMP 204:464 --initTime 2016-09-06T08:58:13 --startdatetime 2016-09-06T09:01:55 --delay 1 --endMP 204:233280 --enddatetime 2016-09-06T09:35:40 --enforcementcount 0 &gt;&gt;C:\Users\stu\Documents\GitHub\eaglep3-reporting\EC\2016-09-06-refined-times.txt</v>
      </c>
      <c r="AI55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{"issue":{"subject":"","project_id":79,"tracker_id":40,"status_id":1,"priority_id":2,"assigned_to_id":23,"start_date":"2016-09-06","description":"","custom_fields":[{"id":1,"name":"Subdivision","value":"EC"},{"id":4,"name":"Milepost","value":"23.2816"},{"id":17,"name":"Train ID","value":"143-06"},{"id":16,"name":"Locomotive ID","value":"4029"},{"id":130,"name":"Impact","value":""},{"id":150,"name":"Time of Event (Mountain Time)","value":"09:35:40"},{"id":151,"name":"Denver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402</v>
      </c>
      <c r="B56" s="7">
        <v>4030</v>
      </c>
      <c r="C56" s="24" t="s">
        <v>112</v>
      </c>
      <c r="D56" s="24" t="s">
        <v>580</v>
      </c>
      <c r="E56" s="15">
        <v>42619.41851851852</v>
      </c>
      <c r="F56" s="15">
        <v>42619.420277777775</v>
      </c>
      <c r="G56" s="7">
        <v>1</v>
      </c>
      <c r="H56" s="15" t="s">
        <v>150</v>
      </c>
      <c r="I56" s="15">
        <v>42619.442650462966</v>
      </c>
      <c r="J56" s="7">
        <v>0</v>
      </c>
      <c r="K56" s="132" t="str">
        <f t="shared" si="0"/>
        <v>4029/4030</v>
      </c>
      <c r="L56" s="24" t="e">
        <f>VLOOKUP(A56,'Trips&amp;Operators'!$C$1:$E$10000,3,FALSE)</f>
        <v>#N/A</v>
      </c>
      <c r="M56" s="6">
        <f t="shared" si="1"/>
        <v>2.2372685190930497E-2</v>
      </c>
      <c r="N56" s="7"/>
      <c r="O56" s="7"/>
      <c r="P56" s="7">
        <f>24*60*SUM($M56:$M56)</f>
        <v>32.216666674939916</v>
      </c>
      <c r="Q56" s="25"/>
      <c r="R56" s="25" t="s">
        <v>335</v>
      </c>
      <c r="S56" s="37">
        <f t="shared" si="3"/>
        <v>1</v>
      </c>
      <c r="T56" s="52" t="str">
        <f t="shared" si="4"/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09:02:40-0600',mode:absolute,to:'2016-09-06 11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56" s="54" t="str">
        <f t="shared" si="6"/>
        <v>Y</v>
      </c>
      <c r="X56" s="120">
        <f t="shared" ref="X56:X62" si="20">VALUE(LEFT(AD56,4))-VALUE(LEFT(AD55,4))</f>
        <v>1</v>
      </c>
      <c r="Y56" s="69">
        <f t="shared" si="8"/>
        <v>19.448</v>
      </c>
      <c r="Z56" s="69">
        <f t="shared" si="9"/>
        <v>1.52E-2</v>
      </c>
      <c r="AA56" s="69">
        <f t="shared" si="10"/>
        <v>19.4328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11"/>
        <v>0144-06</v>
      </c>
      <c r="AE56" s="99" t="str">
        <f t="shared" si="12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56" s="96" t="str">
        <f t="shared" si="13"/>
        <v>"C:\Program Files (x86)\AstroGrep\AstroGrep.exe" /spath="%USERPROFILE%\AppData\Local\Temp\OnboardLogs" /stypes="*4030*20160906*"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7"/>
        <v>"%USERPROFILE%\Documents\GitHub\eaglep3\Utilities\RefineRTDCRunTimes.py" --tripid 144-06 --locoid 4030 --swversion DE.1.0.7.0 --startMP 204:194480 --initTime 2016-09-06T10:02:40 --startdatetime 2016-09-06T10:05:12 --delay 1 --endMP 204:152 --enddatetime 2016-09-06T10:37:25 --enforcementcount 0 &gt;&gt;C:\Users\stu\Documents\GitHub\eaglep3-reporting\EC\2016-09-06-refined-times.txt</v>
      </c>
      <c r="AI56" s="147" t="str">
        <f t="shared" si="18"/>
        <v>echo {"issue":{"subject":"Onboard in-route failure","project_id":79,"tracker_id":40,"status_id":1,"priority_id":2,"assigned_to_id":23,"start_date":"2016-09-06","description":"","custom_fields":[{"id":1,"name":"Subdivision","value":"EC"},{"id":4,"name":"Milepost","value":"19.4328"},{"id":17,"name":"Train ID","value":"144-06"},{"id":16,"name":"Locomotive ID","value":"4030"},{"id":130,"name":"Impact","value":""},{"id":150,"name":"Time of Event (Mountain Time)","value":"10:37:25"},{"id":151,"name":"Denver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394</v>
      </c>
      <c r="B57" s="7">
        <v>4011</v>
      </c>
      <c r="C57" s="24" t="s">
        <v>112</v>
      </c>
      <c r="D57" s="24" t="s">
        <v>199</v>
      </c>
      <c r="E57" s="15">
        <v>42619.379502314812</v>
      </c>
      <c r="F57" s="15">
        <v>42619.385613425926</v>
      </c>
      <c r="G57" s="7">
        <v>1</v>
      </c>
      <c r="H57" s="15" t="s">
        <v>581</v>
      </c>
      <c r="I57" s="15">
        <v>42619.410844907405</v>
      </c>
      <c r="J57" s="7">
        <v>0</v>
      </c>
      <c r="K57" s="132" t="str">
        <f t="shared" si="0"/>
        <v>4011/4012</v>
      </c>
      <c r="L57" s="24" t="e">
        <f>VLOOKUP(A57,'Trips&amp;Operators'!$C$1:$E$10000,3,FALSE)</f>
        <v>#N/A</v>
      </c>
      <c r="M57" s="6">
        <f t="shared" si="1"/>
        <v>2.5231481478840578E-2</v>
      </c>
      <c r="N57" s="7">
        <f>24*60*SUM($M57:$M57)</f>
        <v>36.333333329530433</v>
      </c>
      <c r="O57" s="7"/>
      <c r="P57" s="7"/>
      <c r="Q57" s="25"/>
      <c r="R57" s="25"/>
      <c r="S57" s="37">
        <f t="shared" si="3"/>
        <v>1</v>
      </c>
      <c r="T57" s="52" t="str">
        <f t="shared" si="4"/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08:06:29-0600',mode:absolute,to:'2016-09-06 10:51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57" s="54" t="str">
        <f t="shared" si="6"/>
        <v>N</v>
      </c>
      <c r="X57" s="120">
        <f t="shared" si="20"/>
        <v>1</v>
      </c>
      <c r="Y57" s="69">
        <f t="shared" si="8"/>
        <v>4.3799999999999999E-2</v>
      </c>
      <c r="Z57" s="69">
        <f t="shared" si="9"/>
        <v>23.33</v>
      </c>
      <c r="AA57" s="69">
        <f t="shared" si="10"/>
        <v>23.286199999999997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11"/>
        <v>0145-06</v>
      </c>
      <c r="AE57" s="99" t="str">
        <f t="shared" si="12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57" s="96" t="str">
        <f t="shared" si="13"/>
        <v>"C:\Program Files (x86)\AstroGrep\AstroGrep.exe" /spath="%USERPROFILE%\AppData\Local\Temp\OnboardLogs" /stypes="*4011*20160906*"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7"/>
        <v>"%USERPROFILE%\Documents\GitHub\eaglep3\Utilities\RefineRTDCRunTimes.py" --tripid 145-06 --locoid 4011 --swversion DE.1.0.7.0 --startMP 204:438 --initTime 2016-09-06T09:06:29 --startdatetime 2016-09-06T09:15:17 --delay 1 --endMP 204:233300 --enddatetime 2016-09-06T09:51:37 --enforcementcount 0 &gt;&gt;C:\Users\stu\Documents\GitHub\eaglep3-reporting\EC\2016-09-06-refined-times.txt</v>
      </c>
      <c r="AI57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{"issue":{"subject":"","project_id":79,"tracker_id":40,"status_id":1,"priority_id":2,"assigned_to_id":23,"start_date":"2016-09-06","description":"","custom_fields":[{"id":1,"name":"Subdivision","value":"EC"},{"id":4,"name":"Milepost","value":"23.2862"},{"id":17,"name":"Train ID","value":"145-06"},{"id":16,"name":"Locomotive ID","value":"4011"},{"id":130,"name":"Impact","value":""},{"id":150,"name":"Time of Event (Mountain Time)","value":"09:51:37"},{"id":151,"name":"Denver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404</v>
      </c>
      <c r="B58" s="7">
        <v>4012</v>
      </c>
      <c r="C58" s="24" t="s">
        <v>112</v>
      </c>
      <c r="D58" s="24" t="s">
        <v>582</v>
      </c>
      <c r="E58" s="15">
        <v>42619.415972222225</v>
      </c>
      <c r="F58" s="15">
        <v>42619.424537037034</v>
      </c>
      <c r="G58" s="7">
        <v>1</v>
      </c>
      <c r="H58" s="15" t="s">
        <v>130</v>
      </c>
      <c r="I58" s="15">
        <v>42619.453287037039</v>
      </c>
      <c r="J58" s="7">
        <v>0</v>
      </c>
      <c r="K58" s="132" t="str">
        <f t="shared" si="0"/>
        <v>4011/4012</v>
      </c>
      <c r="L58" s="24" t="e">
        <f>VLOOKUP(A58,'Trips&amp;Operators'!$C$1:$E$10000,3,FALSE)</f>
        <v>#N/A</v>
      </c>
      <c r="M58" s="6">
        <f t="shared" si="1"/>
        <v>2.8750000004947651E-2</v>
      </c>
      <c r="N58" s="7">
        <f>24*60*SUM($M58:$M58)</f>
        <v>41.400000007124618</v>
      </c>
      <c r="O58" s="7"/>
      <c r="P58" s="7"/>
      <c r="Q58" s="25"/>
      <c r="R58" s="25"/>
      <c r="S58" s="37">
        <f t="shared" si="3"/>
        <v>1</v>
      </c>
      <c r="T58" s="52" t="str">
        <f t="shared" si="4"/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08:59:00-0600',mode:absolute,to:'2016-09-06 11:52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58" s="54" t="str">
        <f t="shared" si="6"/>
        <v>N</v>
      </c>
      <c r="X58" s="120">
        <f t="shared" si="20"/>
        <v>1</v>
      </c>
      <c r="Y58" s="69">
        <f t="shared" si="8"/>
        <v>23.297599999999999</v>
      </c>
      <c r="Z58" s="69">
        <f t="shared" si="9"/>
        <v>1.5800000000000002E-2</v>
      </c>
      <c r="AA58" s="69">
        <f t="shared" si="10"/>
        <v>23.2818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11"/>
        <v>0146-06</v>
      </c>
      <c r="AE58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58" s="96" t="str">
        <f t="shared" si="13"/>
        <v>"C:\Program Files (x86)\AstroGrep\AstroGrep.exe" /spath="%USERPROFILE%\AppData\Local\Temp\OnboardLogs" /stypes="*4012*20160906*"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7"/>
        <v>"%USERPROFILE%\Documents\GitHub\eaglep3\Utilities\RefineRTDCRunTimes.py" --tripid 146-06 --locoid 4012 --swversion DE.1.0.7.0 --startMP 204:232976 --initTime 2016-09-06T09:59:00 --startdatetime 2016-09-06T10:11:20 --delay 1 --endMP 204:158 --enddatetime 2016-09-06T10:52:44 --enforcementcount 0 &gt;&gt;C:\Users\stu\Documents\GitHub\eaglep3-reporting\EC\2016-09-06-refined-times.txt</v>
      </c>
      <c r="AI58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{"issue":{"subject":"","project_id":79,"tracker_id":40,"status_id":1,"priority_id":2,"assigned_to_id":23,"start_date":"2016-09-06","description":"","custom_fields":[{"id":1,"name":"Subdivision","value":"EC"},{"id":4,"name":"Milepost","value":"23.2818"},{"id":17,"name":"Train ID","value":"146-06"},{"id":16,"name":"Locomotive ID","value":"4012"},{"id":130,"name":"Impact","value":""},{"id":150,"name":"Time of Event (Mountain Time)","value":"10:52:44"},{"id":151,"name":"Denver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398</v>
      </c>
      <c r="B59" s="7">
        <v>4002</v>
      </c>
      <c r="C59" s="24" t="s">
        <v>112</v>
      </c>
      <c r="D59" s="24" t="s">
        <v>293</v>
      </c>
      <c r="E59" s="15">
        <v>42619.390868055554</v>
      </c>
      <c r="F59" s="15">
        <v>42619.397546296299</v>
      </c>
      <c r="G59" s="7">
        <v>1</v>
      </c>
      <c r="H59" s="15" t="s">
        <v>147</v>
      </c>
      <c r="I59" s="15">
        <v>42619.422465277778</v>
      </c>
      <c r="J59" s="7">
        <v>0</v>
      </c>
      <c r="K59" s="132" t="str">
        <f t="shared" si="0"/>
        <v>4001/4002</v>
      </c>
      <c r="L59" s="24" t="e">
        <f>VLOOKUP(A59,'Trips&amp;Operators'!$C$1:$E$10000,3,FALSE)</f>
        <v>#N/A</v>
      </c>
      <c r="M59" s="6">
        <f t="shared" si="1"/>
        <v>2.491898147854954E-2</v>
      </c>
      <c r="N59" s="7">
        <f>24*60*SUM($M59:$M59)</f>
        <v>35.883333329111338</v>
      </c>
      <c r="O59" s="7"/>
      <c r="P59" s="7"/>
      <c r="Q59" s="25"/>
      <c r="R59" s="25"/>
      <c r="S59" s="37">
        <f t="shared" si="3"/>
        <v>1</v>
      </c>
      <c r="T59" s="52" t="str">
        <f t="shared" si="4"/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08:22:51-0600',mode:absolute,to:'2016-09-06 11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59" s="54" t="str">
        <f t="shared" si="6"/>
        <v>N</v>
      </c>
      <c r="X59" s="120">
        <f t="shared" si="20"/>
        <v>1</v>
      </c>
      <c r="Y59" s="69">
        <f t="shared" si="8"/>
        <v>4.9500000000000002E-2</v>
      </c>
      <c r="Z59" s="69">
        <f t="shared" si="9"/>
        <v>23.3291</v>
      </c>
      <c r="AA59" s="69">
        <f t="shared" si="10"/>
        <v>23.279600000000002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11"/>
        <v>0147-06</v>
      </c>
      <c r="AE59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59" s="96" t="str">
        <f t="shared" si="13"/>
        <v>"C:\Program Files (x86)\AstroGrep\AstroGrep.exe" /spath="%USERPROFILE%\AppData\Local\Temp\OnboardLogs" /stypes="*4002*20160906*"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7"/>
        <v>"%USERPROFILE%\Documents\GitHub\eaglep3\Utilities\RefineRTDCRunTimes.py" --tripid 147-06 --locoid 4002 --swversion DE.1.0.7.0 --startMP 204:495 --initTime 2016-09-06T09:22:51 --startdatetime 2016-09-06T09:32:28 --delay 1 --endMP 204:233291 --enddatetime 2016-09-06T10:08:21 --enforcementcount 0 &gt;&gt;C:\Users\stu\Documents\GitHub\eaglep3-reporting\EC\2016-09-06-refined-times.txt</v>
      </c>
      <c r="AI59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{"issue":{"subject":"","project_id":79,"tracker_id":40,"status_id":1,"priority_id":2,"assigned_to_id":23,"start_date":"2016-09-06","description":"","custom_fields":[{"id":1,"name":"Subdivision","value":"EC"},{"id":4,"name":"Milepost","value":"23.2796"},{"id":17,"name":"Train ID","value":"147-06"},{"id":16,"name":"Locomotive ID","value":"4002"},{"id":130,"name":"Impact","value":""},{"id":150,"name":"Time of Event (Mountain Time)","value":"10:08:21"},{"id":151,"name":"Denver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407</v>
      </c>
      <c r="B60" s="7">
        <v>4001</v>
      </c>
      <c r="C60" s="24" t="s">
        <v>112</v>
      </c>
      <c r="D60" s="24" t="s">
        <v>275</v>
      </c>
      <c r="E60" s="15">
        <v>42619.427777777775</v>
      </c>
      <c r="F60" s="15">
        <v>42619.434895833336</v>
      </c>
      <c r="G60" s="7">
        <v>1</v>
      </c>
      <c r="H60" s="15" t="s">
        <v>583</v>
      </c>
      <c r="I60" s="15">
        <v>42619.461006944446</v>
      </c>
      <c r="J60" s="7">
        <v>0</v>
      </c>
      <c r="K60" s="132" t="str">
        <f t="shared" si="0"/>
        <v>4001/4002</v>
      </c>
      <c r="L60" s="24" t="e">
        <f>VLOOKUP(A60,'Trips&amp;Operators'!$C$1:$E$10000,3,FALSE)</f>
        <v>#N/A</v>
      </c>
      <c r="M60" s="6">
        <f t="shared" si="1"/>
        <v>2.6111111110367347E-2</v>
      </c>
      <c r="N60" s="7">
        <f>24*60*SUM($M60:$M60)</f>
        <v>37.599999998928979</v>
      </c>
      <c r="O60" s="7"/>
      <c r="P60" s="7"/>
      <c r="Q60" s="25"/>
      <c r="R60" s="25"/>
      <c r="S60" s="37">
        <f t="shared" si="3"/>
        <v>1</v>
      </c>
      <c r="T60" s="52" t="str">
        <f t="shared" si="4"/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09:16:00-0600',mode:absolute,to:'2016-09-06 12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60" s="54" t="str">
        <f t="shared" si="6"/>
        <v>N</v>
      </c>
      <c r="X60" s="120">
        <f t="shared" si="20"/>
        <v>1</v>
      </c>
      <c r="Y60" s="69">
        <f t="shared" si="8"/>
        <v>23.297799999999999</v>
      </c>
      <c r="Z60" s="69">
        <f t="shared" si="9"/>
        <v>2.12E-2</v>
      </c>
      <c r="AA60" s="69">
        <f t="shared" si="10"/>
        <v>23.276599999999998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11"/>
        <v>0148-06</v>
      </c>
      <c r="AE60" s="99" t="str">
        <f t="shared" si="12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60" s="96" t="str">
        <f t="shared" si="13"/>
        <v>"C:\Program Files (x86)\AstroGrep\AstroGrep.exe" /spath="%USERPROFILE%\AppData\Local\Temp\OnboardLogs" /stypes="*4001*20160906*"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7"/>
        <v>"%USERPROFILE%\Documents\GitHub\eaglep3\Utilities\RefineRTDCRunTimes.py" --tripid 148-06 --locoid 4001 --swversion DE.1.0.7.0 --startMP 204:232978 --initTime 2016-09-06T10:16:00 --startdatetime 2016-09-06T10:26:15 --delay 1 --endMP 204:212 --enddatetime 2016-09-06T11:03:51 --enforcementcount 0 &gt;&gt;C:\Users\stu\Documents\GitHub\eaglep3-reporting\EC\2016-09-06-refined-times.txt</v>
      </c>
      <c r="AI60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{"issue":{"subject":"","project_id":79,"tracker_id":40,"status_id":1,"priority_id":2,"assigned_to_id":23,"start_date":"2016-09-06","description":"","custom_fields":[{"id":1,"name":"Subdivision","value":"EC"},{"id":4,"name":"Milepost","value":"23.2766"},{"id":17,"name":"Train ID","value":"148-06"},{"id":16,"name":"Locomotive ID","value":"4001"},{"id":130,"name":"Impact","value":""},{"id":150,"name":"Time of Event (Mountain Time)","value":"11:03:51"},{"id":151,"name":"Denver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401</v>
      </c>
      <c r="B61" s="7">
        <v>4014</v>
      </c>
      <c r="C61" s="24" t="s">
        <v>112</v>
      </c>
      <c r="D61" s="24" t="s">
        <v>157</v>
      </c>
      <c r="E61" s="15">
        <v>42619.404814814814</v>
      </c>
      <c r="F61" s="15">
        <v>42619.405914351853</v>
      </c>
      <c r="G61" s="7">
        <v>1</v>
      </c>
      <c r="H61" s="15" t="s">
        <v>584</v>
      </c>
      <c r="I61" s="15">
        <v>42619.406863425924</v>
      </c>
      <c r="J61" s="7">
        <v>0</v>
      </c>
      <c r="K61" s="132" t="str">
        <f t="shared" si="0"/>
        <v>4013/4014</v>
      </c>
      <c r="L61" s="24" t="e">
        <f>VLOOKUP(A61,'Trips&amp;Operators'!$C$1:$E$10000,3,FALSE)</f>
        <v>#N/A</v>
      </c>
      <c r="M61" s="6">
        <f t="shared" si="1"/>
        <v>9.4907407037680969E-4</v>
      </c>
      <c r="N61" s="7"/>
      <c r="O61" s="7"/>
      <c r="P61" s="7">
        <f>24*60*SUM($M61:$M61)</f>
        <v>1.3666666613426059</v>
      </c>
      <c r="Q61" s="25"/>
      <c r="R61" s="25" t="s">
        <v>335</v>
      </c>
      <c r="S61" s="37">
        <f t="shared" si="3"/>
        <v>0</v>
      </c>
      <c r="T61" s="52" t="str">
        <f t="shared" si="4"/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0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08:42:56-0600',mode:absolute,to:'2016-09-06 10:45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61" s="54" t="str">
        <f t="shared" si="6"/>
        <v>Y</v>
      </c>
      <c r="X61" s="120">
        <f t="shared" si="20"/>
        <v>1</v>
      </c>
      <c r="Y61" s="69">
        <f t="shared" si="8"/>
        <v>4.4699999999999997E-2</v>
      </c>
      <c r="Z61" s="69">
        <f t="shared" si="9"/>
        <v>2.3306</v>
      </c>
      <c r="AA61" s="69">
        <f t="shared" si="10"/>
        <v>2.2858999999999998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11"/>
        <v>0149-06</v>
      </c>
      <c r="AE61" s="99" t="str">
        <f t="shared" si="12"/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AF61" s="96" t="str">
        <f t="shared" si="13"/>
        <v>"C:\Program Files (x86)\AstroGrep\AstroGrep.exe" /spath="%USERPROFILE%\AppData\Local\Temp\OnboardLogs" /stypes="*4014*20160906*" /stext=" 15:.+((SYSTEM_STATE.+slice.+state.+changed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7"/>
        <v>"%USERPROFILE%\Documents\GitHub\eaglep3\Utilities\RefineRTDCRunTimes.py" --tripid 149-06 --locoid 4014 --swversion DE.1.0.7.0 --startMP 204:447 --initTime 2016-09-06T09:42:56 --startdatetime 2016-09-06T09:44:31 --delay 1 --endMP 300:23306 --enddatetime 2016-09-06T09:45:53 --enforcementcount 0 &gt;&gt;C:\Users\stu\Documents\GitHub\eaglep3-reporting\EC\2016-09-06-refined-times.txt</v>
      </c>
      <c r="AI61" s="147" t="str">
        <f t="shared" si="18"/>
        <v>echo {"issue":{"subject":"Onboard in-route failure","project_id":79,"tracker_id":40,"status_id":1,"priority_id":2,"assigned_to_id":23,"start_date":"2016-09-06","description":"","custom_fields":[{"id":1,"name":"Subdivision","value":"EC"},{"id":4,"name":"Milepost","value":"2.2859"},{"id":17,"name":"Train ID","value":"149-06"},{"id":16,"name":"Locomotive ID","value":"4014"},{"id":130,"name":"Impact","value":""},{"id":150,"name":"Time of Event (Mountain Time)","value":"09:45:53"},{"id":151,"name":"Denver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409</v>
      </c>
      <c r="B62" s="7">
        <v>4013</v>
      </c>
      <c r="C62" s="24" t="s">
        <v>112</v>
      </c>
      <c r="D62" s="24" t="s">
        <v>585</v>
      </c>
      <c r="E62" s="15">
        <v>42619.440775462965</v>
      </c>
      <c r="F62" s="15">
        <v>42619.4453125</v>
      </c>
      <c r="G62" s="7">
        <v>1</v>
      </c>
      <c r="H62" s="15" t="s">
        <v>586</v>
      </c>
      <c r="I62" s="15">
        <v>42619.470555555556</v>
      </c>
      <c r="J62" s="7">
        <v>0</v>
      </c>
      <c r="K62" s="132" t="str">
        <f t="shared" si="0"/>
        <v>4013/4014</v>
      </c>
      <c r="L62" s="24" t="e">
        <f>VLOOKUP(A62,'Trips&amp;Operators'!$C$1:$E$10000,3,FALSE)</f>
        <v>#N/A</v>
      </c>
      <c r="M62" s="6">
        <f t="shared" si="1"/>
        <v>2.5243055555620231E-2</v>
      </c>
      <c r="N62" s="7"/>
      <c r="O62" s="7"/>
      <c r="P62" s="7">
        <f>24*60*SUM($M62:$M62)</f>
        <v>36.350000000093132</v>
      </c>
      <c r="Q62" s="25"/>
      <c r="R62" s="25" t="s">
        <v>704</v>
      </c>
      <c r="S62" s="37">
        <f t="shared" si="3"/>
        <v>1</v>
      </c>
      <c r="T62" s="52" t="str">
        <f t="shared" si="4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09:34:43-0600',mode:absolute,to:'2016-09-06 12:17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62" s="54" t="str">
        <f t="shared" si="6"/>
        <v>Y</v>
      </c>
      <c r="X62" s="120">
        <f t="shared" si="20"/>
        <v>1</v>
      </c>
      <c r="Y62" s="69">
        <f t="shared" si="8"/>
        <v>23.300999999999998</v>
      </c>
      <c r="Z62" s="69">
        <f t="shared" si="9"/>
        <v>1.0673999999999999</v>
      </c>
      <c r="AA62" s="69">
        <f t="shared" si="10"/>
        <v>22.233599999999999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11"/>
        <v>0150-06</v>
      </c>
      <c r="AE62" s="99" t="str">
        <f t="shared" si="12"/>
        <v>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 &amp; aws s3 cp s3://rtdc.mdm.uploadarchive/RTDC4013/2016-09-07/ "%USERPROFILE%\AppData\Local\Temp\OnboardLogs"\RTDC4013\2016-09-07 --recursive &amp; "%USERPROFILE%\Documents\GitHub\mrs-test-scripts\Headless Mode &amp; Sideloading\WalkAndUnGZ.bat" "%USERPROFILE%\AppData\Local\Temp\OnboardLogs"\RTDC4013\2016-09-07</v>
      </c>
      <c r="AF62" s="96" t="str">
        <f t="shared" si="13"/>
        <v>"C:\Program Files (x86)\AstroGrep\AstroGrep.exe" /spath="%USERPROFILE%\AppData\Local\Temp\OnboardLogs" /stypes="*4013*20160906*"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7"/>
        <v>"%USERPROFILE%\Documents\GitHub\eaglep3\Utilities\RefineRTDCRunTimes.py" --tripid 150-06 --locoid 4013 --swversion DE.1.0.7.0 --startMP 204:233010 --initTime 2016-09-06T10:34:43 --startdatetime 2016-09-06T10:41:15 --delay 1 --endMP 204:10674 --enddatetime 2016-09-06T11:17:36 --enforcementcount 0 &gt;&gt;C:\Users\stu\Documents\GitHub\eaglep3-reporting\EC\2016-09-06-refined-times.txt</v>
      </c>
      <c r="AI62" s="147" t="str">
        <f t="shared" si="18"/>
        <v>echo {"issue":{"subject":"Operator error - cut out just past Bright","project_id":79,"tracker_id":40,"status_id":1,"priority_id":2,"assigned_to_id":23,"start_date":"2016-09-06","description":"","custom_fields":[{"id":1,"name":"Subdivision","value":"EC"},{"id":4,"name":"Milepost","value":"22.2336"},{"id":17,"name":"Train ID","value":"150-06"},{"id":16,"name":"Locomotive ID","value":"4013"},{"id":130,"name":"Impact","value":""},{"id":150,"name":"Time of Event (Mountain Time)","value":"11:17:36"},{"id":151,"name":"Denver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403</v>
      </c>
      <c r="B63" s="7">
        <v>4027</v>
      </c>
      <c r="C63" s="24" t="s">
        <v>112</v>
      </c>
      <c r="D63" s="24" t="s">
        <v>146</v>
      </c>
      <c r="E63" s="15">
        <v>42619.411550925928</v>
      </c>
      <c r="F63" s="15">
        <v>42619.417083333334</v>
      </c>
      <c r="G63" s="7">
        <v>1</v>
      </c>
      <c r="H63" s="15" t="s">
        <v>159</v>
      </c>
      <c r="I63" s="15">
        <v>42619.442314814813</v>
      </c>
      <c r="J63" s="7">
        <v>0</v>
      </c>
      <c r="K63" s="132" t="str">
        <f t="shared" si="0"/>
        <v>4027/4028</v>
      </c>
      <c r="L63" s="24" t="e">
        <f>VLOOKUP(A63,'Trips&amp;Operators'!$C$1:$E$10000,3,FALSE)</f>
        <v>#N/A</v>
      </c>
      <c r="M63" s="6">
        <f t="shared" si="1"/>
        <v>2.5231481478840578E-2</v>
      </c>
      <c r="N63" s="7">
        <f t="shared" ref="N63:N94" si="21">24*60*SUM($M63:$M63)</f>
        <v>36.333333329530433</v>
      </c>
      <c r="O63" s="7"/>
      <c r="P63" s="7"/>
      <c r="Q63" s="25"/>
      <c r="R63" s="25"/>
      <c r="S63" s="37">
        <f t="shared" si="3"/>
        <v>1</v>
      </c>
      <c r="T63" s="52" t="str">
        <f t="shared" si="4"/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08:52:38-0600',mode:absolute,to:'2016-09-06 11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63" s="54" t="str">
        <f t="shared" si="6"/>
        <v>N</v>
      </c>
      <c r="X63" s="120">
        <f t="shared" ref="X63:X96" si="22">VALUE(LEFT(AD63,4))-VALUE(LEFT(AD62,4))</f>
        <v>1</v>
      </c>
      <c r="Y63" s="69">
        <f t="shared" si="8"/>
        <v>4.5100000000000001E-2</v>
      </c>
      <c r="Z63" s="69">
        <f t="shared" si="9"/>
        <v>23.3293</v>
      </c>
      <c r="AA63" s="69">
        <f t="shared" si="10"/>
        <v>23.284199999999998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11"/>
        <v>0151-06</v>
      </c>
      <c r="AE63" s="99" t="str">
        <f t="shared" si="12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63" s="96" t="str">
        <f t="shared" si="13"/>
        <v>"C:\Program Files (x86)\AstroGrep\AstroGrep.exe" /spath="%USERPROFILE%\AppData\Local\Temp\OnboardLogs" /stypes="*4027*20160906*"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17"/>
        <v>"%USERPROFILE%\Documents\GitHub\eaglep3\Utilities\RefineRTDCRunTimes.py" --tripid 151-06 --locoid 4027 --swversion DE.1.0.7.0 --startMP 204:451 --initTime 2016-09-06T09:52:38 --startdatetime 2016-09-06T10:00:36 --delay 1 --endMP 204:233293 --enddatetime 2016-09-06T10:36:56 --enforcementcount 0 &gt;&gt;C:\Users\stu\Documents\GitHub\eaglep3-reporting\EC\2016-09-06-refined-times.txt</v>
      </c>
      <c r="AI63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{"issue":{"subject":"","project_id":79,"tracker_id":40,"status_id":1,"priority_id":2,"assigned_to_id":23,"start_date":"2016-09-06","description":"","custom_fields":[{"id":1,"name":"Subdivision","value":"EC"},{"id":4,"name":"Milepost","value":"23.2842"},{"id":17,"name":"Train ID","value":"151-06"},{"id":16,"name":"Locomotive ID","value":"4027"},{"id":130,"name":"Impact","value":""},{"id":150,"name":"Time of Event (Mountain Time)","value":"10:36:56"},{"id":151,"name":"Denver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412</v>
      </c>
      <c r="B64" s="7">
        <v>4028</v>
      </c>
      <c r="C64" s="24" t="s">
        <v>112</v>
      </c>
      <c r="D64" s="24" t="s">
        <v>197</v>
      </c>
      <c r="E64" s="15">
        <v>42619.450578703705</v>
      </c>
      <c r="F64" s="15">
        <v>42619.455694444441</v>
      </c>
      <c r="G64" s="7">
        <v>0</v>
      </c>
      <c r="H64" s="15" t="s">
        <v>222</v>
      </c>
      <c r="I64" s="15">
        <v>42619.483414351853</v>
      </c>
      <c r="J64" s="7">
        <v>0</v>
      </c>
      <c r="K64" s="132" t="str">
        <f t="shared" si="0"/>
        <v>4027/4028</v>
      </c>
      <c r="L64" s="24" t="e">
        <f>VLOOKUP(A64,'Trips&amp;Operators'!$C$1:$E$10000,3,FALSE)</f>
        <v>#N/A</v>
      </c>
      <c r="M64" s="6">
        <f t="shared" si="1"/>
        <v>2.771990741166519E-2</v>
      </c>
      <c r="N64" s="7">
        <f t="shared" si="21"/>
        <v>39.916666672797874</v>
      </c>
      <c r="O64" s="7"/>
      <c r="P64" s="7"/>
      <c r="Q64" s="25"/>
      <c r="R64" s="25"/>
      <c r="S64" s="37">
        <f t="shared" si="3"/>
        <v>1</v>
      </c>
      <c r="T64" s="52" t="str">
        <f t="shared" si="4"/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09:48:50-0600',mode:absolute,to:'2016-09-06 12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64" s="54" t="str">
        <f t="shared" si="6"/>
        <v>N</v>
      </c>
      <c r="X64" s="120">
        <f t="shared" si="22"/>
        <v>1</v>
      </c>
      <c r="Y64" s="69">
        <f t="shared" si="8"/>
        <v>23.297999999999998</v>
      </c>
      <c r="Z64" s="69">
        <f t="shared" si="9"/>
        <v>1.4999999999999999E-2</v>
      </c>
      <c r="AA64" s="69">
        <f t="shared" si="10"/>
        <v>23.282999999999998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11"/>
        <v>0152-06</v>
      </c>
      <c r="AE64" s="99" t="str">
        <f t="shared" si="12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64" s="96" t="str">
        <f t="shared" si="13"/>
        <v>"C:\Program Files (x86)\AstroGrep\AstroGrep.exe" /spath="%USERPROFILE%\AppData\Local\Temp\OnboardLogs" /stypes="*4028*20160906*"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7"/>
        <v>"%USERPROFILE%\Documents\GitHub\eaglep3\Utilities\RefineRTDCRunTimes.py" --tripid 152-06 --locoid 4028 --swversion DE.1.0.7.0 --startMP 204:232980 --initTime 2016-09-06T10:48:50 --startdatetime 2016-09-06T10:56:12 --delay 0 --endMP 204:150 --enddatetime 2016-09-06T11:36:07 --enforcementcount 0 &gt;&gt;C:\Users\stu\Documents\GitHub\eaglep3-reporting\EC\2016-09-06-refined-times.txt</v>
      </c>
      <c r="AI64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{"issue":{"subject":"","project_id":79,"tracker_id":40,"status_id":1,"priority_id":2,"assigned_to_id":23,"start_date":"2016-09-06","description":"","custom_fields":[{"id":1,"name":"Subdivision","value":"EC"},{"id":4,"name":"Milepost","value":"23.283"},{"id":17,"name":"Train ID","value":"152-06"},{"id":16,"name":"Locomotive ID","value":"4028"},{"id":130,"name":"Impact","value":""},{"id":150,"name":"Time of Event (Mountain Time)","value":"11:36:07"},{"id":151,"name":"Denver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406</v>
      </c>
      <c r="B65" s="7">
        <v>4038</v>
      </c>
      <c r="C65" s="24" t="s">
        <v>112</v>
      </c>
      <c r="D65" s="24" t="s">
        <v>561</v>
      </c>
      <c r="E65" s="15">
        <v>42619.423449074071</v>
      </c>
      <c r="F65" s="15">
        <v>42619.427291666667</v>
      </c>
      <c r="G65" s="7">
        <v>5</v>
      </c>
      <c r="H65" s="15" t="s">
        <v>232</v>
      </c>
      <c r="I65" s="15">
        <v>42619.452453703707</v>
      </c>
      <c r="J65" s="7">
        <v>0</v>
      </c>
      <c r="K65" s="132" t="str">
        <f t="shared" si="0"/>
        <v>4037/4038</v>
      </c>
      <c r="L65" s="24" t="e">
        <f>VLOOKUP(A65,'Trips&amp;Operators'!$C$1:$E$10000,3,FALSE)</f>
        <v>#N/A</v>
      </c>
      <c r="M65" s="6">
        <f t="shared" si="1"/>
        <v>2.5162037039990537E-2</v>
      </c>
      <c r="N65" s="7">
        <f t="shared" si="21"/>
        <v>36.233333337586373</v>
      </c>
      <c r="O65" s="7"/>
      <c r="P65" s="7"/>
      <c r="Q65" s="25"/>
      <c r="R65" s="25"/>
      <c r="S65" s="37">
        <f t="shared" si="3"/>
        <v>1</v>
      </c>
      <c r="T65" s="52" t="str">
        <f t="shared" si="4"/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09:09:46-0600',mode:absolute,to:'2016-09-06 11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65" s="54" t="str">
        <f t="shared" si="6"/>
        <v>N</v>
      </c>
      <c r="X65" s="120">
        <f t="shared" si="22"/>
        <v>1</v>
      </c>
      <c r="Y65" s="69">
        <f t="shared" si="8"/>
        <v>4.3299999999999998E-2</v>
      </c>
      <c r="Z65" s="69">
        <f t="shared" si="9"/>
        <v>23.331199999999999</v>
      </c>
      <c r="AA65" s="69">
        <f t="shared" si="10"/>
        <v>23.2879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11"/>
        <v>0153-06</v>
      </c>
      <c r="AE65" s="99" t="str">
        <f t="shared" si="12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65" s="96" t="str">
        <f t="shared" si="13"/>
        <v>"C:\Program Files (x86)\AstroGrep\AstroGrep.exe" /spath="%USERPROFILE%\AppData\Local\Temp\OnboardLogs" /stypes="*4038*20160906*"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7"/>
        <v>"%USERPROFILE%\Documents\GitHub\eaglep3\Utilities\RefineRTDCRunTimes.py" --tripid 153-06 --locoid 4038 --swversion DE.1.0.7.0 --startMP 204:433 --initTime 2016-09-06T10:09:46 --startdatetime 2016-09-06T10:15:18 --delay 5 --endMP 204:233312 --enddatetime 2016-09-06T10:51:32 --enforcementcount 0 &gt;&gt;C:\Users\stu\Documents\GitHub\eaglep3-reporting\EC\2016-09-06-refined-times.txt</v>
      </c>
      <c r="AI65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{"issue":{"subject":"","project_id":79,"tracker_id":40,"status_id":1,"priority_id":2,"assigned_to_id":23,"start_date":"2016-09-06","description":"","custom_fields":[{"id":1,"name":"Subdivision","value":"EC"},{"id":4,"name":"Milepost","value":"23.2879"},{"id":17,"name":"Train ID","value":"153-06"},{"id":16,"name":"Locomotive ID","value":"4038"},{"id":130,"name":"Impact","value":""},{"id":150,"name":"Time of Event (Mountain Time)","value":"10:51:32"},{"id":151,"name":"Denver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414</v>
      </c>
      <c r="B66" s="7">
        <v>4037</v>
      </c>
      <c r="C66" s="24" t="s">
        <v>112</v>
      </c>
      <c r="D66" s="24" t="s">
        <v>216</v>
      </c>
      <c r="E66" s="15">
        <v>42619.462696759256</v>
      </c>
      <c r="F66" s="15">
        <v>42619.466145833336</v>
      </c>
      <c r="G66" s="7">
        <v>1</v>
      </c>
      <c r="H66" s="15" t="s">
        <v>222</v>
      </c>
      <c r="I66" s="15">
        <v>42619.493263888886</v>
      </c>
      <c r="J66" s="7">
        <v>0</v>
      </c>
      <c r="K66" s="132" t="str">
        <f t="shared" si="0"/>
        <v>4037/4038</v>
      </c>
      <c r="L66" s="24" t="e">
        <f>VLOOKUP(A66,'Trips&amp;Operators'!$C$1:$E$10000,3,FALSE)</f>
        <v>#N/A</v>
      </c>
      <c r="M66" s="6">
        <f t="shared" si="1"/>
        <v>2.7118055550090503E-2</v>
      </c>
      <c r="N66" s="7">
        <f t="shared" si="21"/>
        <v>39.049999992130324</v>
      </c>
      <c r="O66" s="7"/>
      <c r="P66" s="7"/>
      <c r="Q66" s="25"/>
      <c r="R66" s="25"/>
      <c r="S66" s="37">
        <f t="shared" si="3"/>
        <v>1</v>
      </c>
      <c r="T66" s="52" t="str">
        <f t="shared" si="4"/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10:06:17-0600',mode:absolute,to:'2016-09-06 12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66" s="54" t="str">
        <f t="shared" si="6"/>
        <v>N</v>
      </c>
      <c r="X66" s="120">
        <f t="shared" si="22"/>
        <v>1</v>
      </c>
      <c r="Y66" s="69">
        <f t="shared" si="8"/>
        <v>23.299600000000002</v>
      </c>
      <c r="Z66" s="69">
        <f t="shared" si="9"/>
        <v>1.4999999999999999E-2</v>
      </c>
      <c r="AA66" s="69">
        <f t="shared" si="10"/>
        <v>23.284600000000001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11"/>
        <v>0154-06</v>
      </c>
      <c r="AE66" s="99" t="str">
        <f t="shared" si="12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66" s="96" t="str">
        <f t="shared" si="13"/>
        <v>"C:\Program Files (x86)\AstroGrep\AstroGrep.exe" /spath="%USERPROFILE%\AppData\Local\Temp\OnboardLogs" /stypes="*4037*20160906*"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7"/>
        <v>"%USERPROFILE%\Documents\GitHub\eaglep3\Utilities\RefineRTDCRunTimes.py" --tripid 154-06 --locoid 4037 --swversion DE.1.0.7.0 --startMP 204:232996 --initTime 2016-09-06T11:06:17 --startdatetime 2016-09-06T11:11:15 --delay 1 --endMP 204:150 --enddatetime 2016-09-06T11:50:18 --enforcementcount 0 &gt;&gt;C:\Users\stu\Documents\GitHub\eaglep3-reporting\EC\2016-09-06-refined-times.txt</v>
      </c>
      <c r="AI66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{"issue":{"subject":"","project_id":79,"tracker_id":40,"status_id":1,"priority_id":2,"assigned_to_id":23,"start_date":"2016-09-06","description":"","custom_fields":[{"id":1,"name":"Subdivision","value":"EC"},{"id":4,"name":"Milepost","value":"23.2846"},{"id":17,"name":"Train ID","value":"154-06"},{"id":16,"name":"Locomotive ID","value":"4037"},{"id":130,"name":"Impact","value":""},{"id":150,"name":"Time of Event (Mountain Time)","value":"11:50:18"},{"id":151,"name":"Denver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408</v>
      </c>
      <c r="B67" s="7">
        <v>4025</v>
      </c>
      <c r="C67" s="24" t="s">
        <v>112</v>
      </c>
      <c r="D67" s="24" t="s">
        <v>587</v>
      </c>
      <c r="E67" s="15">
        <v>42619.435057870367</v>
      </c>
      <c r="F67" s="15">
        <v>42619.43787037037</v>
      </c>
      <c r="G67" s="7">
        <v>1</v>
      </c>
      <c r="H67" s="15" t="s">
        <v>225</v>
      </c>
      <c r="I67" s="15">
        <v>42619.46979166667</v>
      </c>
      <c r="J67" s="7">
        <v>0</v>
      </c>
      <c r="K67" s="132" t="str">
        <f t="shared" si="0"/>
        <v>4025/4026</v>
      </c>
      <c r="L67" s="24" t="e">
        <f>VLOOKUP(A67,'Trips&amp;Operators'!$C$1:$E$10000,3,FALSE)</f>
        <v>#N/A</v>
      </c>
      <c r="M67" s="6">
        <f t="shared" si="1"/>
        <v>3.1921296300424729E-2</v>
      </c>
      <c r="N67" s="7">
        <f t="shared" si="21"/>
        <v>45.966666672611609</v>
      </c>
      <c r="O67" s="7"/>
      <c r="P67" s="7"/>
      <c r="Q67" s="25"/>
      <c r="R67" s="25"/>
      <c r="S67" s="37">
        <f t="shared" si="3"/>
        <v>1</v>
      </c>
      <c r="T67" s="52" t="str">
        <f t="shared" si="4"/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09:26:29-0600',mode:absolute,to:'2016-09-06 12:16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67" s="54" t="str">
        <f t="shared" si="6"/>
        <v>N</v>
      </c>
      <c r="X67" s="120">
        <f t="shared" si="22"/>
        <v>1</v>
      </c>
      <c r="Y67" s="69">
        <f t="shared" si="8"/>
        <v>4.9799999999999997E-2</v>
      </c>
      <c r="Z67" s="69">
        <f t="shared" si="9"/>
        <v>23.331700000000001</v>
      </c>
      <c r="AA67" s="69">
        <f t="shared" si="10"/>
        <v>23.2819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11"/>
        <v>0155-06</v>
      </c>
      <c r="AE67" s="99" t="str">
        <f t="shared" si="12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67" s="96" t="str">
        <f t="shared" si="13"/>
        <v>"C:\Program Files (x86)\AstroGrep\AstroGrep.exe" /spath="%USERPROFILE%\AppData\Local\Temp\OnboardLogs" /stypes="*4025*20160906*"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7"/>
        <v>"%USERPROFILE%\Documents\GitHub\eaglep3\Utilities\RefineRTDCRunTimes.py" --tripid 155-06 --locoid 4025 --swversion DE.1.0.7.0 --startMP 204:498 --initTime 2016-09-06T10:26:29 --startdatetime 2016-09-06T10:30:32 --delay 1 --endMP 204:233317 --enddatetime 2016-09-06T11:16:30 --enforcementcount 0 &gt;&gt;C:\Users\stu\Documents\GitHub\eaglep3-reporting\EC\2016-09-06-refined-times.txt</v>
      </c>
      <c r="AI67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{"issue":{"subject":"","project_id":79,"tracker_id":40,"status_id":1,"priority_id":2,"assigned_to_id":23,"start_date":"2016-09-06","description":"","custom_fields":[{"id":1,"name":"Subdivision","value":"EC"},{"id":4,"name":"Milepost","value":"23.2819"},{"id":17,"name":"Train ID","value":"155-06"},{"id":16,"name":"Locomotive ID","value":"4025"},{"id":130,"name":"Impact","value":""},{"id":150,"name":"Time of Event (Mountain Time)","value":"11:16:30"},{"id":151,"name":"Denver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420</v>
      </c>
      <c r="B68" s="7">
        <v>4026</v>
      </c>
      <c r="C68" s="24" t="s">
        <v>112</v>
      </c>
      <c r="D68" s="24" t="s">
        <v>266</v>
      </c>
      <c r="E68" s="15">
        <v>42619.47415509259</v>
      </c>
      <c r="F68" s="15">
        <v>42619.476712962962</v>
      </c>
      <c r="G68" s="7">
        <v>1</v>
      </c>
      <c r="H68" s="15" t="s">
        <v>135</v>
      </c>
      <c r="I68" s="15">
        <v>42619.503437500003</v>
      </c>
      <c r="J68" s="7">
        <v>0</v>
      </c>
      <c r="K68" s="132" t="str">
        <f t="shared" si="0"/>
        <v>4025/4026</v>
      </c>
      <c r="L68" s="24" t="e">
        <f>VLOOKUP(A68,'Trips&amp;Operators'!$C$1:$E$10000,3,FALSE)</f>
        <v>#N/A</v>
      </c>
      <c r="M68" s="6">
        <f t="shared" si="1"/>
        <v>2.6724537041445728E-2</v>
      </c>
      <c r="N68" s="7">
        <f t="shared" si="21"/>
        <v>38.483333339681849</v>
      </c>
      <c r="O68" s="7"/>
      <c r="P68" s="7"/>
      <c r="Q68" s="25"/>
      <c r="R68" s="25"/>
      <c r="S68" s="37">
        <f t="shared" si="3"/>
        <v>1</v>
      </c>
      <c r="T68" s="52" t="str">
        <f t="shared" si="4"/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10:22:47-0600',mode:absolute,to:'2016-09-06 13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68" s="54" t="str">
        <f t="shared" si="6"/>
        <v>N</v>
      </c>
      <c r="X68" s="120">
        <f t="shared" si="22"/>
        <v>1</v>
      </c>
      <c r="Y68" s="69">
        <f t="shared" si="8"/>
        <v>23.299099999999999</v>
      </c>
      <c r="Z68" s="69">
        <f t="shared" si="9"/>
        <v>1.49E-2</v>
      </c>
      <c r="AA68" s="69">
        <f t="shared" si="10"/>
        <v>23.284199999999998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11"/>
        <v>0156-06</v>
      </c>
      <c r="AE68" s="99" t="str">
        <f t="shared" si="12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68" s="96" t="str">
        <f t="shared" si="13"/>
        <v>"C:\Program Files (x86)\AstroGrep\AstroGrep.exe" /spath="%USERPROFILE%\AppData\Local\Temp\OnboardLogs" /stypes="*4026*20160906*"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7"/>
        <v>"%USERPROFILE%\Documents\GitHub\eaglep3\Utilities\RefineRTDCRunTimes.py" --tripid 156-06 --locoid 4026 --swversion DE.1.0.7.0 --startMP 204:232991 --initTime 2016-09-06T11:22:47 --startdatetime 2016-09-06T11:26:28 --delay 1 --endMP 204:149 --enddatetime 2016-09-06T12:04:57 --enforcementcount 0 &gt;&gt;C:\Users\stu\Documents\GitHub\eaglep3-reporting\EC\2016-09-06-refined-times.txt</v>
      </c>
      <c r="AI68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{"issue":{"subject":"","project_id":79,"tracker_id":40,"status_id":1,"priority_id":2,"assigned_to_id":23,"start_date":"2016-09-06","description":"","custom_fields":[{"id":1,"name":"Subdivision","value":"EC"},{"id":4,"name":"Milepost","value":"23.2842"},{"id":17,"name":"Train ID","value":"156-06"},{"id":16,"name":"Locomotive ID","value":"4026"},{"id":130,"name":"Impact","value":""},{"id":150,"name":"Time of Event (Mountain Time)","value":"12:04:57"},{"id":151,"name":"Denver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411</v>
      </c>
      <c r="B69" s="7">
        <v>4029</v>
      </c>
      <c r="C69" s="24" t="s">
        <v>112</v>
      </c>
      <c r="D69" s="24" t="s">
        <v>265</v>
      </c>
      <c r="E69" s="15">
        <v>42619.445196759261</v>
      </c>
      <c r="F69" s="15">
        <v>42619.448275462964</v>
      </c>
      <c r="G69" s="7">
        <v>1</v>
      </c>
      <c r="H69" s="15" t="s">
        <v>588</v>
      </c>
      <c r="I69" s="15">
        <v>42619.472824074073</v>
      </c>
      <c r="J69" s="7">
        <v>0</v>
      </c>
      <c r="K69" s="132" t="str">
        <f t="shared" si="0"/>
        <v>4029/4030</v>
      </c>
      <c r="L69" s="24" t="e">
        <f>VLOOKUP(A69,'Trips&amp;Operators'!$C$1:$E$10000,3,FALSE)</f>
        <v>#N/A</v>
      </c>
      <c r="M69" s="6">
        <f t="shared" si="1"/>
        <v>2.4548611108912155E-2</v>
      </c>
      <c r="N69" s="7">
        <f t="shared" si="21"/>
        <v>35.349999996833503</v>
      </c>
      <c r="O69" s="7"/>
      <c r="P69" s="7"/>
      <c r="Q69" s="25"/>
      <c r="R69" s="25"/>
      <c r="S69" s="37">
        <f t="shared" si="3"/>
        <v>1</v>
      </c>
      <c r="T69" s="52" t="str">
        <f t="shared" si="4"/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09:41:05-0600',mode:absolute,to:'2016-09-06 12:20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69" s="54" t="str">
        <f t="shared" si="6"/>
        <v>N</v>
      </c>
      <c r="X69" s="120">
        <f t="shared" si="22"/>
        <v>1</v>
      </c>
      <c r="Y69" s="69">
        <f t="shared" si="8"/>
        <v>4.6199999999999998E-2</v>
      </c>
      <c r="Z69" s="69">
        <f t="shared" si="9"/>
        <v>23.332999999999998</v>
      </c>
      <c r="AA69" s="69">
        <f t="shared" si="10"/>
        <v>23.286799999999999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11"/>
        <v>0157-06</v>
      </c>
      <c r="AE69" s="99" t="str">
        <f t="shared" si="12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69" s="96" t="str">
        <f t="shared" si="13"/>
        <v>"C:\Program Files (x86)\AstroGrep\AstroGrep.exe" /spath="%USERPROFILE%\AppData\Local\Temp\OnboardLogs" /stypes="*4029*20160906*"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7"/>
        <v>"%USERPROFILE%\Documents\GitHub\eaglep3\Utilities\RefineRTDCRunTimes.py" --tripid 157-06 --locoid 4029 --swversion DE.1.0.7.0 --startMP 204:462 --initTime 2016-09-06T10:41:05 --startdatetime 2016-09-06T10:45:31 --delay 1 --endMP 204:233330 --enddatetime 2016-09-06T11:20:52 --enforcementcount 0 &gt;&gt;C:\Users\stu\Documents\GitHub\eaglep3-reporting\EC\2016-09-06-refined-times.txt</v>
      </c>
      <c r="AI69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{"issue":{"subject":"","project_id":79,"tracker_id":40,"status_id":1,"priority_id":2,"assigned_to_id":23,"start_date":"2016-09-06","description":"","custom_fields":[{"id":1,"name":"Subdivision","value":"EC"},{"id":4,"name":"Milepost","value":"23.2868"},{"id":17,"name":"Train ID","value":"157-06"},{"id":16,"name":"Locomotive ID","value":"4029"},{"id":130,"name":"Impact","value":""},{"id":150,"name":"Time of Event (Mountain Time)","value":"11:20:52"},{"id":151,"name":"Denver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421</v>
      </c>
      <c r="B70" s="7">
        <v>4030</v>
      </c>
      <c r="C70" s="24" t="s">
        <v>112</v>
      </c>
      <c r="D70" s="24" t="s">
        <v>197</v>
      </c>
      <c r="E70" s="15">
        <v>42619.482395833336</v>
      </c>
      <c r="F70" s="15">
        <v>42619.487511574072</v>
      </c>
      <c r="G70" s="7">
        <v>1</v>
      </c>
      <c r="H70" s="15" t="s">
        <v>89</v>
      </c>
      <c r="I70" s="15">
        <v>42619.51226851852</v>
      </c>
      <c r="J70" s="7">
        <v>0</v>
      </c>
      <c r="K70" s="132" t="str">
        <f t="shared" si="0"/>
        <v>4029/4030</v>
      </c>
      <c r="L70" s="24" t="e">
        <f>VLOOKUP(A70,'Trips&amp;Operators'!$C$1:$E$10000,3,FALSE)</f>
        <v>#N/A</v>
      </c>
      <c r="M70" s="6">
        <f t="shared" si="1"/>
        <v>2.4756944447290152E-2</v>
      </c>
      <c r="N70" s="7">
        <f t="shared" si="21"/>
        <v>35.650000004097819</v>
      </c>
      <c r="O70" s="7"/>
      <c r="P70" s="7"/>
      <c r="Q70" s="25"/>
      <c r="R70" s="25"/>
      <c r="S70" s="37">
        <f t="shared" si="3"/>
        <v>1</v>
      </c>
      <c r="T70" s="52" t="str">
        <f t="shared" si="4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10:34:39-0600',mode:absolute,to:'2016-09-06 13:17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70" s="54" t="str">
        <f t="shared" si="6"/>
        <v>N</v>
      </c>
      <c r="X70" s="120">
        <f t="shared" si="22"/>
        <v>1</v>
      </c>
      <c r="Y70" s="69">
        <f t="shared" si="8"/>
        <v>23.297999999999998</v>
      </c>
      <c r="Z70" s="69">
        <f t="shared" si="9"/>
        <v>1.43E-2</v>
      </c>
      <c r="AA70" s="69">
        <f t="shared" si="10"/>
        <v>23.2837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11"/>
        <v>0158-06</v>
      </c>
      <c r="AE70" s="99" t="str">
        <f t="shared" si="12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70" s="96" t="str">
        <f t="shared" si="13"/>
        <v>"C:\Program Files (x86)\AstroGrep\AstroGrep.exe" /spath="%USERPROFILE%\AppData\Local\Temp\OnboardLogs" /stypes="*4030*20160906*"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7"/>
        <v>"%USERPROFILE%\Documents\GitHub\eaglep3\Utilities\RefineRTDCRunTimes.py" --tripid 158-06 --locoid 4030 --swversion DE.1.0.7.0 --startMP 204:232980 --initTime 2016-09-06T11:34:39 --startdatetime 2016-09-06T11:42:01 --delay 1 --endMP 204:143 --enddatetime 2016-09-06T12:17:40 --enforcementcount 0 &gt;&gt;C:\Users\stu\Documents\GitHub\eaglep3-reporting\EC\2016-09-06-refined-times.txt</v>
      </c>
      <c r="AI70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{"issue":{"subject":"","project_id":79,"tracker_id":40,"status_id":1,"priority_id":2,"assigned_to_id":23,"start_date":"2016-09-06","description":"","custom_fields":[{"id":1,"name":"Subdivision","value":"EC"},{"id":4,"name":"Milepost","value":"23.2837"},{"id":17,"name":"Train ID","value":"158-06"},{"id":16,"name":"Locomotive ID","value":"4030"},{"id":130,"name":"Impact","value":""},{"id":150,"name":"Time of Event (Mountain Time)","value":"12:17:40"},{"id":151,"name":"Denver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413</v>
      </c>
      <c r="B71" s="7">
        <v>4011</v>
      </c>
      <c r="C71" s="24" t="s">
        <v>112</v>
      </c>
      <c r="D71" s="24" t="s">
        <v>265</v>
      </c>
      <c r="E71" s="15">
        <v>42619.45480324074</v>
      </c>
      <c r="F71" s="15">
        <v>42619.458506944444</v>
      </c>
      <c r="G71" s="7">
        <v>1</v>
      </c>
      <c r="H71" s="15" t="s">
        <v>589</v>
      </c>
      <c r="I71" s="15">
        <v>42619.484189814815</v>
      </c>
      <c r="J71" s="7">
        <v>0</v>
      </c>
      <c r="K71" s="132" t="str">
        <f t="shared" si="0"/>
        <v>4011/4012</v>
      </c>
      <c r="L71" s="24" t="e">
        <f>VLOOKUP(A71,'Trips&amp;Operators'!$C$1:$E$10000,3,FALSE)</f>
        <v>#N/A</v>
      </c>
      <c r="M71" s="6">
        <f t="shared" si="1"/>
        <v>2.5682870371383615E-2</v>
      </c>
      <c r="N71" s="7">
        <f t="shared" si="21"/>
        <v>36.983333334792405</v>
      </c>
      <c r="O71" s="7"/>
      <c r="P71" s="7"/>
      <c r="Q71" s="25"/>
      <c r="R71" s="25"/>
      <c r="S71" s="37">
        <f t="shared" si="3"/>
        <v>1</v>
      </c>
      <c r="T71" s="52" t="str">
        <f t="shared" si="4"/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09:54:55-0600',mode:absolute,to:'2016-09-06 12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71" s="54" t="str">
        <f t="shared" si="6"/>
        <v>N</v>
      </c>
      <c r="X71" s="120">
        <f t="shared" si="22"/>
        <v>1</v>
      </c>
      <c r="Y71" s="69">
        <f t="shared" si="8"/>
        <v>4.6199999999999998E-2</v>
      </c>
      <c r="Z71" s="69">
        <f t="shared" si="9"/>
        <v>23.3383</v>
      </c>
      <c r="AA71" s="69">
        <f t="shared" si="10"/>
        <v>23.292100000000001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11"/>
        <v>0159-06</v>
      </c>
      <c r="AE71" s="99" t="str">
        <f t="shared" si="12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71" s="96" t="str">
        <f t="shared" si="13"/>
        <v>"C:\Program Files (x86)\AstroGrep\AstroGrep.exe" /spath="%USERPROFILE%\AppData\Local\Temp\OnboardLogs" /stypes="*4011*20160906*"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7"/>
        <v>"%USERPROFILE%\Documents\GitHub\eaglep3\Utilities\RefineRTDCRunTimes.py" --tripid 159-06 --locoid 4011 --swversion DE.1.0.7.0 --startMP 204:462 --initTime 2016-09-06T10:54:55 --startdatetime 2016-09-06T11:00:15 --delay 1 --endMP 204:233383 --enddatetime 2016-09-06T11:37:14 --enforcementcount 0 &gt;&gt;C:\Users\stu\Documents\GitHub\eaglep3-reporting\EC\2016-09-06-refined-times.txt</v>
      </c>
      <c r="AI71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{"issue":{"subject":"","project_id":79,"tracker_id":40,"status_id":1,"priority_id":2,"assigned_to_id":23,"start_date":"2016-09-06","description":"","custom_fields":[{"id":1,"name":"Subdivision","value":"EC"},{"id":4,"name":"Milepost","value":"23.2921"},{"id":17,"name":"Train ID","value":"159-06"},{"id":16,"name":"Locomotive ID","value":"4011"},{"id":130,"name":"Impact","value":""},{"id":150,"name":"Time of Event (Mountain Time)","value":"11:37:14"},{"id":151,"name":"Denver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424</v>
      </c>
      <c r="B72" s="7">
        <v>4012</v>
      </c>
      <c r="C72" s="24" t="s">
        <v>112</v>
      </c>
      <c r="D72" s="24" t="s">
        <v>590</v>
      </c>
      <c r="E72" s="15">
        <v>42619.492025462961</v>
      </c>
      <c r="F72" s="15">
        <v>42619.497384259259</v>
      </c>
      <c r="G72" s="7">
        <v>3</v>
      </c>
      <c r="H72" s="15" t="s">
        <v>234</v>
      </c>
      <c r="I72" s="15">
        <v>42619.526886574073</v>
      </c>
      <c r="J72" s="7">
        <v>0</v>
      </c>
      <c r="K72" s="132" t="str">
        <f t="shared" si="0"/>
        <v>4011/4012</v>
      </c>
      <c r="L72" s="24" t="e">
        <f>VLOOKUP(A72,'Trips&amp;Operators'!$C$1:$E$10000,3,FALSE)</f>
        <v>#N/A</v>
      </c>
      <c r="M72" s="6">
        <f t="shared" si="1"/>
        <v>2.9502314813726116E-2</v>
      </c>
      <c r="N72" s="7">
        <f t="shared" si="21"/>
        <v>42.483333331765607</v>
      </c>
      <c r="O72" s="7"/>
      <c r="P72" s="7"/>
      <c r="Q72" s="25"/>
      <c r="R72" s="25"/>
      <c r="S72" s="37">
        <f t="shared" si="3"/>
        <v>1</v>
      </c>
      <c r="T72" s="52" t="str">
        <f t="shared" si="4"/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10:48:31-0600',mode:absolute,to:'2016-09-06 13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72" s="54" t="str">
        <f t="shared" si="6"/>
        <v>N</v>
      </c>
      <c r="X72" s="120">
        <f t="shared" si="22"/>
        <v>1</v>
      </c>
      <c r="Y72" s="69">
        <f t="shared" si="8"/>
        <v>23.3079</v>
      </c>
      <c r="Z72" s="69">
        <f t="shared" si="9"/>
        <v>1.3599999999999999E-2</v>
      </c>
      <c r="AA72" s="69">
        <f t="shared" si="10"/>
        <v>23.2943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11"/>
        <v>0160-06</v>
      </c>
      <c r="AE72" s="99" t="str">
        <f t="shared" si="12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72" s="96" t="str">
        <f t="shared" si="13"/>
        <v>"C:\Program Files (x86)\AstroGrep\AstroGrep.exe" /spath="%USERPROFILE%\AppData\Local\Temp\OnboardLogs" /stypes="*4012*20160906*"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7"/>
        <v>"%USERPROFILE%\Documents\GitHub\eaglep3\Utilities\RefineRTDCRunTimes.py" --tripid 160-06 --locoid 4012 --swversion DE.1.0.7.0 --startMP 204:233079 --initTime 2016-09-06T11:48:31 --startdatetime 2016-09-06T11:56:14 --delay 3 --endMP 204:136 --enddatetime 2016-09-06T12:38:43 --enforcementcount 0 &gt;&gt;C:\Users\stu\Documents\GitHub\eaglep3-reporting\EC\2016-09-06-refined-times.txt</v>
      </c>
      <c r="AI72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{"issue":{"subject":"","project_id":79,"tracker_id":40,"status_id":1,"priority_id":2,"assigned_to_id":23,"start_date":"2016-09-06","description":"","custom_fields":[{"id":1,"name":"Subdivision","value":"EC"},{"id":4,"name":"Milepost","value":"23.2943"},{"id":17,"name":"Train ID","value":"160-06"},{"id":16,"name":"Locomotive ID","value":"4012"},{"id":130,"name":"Impact","value":""},{"id":150,"name":"Time of Event (Mountain Time)","value":"12:38:43"},{"id":151,"name":"Denver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415</v>
      </c>
      <c r="B73" s="7">
        <v>4002</v>
      </c>
      <c r="C73" s="24" t="s">
        <v>112</v>
      </c>
      <c r="D73" s="24" t="s">
        <v>591</v>
      </c>
      <c r="E73" s="15">
        <v>42619.464201388888</v>
      </c>
      <c r="F73" s="15">
        <v>42619.469027777777</v>
      </c>
      <c r="G73" s="7">
        <v>1</v>
      </c>
      <c r="H73" s="15" t="s">
        <v>273</v>
      </c>
      <c r="I73" s="15">
        <v>42619.493310185186</v>
      </c>
      <c r="J73" s="7">
        <v>0</v>
      </c>
      <c r="K73" s="132" t="str">
        <f t="shared" si="0"/>
        <v>4001/4002</v>
      </c>
      <c r="L73" s="24" t="e">
        <f>VLOOKUP(A73,'Trips&amp;Operators'!$C$1:$E$10000,3,FALSE)</f>
        <v>#N/A</v>
      </c>
      <c r="M73" s="6">
        <f t="shared" si="1"/>
        <v>2.4282407408463769E-2</v>
      </c>
      <c r="N73" s="7">
        <f t="shared" si="21"/>
        <v>34.966666668187827</v>
      </c>
      <c r="O73" s="7"/>
      <c r="P73" s="7"/>
      <c r="Q73" s="25"/>
      <c r="R73" s="25"/>
      <c r="S73" s="37">
        <f t="shared" si="3"/>
        <v>1</v>
      </c>
      <c r="T73" s="52" t="str">
        <f t="shared" si="4"/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10:08:27-0600',mode:absolute,to:'2016-09-06 12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73" s="54" t="str">
        <f t="shared" si="6"/>
        <v>N</v>
      </c>
      <c r="X73" s="120">
        <f t="shared" si="22"/>
        <v>1</v>
      </c>
      <c r="Y73" s="69">
        <f t="shared" si="8"/>
        <v>5.2900000000000003E-2</v>
      </c>
      <c r="Z73" s="69">
        <f t="shared" si="9"/>
        <v>23.333600000000001</v>
      </c>
      <c r="AA73" s="69">
        <f t="shared" si="10"/>
        <v>23.2807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11"/>
        <v>0161-06</v>
      </c>
      <c r="AE73" s="99" t="str">
        <f t="shared" si="12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73" s="96" t="str">
        <f t="shared" si="13"/>
        <v>"C:\Program Files (x86)\AstroGrep\AstroGrep.exe" /spath="%USERPROFILE%\AppData\Local\Temp\OnboardLogs" /stypes="*4002*20160906*"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7"/>
        <v>"%USERPROFILE%\Documents\GitHub\eaglep3\Utilities\RefineRTDCRunTimes.py" --tripid 161-06 --locoid 4002 --swversion DE.1.0.7.0 --startMP 204:529 --initTime 2016-09-06T11:08:27 --startdatetime 2016-09-06T11:15:24 --delay 1 --endMP 204:233336 --enddatetime 2016-09-06T11:50:22 --enforcementcount 0 &gt;&gt;C:\Users\stu\Documents\GitHub\eaglep3-reporting\EC\2016-09-06-refined-times.txt</v>
      </c>
      <c r="AI73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{"issue":{"subject":"","project_id":79,"tracker_id":40,"status_id":1,"priority_id":2,"assigned_to_id":23,"start_date":"2016-09-06","description":"","custom_fields":[{"id":1,"name":"Subdivision","value":"EC"},{"id":4,"name":"Milepost","value":"23.2807"},{"id":17,"name":"Train ID","value":"161-06"},{"id":16,"name":"Locomotive ID","value":"4002"},{"id":130,"name":"Impact","value":""},{"id":150,"name":"Time of Event (Mountain Time)","value":"11:50:22"},{"id":151,"name":"Denver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425</v>
      </c>
      <c r="B74" s="7">
        <v>4001</v>
      </c>
      <c r="C74" s="24" t="s">
        <v>112</v>
      </c>
      <c r="D74" s="24" t="s">
        <v>216</v>
      </c>
      <c r="E74" s="15">
        <v>42619.494768518518</v>
      </c>
      <c r="F74" s="15">
        <v>42619.507939814815</v>
      </c>
      <c r="G74" s="7">
        <v>1</v>
      </c>
      <c r="H74" s="15" t="s">
        <v>135</v>
      </c>
      <c r="I74" s="15">
        <v>42619.54010416667</v>
      </c>
      <c r="J74" s="7">
        <v>0</v>
      </c>
      <c r="K74" s="132" t="str">
        <f t="shared" si="0"/>
        <v>4001/4002</v>
      </c>
      <c r="L74" s="24" t="e">
        <f>VLOOKUP(A74,'Trips&amp;Operators'!$C$1:$E$10000,3,FALSE)</f>
        <v>#N/A</v>
      </c>
      <c r="M74" s="6">
        <f t="shared" si="1"/>
        <v>3.2164351854589768E-2</v>
      </c>
      <c r="N74" s="7">
        <f t="shared" si="21"/>
        <v>46.316666670609266</v>
      </c>
      <c r="O74" s="7"/>
      <c r="P74" s="7"/>
      <c r="Q74" s="25"/>
      <c r="R74" s="25"/>
      <c r="S74" s="37">
        <f t="shared" si="3"/>
        <v>1</v>
      </c>
      <c r="T74" s="52" t="str">
        <f t="shared" si="4"/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10:52:28-0600',mode:absolute,to:'2016-09-06 13:57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74" s="54" t="str">
        <f t="shared" si="6"/>
        <v>N</v>
      </c>
      <c r="X74" s="120">
        <f t="shared" si="22"/>
        <v>1</v>
      </c>
      <c r="Y74" s="69">
        <f t="shared" si="8"/>
        <v>23.299600000000002</v>
      </c>
      <c r="Z74" s="69">
        <f t="shared" si="9"/>
        <v>1.49E-2</v>
      </c>
      <c r="AA74" s="69">
        <f t="shared" si="10"/>
        <v>23.284700000000001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11"/>
        <v>0162-06</v>
      </c>
      <c r="AE74" s="99" t="str">
        <f t="shared" si="12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74" s="96" t="str">
        <f t="shared" si="13"/>
        <v>"C:\Program Files (x86)\AstroGrep\AstroGrep.exe" /spath="%USERPROFILE%\AppData\Local\Temp\OnboardLogs" /stypes="*4001*20160906*"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7"/>
        <v>"%USERPROFILE%\Documents\GitHub\eaglep3\Utilities\RefineRTDCRunTimes.py" --tripid 162-06 --locoid 4001 --swversion DE.1.0.7.0 --startMP 204:232996 --initTime 2016-09-06T11:52:28 --startdatetime 2016-09-06T12:11:26 --delay 1 --endMP 204:149 --enddatetime 2016-09-06T12:57:45 --enforcementcount 0 &gt;&gt;C:\Users\stu\Documents\GitHub\eaglep3-reporting\EC\2016-09-06-refined-times.txt</v>
      </c>
      <c r="AI74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{"issue":{"subject":"","project_id":79,"tracker_id":40,"status_id":1,"priority_id":2,"assigned_to_id":23,"start_date":"2016-09-06","description":"","custom_fields":[{"id":1,"name":"Subdivision","value":"EC"},{"id":4,"name":"Milepost","value":"23.2847"},{"id":17,"name":"Train ID","value":"162-06"},{"id":16,"name":"Locomotive ID","value":"4001"},{"id":130,"name":"Impact","value":""},{"id":150,"name":"Time of Event (Mountain Time)","value":"12:57:45"},{"id":151,"name":"Denver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419</v>
      </c>
      <c r="B75" s="7">
        <v>4042</v>
      </c>
      <c r="C75" s="24" t="s">
        <v>112</v>
      </c>
      <c r="D75" s="24" t="s">
        <v>160</v>
      </c>
      <c r="E75" s="15">
        <v>42619.474270833336</v>
      </c>
      <c r="F75" s="15">
        <v>42619.479409722226</v>
      </c>
      <c r="G75" s="7">
        <v>1</v>
      </c>
      <c r="H75" s="15" t="s">
        <v>581</v>
      </c>
      <c r="I75" s="15">
        <v>42619.504849537036</v>
      </c>
      <c r="J75" s="7">
        <v>0</v>
      </c>
      <c r="K75" s="132" t="str">
        <f t="shared" si="0"/>
        <v>4041/4042</v>
      </c>
      <c r="L75" s="24" t="e">
        <f>VLOOKUP(A75,'Trips&amp;Operators'!$C$1:$E$10000,3,FALSE)</f>
        <v>#N/A</v>
      </c>
      <c r="M75" s="6">
        <f t="shared" si="1"/>
        <v>2.5439814809942618E-2</v>
      </c>
      <c r="N75" s="7">
        <f t="shared" si="21"/>
        <v>36.63333332631737</v>
      </c>
      <c r="O75" s="7"/>
      <c r="P75" s="7"/>
      <c r="Q75" s="25"/>
      <c r="R75" s="25"/>
      <c r="S75" s="37">
        <f t="shared" si="3"/>
        <v>1</v>
      </c>
      <c r="T75" s="52" t="str">
        <f t="shared" si="4"/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10:22:57-0600',mode:absolute,to:'2016-09-06 13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75" s="54" t="str">
        <f t="shared" si="6"/>
        <v>N</v>
      </c>
      <c r="X75" s="120">
        <f t="shared" si="22"/>
        <v>1</v>
      </c>
      <c r="Y75" s="69">
        <f t="shared" si="8"/>
        <v>4.5999999999999999E-2</v>
      </c>
      <c r="Z75" s="69">
        <f t="shared" si="9"/>
        <v>23.33</v>
      </c>
      <c r="AA75" s="69">
        <f t="shared" si="10"/>
        <v>23.283999999999999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11"/>
        <v>0163-06</v>
      </c>
      <c r="AE75" s="99" t="str">
        <f t="shared" si="12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75" s="96" t="str">
        <f t="shared" si="13"/>
        <v>"C:\Program Files (x86)\AstroGrep\AstroGrep.exe" /spath="%USERPROFILE%\AppData\Local\Temp\OnboardLogs" /stypes="*4042*20160906*"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7"/>
        <v>"%USERPROFILE%\Documents\GitHub\eaglep3\Utilities\RefineRTDCRunTimes.py" --tripid 163-06 --locoid 4042 --swversion DE.1.0.7.0 --startMP 204:460 --initTime 2016-09-06T11:22:57 --startdatetime 2016-09-06T11:30:21 --delay 1 --endMP 204:233300 --enddatetime 2016-09-06T12:06:59 --enforcementcount 0 &gt;&gt;C:\Users\stu\Documents\GitHub\eaglep3-reporting\EC\2016-09-06-refined-times.txt</v>
      </c>
      <c r="AI75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{"issue":{"subject":"","project_id":79,"tracker_id":40,"status_id":1,"priority_id":2,"assigned_to_id":23,"start_date":"2016-09-06","description":"","custom_fields":[{"id":1,"name":"Subdivision","value":"EC"},{"id":4,"name":"Milepost","value":"23.284"},{"id":17,"name":"Train ID","value":"163-06"},{"id":16,"name":"Locomotive ID","value":"4042"},{"id":130,"name":"Impact","value":""},{"id":150,"name":"Time of Event (Mountain Time)","value":"12:06:59"},{"id":151,"name":"Denver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430</v>
      </c>
      <c r="B76" s="7">
        <v>4041</v>
      </c>
      <c r="C76" s="24" t="s">
        <v>112</v>
      </c>
      <c r="D76" s="24" t="s">
        <v>291</v>
      </c>
      <c r="E76" s="15">
        <v>42619.515752314815</v>
      </c>
      <c r="F76" s="15">
        <v>42619.518252314818</v>
      </c>
      <c r="G76" s="7">
        <v>1</v>
      </c>
      <c r="H76" s="15" t="s">
        <v>239</v>
      </c>
      <c r="I76" s="15">
        <v>42619.54923611111</v>
      </c>
      <c r="J76" s="7">
        <v>0</v>
      </c>
      <c r="K76" s="132" t="str">
        <f t="shared" si="0"/>
        <v>4041/4042</v>
      </c>
      <c r="L76" s="24" t="e">
        <f>VLOOKUP(A76,'Trips&amp;Operators'!$C$1:$E$10000,3,FALSE)</f>
        <v>#N/A</v>
      </c>
      <c r="M76" s="6">
        <f t="shared" si="1"/>
        <v>3.0983796292275656E-2</v>
      </c>
      <c r="N76" s="7">
        <f t="shared" si="21"/>
        <v>44.616666660876945</v>
      </c>
      <c r="O76" s="7"/>
      <c r="P76" s="7"/>
      <c r="Q76" s="25"/>
      <c r="R76" s="25"/>
      <c r="S76" s="37">
        <f t="shared" si="3"/>
        <v>1</v>
      </c>
      <c r="T76" s="52" t="str">
        <f t="shared" si="4"/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https://search-rtdc-monitor-bjffxe2xuh6vdkpspy63sjmuny.us-east-1.es.amazonaws.com/_plugin/kibana/#/discover/Steve-Slow-Train-Analysis-(2080s-and-2083s)?_g=(refreshInterval:(display:Off,section:0,value:0),time:(from:'2016-09-06 11:22:41-0600',mode:absolute,to:'2016-09-06 14:10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76" s="54" t="str">
        <f t="shared" si="6"/>
        <v>N</v>
      </c>
      <c r="X76" s="120">
        <f t="shared" si="22"/>
        <v>1</v>
      </c>
      <c r="Y76" s="69">
        <f t="shared" si="8"/>
        <v>23.298300000000001</v>
      </c>
      <c r="Z76" s="69">
        <f t="shared" si="9"/>
        <v>1.67E-2</v>
      </c>
      <c r="AA76" s="69">
        <f t="shared" si="10"/>
        <v>23.281600000000001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11"/>
        <v>0164-06</v>
      </c>
      <c r="AE76" s="99" t="str">
        <f t="shared" si="12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76" s="96" t="str">
        <f t="shared" si="13"/>
        <v>"C:\Program Files (x86)\AstroGrep\AstroGrep.exe" /spath="%USERPROFILE%\AppData\Local\Temp\OnboardLogs" /stypes="*4041*20160906*" /stext=" 19:.+((SYSTEM_STATE.+slice.+state.+changed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7"/>
        <v>"%USERPROFILE%\Documents\GitHub\eaglep3\Utilities\RefineRTDCRunTimes.py" --tripid 164-06 --locoid 4041 --swversion DE.1.0.7.0 --startMP 204:232983 --initTime 2016-09-06T12:22:41 --startdatetime 2016-09-06T12:26:17 --delay 1 --endMP 204:167 --enddatetime 2016-09-06T13:10:54 --enforcementcount 0 &gt;&gt;C:\Users\stu\Documents\GitHub\eaglep3-reporting\EC\2016-09-06-refined-times.txt</v>
      </c>
      <c r="AI76" s="147" t="str">
        <f t="shared" si="18"/>
        <v>echo {"issue":{"subject":"","project_id":79,"tracker_id":40,"status_id":1,"priority_id":2,"assigned_to_id":23,"start_date":"2016-09-06","description":"","custom_fields":[{"id":1,"name":"Subdivision","value":"EC"},{"id":4,"name":"Milepost","value":"23.2816"},{"id":17,"name":"Train ID","value":"164-06"},{"id":16,"name":"Locomotive ID","value":"4041"},{"id":130,"name":"Impact","value":""},{"id":150,"name":"Time of Event (Mountain Time)","value":"13:10:54"},{"id":151,"name":"Denver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423</v>
      </c>
      <c r="B77" s="7">
        <v>4027</v>
      </c>
      <c r="C77" s="24" t="s">
        <v>112</v>
      </c>
      <c r="D77" s="24" t="s">
        <v>265</v>
      </c>
      <c r="E77" s="15">
        <v>42619.485567129632</v>
      </c>
      <c r="F77" s="15">
        <v>42619.489756944444</v>
      </c>
      <c r="G77" s="7">
        <v>1</v>
      </c>
      <c r="H77" s="15" t="s">
        <v>241</v>
      </c>
      <c r="I77" s="15">
        <v>42619.515439814815</v>
      </c>
      <c r="J77" s="7">
        <v>0</v>
      </c>
      <c r="K77" s="132" t="str">
        <f t="shared" ref="K77:K140" si="23">IF(ISEVEN(B77),(B77-1)&amp;"/"&amp;B77,B77&amp;"/"&amp;(B77+1))</f>
        <v>4027/4028</v>
      </c>
      <c r="L77" s="24" t="e">
        <f>VLOOKUP(A77,'Trips&amp;Operators'!$C$1:$E$10000,3,FALSE)</f>
        <v>#N/A</v>
      </c>
      <c r="M77" s="6">
        <f t="shared" ref="M77:M140" si="24">I77-F77</f>
        <v>2.5682870371383615E-2</v>
      </c>
      <c r="N77" s="7">
        <f t="shared" si="21"/>
        <v>36.983333334792405</v>
      </c>
      <c r="O77" s="7"/>
      <c r="P77" s="7"/>
      <c r="Q77" s="25"/>
      <c r="R77" s="25"/>
      <c r="S77" s="37">
        <f t="shared" ref="S77:S140" si="25">SUM(U77:U77)/IF(AG77="EC",12,1)</f>
        <v>1</v>
      </c>
      <c r="T77" s="52" t="str">
        <f t="shared" ref="T77:T140" si="26">IF(ISEVEN(LEFT(AD77,4)),"Southbound","NorthBound")</f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27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https://search-rtdc-monitor-bjffxe2xuh6vdkpspy63sjmuny.us-east-1.es.amazonaws.com/_plugin/kibana/#/discover/Steve-Slow-Train-Analysis-(2080s-and-2083s)?_g=(refreshInterval:(display:Off,section:0,value:0),time:(from:'2016-09-06 10:39:13-0600',mode:absolute,to:'2016-09-06 13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77" s="54" t="str">
        <f t="shared" ref="W77:W140" si="28">IF(AA77&lt;IF(AG77="EC",23,5.65),"Y","N")</f>
        <v>N</v>
      </c>
      <c r="X77" s="120">
        <f t="shared" si="22"/>
        <v>1</v>
      </c>
      <c r="Y77" s="69">
        <f t="shared" ref="Y77:Y140" si="29">RIGHT(D77,LEN(D77)-4)/10000</f>
        <v>4.6199999999999998E-2</v>
      </c>
      <c r="Z77" s="69">
        <f t="shared" ref="Z77:Z140" si="30">RIGHT(H77,LEN(H77)-4)/10000</f>
        <v>23.331600000000002</v>
      </c>
      <c r="AA77" s="69">
        <f t="shared" ref="AA77:AA140" si="31">ABS(Z77-Y77)</f>
        <v>23.285400000000003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0" si="32">IF(LEN(A77)=6,"0"&amp;A77,A77)</f>
        <v>0165-06</v>
      </c>
      <c r="AE77" s="99" t="str">
        <f t="shared" ref="AE77:AE140" si="33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77" s="96" t="str">
        <f t="shared" ref="AF77:AF140" si="34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/stypes="*4027*20160906*" /stext=" 18:.+((SYSTEM_STATE.+slice.+state.+changed )|(ment ac)|(system.+state.+changed )|(\|lc)|(penalty)|(\[timeout)|(PRM\|1\|D)|(kpr)|(kdp))" /e /r /s</v>
      </c>
      <c r="AG77" s="1" t="str">
        <f t="shared" ref="AG77:AG140" si="35">IFERROR(IF(VALUE(LEFT(AD77,2))&lt;=2,"EC",IF(OR(VALUE(LEFT(AD77,2))=8,VALUE(LEFT(AD77,2))=18),"NW","Other")),"Other")</f>
        <v>EC</v>
      </c>
      <c r="AH77" s="100" t="str">
        <f t="shared" ref="AH77:AH138" si="36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165-06 --locoid 4027 --swversion DE.1.0.7.0 --startMP 204:462 --initTime 2016-09-06T11:39:13 --startdatetime 2016-09-06T11:45:15 --delay 1 --endMP 204:233316 --enddatetime 2016-09-06T12:22:14 --enforcementcount 0 &gt;&gt;C:\Users\stu\Documents\GitHub\eaglep3-reporting\EC\2016-09-06-refined-times.txt</v>
      </c>
      <c r="AI77" s="147" t="str">
        <f t="shared" ref="AI77:AI138" si="37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{"issue":{"subject":"","project_id":79,"tracker_id":40,"status_id":1,"priority_id":2,"assigned_to_id":23,"start_date":"2016-09-06","description":"","custom_fields":[{"id":1,"name":"Subdivision","value":"EC"},{"id":4,"name":"Milepost","value":"23.2854"},{"id":17,"name":"Train ID","value":"165-06"},{"id":16,"name":"Locomotive ID","value":"4027"},{"id":130,"name":"Impact","value":""},{"id":150,"name":"Time of Event (Mountain Time)","value":"12:22:14"},{"id":151,"name":"Denver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431</v>
      </c>
      <c r="B78" s="7">
        <v>4028</v>
      </c>
      <c r="C78" s="24" t="s">
        <v>112</v>
      </c>
      <c r="D78" s="24" t="s">
        <v>233</v>
      </c>
      <c r="E78" s="15">
        <v>42619.521643518521</v>
      </c>
      <c r="F78" s="15">
        <v>42619.528634259259</v>
      </c>
      <c r="G78" s="7">
        <v>1</v>
      </c>
      <c r="H78" s="15" t="s">
        <v>254</v>
      </c>
      <c r="I78" s="15">
        <v>42619.555798611109</v>
      </c>
      <c r="J78" s="7">
        <v>0</v>
      </c>
      <c r="K78" s="132" t="str">
        <f t="shared" si="23"/>
        <v>4027/4028</v>
      </c>
      <c r="L78" s="24" t="e">
        <f>VLOOKUP(A78,'Trips&amp;Operators'!$C$1:$E$10000,3,FALSE)</f>
        <v>#N/A</v>
      </c>
      <c r="M78" s="6">
        <f t="shared" si="24"/>
        <v>2.7164351849933155E-2</v>
      </c>
      <c r="N78" s="7">
        <f t="shared" si="21"/>
        <v>39.116666663903743</v>
      </c>
      <c r="O78" s="7"/>
      <c r="P78" s="7"/>
      <c r="Q78" s="25"/>
      <c r="R78" s="25"/>
      <c r="S78" s="37">
        <f t="shared" si="25"/>
        <v>1</v>
      </c>
      <c r="T78" s="52" t="str">
        <f t="shared" si="26"/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11:31:10-0600',mode:absolute,to:'2016-09-06 14:20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78" s="54" t="str">
        <f t="shared" si="28"/>
        <v>N</v>
      </c>
      <c r="X78" s="120">
        <f t="shared" si="22"/>
        <v>1</v>
      </c>
      <c r="Y78" s="69">
        <f t="shared" si="29"/>
        <v>23.299800000000001</v>
      </c>
      <c r="Z78" s="69">
        <f t="shared" si="30"/>
        <v>1.32E-2</v>
      </c>
      <c r="AA78" s="69">
        <f t="shared" si="31"/>
        <v>23.2866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32"/>
        <v>0166-06</v>
      </c>
      <c r="AE78" s="99" t="str">
        <f t="shared" si="33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78" s="96" t="str">
        <f t="shared" si="34"/>
        <v>"C:\Program Files (x86)\AstroGrep\AstroGrep.exe" /spath="%USERPROFILE%\AppData\Local\Temp\OnboardLogs" /stypes="*4028*20160906*" /stext=" 19:.+((SYSTEM_STATE.+slice.+state.+changed )|(ment ac)|(system.+state.+changed )|(\|lc)|(penalty)|(\[timeout)|(PRM\|1\|D)|(kpr)|(kdp))" /e /r /s</v>
      </c>
      <c r="AG78" s="1" t="str">
        <f t="shared" si="35"/>
        <v>EC</v>
      </c>
      <c r="AH78" s="100" t="str">
        <f t="shared" si="36"/>
        <v>"%USERPROFILE%\Documents\GitHub\eaglep3\Utilities\RefineRTDCRunTimes.py" --tripid 166-06 --locoid 4028 --swversion DE.1.0.7.0 --startMP 204:232998 --initTime 2016-09-06T12:31:10 --startdatetime 2016-09-06T12:41:14 --delay 1 --endMP 204:132 --enddatetime 2016-09-06T13:20:21 --enforcementcount 0 &gt;&gt;C:\Users\stu\Documents\GitHub\eaglep3-reporting\EC\2016-09-06-refined-times.txt</v>
      </c>
      <c r="AI78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{"issue":{"subject":"","project_id":79,"tracker_id":40,"status_id":1,"priority_id":2,"assigned_to_id":23,"start_date":"2016-09-06","description":"","custom_fields":[{"id":1,"name":"Subdivision","value":"EC"},{"id":4,"name":"Milepost","value":"23.2866"},{"id":17,"name":"Train ID","value":"166-06"},{"id":16,"name":"Locomotive ID","value":"4028"},{"id":130,"name":"Impact","value":""},{"id":150,"name":"Time of Event (Mountain Time)","value":"13:20:21"},{"id":151,"name":"Denver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x14ac:dyDescent="0.25">
      <c r="A79" s="39" t="s">
        <v>426</v>
      </c>
      <c r="B79" s="7">
        <v>4038</v>
      </c>
      <c r="C79" s="24" t="s">
        <v>112</v>
      </c>
      <c r="D79" s="24" t="s">
        <v>574</v>
      </c>
      <c r="E79" s="15">
        <v>42619.49659722222</v>
      </c>
      <c r="F79" s="15">
        <v>42619.5003125</v>
      </c>
      <c r="G79" s="7">
        <v>1</v>
      </c>
      <c r="H79" s="15" t="s">
        <v>219</v>
      </c>
      <c r="I79" s="15">
        <v>42619.532002314816</v>
      </c>
      <c r="J79" s="7">
        <v>0</v>
      </c>
      <c r="K79" s="132" t="str">
        <f t="shared" si="23"/>
        <v>4037/4038</v>
      </c>
      <c r="L79" s="24" t="e">
        <f>VLOOKUP(A79,'Trips&amp;Operators'!$C$1:$E$10000,3,FALSE)</f>
        <v>#N/A</v>
      </c>
      <c r="M79" s="6">
        <f t="shared" si="24"/>
        <v>3.1689814815763384E-2</v>
      </c>
      <c r="N79" s="7">
        <f t="shared" si="21"/>
        <v>45.633333334699273</v>
      </c>
      <c r="O79" s="7"/>
      <c r="P79" s="7"/>
      <c r="Q79" s="25"/>
      <c r="R79" s="25"/>
      <c r="S79" s="37">
        <f t="shared" si="25"/>
        <v>1</v>
      </c>
      <c r="T79" s="52" t="str">
        <f t="shared" si="26"/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10:55:06-0600',mode:absolute,to:'2016-09-06 13:46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79" s="54" t="str">
        <f t="shared" si="28"/>
        <v>N</v>
      </c>
      <c r="X79" s="120">
        <f t="shared" si="22"/>
        <v>1</v>
      </c>
      <c r="Y79" s="69">
        <f t="shared" si="29"/>
        <v>4.7300000000000002E-2</v>
      </c>
      <c r="Z79" s="69">
        <f t="shared" si="30"/>
        <v>23.330200000000001</v>
      </c>
      <c r="AA79" s="69">
        <f t="shared" si="31"/>
        <v>23.282900000000001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32"/>
        <v>0167-06</v>
      </c>
      <c r="AE79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79" s="96" t="str">
        <f t="shared" si="34"/>
        <v>"C:\Program Files (x86)\AstroGrep\AstroGrep.exe" /spath="%USERPROFILE%\AppData\Local\Temp\OnboardLogs" /stypes="*4038*20160906*" /stext=" 18:.+((SYSTEM_STATE.+slice.+state.+changed )|(ment ac)|(system.+state.+changed )|(\|lc)|(penalty)|(\[timeout)|(PRM\|1\|D)|(kpr)|(kdp))" /e /r /s</v>
      </c>
      <c r="AG79" s="1" t="str">
        <f t="shared" si="35"/>
        <v>EC</v>
      </c>
      <c r="AH79" s="100" t="str">
        <f t="shared" si="36"/>
        <v>"%USERPROFILE%\Documents\GitHub\eaglep3\Utilities\RefineRTDCRunTimes.py" --tripid 167-06 --locoid 4038 --swversion DE.1.0.7.0 --startMP 204:473 --initTime 2016-09-06T11:55:06 --startdatetime 2016-09-06T12:00:27 --delay 1 --endMP 204:233302 --enddatetime 2016-09-06T12:46:05 --enforcementcount 0 &gt;&gt;C:\Users\stu\Documents\GitHub\eaglep3-reporting\EC\2016-09-06-refined-times.txt</v>
      </c>
      <c r="AI79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{"issue":{"subject":"","project_id":79,"tracker_id":40,"status_id":1,"priority_id":2,"assigned_to_id":23,"start_date":"2016-09-06","description":"","custom_fields":[{"id":1,"name":"Subdivision","value":"EC"},{"id":4,"name":"Milepost","value":"23.2829"},{"id":17,"name":"Train ID","value":"167-06"},{"id":16,"name":"Locomotive ID","value":"4038"},{"id":130,"name":"Impact","value":""},{"id":150,"name":"Time of Event (Mountain Time)","value":"12:46:05"},{"id":151,"name":"Denver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434</v>
      </c>
      <c r="B80" s="7">
        <v>4037</v>
      </c>
      <c r="C80" s="24" t="s">
        <v>112</v>
      </c>
      <c r="D80" s="24" t="s">
        <v>292</v>
      </c>
      <c r="E80" s="15">
        <v>42619.534062500003</v>
      </c>
      <c r="F80" s="15">
        <v>42619.539513888885</v>
      </c>
      <c r="G80" s="7">
        <v>1</v>
      </c>
      <c r="H80" s="15" t="s">
        <v>592</v>
      </c>
      <c r="I80" s="15">
        <v>42619.56958333333</v>
      </c>
      <c r="J80" s="7">
        <v>0</v>
      </c>
      <c r="K80" s="132" t="str">
        <f t="shared" si="23"/>
        <v>4037/4038</v>
      </c>
      <c r="L80" s="24" t="e">
        <f>VLOOKUP(A80,'Trips&amp;Operators'!$C$1:$E$10000,3,FALSE)</f>
        <v>#N/A</v>
      </c>
      <c r="M80" s="6">
        <f t="shared" si="24"/>
        <v>3.0069444444961846E-2</v>
      </c>
      <c r="N80" s="7">
        <f t="shared" si="21"/>
        <v>43.300000000745058</v>
      </c>
      <c r="O80" s="7"/>
      <c r="P80" s="7"/>
      <c r="Q80" s="25"/>
      <c r="R80" s="25"/>
      <c r="S80" s="37">
        <f t="shared" si="25"/>
        <v>1</v>
      </c>
      <c r="T80" s="52" t="str">
        <f t="shared" si="26"/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11:49:03-0600',mode:absolute,to:'2016-09-06 14:40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80" s="54" t="str">
        <f t="shared" si="28"/>
        <v>N</v>
      </c>
      <c r="X80" s="120">
        <f t="shared" si="22"/>
        <v>1</v>
      </c>
      <c r="Y80" s="69">
        <f t="shared" si="29"/>
        <v>23.300599999999999</v>
      </c>
      <c r="Z80" s="69">
        <f t="shared" si="30"/>
        <v>1.8100000000000002E-2</v>
      </c>
      <c r="AA80" s="69">
        <f t="shared" si="31"/>
        <v>23.282499999999999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32"/>
        <v>0168-06</v>
      </c>
      <c r="AE80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80" s="96" t="str">
        <f t="shared" si="34"/>
        <v>"C:\Program Files (x86)\AstroGrep\AstroGrep.exe" /spath="%USERPROFILE%\AppData\Local\Temp\OnboardLogs" /stypes="*4037*20160906*" /stext=" 19:.+((SYSTEM_STATE.+slice.+state.+changed )|(ment ac)|(system.+state.+changed )|(\|lc)|(penalty)|(\[timeout)|(PRM\|1\|D)|(kpr)|(kdp))" /e /r /s</v>
      </c>
      <c r="AG80" s="1" t="str">
        <f t="shared" si="35"/>
        <v>EC</v>
      </c>
      <c r="AH80" s="100" t="str">
        <f t="shared" si="36"/>
        <v>"%USERPROFILE%\Documents\GitHub\eaglep3\Utilities\RefineRTDCRunTimes.py" --tripid 168-06 --locoid 4037 --swversion DE.1.0.7.0 --startMP 204:233006 --initTime 2016-09-06T12:49:03 --startdatetime 2016-09-06T12:56:54 --delay 1 --endMP 204:181 --enddatetime 2016-09-06T13:40:12 --enforcementcount 0 &gt;&gt;C:\Users\stu\Documents\GitHub\eaglep3-reporting\EC\2016-09-06-refined-times.txt</v>
      </c>
      <c r="AI80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{"issue":{"subject":"","project_id":79,"tracker_id":40,"status_id":1,"priority_id":2,"assigned_to_id":23,"start_date":"2016-09-06","description":"","custom_fields":[{"id":1,"name":"Subdivision","value":"EC"},{"id":4,"name":"Milepost","value":"23.2825"},{"id":17,"name":"Train ID","value":"168-06"},{"id":16,"name":"Locomotive ID","value":"4037"},{"id":130,"name":"Impact","value":""},{"id":150,"name":"Time of Event (Mountain Time)","value":"13:40:12"},{"id":151,"name":"Denver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428</v>
      </c>
      <c r="B81" s="7">
        <v>4025</v>
      </c>
      <c r="C81" s="24" t="s">
        <v>112</v>
      </c>
      <c r="D81" s="24" t="s">
        <v>593</v>
      </c>
      <c r="E81" s="15">
        <v>42619.506701388891</v>
      </c>
      <c r="F81" s="15">
        <v>42619.51253472222</v>
      </c>
      <c r="G81" s="7">
        <v>4</v>
      </c>
      <c r="H81" s="15" t="s">
        <v>280</v>
      </c>
      <c r="I81" s="15">
        <v>42619.542939814812</v>
      </c>
      <c r="J81" s="7">
        <v>0</v>
      </c>
      <c r="K81" s="132" t="str">
        <f t="shared" si="23"/>
        <v>4025/4026</v>
      </c>
      <c r="L81" s="24" t="e">
        <f>VLOOKUP(A81,'Trips&amp;Operators'!$C$1:$E$10000,3,FALSE)</f>
        <v>#N/A</v>
      </c>
      <c r="M81" s="6">
        <f t="shared" si="24"/>
        <v>3.0405092591536231E-2</v>
      </c>
      <c r="N81" s="7">
        <f t="shared" si="21"/>
        <v>43.783333331812173</v>
      </c>
      <c r="O81" s="7"/>
      <c r="P81" s="7"/>
      <c r="Q81" s="25"/>
      <c r="R81" s="25"/>
      <c r="S81" s="37">
        <f t="shared" si="25"/>
        <v>1</v>
      </c>
      <c r="T81" s="52" t="str">
        <f t="shared" si="26"/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11:09:39-0600',mode:absolute,to:'2016-09-06 14:01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81" s="54" t="str">
        <f t="shared" si="28"/>
        <v>N</v>
      </c>
      <c r="X81" s="120">
        <f t="shared" si="22"/>
        <v>1</v>
      </c>
      <c r="Y81" s="69">
        <f t="shared" si="29"/>
        <v>4.7500000000000001E-2</v>
      </c>
      <c r="Z81" s="69">
        <f t="shared" si="30"/>
        <v>23.338699999999999</v>
      </c>
      <c r="AA81" s="69">
        <f t="shared" si="31"/>
        <v>23.2912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32"/>
        <v>0169-06</v>
      </c>
      <c r="AE81" s="99" t="str">
        <f t="shared" si="33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81" s="96" t="str">
        <f t="shared" si="34"/>
        <v>"C:\Program Files (x86)\AstroGrep\AstroGrep.exe" /spath="%USERPROFILE%\AppData\Local\Temp\OnboardLogs" /stypes="*4025*20160906*" /stext=" 19:.+((SYSTEM_STATE.+slice.+state.+changed )|(ment ac)|(system.+state.+changed )|(\|lc)|(penalty)|(\[timeout)|(PRM\|1\|D)|(kpr)|(kdp))" /e /r /s</v>
      </c>
      <c r="AG81" s="1" t="str">
        <f t="shared" si="35"/>
        <v>EC</v>
      </c>
      <c r="AH81" s="100" t="str">
        <f t="shared" si="36"/>
        <v>"%USERPROFILE%\Documents\GitHub\eaglep3\Utilities\RefineRTDCRunTimes.py" --tripid 169-06 --locoid 4025 --swversion DE.1.0.7.0 --startMP 204:475 --initTime 2016-09-06T12:09:39 --startdatetime 2016-09-06T12:18:03 --delay 4 --endMP 204:233387 --enddatetime 2016-09-06T13:01:50 --enforcementcount 0 &gt;&gt;C:\Users\stu\Documents\GitHub\eaglep3-reporting\EC\2016-09-06-refined-times.txt</v>
      </c>
      <c r="AI81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{"issue":{"subject":"","project_id":79,"tracker_id":40,"status_id":1,"priority_id":2,"assigned_to_id":23,"start_date":"2016-09-06","description":"","custom_fields":[{"id":1,"name":"Subdivision","value":"EC"},{"id":4,"name":"Milepost","value":"23.2912"},{"id":17,"name":"Train ID","value":"169-06"},{"id":16,"name":"Locomotive ID","value":"4025"},{"id":130,"name":"Impact","value":""},{"id":150,"name":"Time of Event (Mountain Time)","value":"13:01:50"},{"id":151,"name":"Denver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436</v>
      </c>
      <c r="B82" s="7">
        <v>4026</v>
      </c>
      <c r="C82" s="24" t="s">
        <v>112</v>
      </c>
      <c r="D82" s="24" t="s">
        <v>562</v>
      </c>
      <c r="E82" s="15">
        <v>42619.546817129631</v>
      </c>
      <c r="F82" s="15">
        <v>42619.550046296295</v>
      </c>
      <c r="G82" s="7">
        <v>1</v>
      </c>
      <c r="H82" s="15" t="s">
        <v>148</v>
      </c>
      <c r="I82" s="15">
        <v>42619.580370370371</v>
      </c>
      <c r="J82" s="7">
        <v>0</v>
      </c>
      <c r="K82" s="132" t="str">
        <f t="shared" si="23"/>
        <v>4025/4026</v>
      </c>
      <c r="L82" s="24" t="e">
        <f>VLOOKUP(A82,'Trips&amp;Operators'!$C$1:$E$10000,3,FALSE)</f>
        <v>#N/A</v>
      </c>
      <c r="M82" s="6">
        <f t="shared" si="24"/>
        <v>3.0324074075906537E-2</v>
      </c>
      <c r="N82" s="7">
        <f t="shared" si="21"/>
        <v>43.666666669305414</v>
      </c>
      <c r="O82" s="7"/>
      <c r="P82" s="7"/>
      <c r="Q82" s="25"/>
      <c r="R82" s="25"/>
      <c r="S82" s="37">
        <f t="shared" si="25"/>
        <v>1</v>
      </c>
      <c r="T82" s="52" t="str">
        <f t="shared" si="26"/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12:07:25-0600',mode:absolute,to:'2016-09-06 14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82" s="54" t="str">
        <f t="shared" si="28"/>
        <v>N</v>
      </c>
      <c r="X82" s="120">
        <f t="shared" si="22"/>
        <v>1</v>
      </c>
      <c r="Y82" s="69">
        <f t="shared" si="29"/>
        <v>23.2988</v>
      </c>
      <c r="Z82" s="69">
        <f t="shared" si="30"/>
        <v>1.54E-2</v>
      </c>
      <c r="AA82" s="69">
        <f t="shared" si="31"/>
        <v>23.2834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32"/>
        <v>0170-06</v>
      </c>
      <c r="AE82" s="99" t="str">
        <f t="shared" si="33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82" s="96" t="str">
        <f t="shared" si="34"/>
        <v>"C:\Program Files (x86)\AstroGrep\AstroGrep.exe" /spath="%USERPROFILE%\AppData\Local\Temp\OnboardLogs" /stypes="*4026*20160906*" /stext=" 19:.+((SYSTEM_STATE.+slice.+state.+changed )|(ment ac)|(system.+state.+changed )|(\|lc)|(penalty)|(\[timeout)|(PRM\|1\|D)|(kpr)|(kdp))" /e /r /s</v>
      </c>
      <c r="AG82" s="1" t="str">
        <f t="shared" si="35"/>
        <v>EC</v>
      </c>
      <c r="AH82" s="100" t="str">
        <f t="shared" si="36"/>
        <v>"%USERPROFILE%\Documents\GitHub\eaglep3\Utilities\RefineRTDCRunTimes.py" --tripid 170-06 --locoid 4026 --swversion DE.1.0.7.0 --startMP 204:232988 --initTime 2016-09-06T13:07:25 --startdatetime 2016-09-06T13:12:04 --delay 1 --endMP 204:154 --enddatetime 2016-09-06T13:55:44 --enforcementcount 0 &gt;&gt;C:\Users\stu\Documents\GitHub\eaglep3-reporting\EC\2016-09-06-refined-times.txt</v>
      </c>
      <c r="AI82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{"issue":{"subject":"","project_id":79,"tracker_id":40,"status_id":1,"priority_id":2,"assigned_to_id":23,"start_date":"2016-09-06","description":"","custom_fields":[{"id":1,"name":"Subdivision","value":"EC"},{"id":4,"name":"Milepost","value":"23.2834"},{"id":17,"name":"Train ID","value":"170-06"},{"id":16,"name":"Locomotive ID","value":"4026"},{"id":130,"name":"Impact","value":""},{"id":150,"name":"Time of Event (Mountain Time)","value":"13:55:44"},{"id":151,"name":"Denver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23" customFormat="1" x14ac:dyDescent="0.25">
      <c r="A83" s="39" t="s">
        <v>429</v>
      </c>
      <c r="B83" s="7">
        <v>4029</v>
      </c>
      <c r="C83" s="24" t="s">
        <v>112</v>
      </c>
      <c r="D83" s="24" t="s">
        <v>146</v>
      </c>
      <c r="E83" s="15">
        <v>42619.515601851854</v>
      </c>
      <c r="F83" s="15">
        <v>42619.521226851852</v>
      </c>
      <c r="G83" s="7">
        <v>2</v>
      </c>
      <c r="H83" s="15" t="s">
        <v>219</v>
      </c>
      <c r="I83" s="15">
        <v>42619.548344907409</v>
      </c>
      <c r="J83" s="7">
        <v>0</v>
      </c>
      <c r="K83" s="132" t="str">
        <f t="shared" si="23"/>
        <v>4029/4030</v>
      </c>
      <c r="L83" s="24" t="e">
        <f>VLOOKUP(A83,'Trips&amp;Operators'!$C$1:$E$10000,3,FALSE)</f>
        <v>#N/A</v>
      </c>
      <c r="M83" s="6">
        <f t="shared" si="24"/>
        <v>2.7118055557366461E-2</v>
      </c>
      <c r="N83" s="7">
        <f t="shared" si="21"/>
        <v>39.050000002607703</v>
      </c>
      <c r="O83" s="7"/>
      <c r="P83" s="7"/>
      <c r="Q83" s="25"/>
      <c r="R83" s="25"/>
      <c r="S83" s="37">
        <f t="shared" si="25"/>
        <v>1</v>
      </c>
      <c r="T83" s="52" t="str">
        <f t="shared" si="26"/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11:22:28-0600',mode:absolute,to:'2016-09-06 14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83" s="54" t="str">
        <f t="shared" si="28"/>
        <v>N</v>
      </c>
      <c r="X83" s="120">
        <f t="shared" si="22"/>
        <v>1</v>
      </c>
      <c r="Y83" s="69">
        <f t="shared" si="29"/>
        <v>4.5100000000000001E-2</v>
      </c>
      <c r="Z83" s="69">
        <f t="shared" si="30"/>
        <v>23.330200000000001</v>
      </c>
      <c r="AA83" s="69">
        <f t="shared" si="31"/>
        <v>23.2851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32"/>
        <v>0171-06</v>
      </c>
      <c r="AE83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83" s="96" t="str">
        <f t="shared" si="34"/>
        <v>"C:\Program Files (x86)\AstroGrep\AstroGrep.exe" /spath="%USERPROFILE%\AppData\Local\Temp\OnboardLogs" /stypes="*4029*20160906*" /stext=" 19:.+((SYSTEM_STATE.+slice.+state.+changed )|(ment ac)|(system.+state.+changed )|(\|lc)|(penalty)|(\[timeout)|(PRM\|1\|D)|(kpr)|(kdp))" /e /r /s</v>
      </c>
      <c r="AG83" s="1" t="str">
        <f t="shared" si="35"/>
        <v>EC</v>
      </c>
      <c r="AH83" s="100" t="str">
        <f t="shared" si="36"/>
        <v>"%USERPROFILE%\Documents\GitHub\eaglep3\Utilities\RefineRTDCRunTimes.py" --tripid 171-06 --locoid 4029 --swversion DE.1.0.7.0 --startMP 204:451 --initTime 2016-09-06T12:22:28 --startdatetime 2016-09-06T12:30:34 --delay 2 --endMP 204:233302 --enddatetime 2016-09-06T13:09:37 --enforcementcount 0 &gt;&gt;C:\Users\stu\Documents\GitHub\eaglep3-reporting\EC\2016-09-06-refined-times.txt</v>
      </c>
      <c r="AI83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{"issue":{"subject":"","project_id":79,"tracker_id":40,"status_id":1,"priority_id":2,"assigned_to_id":23,"start_date":"2016-09-06","description":"","custom_fields":[{"id":1,"name":"Subdivision","value":"EC"},{"id":4,"name":"Milepost","value":"23.2851"},{"id":17,"name":"Train ID","value":"171-06"},{"id":16,"name":"Locomotive ID","value":"4029"},{"id":130,"name":"Impact","value":""},{"id":150,"name":"Time of Event (Mountain Time)","value":"13:09:37"},{"id":151,"name":"Denver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23" customFormat="1" x14ac:dyDescent="0.25">
      <c r="A84" s="39" t="s">
        <v>439</v>
      </c>
      <c r="B84" s="7">
        <v>4030</v>
      </c>
      <c r="C84" s="24" t="s">
        <v>112</v>
      </c>
      <c r="D84" s="24" t="s">
        <v>594</v>
      </c>
      <c r="E84" s="15">
        <v>42619.552766203706</v>
      </c>
      <c r="F84" s="15">
        <v>42619.56</v>
      </c>
      <c r="G84" s="7">
        <v>1</v>
      </c>
      <c r="H84" s="15" t="s">
        <v>254</v>
      </c>
      <c r="I84" s="15">
        <v>42619.586608796293</v>
      </c>
      <c r="J84" s="7">
        <v>0</v>
      </c>
      <c r="K84" s="132" t="str">
        <f t="shared" si="23"/>
        <v>4029/4030</v>
      </c>
      <c r="L84" s="24" t="e">
        <f>VLOOKUP(A84,'Trips&amp;Operators'!$C$1:$E$10000,3,FALSE)</f>
        <v>#N/A</v>
      </c>
      <c r="M84" s="6">
        <f t="shared" si="24"/>
        <v>2.6608796295477077E-2</v>
      </c>
      <c r="N84" s="7">
        <f t="shared" si="21"/>
        <v>38.316666665486991</v>
      </c>
      <c r="O84" s="7"/>
      <c r="P84" s="7"/>
      <c r="Q84" s="25"/>
      <c r="R84" s="25"/>
      <c r="S84" s="37">
        <f t="shared" si="25"/>
        <v>1</v>
      </c>
      <c r="T84" s="52" t="str">
        <f t="shared" si="26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12:15:59-0600',mode:absolute,to:'2016-09-06 15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84" s="54" t="str">
        <f t="shared" si="28"/>
        <v>N</v>
      </c>
      <c r="X84" s="120">
        <f t="shared" si="22"/>
        <v>1</v>
      </c>
      <c r="Y84" s="69">
        <f t="shared" si="29"/>
        <v>23.299299999999999</v>
      </c>
      <c r="Z84" s="69">
        <f t="shared" si="30"/>
        <v>1.32E-2</v>
      </c>
      <c r="AA84" s="69">
        <f t="shared" si="31"/>
        <v>23.286099999999998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32"/>
        <v>0172-06</v>
      </c>
      <c r="AE84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84" s="96" t="str">
        <f t="shared" si="34"/>
        <v>"C:\Program Files (x86)\AstroGrep\AstroGrep.exe" /spath="%USERPROFILE%\AppData\Local\Temp\OnboardLogs" /stypes="*4030*20160906*" /stext=" 20:.+((SYSTEM_STATE.+slice.+state.+changed )|(ment ac)|(system.+state.+changed )|(\|lc)|(penalty)|(\[timeout)|(PRM\|1\|D)|(kpr)|(kdp))" /e /r /s</v>
      </c>
      <c r="AG84" s="1" t="str">
        <f t="shared" si="35"/>
        <v>EC</v>
      </c>
      <c r="AH84" s="100" t="str">
        <f t="shared" si="36"/>
        <v>"%USERPROFILE%\Documents\GitHub\eaglep3\Utilities\RefineRTDCRunTimes.py" --tripid 172-06 --locoid 4030 --swversion DE.1.0.7.0 --startMP 204:232993 --initTime 2016-09-06T13:15:59 --startdatetime 2016-09-06T13:26:24 --delay 1 --endMP 204:132 --enddatetime 2016-09-06T14:04:43 --enforcementcount 0 &gt;&gt;C:\Users\stu\Documents\GitHub\eaglep3-reporting\EC\2016-09-06-refined-times.txt</v>
      </c>
      <c r="AI84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{"issue":{"subject":"","project_id":79,"tracker_id":40,"status_id":1,"priority_id":2,"assigned_to_id":23,"start_date":"2016-09-06","description":"","custom_fields":[{"id":1,"name":"Subdivision","value":"EC"},{"id":4,"name":"Milepost","value":"23.2861"},{"id":17,"name":"Train ID","value":"172-06"},{"id":16,"name":"Locomotive ID","value":"4030"},{"id":130,"name":"Impact","value":""},{"id":150,"name":"Time of Event (Mountain Time)","value":"14:04:43"},{"id":151,"name":"Denver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x14ac:dyDescent="0.25">
      <c r="A85" s="39" t="s">
        <v>433</v>
      </c>
      <c r="B85" s="7">
        <v>4011</v>
      </c>
      <c r="C85" s="24" t="s">
        <v>112</v>
      </c>
      <c r="D85" s="24" t="s">
        <v>146</v>
      </c>
      <c r="E85" s="15">
        <v>42619.528136574074</v>
      </c>
      <c r="F85" s="15">
        <v>42619.531435185185</v>
      </c>
      <c r="G85" s="7">
        <v>1</v>
      </c>
      <c r="H85" s="15" t="s">
        <v>284</v>
      </c>
      <c r="I85" s="15">
        <v>42619.557233796295</v>
      </c>
      <c r="J85" s="7">
        <v>0</v>
      </c>
      <c r="K85" s="132" t="str">
        <f t="shared" si="23"/>
        <v>4011/4012</v>
      </c>
      <c r="L85" s="24" t="e">
        <f>VLOOKUP(A85,'Trips&amp;Operators'!$C$1:$E$10000,3,FALSE)</f>
        <v>#N/A</v>
      </c>
      <c r="M85" s="6">
        <f t="shared" si="24"/>
        <v>2.5798611110076308E-2</v>
      </c>
      <c r="N85" s="7">
        <f t="shared" si="21"/>
        <v>37.149999998509884</v>
      </c>
      <c r="O85" s="7"/>
      <c r="P85" s="7"/>
      <c r="Q85" s="25"/>
      <c r="R85" s="25"/>
      <c r="S85" s="37">
        <f t="shared" si="25"/>
        <v>1</v>
      </c>
      <c r="T85" s="52" t="str">
        <f t="shared" si="26"/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11:40:31-0600',mode:absolute,to:'2016-09-06 14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85" s="54" t="str">
        <f t="shared" si="28"/>
        <v>N</v>
      </c>
      <c r="X85" s="120">
        <f t="shared" si="22"/>
        <v>1</v>
      </c>
      <c r="Y85" s="69">
        <f t="shared" si="29"/>
        <v>4.5100000000000001E-2</v>
      </c>
      <c r="Z85" s="69">
        <f t="shared" si="30"/>
        <v>23.330500000000001</v>
      </c>
      <c r="AA85" s="69">
        <f t="shared" si="31"/>
        <v>23.285399999999999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32"/>
        <v>0173-06</v>
      </c>
      <c r="AE85" s="99" t="str">
        <f t="shared" si="33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85" s="96" t="str">
        <f t="shared" si="34"/>
        <v>"C:\Program Files (x86)\AstroGrep\AstroGrep.exe" /spath="%USERPROFILE%\AppData\Local\Temp\OnboardLogs" /stypes="*4011*20160906*" /stext=" 19:.+((SYSTEM_STATE.+slice.+state.+changed )|(ment ac)|(system.+state.+changed )|(\|lc)|(penalty)|(\[timeout)|(PRM\|1\|D)|(kpr)|(kdp))" /e /r /s</v>
      </c>
      <c r="AG85" s="1" t="str">
        <f t="shared" si="35"/>
        <v>EC</v>
      </c>
      <c r="AH85" s="100" t="str">
        <f t="shared" si="36"/>
        <v>"%USERPROFILE%\Documents\GitHub\eaglep3\Utilities\RefineRTDCRunTimes.py" --tripid 173-06 --locoid 4011 --swversion DE.1.0.7.0 --startMP 204:451 --initTime 2016-09-06T12:40:31 --startdatetime 2016-09-06T12:45:16 --delay 1 --endMP 204:233305 --enddatetime 2016-09-06T13:22:25 --enforcementcount 0 &gt;&gt;C:\Users\stu\Documents\GitHub\eaglep3-reporting\EC\2016-09-06-refined-times.txt</v>
      </c>
      <c r="AI85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{"issue":{"subject":"","project_id":79,"tracker_id":40,"status_id":1,"priority_id":2,"assigned_to_id":23,"start_date":"2016-09-06","description":"","custom_fields":[{"id":1,"name":"Subdivision","value":"EC"},{"id":4,"name":"Milepost","value":"23.2854"},{"id":17,"name":"Train ID","value":"173-06"},{"id":16,"name":"Locomotive ID","value":"4011"},{"id":130,"name":"Impact","value":""},{"id":150,"name":"Time of Event (Mountain Time)","value":"13:22:25"},{"id":151,"name":"Denver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23" customFormat="1" x14ac:dyDescent="0.25">
      <c r="A86" s="39" t="s">
        <v>441</v>
      </c>
      <c r="B86" s="7">
        <v>4012</v>
      </c>
      <c r="C86" s="24" t="s">
        <v>112</v>
      </c>
      <c r="D86" s="24" t="s">
        <v>562</v>
      </c>
      <c r="E86" s="15">
        <v>42619.559236111112</v>
      </c>
      <c r="F86" s="15">
        <v>42619.570324074077</v>
      </c>
      <c r="G86" s="7">
        <v>1</v>
      </c>
      <c r="H86" s="15" t="s">
        <v>221</v>
      </c>
      <c r="I86" s="15">
        <v>42619.598217592589</v>
      </c>
      <c r="J86" s="7">
        <v>0</v>
      </c>
      <c r="K86" s="132" t="str">
        <f t="shared" si="23"/>
        <v>4011/4012</v>
      </c>
      <c r="L86" s="24" t="e">
        <f>VLOOKUP(A86,'Trips&amp;Operators'!$C$1:$E$10000,3,FALSE)</f>
        <v>#N/A</v>
      </c>
      <c r="M86" s="6">
        <f t="shared" si="24"/>
        <v>2.7893518512428273E-2</v>
      </c>
      <c r="N86" s="7">
        <f t="shared" si="21"/>
        <v>40.166666657896712</v>
      </c>
      <c r="O86" s="7"/>
      <c r="P86" s="7"/>
      <c r="Q86" s="25"/>
      <c r="R86" s="25"/>
      <c r="S86" s="37">
        <f t="shared" si="25"/>
        <v>1</v>
      </c>
      <c r="T86" s="52" t="str">
        <f t="shared" si="26"/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12:25:18-0600',mode:absolute,to:'2016-09-06 15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86" s="54" t="str">
        <f t="shared" si="28"/>
        <v>N</v>
      </c>
      <c r="X86" s="120">
        <f t="shared" si="22"/>
        <v>1</v>
      </c>
      <c r="Y86" s="69">
        <f t="shared" si="29"/>
        <v>23.2988</v>
      </c>
      <c r="Z86" s="69">
        <f t="shared" si="30"/>
        <v>1.41E-2</v>
      </c>
      <c r="AA86" s="69">
        <f t="shared" si="31"/>
        <v>23.284700000000001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32"/>
        <v>0174-06</v>
      </c>
      <c r="AE86" s="99" t="str">
        <f t="shared" si="33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86" s="96" t="str">
        <f t="shared" si="34"/>
        <v>"C:\Program Files (x86)\AstroGrep\AstroGrep.exe" /spath="%USERPROFILE%\AppData\Local\Temp\OnboardLogs" /stypes="*4012*20160906*" /stext=" 20:.+((SYSTEM_STATE.+slice.+state.+changed )|(ment ac)|(system.+state.+changed )|(\|lc)|(penalty)|(\[timeout)|(PRM\|1\|D)|(kpr)|(kdp))" /e /r /s</v>
      </c>
      <c r="AG86" s="1" t="str">
        <f t="shared" si="35"/>
        <v>EC</v>
      </c>
      <c r="AH86" s="100" t="str">
        <f t="shared" si="36"/>
        <v>"%USERPROFILE%\Documents\GitHub\eaglep3\Utilities\RefineRTDCRunTimes.py" --tripid 174-06 --locoid 4012 --swversion DE.1.0.7.0 --startMP 204:232988 --initTime 2016-09-06T13:25:18 --startdatetime 2016-09-06T13:41:16 --delay 1 --endMP 204:141 --enddatetime 2016-09-06T14:21:26 --enforcementcount 0 &gt;&gt;C:\Users\stu\Documents\GitHub\eaglep3-reporting\EC\2016-09-06-refined-times.txt</v>
      </c>
      <c r="AI86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{"issue":{"subject":"","project_id":79,"tracker_id":40,"status_id":1,"priority_id":2,"assigned_to_id":23,"start_date":"2016-09-06","description":"","custom_fields":[{"id":1,"name":"Subdivision","value":"EC"},{"id":4,"name":"Milepost","value":"23.2847"},{"id":17,"name":"Train ID","value":"174-06"},{"id":16,"name":"Locomotive ID","value":"4012"},{"id":130,"name":"Impact","value":""},{"id":150,"name":"Time of Event (Mountain Time)","value":"14:21:26"},{"id":151,"name":"Denver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23" customFormat="1" x14ac:dyDescent="0.25">
      <c r="A87" s="39" t="s">
        <v>435</v>
      </c>
      <c r="B87" s="7">
        <v>4002</v>
      </c>
      <c r="C87" s="24" t="s">
        <v>112</v>
      </c>
      <c r="D87" s="24" t="s">
        <v>160</v>
      </c>
      <c r="E87" s="15">
        <v>42619.541863425926</v>
      </c>
      <c r="F87" s="15">
        <v>42619.543668981481</v>
      </c>
      <c r="G87" s="7">
        <v>1</v>
      </c>
      <c r="H87" s="15" t="s">
        <v>595</v>
      </c>
      <c r="I87" s="15">
        <v>42619.572951388887</v>
      </c>
      <c r="J87" s="7">
        <v>0</v>
      </c>
      <c r="K87" s="132" t="str">
        <f t="shared" si="23"/>
        <v>4001/4002</v>
      </c>
      <c r="L87" s="24" t="e">
        <f>VLOOKUP(A87,'Trips&amp;Operators'!$C$1:$E$10000,3,FALSE)</f>
        <v>#N/A</v>
      </c>
      <c r="M87" s="6">
        <f t="shared" si="24"/>
        <v>2.9282407405844424E-2</v>
      </c>
      <c r="N87" s="7">
        <f t="shared" si="21"/>
        <v>42.16666666441597</v>
      </c>
      <c r="O87" s="7"/>
      <c r="P87" s="7"/>
      <c r="Q87" s="25"/>
      <c r="R87" s="25"/>
      <c r="S87" s="37">
        <f t="shared" si="25"/>
        <v>1</v>
      </c>
      <c r="T87" s="52" t="str">
        <f t="shared" si="26"/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12:00:17-0600',mode:absolute,to:'2016-09-06 14:45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87" s="54" t="str">
        <f t="shared" si="28"/>
        <v>N</v>
      </c>
      <c r="X87" s="120">
        <f t="shared" si="22"/>
        <v>1</v>
      </c>
      <c r="Y87" s="69">
        <f t="shared" si="29"/>
        <v>4.5999999999999999E-2</v>
      </c>
      <c r="Z87" s="69">
        <f t="shared" si="30"/>
        <v>23.323799999999999</v>
      </c>
      <c r="AA87" s="69">
        <f t="shared" si="31"/>
        <v>23.277799999999999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32"/>
        <v>0175-06</v>
      </c>
      <c r="AE87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87" s="96" t="str">
        <f t="shared" si="34"/>
        <v>"C:\Program Files (x86)\AstroGrep\AstroGrep.exe" /spath="%USERPROFILE%\AppData\Local\Temp\OnboardLogs" /stypes="*4002*20160906*" /stext=" 19:.+((SYSTEM_STATE.+slice.+state.+changed )|(ment ac)|(system.+state.+changed )|(\|lc)|(penalty)|(\[timeout)|(PRM\|1\|D)|(kpr)|(kdp))" /e /r /s</v>
      </c>
      <c r="AG87" s="1" t="str">
        <f t="shared" si="35"/>
        <v>EC</v>
      </c>
      <c r="AH87" s="100" t="str">
        <f t="shared" si="36"/>
        <v>"%USERPROFILE%\Documents\GitHub\eaglep3\Utilities\RefineRTDCRunTimes.py" --tripid 175-06 --locoid 4002 --swversion DE.1.0.7.0 --startMP 204:460 --initTime 2016-09-06T13:00:17 --startdatetime 2016-09-06T13:02:53 --delay 1 --endMP 204:233238 --enddatetime 2016-09-06T13:45:03 --enforcementcount 0 &gt;&gt;C:\Users\stu\Documents\GitHub\eaglep3-reporting\EC\2016-09-06-refined-times.txt</v>
      </c>
      <c r="AI87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{"issue":{"subject":"","project_id":79,"tracker_id":40,"status_id":1,"priority_id":2,"assigned_to_id":23,"start_date":"2016-09-06","description":"","custom_fields":[{"id":1,"name":"Subdivision","value":"EC"},{"id":4,"name":"Milepost","value":"23.2778"},{"id":17,"name":"Train ID","value":"175-06"},{"id":16,"name":"Locomotive ID","value":"4002"},{"id":130,"name":"Impact","value":""},{"id":150,"name":"Time of Event (Mountain Time)","value":"13:45:03"},{"id":151,"name":"Denver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x14ac:dyDescent="0.25">
      <c r="A88" s="39" t="s">
        <v>444</v>
      </c>
      <c r="B88" s="7">
        <v>4001</v>
      </c>
      <c r="C88" s="24" t="s">
        <v>112</v>
      </c>
      <c r="D88" s="24" t="s">
        <v>596</v>
      </c>
      <c r="E88" s="15">
        <v>42619.576423611114</v>
      </c>
      <c r="F88" s="15">
        <v>42619.580821759257</v>
      </c>
      <c r="G88" s="7">
        <v>1</v>
      </c>
      <c r="H88" s="15" t="s">
        <v>597</v>
      </c>
      <c r="I88" s="15">
        <v>42619.611296296294</v>
      </c>
      <c r="J88" s="7">
        <v>0</v>
      </c>
      <c r="K88" s="132" t="str">
        <f t="shared" si="23"/>
        <v>4001/4002</v>
      </c>
      <c r="L88" s="24" t="e">
        <f>VLOOKUP(A88,'Trips&amp;Operators'!$C$1:$E$10000,3,FALSE)</f>
        <v>#N/A</v>
      </c>
      <c r="M88" s="6">
        <f t="shared" si="24"/>
        <v>3.047453703766223E-2</v>
      </c>
      <c r="N88" s="7">
        <f t="shared" si="21"/>
        <v>43.883333334233612</v>
      </c>
      <c r="O88" s="7"/>
      <c r="P88" s="7"/>
      <c r="Q88" s="25"/>
      <c r="R88" s="25"/>
      <c r="S88" s="37">
        <f t="shared" si="25"/>
        <v>1</v>
      </c>
      <c r="T88" s="52" t="str">
        <f t="shared" si="26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12:50:03-0600',mode:absolute,to:'2016-09-06 15:40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88" s="54" t="str">
        <f t="shared" si="28"/>
        <v>N</v>
      </c>
      <c r="X88" s="120">
        <f t="shared" si="22"/>
        <v>1</v>
      </c>
      <c r="Y88" s="69">
        <f t="shared" si="29"/>
        <v>23.2925</v>
      </c>
      <c r="Z88" s="69">
        <f t="shared" si="30"/>
        <v>1.3899999999999999E-2</v>
      </c>
      <c r="AA88" s="69">
        <f t="shared" si="31"/>
        <v>23.278600000000001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32"/>
        <v>0176-06</v>
      </c>
      <c r="AE88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88" s="96" t="str">
        <f t="shared" si="34"/>
        <v>"C:\Program Files (x86)\AstroGrep\AstroGrep.exe" /spath="%USERPROFILE%\AppData\Local\Temp\OnboardLogs" /stypes="*4001*20160906*" /stext=" 20:.+((SYSTEM_STATE.+slice.+state.+changed )|(ment ac)|(system.+state.+changed )|(\|lc)|(penalty)|(\[timeout)|(PRM\|1\|D)|(kpr)|(kdp))" /e /r /s</v>
      </c>
      <c r="AG88" s="1" t="str">
        <f t="shared" si="35"/>
        <v>EC</v>
      </c>
      <c r="AH88" s="100" t="str">
        <f t="shared" si="36"/>
        <v>"%USERPROFILE%\Documents\GitHub\eaglep3\Utilities\RefineRTDCRunTimes.py" --tripid 176-06 --locoid 4001 --swversion DE.1.0.7.0 --startMP 204:232925 --initTime 2016-09-06T13:50:03 --startdatetime 2016-09-06T13:56:23 --delay 1 --endMP 204:139 --enddatetime 2016-09-06T14:40:16 --enforcementcount 0 &gt;&gt;C:\Users\stu\Documents\GitHub\eaglep3-reporting\EC\2016-09-06-refined-times.txt</v>
      </c>
      <c r="AI88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{"issue":{"subject":"","project_id":79,"tracker_id":40,"status_id":1,"priority_id":2,"assigned_to_id":23,"start_date":"2016-09-06","description":"","custom_fields":[{"id":1,"name":"Subdivision","value":"EC"},{"id":4,"name":"Milepost","value":"23.2786"},{"id":17,"name":"Train ID","value":"176-06"},{"id":16,"name":"Locomotive ID","value":"4001"},{"id":130,"name":"Impact","value":""},{"id":150,"name":"Time of Event (Mountain Time)","value":"14:40:16"},{"id":151,"name":"Denver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x14ac:dyDescent="0.25">
      <c r="A89" s="39" t="s">
        <v>438</v>
      </c>
      <c r="B89" s="7">
        <v>4042</v>
      </c>
      <c r="C89" s="24" t="s">
        <v>112</v>
      </c>
      <c r="D89" s="24" t="s">
        <v>278</v>
      </c>
      <c r="E89" s="15">
        <v>42619.552025462966</v>
      </c>
      <c r="F89" s="15">
        <v>42619.553287037037</v>
      </c>
      <c r="G89" s="7">
        <v>1</v>
      </c>
      <c r="H89" s="15" t="s">
        <v>598</v>
      </c>
      <c r="I89" s="15">
        <v>42619.583819444444</v>
      </c>
      <c r="J89" s="7">
        <v>0</v>
      </c>
      <c r="K89" s="132" t="str">
        <f t="shared" si="23"/>
        <v>4041/4042</v>
      </c>
      <c r="L89" s="24" t="e">
        <f>VLOOKUP(A89,'Trips&amp;Operators'!$C$1:$E$10000,3,FALSE)</f>
        <v>#N/A</v>
      </c>
      <c r="M89" s="6">
        <f t="shared" si="24"/>
        <v>3.0532407407008577E-2</v>
      </c>
      <c r="N89" s="7">
        <f t="shared" si="21"/>
        <v>43.966666666092351</v>
      </c>
      <c r="O89" s="7"/>
      <c r="P89" s="7"/>
      <c r="Q89" s="25"/>
      <c r="R89" s="25"/>
      <c r="S89" s="37">
        <f t="shared" si="25"/>
        <v>1</v>
      </c>
      <c r="T89" s="52" t="str">
        <f t="shared" si="26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12:14:55-0600',mode:absolute,to:'2016-09-06 15:00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89" s="54" t="str">
        <f t="shared" si="28"/>
        <v>N</v>
      </c>
      <c r="X89" s="120">
        <f t="shared" si="22"/>
        <v>1</v>
      </c>
      <c r="Y89" s="69">
        <f t="shared" si="29"/>
        <v>4.4600000000000001E-2</v>
      </c>
      <c r="Z89" s="69">
        <f t="shared" si="30"/>
        <v>23.3309</v>
      </c>
      <c r="AA89" s="69">
        <f t="shared" si="31"/>
        <v>23.286300000000001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32"/>
        <v>0177-06</v>
      </c>
      <c r="AE89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89" s="96" t="str">
        <f t="shared" si="34"/>
        <v>"C:\Program Files (x86)\AstroGrep\AstroGrep.exe" /spath="%USERPROFILE%\AppData\Local\Temp\OnboardLogs" /stypes="*4042*20160906*" /stext=" 20:.+((SYSTEM_STATE.+slice.+state.+changed )|(ment ac)|(system.+state.+changed )|(\|lc)|(penalty)|(\[timeout)|(PRM\|1\|D)|(kpr)|(kdp))" /e /r /s</v>
      </c>
      <c r="AG89" s="1" t="str">
        <f t="shared" si="35"/>
        <v>EC</v>
      </c>
      <c r="AH89" s="100" t="str">
        <f t="shared" si="36"/>
        <v>"%USERPROFILE%\Documents\GitHub\eaglep3\Utilities\RefineRTDCRunTimes.py" --tripid 177-06 --locoid 4042 --swversion DE.1.0.7.0 --startMP 204:446 --initTime 2016-09-06T13:14:55 --startdatetime 2016-09-06T13:16:44 --delay 1 --endMP 204:233309 --enddatetime 2016-09-06T14:00:42 --enforcementcount 0 &gt;&gt;C:\Users\stu\Documents\GitHub\eaglep3-reporting\EC\2016-09-06-refined-times.txt</v>
      </c>
      <c r="AI89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{"issue":{"subject":"","project_id":79,"tracker_id":40,"status_id":1,"priority_id":2,"assigned_to_id":23,"start_date":"2016-09-06","description":"","custom_fields":[{"id":1,"name":"Subdivision","value":"EC"},{"id":4,"name":"Milepost","value":"23.2863"},{"id":17,"name":"Train ID","value":"177-06"},{"id":16,"name":"Locomotive ID","value":"4042"},{"id":130,"name":"Impact","value":""},{"id":150,"name":"Time of Event (Mountain Time)","value":"14:00:42"},{"id":151,"name":"Denver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23" customFormat="1" x14ac:dyDescent="0.25">
      <c r="A90" s="39" t="s">
        <v>446</v>
      </c>
      <c r="B90" s="7">
        <v>4041</v>
      </c>
      <c r="C90" s="24" t="s">
        <v>112</v>
      </c>
      <c r="D90" s="24" t="s">
        <v>599</v>
      </c>
      <c r="E90" s="15">
        <v>42619.588113425925</v>
      </c>
      <c r="F90" s="15">
        <v>42619.591238425928</v>
      </c>
      <c r="G90" s="7">
        <v>1</v>
      </c>
      <c r="H90" s="15" t="s">
        <v>296</v>
      </c>
      <c r="I90" s="15">
        <v>42619.619155092594</v>
      </c>
      <c r="J90" s="7">
        <v>0</v>
      </c>
      <c r="K90" s="132" t="str">
        <f t="shared" si="23"/>
        <v>4041/4042</v>
      </c>
      <c r="L90" s="24" t="e">
        <f>VLOOKUP(A90,'Trips&amp;Operators'!$C$1:$E$10000,3,FALSE)</f>
        <v>#N/A</v>
      </c>
      <c r="M90" s="6">
        <f t="shared" si="24"/>
        <v>2.7916666665987577E-2</v>
      </c>
      <c r="N90" s="7">
        <f t="shared" si="21"/>
        <v>40.199999999022111</v>
      </c>
      <c r="O90" s="7"/>
      <c r="P90" s="7"/>
      <c r="Q90" s="25"/>
      <c r="R90" s="25"/>
      <c r="S90" s="37">
        <f t="shared" si="25"/>
        <v>1</v>
      </c>
      <c r="T90" s="52" t="str">
        <f t="shared" si="26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13:06:53-0600',mode:absolute,to:'2016-09-06 15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90" s="54" t="str">
        <f t="shared" si="28"/>
        <v>N</v>
      </c>
      <c r="X90" s="120">
        <f t="shared" si="22"/>
        <v>1</v>
      </c>
      <c r="Y90" s="69">
        <f t="shared" si="29"/>
        <v>23.2973</v>
      </c>
      <c r="Z90" s="69">
        <f t="shared" si="30"/>
        <v>1.6500000000000001E-2</v>
      </c>
      <c r="AA90" s="69">
        <f t="shared" si="31"/>
        <v>23.280799999999999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32"/>
        <v>0178-06</v>
      </c>
      <c r="AE90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90" s="96" t="str">
        <f t="shared" si="34"/>
        <v>"C:\Program Files (x86)\AstroGrep\AstroGrep.exe" /spath="%USERPROFILE%\AppData\Local\Temp\OnboardLogs" /stypes="*4041*20160906*" /stext=" 20:.+((SYSTEM_STATE.+slice.+state.+changed )|(ment ac)|(system.+state.+changed )|(\|lc)|(penalty)|(\[timeout)|(PRM\|1\|D)|(kpr)|(kdp))" /e /r /s</v>
      </c>
      <c r="AG90" s="1" t="str">
        <f t="shared" si="35"/>
        <v>EC</v>
      </c>
      <c r="AH90" s="100" t="str">
        <f t="shared" si="36"/>
        <v>"%USERPROFILE%\Documents\GitHub\eaglep3\Utilities\RefineRTDCRunTimes.py" --tripid 178-06 --locoid 4041 --swversion DE.1.0.7.0 --startMP 204:232973 --initTime 2016-09-06T14:06:53 --startdatetime 2016-09-06T14:11:23 --delay 1 --endMP 204:165 --enddatetime 2016-09-06T14:51:35 --enforcementcount 0 &gt;&gt;C:\Users\stu\Documents\GitHub\eaglep3-reporting\EC\2016-09-06-refined-times.txt</v>
      </c>
      <c r="AI90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{"issue":{"subject":"","project_id":79,"tracker_id":40,"status_id":1,"priority_id":2,"assigned_to_id":23,"start_date":"2016-09-06","description":"","custom_fields":[{"id":1,"name":"Subdivision","value":"EC"},{"id":4,"name":"Milepost","value":"23.2808"},{"id":17,"name":"Train ID","value":"178-06"},{"id":16,"name":"Locomotive ID","value":"4041"},{"id":130,"name":"Impact","value":""},{"id":150,"name":"Time of Event (Mountain Time)","value":"14:51:35"},{"id":151,"name":"Denver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x14ac:dyDescent="0.25">
      <c r="A91" s="39" t="s">
        <v>440</v>
      </c>
      <c r="B91" s="7">
        <v>4027</v>
      </c>
      <c r="C91" s="24" t="s">
        <v>112</v>
      </c>
      <c r="D91" s="24" t="s">
        <v>235</v>
      </c>
      <c r="E91" s="15">
        <v>42619.557326388887</v>
      </c>
      <c r="F91" s="15">
        <v>42619.562650462962</v>
      </c>
      <c r="G91" s="7">
        <v>1</v>
      </c>
      <c r="H91" s="15" t="s">
        <v>159</v>
      </c>
      <c r="I91" s="15">
        <v>42619.590613425928</v>
      </c>
      <c r="J91" s="7">
        <v>0</v>
      </c>
      <c r="K91" s="132" t="str">
        <f t="shared" si="23"/>
        <v>4027/4028</v>
      </c>
      <c r="L91" s="24" t="e">
        <f>VLOOKUP(A91,'Trips&amp;Operators'!$C$1:$E$10000,3,FALSE)</f>
        <v>#N/A</v>
      </c>
      <c r="M91" s="6">
        <f t="shared" si="24"/>
        <v>2.7962962965830229E-2</v>
      </c>
      <c r="N91" s="7">
        <f t="shared" si="21"/>
        <v>40.26666667079553</v>
      </c>
      <c r="O91" s="7"/>
      <c r="P91" s="7"/>
      <c r="Q91" s="25"/>
      <c r="R91" s="25"/>
      <c r="S91" s="37">
        <f t="shared" si="25"/>
        <v>1</v>
      </c>
      <c r="T91" s="52" t="str">
        <f t="shared" si="26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12:22:33-0600',mode:absolute,to:'2016-09-06 15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91" s="54" t="str">
        <f t="shared" si="28"/>
        <v>N</v>
      </c>
      <c r="X91" s="120">
        <f t="shared" si="22"/>
        <v>1</v>
      </c>
      <c r="Y91" s="69">
        <f t="shared" si="29"/>
        <v>4.6399999999999997E-2</v>
      </c>
      <c r="Z91" s="69">
        <f t="shared" si="30"/>
        <v>23.3293</v>
      </c>
      <c r="AA91" s="69">
        <f t="shared" si="31"/>
        <v>23.282900000000001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32"/>
        <v>0179-06</v>
      </c>
      <c r="AE91" s="99" t="str">
        <f t="shared" si="33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91" s="96" t="str">
        <f t="shared" si="34"/>
        <v>"C:\Program Files (x86)\AstroGrep\AstroGrep.exe" /spath="%USERPROFILE%\AppData\Local\Temp\OnboardLogs" /stypes="*4027*20160906*" /stext=" 20:.+((SYSTEM_STATE.+slice.+state.+changed )|(ment ac)|(system.+state.+changed )|(\|lc)|(penalty)|(\[timeout)|(PRM\|1\|D)|(kpr)|(kdp))" /e /r /s</v>
      </c>
      <c r="AG91" s="1" t="str">
        <f t="shared" si="35"/>
        <v>EC</v>
      </c>
      <c r="AH91" s="100" t="str">
        <f t="shared" si="36"/>
        <v>"%USERPROFILE%\Documents\GitHub\eaglep3\Utilities\RefineRTDCRunTimes.py" --tripid 179-06 --locoid 4027 --swversion DE.1.0.7.0 --startMP 204:464 --initTime 2016-09-06T13:22:33 --startdatetime 2016-09-06T13:30:13 --delay 1 --endMP 204:233293 --enddatetime 2016-09-06T14:10:29 --enforcementcount 0 &gt;&gt;C:\Users\stu\Documents\GitHub\eaglep3-reporting\EC\2016-09-06-refined-times.txt</v>
      </c>
      <c r="AI91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{"issue":{"subject":"","project_id":79,"tracker_id":40,"status_id":1,"priority_id":2,"assigned_to_id":23,"start_date":"2016-09-06","description":"","custom_fields":[{"id":1,"name":"Subdivision","value":"EC"},{"id":4,"name":"Milepost","value":"23.2829"},{"id":17,"name":"Train ID","value":"179-06"},{"id":16,"name":"Locomotive ID","value":"4027"},{"id":130,"name":"Impact","value":""},{"id":150,"name":"Time of Event (Mountain Time)","value":"14:10:29"},{"id":151,"name":"Denver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x14ac:dyDescent="0.25">
      <c r="A92" s="39" t="s">
        <v>449</v>
      </c>
      <c r="B92" s="7">
        <v>4028</v>
      </c>
      <c r="C92" s="24" t="s">
        <v>112</v>
      </c>
      <c r="D92" s="24" t="s">
        <v>600</v>
      </c>
      <c r="E92" s="15">
        <v>42619.596655092595</v>
      </c>
      <c r="F92" s="15">
        <v>42619.601539351854</v>
      </c>
      <c r="G92" s="7">
        <v>1</v>
      </c>
      <c r="H92" s="15" t="s">
        <v>234</v>
      </c>
      <c r="I92" s="15">
        <v>42619.630798611113</v>
      </c>
      <c r="J92" s="7">
        <v>0</v>
      </c>
      <c r="K92" s="132" t="str">
        <f t="shared" si="23"/>
        <v>4027/4028</v>
      </c>
      <c r="L92" s="24" t="e">
        <f>VLOOKUP(A92,'Trips&amp;Operators'!$C$1:$E$10000,3,FALSE)</f>
        <v>#N/A</v>
      </c>
      <c r="M92" s="6">
        <f t="shared" si="24"/>
        <v>2.9259259259561077E-2</v>
      </c>
      <c r="N92" s="7">
        <f t="shared" si="21"/>
        <v>42.133333333767951</v>
      </c>
      <c r="O92" s="7"/>
      <c r="P92" s="7"/>
      <c r="Q92" s="25"/>
      <c r="R92" s="25"/>
      <c r="S92" s="37">
        <f t="shared" si="25"/>
        <v>1</v>
      </c>
      <c r="T92" s="52" t="str">
        <f t="shared" si="26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13:19:11-0600',mode:absolute,to:'2016-09-06 16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92" s="54" t="str">
        <f t="shared" si="28"/>
        <v>N</v>
      </c>
      <c r="X92" s="120">
        <f t="shared" si="22"/>
        <v>1</v>
      </c>
      <c r="Y92" s="69">
        <f t="shared" si="29"/>
        <v>23.298100000000002</v>
      </c>
      <c r="Z92" s="69">
        <f t="shared" si="30"/>
        <v>1.3599999999999999E-2</v>
      </c>
      <c r="AA92" s="69">
        <f t="shared" si="31"/>
        <v>23.284500000000001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32"/>
        <v>0180-06</v>
      </c>
      <c r="AE92" s="99" t="str">
        <f t="shared" si="33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92" s="96" t="str">
        <f t="shared" si="34"/>
        <v>"C:\Program Files (x86)\AstroGrep\AstroGrep.exe" /spath="%USERPROFILE%\AppData\Local\Temp\OnboardLogs" /stypes="*4028*20160906*" /stext=" 21:.+((SYSTEM_STATE.+slice.+state.+changed )|(ment ac)|(system.+state.+changed )|(\|lc)|(penalty)|(\[timeout)|(PRM\|1\|D)|(kpr)|(kdp))" /e /r /s</v>
      </c>
      <c r="AG92" s="1" t="str">
        <f t="shared" si="35"/>
        <v>EC</v>
      </c>
      <c r="AH92" s="100" t="str">
        <f t="shared" si="36"/>
        <v>"%USERPROFILE%\Documents\GitHub\eaglep3\Utilities\RefineRTDCRunTimes.py" --tripid 180-06 --locoid 4028 --swversion DE.1.0.7.0 --startMP 204:232981 --initTime 2016-09-06T14:19:11 --startdatetime 2016-09-06T14:26:13 --delay 1 --endMP 204:136 --enddatetime 2016-09-06T15:08:21 --enforcementcount 0 &gt;&gt;C:\Users\stu\Documents\GitHub\eaglep3-reporting\EC\2016-09-06-refined-times.txt</v>
      </c>
      <c r="AI92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{"issue":{"subject":"","project_id":79,"tracker_id":40,"status_id":1,"priority_id":2,"assigned_to_id":23,"start_date":"2016-09-06","description":"","custom_fields":[{"id":1,"name":"Subdivision","value":"EC"},{"id":4,"name":"Milepost","value":"23.2845"},{"id":17,"name":"Train ID","value":"180-06"},{"id":16,"name":"Locomotive ID","value":"4028"},{"id":130,"name":"Impact","value":""},{"id":150,"name":"Time of Event (Mountain Time)","value":"15:08:21"},{"id":151,"name":"Denver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x14ac:dyDescent="0.25">
      <c r="A93" s="39" t="s">
        <v>443</v>
      </c>
      <c r="B93" s="7">
        <v>4038</v>
      </c>
      <c r="C93" s="24" t="s">
        <v>112</v>
      </c>
      <c r="D93" s="24" t="s">
        <v>601</v>
      </c>
      <c r="E93" s="15">
        <v>42619.571504629632</v>
      </c>
      <c r="F93" s="15">
        <v>42619.573321759257</v>
      </c>
      <c r="G93" s="7">
        <v>1</v>
      </c>
      <c r="H93" s="15" t="s">
        <v>283</v>
      </c>
      <c r="I93" s="15">
        <v>42619.600613425922</v>
      </c>
      <c r="J93" s="7">
        <v>0</v>
      </c>
      <c r="K93" s="132" t="str">
        <f t="shared" si="23"/>
        <v>4037/4038</v>
      </c>
      <c r="L93" s="24" t="e">
        <f>VLOOKUP(A93,'Trips&amp;Operators'!$C$1:$E$10000,3,FALSE)</f>
        <v>#N/A</v>
      </c>
      <c r="M93" s="6">
        <f t="shared" si="24"/>
        <v>2.7291666665405501E-2</v>
      </c>
      <c r="N93" s="7">
        <f t="shared" si="21"/>
        <v>39.299999998183921</v>
      </c>
      <c r="O93" s="7"/>
      <c r="P93" s="7"/>
      <c r="Q93" s="25"/>
      <c r="R93" s="25"/>
      <c r="S93" s="37">
        <f t="shared" si="25"/>
        <v>1</v>
      </c>
      <c r="T93" s="52" t="str">
        <f t="shared" si="26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12:42:58-0600',mode:absolute,to:'2016-09-06 15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93" s="54" t="str">
        <f t="shared" si="28"/>
        <v>N</v>
      </c>
      <c r="X93" s="120">
        <f t="shared" si="22"/>
        <v>1</v>
      </c>
      <c r="Y93" s="69">
        <f t="shared" si="29"/>
        <v>4.82E-2</v>
      </c>
      <c r="Z93" s="69">
        <f t="shared" si="30"/>
        <v>23.328900000000001</v>
      </c>
      <c r="AA93" s="69">
        <f t="shared" si="31"/>
        <v>23.2807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32"/>
        <v>0181-06</v>
      </c>
      <c r="AE93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93" s="96" t="str">
        <f t="shared" si="34"/>
        <v>"C:\Program Files (x86)\AstroGrep\AstroGrep.exe" /spath="%USERPROFILE%\AppData\Local\Temp\OnboardLogs" /stypes="*4038*20160906*" /stext=" 20:.+((SYSTEM_STATE.+slice.+state.+changed )|(ment ac)|(system.+state.+changed )|(\|lc)|(penalty)|(\[timeout)|(PRM\|1\|D)|(kpr)|(kdp))" /e /r /s</v>
      </c>
      <c r="AG93" s="1" t="str">
        <f t="shared" si="35"/>
        <v>EC</v>
      </c>
      <c r="AH93" s="100" t="str">
        <f t="shared" si="36"/>
        <v>"%USERPROFILE%\Documents\GitHub\eaglep3\Utilities\RefineRTDCRunTimes.py" --tripid 181-06 --locoid 4038 --swversion DE.1.0.7.0 --startMP 204:482 --initTime 2016-09-06T13:42:58 --startdatetime 2016-09-06T13:45:35 --delay 1 --endMP 204:233289 --enddatetime 2016-09-06T14:24:53 --enforcementcount 0 &gt;&gt;C:\Users\stu\Documents\GitHub\eaglep3-reporting\EC\2016-09-06-refined-times.txt</v>
      </c>
      <c r="AI93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{"issue":{"subject":"","project_id":79,"tracker_id":40,"status_id":1,"priority_id":2,"assigned_to_id":23,"start_date":"2016-09-06","description":"","custom_fields":[{"id":1,"name":"Subdivision","value":"EC"},{"id":4,"name":"Milepost","value":"23.2807"},{"id":17,"name":"Train ID","value":"181-06"},{"id":16,"name":"Locomotive ID","value":"4038"},{"id":130,"name":"Impact","value":""},{"id":150,"name":"Time of Event (Mountain Time)","value":"14:24:53"},{"id":151,"name":"Denver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451</v>
      </c>
      <c r="B94" s="7">
        <v>4037</v>
      </c>
      <c r="C94" s="24" t="s">
        <v>112</v>
      </c>
      <c r="D94" s="24" t="s">
        <v>238</v>
      </c>
      <c r="E94" s="15">
        <v>42619.60738425926</v>
      </c>
      <c r="F94" s="15">
        <v>42619.612280092595</v>
      </c>
      <c r="G94" s="7">
        <v>1</v>
      </c>
      <c r="H94" s="15" t="s">
        <v>89</v>
      </c>
      <c r="I94" s="15">
        <v>42619.642939814818</v>
      </c>
      <c r="J94" s="7">
        <v>0</v>
      </c>
      <c r="K94" s="132" t="str">
        <f t="shared" si="23"/>
        <v>4037/4038</v>
      </c>
      <c r="L94" s="24" t="e">
        <f>VLOOKUP(A94,'Trips&amp;Operators'!$C$1:$E$10000,3,FALSE)</f>
        <v>#N/A</v>
      </c>
      <c r="M94" s="6">
        <f t="shared" si="24"/>
        <v>3.0659722222480923E-2</v>
      </c>
      <c r="N94" s="7">
        <f t="shared" si="21"/>
        <v>44.150000000372529</v>
      </c>
      <c r="O94" s="7"/>
      <c r="P94" s="7"/>
      <c r="Q94" s="25"/>
      <c r="R94" s="25"/>
      <c r="S94" s="37">
        <f t="shared" si="25"/>
        <v>1</v>
      </c>
      <c r="T94" s="52" t="str">
        <f t="shared" si="26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13:34:38-0600',mode:absolute,to:'2016-09-06 16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94" s="54" t="str">
        <f t="shared" si="28"/>
        <v>N</v>
      </c>
      <c r="X94" s="120">
        <f t="shared" si="22"/>
        <v>1</v>
      </c>
      <c r="Y94" s="69">
        <f t="shared" si="29"/>
        <v>23.2986</v>
      </c>
      <c r="Z94" s="69">
        <f t="shared" si="30"/>
        <v>1.43E-2</v>
      </c>
      <c r="AA94" s="69">
        <f t="shared" si="31"/>
        <v>23.284300000000002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32"/>
        <v>0182-06</v>
      </c>
      <c r="AE94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94" s="96" t="str">
        <f t="shared" si="34"/>
        <v>"C:\Program Files (x86)\AstroGrep\AstroGrep.exe" /spath="%USERPROFILE%\AppData\Local\Temp\OnboardLogs" /stypes="*4037*20160906*" /stext=" 21:.+((SYSTEM_STATE.+slice.+state.+changed )|(ment ac)|(system.+state.+changed )|(\|lc)|(penalty)|(\[timeout)|(PRM\|1\|D)|(kpr)|(kdp))" /e /r /s</v>
      </c>
      <c r="AG94" s="1" t="str">
        <f t="shared" si="35"/>
        <v>EC</v>
      </c>
      <c r="AH94" s="100" t="str">
        <f t="shared" si="36"/>
        <v>"%USERPROFILE%\Documents\GitHub\eaglep3\Utilities\RefineRTDCRunTimes.py" --tripid 182-06 --locoid 4037 --swversion DE.1.0.7.0 --startMP 204:232986 --initTime 2016-09-06T14:34:38 --startdatetime 2016-09-06T14:41:41 --delay 1 --endMP 204:143 --enddatetime 2016-09-06T15:25:50 --enforcementcount 0 &gt;&gt;C:\Users\stu\Documents\GitHub\eaglep3-reporting\EC\2016-09-06-refined-times.txt</v>
      </c>
      <c r="AI94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{"issue":{"subject":"","project_id":79,"tracker_id":40,"status_id":1,"priority_id":2,"assigned_to_id":23,"start_date":"2016-09-06","description":"","custom_fields":[{"id":1,"name":"Subdivision","value":"EC"},{"id":4,"name":"Milepost","value":"23.2843"},{"id":17,"name":"Train ID","value":"182-06"},{"id":16,"name":"Locomotive ID","value":"4037"},{"id":130,"name":"Impact","value":""},{"id":150,"name":"Time of Event (Mountain Time)","value":"15:25:50"},{"id":151,"name":"Denver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x14ac:dyDescent="0.25">
      <c r="A95" s="39" t="s">
        <v>445</v>
      </c>
      <c r="B95" s="7">
        <v>4025</v>
      </c>
      <c r="C95" s="24" t="s">
        <v>112</v>
      </c>
      <c r="D95" s="24" t="s">
        <v>601</v>
      </c>
      <c r="E95" s="15">
        <v>42619.582175925927</v>
      </c>
      <c r="F95" s="15">
        <v>42619.584097222221</v>
      </c>
      <c r="G95" s="7">
        <v>1</v>
      </c>
      <c r="H95" s="15" t="s">
        <v>602</v>
      </c>
      <c r="I95" s="15">
        <v>42619.610798611109</v>
      </c>
      <c r="J95" s="7">
        <v>0</v>
      </c>
      <c r="K95" s="132" t="str">
        <f t="shared" si="23"/>
        <v>4025/4026</v>
      </c>
      <c r="L95" s="24" t="e">
        <f>VLOOKUP(A95,'Trips&amp;Operators'!$C$1:$E$10000,3,FALSE)</f>
        <v>#N/A</v>
      </c>
      <c r="M95" s="6">
        <f t="shared" si="24"/>
        <v>2.6701388887886424E-2</v>
      </c>
      <c r="N95" s="7">
        <f t="shared" ref="N95:N126" si="38">24*60*SUM($M95:$M95)</f>
        <v>38.44999999855645</v>
      </c>
      <c r="O95" s="7"/>
      <c r="P95" s="7"/>
      <c r="Q95" s="25"/>
      <c r="R95" s="25"/>
      <c r="S95" s="37">
        <f t="shared" si="25"/>
        <v>1</v>
      </c>
      <c r="T95" s="52" t="str">
        <f t="shared" si="26"/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12:58:20-0600',mode:absolute,to:'2016-09-06 15:39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95" s="54" t="str">
        <f t="shared" si="28"/>
        <v>N</v>
      </c>
      <c r="X95" s="120">
        <f t="shared" si="22"/>
        <v>1</v>
      </c>
      <c r="Y95" s="69">
        <f t="shared" si="29"/>
        <v>4.82E-2</v>
      </c>
      <c r="Z95" s="69">
        <f t="shared" si="30"/>
        <v>23.333100000000002</v>
      </c>
      <c r="AA95" s="69">
        <f t="shared" si="31"/>
        <v>23.2849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32"/>
        <v>0183-06</v>
      </c>
      <c r="AE95" s="99" t="str">
        <f t="shared" si="33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95" s="96" t="str">
        <f t="shared" si="34"/>
        <v>"C:\Program Files (x86)\AstroGrep\AstroGrep.exe" /spath="%USERPROFILE%\AppData\Local\Temp\OnboardLogs" /stypes="*4025*20160906*" /stext=" 20:.+((SYSTEM_STATE.+slice.+state.+changed )|(ment ac)|(system.+state.+changed )|(\|lc)|(penalty)|(\[timeout)|(PRM\|1\|D)|(kpr)|(kdp))" /e /r /s</v>
      </c>
      <c r="AG95" s="1" t="str">
        <f t="shared" si="35"/>
        <v>EC</v>
      </c>
      <c r="AH95" s="100" t="str">
        <f t="shared" si="36"/>
        <v>"%USERPROFILE%\Documents\GitHub\eaglep3\Utilities\RefineRTDCRunTimes.py" --tripid 183-06 --locoid 4025 --swversion DE.1.0.7.0 --startMP 204:482 --initTime 2016-09-06T13:58:20 --startdatetime 2016-09-06T14:01:06 --delay 1 --endMP 204:233331 --enddatetime 2016-09-06T14:39:33 --enforcementcount 0 &gt;&gt;C:\Users\stu\Documents\GitHub\eaglep3-reporting\EC\2016-09-06-refined-times.txt</v>
      </c>
      <c r="AI95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{"issue":{"subject":"","project_id":79,"tracker_id":40,"status_id":1,"priority_id":2,"assigned_to_id":23,"start_date":"2016-09-06","description":"","custom_fields":[{"id":1,"name":"Subdivision","value":"EC"},{"id":4,"name":"Milepost","value":"23.2849"},{"id":17,"name":"Train ID","value":"183-06"},{"id":16,"name":"Locomotive ID","value":"4025"},{"id":130,"name":"Impact","value":""},{"id":150,"name":"Time of Event (Mountain Time)","value":"14:39:33"},{"id":151,"name":"Denver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454</v>
      </c>
      <c r="B96" s="7">
        <v>4026</v>
      </c>
      <c r="C96" s="24" t="s">
        <v>112</v>
      </c>
      <c r="D96" s="24" t="s">
        <v>603</v>
      </c>
      <c r="E96" s="15">
        <v>42619.619317129633</v>
      </c>
      <c r="F96" s="15">
        <v>42619.62263888889</v>
      </c>
      <c r="G96" s="7">
        <v>1</v>
      </c>
      <c r="H96" s="15" t="s">
        <v>564</v>
      </c>
      <c r="I96" s="15">
        <v>42619.651712962965</v>
      </c>
      <c r="J96" s="7">
        <v>0</v>
      </c>
      <c r="K96" s="132" t="str">
        <f t="shared" si="23"/>
        <v>4025/4026</v>
      </c>
      <c r="L96" s="24" t="e">
        <f>VLOOKUP(A96,'Trips&amp;Operators'!$C$1:$E$10000,3,FALSE)</f>
        <v>#N/A</v>
      </c>
      <c r="M96" s="6">
        <f t="shared" si="24"/>
        <v>2.9074074074742384E-2</v>
      </c>
      <c r="N96" s="7">
        <f t="shared" si="38"/>
        <v>41.866666667629033</v>
      </c>
      <c r="O96" s="7"/>
      <c r="P96" s="7"/>
      <c r="Q96" s="25"/>
      <c r="R96" s="25"/>
      <c r="S96" s="37">
        <f t="shared" si="25"/>
        <v>1</v>
      </c>
      <c r="T96" s="52" t="str">
        <f t="shared" si="26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13:51:49-0600',mode:absolute,to:'2016-09-06 16:38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96" s="54" t="str">
        <f t="shared" si="28"/>
        <v>N</v>
      </c>
      <c r="X96" s="120">
        <f t="shared" si="22"/>
        <v>1</v>
      </c>
      <c r="Y96" s="69">
        <f t="shared" si="29"/>
        <v>23.300799999999999</v>
      </c>
      <c r="Z96" s="69">
        <f t="shared" si="30"/>
        <v>1.34E-2</v>
      </c>
      <c r="AA96" s="69">
        <f t="shared" si="31"/>
        <v>23.287399999999998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32"/>
        <v>0184-06</v>
      </c>
      <c r="AE96" s="99" t="str">
        <f t="shared" si="33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96" s="96" t="str">
        <f t="shared" si="34"/>
        <v>"C:\Program Files (x86)\AstroGrep\AstroGrep.exe" /spath="%USERPROFILE%\AppData\Local\Temp\OnboardLogs" /stypes="*4026*20160906*" /stext=" 21:.+((SYSTEM_STATE.+slice.+state.+changed )|(ment ac)|(system.+state.+changed )|(\|lc)|(penalty)|(\[timeout)|(PRM\|1\|D)|(kpr)|(kdp))" /e /r /s</v>
      </c>
      <c r="AG96" s="1" t="str">
        <f t="shared" si="35"/>
        <v>EC</v>
      </c>
      <c r="AH96" s="100" t="str">
        <f t="shared" si="36"/>
        <v>"%USERPROFILE%\Documents\GitHub\eaglep3\Utilities\RefineRTDCRunTimes.py" --tripid 184-06 --locoid 4026 --swversion DE.1.0.7.0 --startMP 204:233008 --initTime 2016-09-06T14:51:49 --startdatetime 2016-09-06T14:56:36 --delay 1 --endMP 204:134 --enddatetime 2016-09-06T15:38:28 --enforcementcount 0 &gt;&gt;C:\Users\stu\Documents\GitHub\eaglep3-reporting\EC\2016-09-06-refined-times.txt</v>
      </c>
      <c r="AI96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{"issue":{"subject":"","project_id":79,"tracker_id":40,"status_id":1,"priority_id":2,"assigned_to_id":23,"start_date":"2016-09-06","description":"","custom_fields":[{"id":1,"name":"Subdivision","value":"EC"},{"id":4,"name":"Milepost","value":"23.2874"},{"id":17,"name":"Train ID","value":"184-06"},{"id":16,"name":"Locomotive ID","value":"4026"},{"id":130,"name":"Impact","value":""},{"id":150,"name":"Time of Event (Mountain Time)","value":"15:38:28"},{"id":151,"name":"Denver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447</v>
      </c>
      <c r="B97" s="7">
        <v>4029</v>
      </c>
      <c r="C97" s="24" t="s">
        <v>112</v>
      </c>
      <c r="D97" s="24" t="s">
        <v>124</v>
      </c>
      <c r="E97" s="15">
        <v>42619.588553240741</v>
      </c>
      <c r="F97" s="15">
        <v>42619.593877314815</v>
      </c>
      <c r="G97" s="7">
        <v>1</v>
      </c>
      <c r="H97" s="15" t="s">
        <v>210</v>
      </c>
      <c r="I97" s="15">
        <v>42619.621550925927</v>
      </c>
      <c r="J97" s="7">
        <v>0</v>
      </c>
      <c r="K97" s="132" t="str">
        <f t="shared" si="23"/>
        <v>4029/4030</v>
      </c>
      <c r="L97" s="24" t="e">
        <f>VLOOKUP(A97,'Trips&amp;Operators'!$C$1:$E$10000,3,FALSE)</f>
        <v>#N/A</v>
      </c>
      <c r="M97" s="6">
        <f t="shared" si="24"/>
        <v>2.7673611111822538E-2</v>
      </c>
      <c r="N97" s="7">
        <f t="shared" si="38"/>
        <v>39.850000001024455</v>
      </c>
      <c r="O97" s="7"/>
      <c r="P97" s="7"/>
      <c r="Q97" s="25"/>
      <c r="R97" s="25"/>
      <c r="S97" s="37">
        <f t="shared" si="25"/>
        <v>1</v>
      </c>
      <c r="T97" s="52" t="str">
        <f t="shared" si="26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13:07:31-0600',mode:absolute,to:'2016-09-06 15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97" s="54" t="str">
        <f t="shared" si="28"/>
        <v>N</v>
      </c>
      <c r="X97" s="120">
        <f t="shared" ref="X97:X103" si="39">VALUE(LEFT(AD97,4))-VALUE(LEFT(AD96,4))</f>
        <v>1</v>
      </c>
      <c r="Y97" s="69">
        <f t="shared" si="29"/>
        <v>4.5499999999999999E-2</v>
      </c>
      <c r="Z97" s="69">
        <f t="shared" si="30"/>
        <v>23.329699999999999</v>
      </c>
      <c r="AA97" s="69">
        <f t="shared" si="31"/>
        <v>23.284199999999998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32"/>
        <v>0185-06</v>
      </c>
      <c r="AE97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97" s="96" t="str">
        <f t="shared" si="34"/>
        <v>"C:\Program Files (x86)\AstroGrep\AstroGrep.exe" /spath="%USERPROFILE%\AppData\Local\Temp\OnboardLogs" /stypes="*4029*20160906*" /stext=" 20:.+((SYSTEM_STATE.+slice.+state.+changed )|(ment ac)|(system.+state.+changed )|(\|lc)|(penalty)|(\[timeout)|(PRM\|1\|D)|(kpr)|(kdp))" /e /r /s</v>
      </c>
      <c r="AG97" s="1" t="str">
        <f t="shared" si="35"/>
        <v>EC</v>
      </c>
      <c r="AH97" s="100" t="str">
        <f t="shared" si="36"/>
        <v>"%USERPROFILE%\Documents\GitHub\eaglep3\Utilities\RefineRTDCRunTimes.py" --tripid 185-06 --locoid 4029 --swversion DE.1.0.7.0 --startMP 204:455 --initTime 2016-09-06T14:07:31 --startdatetime 2016-09-06T14:15:11 --delay 1 --endMP 204:233297 --enddatetime 2016-09-06T14:55:02 --enforcementcount 0 &gt;&gt;C:\Users\stu\Documents\GitHub\eaglep3-reporting\EC\2016-09-06-refined-times.txt</v>
      </c>
      <c r="AI97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{"issue":{"subject":"","project_id":79,"tracker_id":40,"status_id":1,"priority_id":2,"assigned_to_id":23,"start_date":"2016-09-06","description":"","custom_fields":[{"id":1,"name":"Subdivision","value":"EC"},{"id":4,"name":"Milepost","value":"23.2842"},{"id":17,"name":"Train ID","value":"185-06"},{"id":16,"name":"Locomotive ID","value":"4029"},{"id":130,"name":"Impact","value":""},{"id":150,"name":"Time of Event (Mountain Time)","value":"14:55:02"},{"id":151,"name":"Denver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456</v>
      </c>
      <c r="B98" s="7">
        <v>4030</v>
      </c>
      <c r="C98" s="24" t="s">
        <v>112</v>
      </c>
      <c r="D98" s="24" t="s">
        <v>290</v>
      </c>
      <c r="E98" s="15">
        <v>42619.624050925922</v>
      </c>
      <c r="F98" s="15">
        <v>42619.6328587963</v>
      </c>
      <c r="G98" s="7">
        <v>1</v>
      </c>
      <c r="H98" s="15" t="s">
        <v>597</v>
      </c>
      <c r="I98" s="15">
        <v>42619.661296296297</v>
      </c>
      <c r="J98" s="7">
        <v>0</v>
      </c>
      <c r="K98" s="132" t="str">
        <f t="shared" si="23"/>
        <v>4029/4030</v>
      </c>
      <c r="L98" s="24" t="e">
        <f>VLOOKUP(A98,'Trips&amp;Operators'!$C$1:$E$10000,3,FALSE)</f>
        <v>#N/A</v>
      </c>
      <c r="M98" s="6">
        <f t="shared" si="24"/>
        <v>2.8437499997380655E-2</v>
      </c>
      <c r="N98" s="7">
        <f t="shared" si="38"/>
        <v>40.949999996228144</v>
      </c>
      <c r="O98" s="7"/>
      <c r="P98" s="7"/>
      <c r="Q98" s="25"/>
      <c r="R98" s="25"/>
      <c r="S98" s="37">
        <f t="shared" si="25"/>
        <v>1</v>
      </c>
      <c r="T98" s="52" t="str">
        <f t="shared" si="26"/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13:58:38-0600',mode:absolute,to:'2016-09-06 16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98" s="54" t="str">
        <f t="shared" si="28"/>
        <v>N</v>
      </c>
      <c r="X98" s="120">
        <f t="shared" si="39"/>
        <v>1</v>
      </c>
      <c r="Y98" s="69">
        <f t="shared" si="29"/>
        <v>23.297499999999999</v>
      </c>
      <c r="Z98" s="69">
        <f t="shared" si="30"/>
        <v>1.3899999999999999E-2</v>
      </c>
      <c r="AA98" s="69">
        <f t="shared" si="31"/>
        <v>23.2836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32"/>
        <v>0186-06</v>
      </c>
      <c r="AE98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98" s="96" t="str">
        <f t="shared" si="34"/>
        <v>"C:\Program Files (x86)\AstroGrep\AstroGrep.exe" /spath="%USERPROFILE%\AppData\Local\Temp\OnboardLogs" /stypes="*4030*20160906*" /stext=" 21:.+((SYSTEM_STATE.+slice.+state.+changed )|(ment ac)|(system.+state.+changed )|(\|lc)|(penalty)|(\[timeout)|(PRM\|1\|D)|(kpr)|(kdp))" /e /r /s</v>
      </c>
      <c r="AG98" s="1" t="str">
        <f t="shared" si="35"/>
        <v>EC</v>
      </c>
      <c r="AH98" s="100" t="str">
        <f t="shared" si="36"/>
        <v>"%USERPROFILE%\Documents\GitHub\eaglep3\Utilities\RefineRTDCRunTimes.py" --tripid 186-06 --locoid 4030 --swversion DE.1.0.7.0 --startMP 204:232975 --initTime 2016-09-06T14:58:38 --startdatetime 2016-09-06T15:11:19 --delay 1 --endMP 204:139 --enddatetime 2016-09-06T15:52:16 --enforcementcount 0 &gt;&gt;C:\Users\stu\Documents\GitHub\eaglep3-reporting\EC\2016-09-06-refined-times.txt</v>
      </c>
      <c r="AI98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{"issue":{"subject":"","project_id":79,"tracker_id":40,"status_id":1,"priority_id":2,"assigned_to_id":23,"start_date":"2016-09-06","description":"","custom_fields":[{"id":1,"name":"Subdivision","value":"EC"},{"id":4,"name":"Milepost","value":"23.2836"},{"id":17,"name":"Train ID","value":"186-06"},{"id":16,"name":"Locomotive ID","value":"4030"},{"id":130,"name":"Impact","value":""},{"id":150,"name":"Time of Event (Mountain Time)","value":"15:52:16"},{"id":151,"name":"Denver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450</v>
      </c>
      <c r="B99" s="7">
        <v>4011</v>
      </c>
      <c r="C99" s="24" t="s">
        <v>112</v>
      </c>
      <c r="D99" s="24" t="s">
        <v>208</v>
      </c>
      <c r="E99" s="15">
        <v>42619.600902777776</v>
      </c>
      <c r="F99" s="15">
        <v>42619.604386574072</v>
      </c>
      <c r="G99" s="7">
        <v>1</v>
      </c>
      <c r="H99" s="15" t="s">
        <v>604</v>
      </c>
      <c r="I99" s="15">
        <v>42619.630057870374</v>
      </c>
      <c r="J99" s="7">
        <v>0</v>
      </c>
      <c r="K99" s="132" t="str">
        <f t="shared" si="23"/>
        <v>4011/4012</v>
      </c>
      <c r="L99" s="24" t="e">
        <f>VLOOKUP(A99,'Trips&amp;Operators'!$C$1:$E$10000,3,FALSE)</f>
        <v>#N/A</v>
      </c>
      <c r="M99" s="6">
        <f t="shared" si="24"/>
        <v>2.567129630187992E-2</v>
      </c>
      <c r="N99" s="7">
        <f t="shared" si="38"/>
        <v>36.966666674707085</v>
      </c>
      <c r="O99" s="7"/>
      <c r="P99" s="7"/>
      <c r="Q99" s="25"/>
      <c r="R99" s="25"/>
      <c r="S99" s="37">
        <f t="shared" si="25"/>
        <v>1</v>
      </c>
      <c r="T99" s="52" t="str">
        <f t="shared" si="26"/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13:25:18-0600',mode:absolute,to:'2016-09-06 16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99" s="54" t="str">
        <f t="shared" si="28"/>
        <v>N</v>
      </c>
      <c r="X99" s="120">
        <f t="shared" si="39"/>
        <v>1</v>
      </c>
      <c r="Y99" s="69">
        <f t="shared" si="29"/>
        <v>4.58E-2</v>
      </c>
      <c r="Z99" s="69">
        <f t="shared" si="30"/>
        <v>23.337399999999999</v>
      </c>
      <c r="AA99" s="69">
        <f t="shared" si="31"/>
        <v>23.291599999999999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32"/>
        <v>0187-06</v>
      </c>
      <c r="AE99" s="99" t="str">
        <f t="shared" si="33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99" s="96" t="str">
        <f t="shared" si="34"/>
        <v>"C:\Program Files (x86)\AstroGrep\AstroGrep.exe" /spath="%USERPROFILE%\AppData\Local\Temp\OnboardLogs" /stypes="*4011*20160906*" /stext=" 21:.+((SYSTEM_STATE.+slice.+state.+changed )|(ment ac)|(system.+state.+changed )|(\|lc)|(penalty)|(\[timeout)|(PRM\|1\|D)|(kpr)|(kdp))" /e /r /s</v>
      </c>
      <c r="AG99" s="1" t="str">
        <f t="shared" si="35"/>
        <v>EC</v>
      </c>
      <c r="AH99" s="100" t="str">
        <f t="shared" si="36"/>
        <v>"%USERPROFILE%\Documents\GitHub\eaglep3\Utilities\RefineRTDCRunTimes.py" --tripid 187-06 --locoid 4011 --swversion DE.1.0.7.0 --startMP 204:458 --initTime 2016-09-06T14:25:18 --startdatetime 2016-09-06T14:30:19 --delay 1 --endMP 204:233374 --enddatetime 2016-09-06T15:07:17 --enforcementcount 0 &gt;&gt;C:\Users\stu\Documents\GitHub\eaglep3-reporting\EC\2016-09-06-refined-times.txt</v>
      </c>
      <c r="AI99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{"issue":{"subject":"","project_id":79,"tracker_id":40,"status_id":1,"priority_id":2,"assigned_to_id":23,"start_date":"2016-09-06","description":"","custom_fields":[{"id":1,"name":"Subdivision","value":"EC"},{"id":4,"name":"Milepost","value":"23.2916"},{"id":17,"name":"Train ID","value":"187-06"},{"id":16,"name":"Locomotive ID","value":"4011"},{"id":130,"name":"Impact","value":""},{"id":150,"name":"Time of Event (Mountain Time)","value":"15:07:17"},{"id":151,"name":"Denver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460</v>
      </c>
      <c r="B100" s="7">
        <v>4012</v>
      </c>
      <c r="C100" s="24" t="s">
        <v>112</v>
      </c>
      <c r="D100" s="24" t="s">
        <v>605</v>
      </c>
      <c r="E100" s="15">
        <v>42619.638819444444</v>
      </c>
      <c r="F100" s="15">
        <v>42619.643692129626</v>
      </c>
      <c r="G100" s="7">
        <v>1</v>
      </c>
      <c r="H100" s="15" t="s">
        <v>215</v>
      </c>
      <c r="I100" s="15">
        <v>42619.670451388891</v>
      </c>
      <c r="J100" s="7">
        <v>0</v>
      </c>
      <c r="K100" s="132" t="str">
        <f t="shared" si="23"/>
        <v>4011/4012</v>
      </c>
      <c r="L100" s="24" t="e">
        <f>VLOOKUP(A100,'Trips&amp;Operators'!$C$1:$E$10000,3,FALSE)</f>
        <v>#N/A</v>
      </c>
      <c r="M100" s="6">
        <f t="shared" si="24"/>
        <v>2.6759259264508728E-2</v>
      </c>
      <c r="N100" s="7">
        <f t="shared" si="38"/>
        <v>38.533333340892568</v>
      </c>
      <c r="O100" s="7"/>
      <c r="P100" s="7"/>
      <c r="Q100" s="25"/>
      <c r="R100" s="25"/>
      <c r="S100" s="37">
        <f t="shared" si="25"/>
        <v>1</v>
      </c>
      <c r="T100" s="52" t="str">
        <f t="shared" si="26"/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14:19:54-0600',mode:absolute,to:'2016-09-06 17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00" s="54" t="str">
        <f t="shared" si="28"/>
        <v>N</v>
      </c>
      <c r="X100" s="120">
        <f t="shared" si="39"/>
        <v>1</v>
      </c>
      <c r="Y100" s="69">
        <f t="shared" si="29"/>
        <v>23.305499999999999</v>
      </c>
      <c r="Z100" s="69">
        <f t="shared" si="30"/>
        <v>1.6299999999999999E-2</v>
      </c>
      <c r="AA100" s="69">
        <f t="shared" si="31"/>
        <v>23.289199999999997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32"/>
        <v>0188-06</v>
      </c>
      <c r="AE100" s="99" t="str">
        <f t="shared" si="33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100" s="96" t="str">
        <f t="shared" si="34"/>
        <v>"C:\Program Files (x86)\AstroGrep\AstroGrep.exe" /spath="%USERPROFILE%\AppData\Local\Temp\OnboardLogs" /stypes="*4012*20160906*" /stext=" 22:.+((SYSTEM_STATE.+slice.+state.+changed )|(ment ac)|(system.+state.+changed )|(\|lc)|(penalty)|(\[timeout)|(PRM\|1\|D)|(kpr)|(kdp))" /e /r /s</v>
      </c>
      <c r="AG100" s="1" t="str">
        <f t="shared" si="35"/>
        <v>EC</v>
      </c>
      <c r="AH100" s="100" t="str">
        <f t="shared" si="36"/>
        <v>"%USERPROFILE%\Documents\GitHub\eaglep3\Utilities\RefineRTDCRunTimes.py" --tripid 188-06 --locoid 4012 --swversion DE.1.0.7.0 --startMP 204:233055 --initTime 2016-09-06T15:19:54 --startdatetime 2016-09-06T15:26:55 --delay 1 --endMP 204:163 --enddatetime 2016-09-06T16:05:27 --enforcementcount 0 &gt;&gt;C:\Users\stu\Documents\GitHub\eaglep3-reporting\EC\2016-09-06-refined-times.txt</v>
      </c>
      <c r="AI100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{"issue":{"subject":"","project_id":79,"tracker_id":40,"status_id":1,"priority_id":2,"assigned_to_id":23,"start_date":"2016-09-06","description":"","custom_fields":[{"id":1,"name":"Subdivision","value":"EC"},{"id":4,"name":"Milepost","value":"23.2892"},{"id":17,"name":"Train ID","value":"188-06"},{"id":16,"name":"Locomotive ID","value":"4012"},{"id":130,"name":"Impact","value":""},{"id":150,"name":"Time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453</v>
      </c>
      <c r="B101" s="7">
        <v>4002</v>
      </c>
      <c r="C101" s="24" t="s">
        <v>112</v>
      </c>
      <c r="D101" s="24" t="s">
        <v>208</v>
      </c>
      <c r="E101" s="15">
        <v>42619.612627314818</v>
      </c>
      <c r="F101" s="15">
        <v>42619.615115740744</v>
      </c>
      <c r="G101" s="7">
        <v>1</v>
      </c>
      <c r="H101" s="15" t="s">
        <v>588</v>
      </c>
      <c r="I101" s="15">
        <v>42619.639444444445</v>
      </c>
      <c r="J101" s="7">
        <v>0</v>
      </c>
      <c r="K101" s="132" t="str">
        <f t="shared" si="23"/>
        <v>4001/4002</v>
      </c>
      <c r="L101" s="24" t="e">
        <f>VLOOKUP(A101,'Trips&amp;Operators'!$C$1:$E$10000,3,FALSE)</f>
        <v>#N/A</v>
      </c>
      <c r="M101" s="6">
        <f t="shared" si="24"/>
        <v>2.4328703701030463E-2</v>
      </c>
      <c r="N101" s="7">
        <f t="shared" si="38"/>
        <v>35.033333329483867</v>
      </c>
      <c r="O101" s="7"/>
      <c r="P101" s="7"/>
      <c r="Q101" s="25"/>
      <c r="R101" s="25"/>
      <c r="S101" s="37">
        <f t="shared" si="25"/>
        <v>1</v>
      </c>
      <c r="T101" s="52" t="str">
        <f t="shared" si="26"/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13:42:11-0600',mode:absolute,to:'2016-09-06 16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01" s="54" t="str">
        <f t="shared" si="28"/>
        <v>N</v>
      </c>
      <c r="X101" s="120">
        <f t="shared" si="39"/>
        <v>1</v>
      </c>
      <c r="Y101" s="69">
        <f t="shared" si="29"/>
        <v>4.58E-2</v>
      </c>
      <c r="Z101" s="69">
        <f t="shared" si="30"/>
        <v>23.332999999999998</v>
      </c>
      <c r="AA101" s="69">
        <f t="shared" si="31"/>
        <v>23.287199999999999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32"/>
        <v>0189-06</v>
      </c>
      <c r="AE101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01" s="96" t="str">
        <f t="shared" si="34"/>
        <v>"C:\Program Files (x86)\AstroGrep\AstroGrep.exe" /spath="%USERPROFILE%\AppData\Local\Temp\OnboardLogs" /stypes="*4002*20160906*" /stext=" 21:.+((SYSTEM_STATE.+slice.+state.+changed )|(ment ac)|(system.+state.+changed )|(\|lc)|(penalty)|(\[timeout)|(PRM\|1\|D)|(kpr)|(kdp))" /e /r /s</v>
      </c>
      <c r="AG101" s="1" t="str">
        <f t="shared" si="35"/>
        <v>EC</v>
      </c>
      <c r="AH101" s="100" t="str">
        <f t="shared" si="36"/>
        <v>"%USERPROFILE%\Documents\GitHub\eaglep3\Utilities\RefineRTDCRunTimes.py" --tripid 189-06 --locoid 4002 --swversion DE.1.0.7.0 --startMP 204:458 --initTime 2016-09-06T14:42:11 --startdatetime 2016-09-06T14:45:46 --delay 1 --endMP 204:233330 --enddatetime 2016-09-06T15:20:48 --enforcementcount 0 &gt;&gt;C:\Users\stu\Documents\GitHub\eaglep3-reporting\EC\2016-09-06-refined-times.txt</v>
      </c>
      <c r="AI101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{"issue":{"subject":"","project_id":79,"tracker_id":40,"status_id":1,"priority_id":2,"assigned_to_id":23,"start_date":"2016-09-06","description":"","custom_fields":[{"id":1,"name":"Subdivision","value":"EC"},{"id":4,"name":"Milepost","value":"23.2872"},{"id":17,"name":"Train ID","value":"189-06"},{"id":16,"name":"Locomotive ID","value":"4002"},{"id":130,"name":"Impact","value":""},{"id":150,"name":"Time of Event (Mountain Time)","value":"15:20:48"},{"id":151,"name":"Denver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462</v>
      </c>
      <c r="B102" s="7">
        <v>4001</v>
      </c>
      <c r="C102" s="24" t="s">
        <v>112</v>
      </c>
      <c r="D102" s="24" t="s">
        <v>606</v>
      </c>
      <c r="E102" s="15">
        <v>42619.641053240739</v>
      </c>
      <c r="F102" s="15">
        <v>42619.653703703705</v>
      </c>
      <c r="G102" s="7">
        <v>1</v>
      </c>
      <c r="H102" s="15" t="s">
        <v>221</v>
      </c>
      <c r="I102" s="15">
        <v>42619.68037037037</v>
      </c>
      <c r="J102" s="7">
        <v>0</v>
      </c>
      <c r="K102" s="132" t="str">
        <f t="shared" si="23"/>
        <v>4001/4002</v>
      </c>
      <c r="L102" s="24" t="e">
        <f>VLOOKUP(A102,'Trips&amp;Operators'!$C$1:$E$10000,3,FALSE)</f>
        <v>#N/A</v>
      </c>
      <c r="M102" s="6">
        <f t="shared" si="24"/>
        <v>2.6666666664823424E-2</v>
      </c>
      <c r="N102" s="7">
        <f t="shared" si="38"/>
        <v>38.399999997345731</v>
      </c>
      <c r="O102" s="7"/>
      <c r="P102" s="7"/>
      <c r="Q102" s="25"/>
      <c r="R102" s="25"/>
      <c r="S102" s="37">
        <f t="shared" si="25"/>
        <v>1</v>
      </c>
      <c r="T102" s="52" t="str">
        <f t="shared" si="26"/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14:23:07-0600',mode:absolute,to:'2016-09-06 17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02" s="54" t="str">
        <f t="shared" si="28"/>
        <v>N</v>
      </c>
      <c r="X102" s="120">
        <f t="shared" si="39"/>
        <v>1</v>
      </c>
      <c r="Y102" s="69">
        <f t="shared" si="29"/>
        <v>23.300899999999999</v>
      </c>
      <c r="Z102" s="69">
        <f t="shared" si="30"/>
        <v>1.41E-2</v>
      </c>
      <c r="AA102" s="69">
        <f t="shared" si="31"/>
        <v>23.286799999999999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32"/>
        <v>0190-06</v>
      </c>
      <c r="AE102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02" s="96" t="str">
        <f t="shared" si="34"/>
        <v>"C:\Program Files (x86)\AstroGrep\AstroGrep.exe" /spath="%USERPROFILE%\AppData\Local\Temp\OnboardLogs" /stypes="*4001*20160906*" /stext=" 22:.+((SYSTEM_STATE.+slice.+state.+changed )|(ment ac)|(system.+state.+changed )|(\|lc)|(penalty)|(\[timeout)|(PRM\|1\|D)|(kpr)|(kdp))" /e /r /s</v>
      </c>
      <c r="AG102" s="1" t="str">
        <f t="shared" si="35"/>
        <v>EC</v>
      </c>
      <c r="AH102" s="100" t="str">
        <f t="shared" si="36"/>
        <v>"%USERPROFILE%\Documents\GitHub\eaglep3\Utilities\RefineRTDCRunTimes.py" --tripid 190-06 --locoid 4001 --swversion DE.1.0.7.0 --startMP 204:233009 --initTime 2016-09-06T15:23:07 --startdatetime 2016-09-06T15:41:20 --delay 1 --endMP 204:141 --enddatetime 2016-09-06T16:19:44 --enforcementcount 0 &gt;&gt;C:\Users\stu\Documents\GitHub\eaglep3-reporting\EC\2016-09-06-refined-times.txt</v>
      </c>
      <c r="AI102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{"issue":{"subject":"","project_id":79,"tracker_id":40,"status_id":1,"priority_id":2,"assigned_to_id":23,"start_date":"2016-09-06","description":"","custom_fields":[{"id":1,"name":"Subdivision","value":"EC"},{"id":4,"name":"Milepost","value":"23.2868"},{"id":17,"name":"Train ID","value":"190-06"},{"id":16,"name":"Locomotive ID","value":"4001"},{"id":130,"name":"Impact","value":""},{"id":150,"name":"Time of Event (Mountain Time)","value":"16:19:44"},{"id":151,"name":"Denver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455</v>
      </c>
      <c r="B103" s="7">
        <v>4042</v>
      </c>
      <c r="C103" s="24" t="s">
        <v>112</v>
      </c>
      <c r="D103" s="24" t="s">
        <v>223</v>
      </c>
      <c r="E103" s="15">
        <v>42619.622800925928</v>
      </c>
      <c r="F103" s="15">
        <v>42619.625520833331</v>
      </c>
      <c r="G103" s="7">
        <v>1</v>
      </c>
      <c r="H103" s="15" t="s">
        <v>274</v>
      </c>
      <c r="I103" s="15">
        <v>42619.650821759256</v>
      </c>
      <c r="J103" s="7">
        <v>0</v>
      </c>
      <c r="K103" s="132" t="str">
        <f t="shared" si="23"/>
        <v>4041/4042</v>
      </c>
      <c r="L103" s="24" t="e">
        <f>VLOOKUP(A103,'Trips&amp;Operators'!$C$1:$E$10000,3,FALSE)</f>
        <v>#N/A</v>
      </c>
      <c r="M103" s="6">
        <f t="shared" si="24"/>
        <v>2.5300925924966577E-2</v>
      </c>
      <c r="N103" s="7">
        <f t="shared" si="38"/>
        <v>36.433333331951872</v>
      </c>
      <c r="O103" s="7"/>
      <c r="P103" s="7"/>
      <c r="Q103" s="25"/>
      <c r="R103" s="25"/>
      <c r="S103" s="37">
        <f t="shared" si="25"/>
        <v>1</v>
      </c>
      <c r="T103" s="52" t="str">
        <f t="shared" si="26"/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13:56:50-0600',mode:absolute,to:'2016-09-06 16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03" s="54" t="str">
        <f t="shared" si="28"/>
        <v>N</v>
      </c>
      <c r="X103" s="120">
        <f t="shared" si="39"/>
        <v>1</v>
      </c>
      <c r="Y103" s="69">
        <f t="shared" si="29"/>
        <v>4.4400000000000002E-2</v>
      </c>
      <c r="Z103" s="69">
        <f t="shared" si="30"/>
        <v>23.328299999999999</v>
      </c>
      <c r="AA103" s="69">
        <f t="shared" si="31"/>
        <v>23.283899999999999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32"/>
        <v>0191-06</v>
      </c>
      <c r="AE103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03" s="96" t="str">
        <f t="shared" si="34"/>
        <v>"C:\Program Files (x86)\AstroGrep\AstroGrep.exe" /spath="%USERPROFILE%\AppData\Local\Temp\OnboardLogs" /stypes="*4042*20160906*" /stext=" 21:.+((SYSTEM_STATE.+slice.+state.+changed )|(ment ac)|(system.+state.+changed )|(\|lc)|(penalty)|(\[timeout)|(PRM\|1\|D)|(kpr)|(kdp))" /e /r /s</v>
      </c>
      <c r="AG103" s="1" t="str">
        <f t="shared" si="35"/>
        <v>EC</v>
      </c>
      <c r="AH103" s="100" t="str">
        <f t="shared" si="36"/>
        <v>"%USERPROFILE%\Documents\GitHub\eaglep3\Utilities\RefineRTDCRunTimes.py" --tripid 191-06 --locoid 4042 --swversion DE.1.0.7.0 --startMP 204:444 --initTime 2016-09-06T14:56:50 --startdatetime 2016-09-06T15:00:45 --delay 1 --endMP 204:233283 --enddatetime 2016-09-06T15:37:11 --enforcementcount 0 &gt;&gt;C:\Users\stu\Documents\GitHub\eaglep3-reporting\EC\2016-09-06-refined-times.txt</v>
      </c>
      <c r="AI103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{"issue":{"subject":"","project_id":79,"tracker_id":40,"status_id":1,"priority_id":2,"assigned_to_id":23,"start_date":"2016-09-06","description":"","custom_fields":[{"id":1,"name":"Subdivision","value":"EC"},{"id":4,"name":"Milepost","value":"23.2839"},{"id":17,"name":"Train ID","value":"191-06"},{"id":16,"name":"Locomotive ID","value":"4042"},{"id":130,"name":"Impact","value":""},{"id":150,"name":"Time of Event (Mountain Time)","value":"15:37:11"},{"id":151,"name":"Denver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468</v>
      </c>
      <c r="B104" s="7">
        <v>4041</v>
      </c>
      <c r="C104" s="24" t="s">
        <v>112</v>
      </c>
      <c r="D104" s="24" t="s">
        <v>607</v>
      </c>
      <c r="E104" s="15">
        <v>42619.661076388889</v>
      </c>
      <c r="F104" s="15">
        <v>42619.664039351854</v>
      </c>
      <c r="G104" s="7">
        <v>1</v>
      </c>
      <c r="H104" s="15" t="s">
        <v>130</v>
      </c>
      <c r="I104" s="15">
        <v>42619.692743055559</v>
      </c>
      <c r="J104" s="7">
        <v>0</v>
      </c>
      <c r="K104" s="132" t="str">
        <f t="shared" si="23"/>
        <v>4041/4042</v>
      </c>
      <c r="L104" s="24" t="e">
        <f>VLOOKUP(A104,'Trips&amp;Operators'!$C$1:$E$10000,3,FALSE)</f>
        <v>#N/A</v>
      </c>
      <c r="M104" s="6">
        <f t="shared" si="24"/>
        <v>2.8703703705104999E-2</v>
      </c>
      <c r="N104" s="7">
        <f t="shared" si="38"/>
        <v>41.333333335351199</v>
      </c>
      <c r="O104" s="7"/>
      <c r="P104" s="7"/>
      <c r="Q104" s="25"/>
      <c r="R104" s="25"/>
      <c r="S104" s="37">
        <f t="shared" si="25"/>
        <v>1</v>
      </c>
      <c r="T104" s="52" t="str">
        <f t="shared" si="26"/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14:51:57-0600',mode:absolute,to:'2016-09-06 17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04" s="54" t="str">
        <f t="shared" si="28"/>
        <v>N</v>
      </c>
      <c r="X104" s="120">
        <f>VALUE(LEFT(AD104,4))-VALUE(LEFT(AD103,4))</f>
        <v>1</v>
      </c>
      <c r="Y104" s="69">
        <f t="shared" si="29"/>
        <v>23.296399999999998</v>
      </c>
      <c r="Z104" s="69">
        <f t="shared" si="30"/>
        <v>1.5800000000000002E-2</v>
      </c>
      <c r="AA104" s="69">
        <f t="shared" si="31"/>
        <v>23.2806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32"/>
        <v>0192-06</v>
      </c>
      <c r="AE104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04" s="96" t="str">
        <f t="shared" si="34"/>
        <v>"C:\Program Files (x86)\AstroGrep\AstroGrep.exe" /spath="%USERPROFILE%\AppData\Local\Temp\OnboardLogs" /stypes="*4041*20160906*" /stext=" 22:.+((SYSTEM_STATE.+slice.+state.+changed )|(ment ac)|(system.+state.+changed )|(\|lc)|(penalty)|(\[timeout)|(PRM\|1\|D)|(kpr)|(kdp))" /e /r /s</v>
      </c>
      <c r="AG104" s="1" t="str">
        <f t="shared" si="35"/>
        <v>EC</v>
      </c>
      <c r="AH104" s="100" t="str">
        <f t="shared" si="36"/>
        <v>"%USERPROFILE%\Documents\GitHub\eaglep3\Utilities\RefineRTDCRunTimes.py" --tripid 192-06 --locoid 4041 --swversion DE.1.0.7.0 --startMP 204:232964 --initTime 2016-09-06T15:51:57 --startdatetime 2016-09-06T15:56:13 --delay 1 --endMP 204:158 --enddatetime 2016-09-06T16:37:33 --enforcementcount 0 &gt;&gt;C:\Users\stu\Documents\GitHub\eaglep3-reporting\EC\2016-09-06-refined-times.txt</v>
      </c>
      <c r="AI104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{"issue":{"subject":"","project_id":79,"tracker_id":40,"status_id":1,"priority_id":2,"assigned_to_id":23,"start_date":"2016-09-06","description":"","custom_fields":[{"id":1,"name":"Subdivision","value":"EC"},{"id":4,"name":"Milepost","value":"23.2806"},{"id":17,"name":"Train ID","value":"192-06"},{"id":16,"name":"Locomotive ID","value":"4041"},{"id":130,"name":"Impact","value":""},{"id":150,"name":"Time of Event (Mountain Time)","value":"16:37:33"},{"id":151,"name":"Denver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457</v>
      </c>
      <c r="B105" s="7">
        <v>4027</v>
      </c>
      <c r="C105" s="24" t="s">
        <v>112</v>
      </c>
      <c r="D105" s="24" t="s">
        <v>134</v>
      </c>
      <c r="E105" s="15">
        <v>42619.632048611114</v>
      </c>
      <c r="F105" s="15">
        <v>42619.63559027778</v>
      </c>
      <c r="G105" s="7">
        <v>2</v>
      </c>
      <c r="H105" s="15" t="s">
        <v>217</v>
      </c>
      <c r="I105" s="15">
        <v>42619.660879629628</v>
      </c>
      <c r="J105" s="7">
        <v>0</v>
      </c>
      <c r="K105" s="132" t="str">
        <f t="shared" si="23"/>
        <v>4027/4028</v>
      </c>
      <c r="L105" s="24" t="e">
        <f>VLOOKUP(A105,'Trips&amp;Operators'!$C$1:$E$10000,3,FALSE)</f>
        <v>#N/A</v>
      </c>
      <c r="M105" s="6">
        <f t="shared" si="24"/>
        <v>2.5289351848186925E-2</v>
      </c>
      <c r="N105" s="7">
        <f t="shared" si="38"/>
        <v>36.416666661389172</v>
      </c>
      <c r="O105" s="7"/>
      <c r="P105" s="7"/>
      <c r="Q105" s="25"/>
      <c r="R105" s="25"/>
      <c r="S105" s="37">
        <f t="shared" si="25"/>
        <v>1</v>
      </c>
      <c r="T105" s="52" t="str">
        <f t="shared" si="26"/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14:10:09-0600',mode:absolute,to:'2016-09-06 16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05" s="54" t="str">
        <f t="shared" si="28"/>
        <v>N</v>
      </c>
      <c r="X105" s="120">
        <f>VALUE(LEFT(AD105,4))-VALUE(LEFT(AD104,4))</f>
        <v>1</v>
      </c>
      <c r="Y105" s="69">
        <f t="shared" si="29"/>
        <v>4.4900000000000002E-2</v>
      </c>
      <c r="Z105" s="69">
        <f t="shared" si="30"/>
        <v>23.3307</v>
      </c>
      <c r="AA105" s="69">
        <f t="shared" si="31"/>
        <v>23.285800000000002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32"/>
        <v>0193-06</v>
      </c>
      <c r="AE105" s="99" t="str">
        <f t="shared" si="33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105" s="96" t="str">
        <f t="shared" si="34"/>
        <v>"C:\Program Files (x86)\AstroGrep\AstroGrep.exe" /spath="%USERPROFILE%\AppData\Local\Temp\OnboardLogs" /stypes="*4027*20160906*" /stext=" 21:.+((SYSTEM_STATE.+slice.+state.+changed )|(ment ac)|(system.+state.+changed )|(\|lc)|(penalty)|(\[timeout)|(PRM\|1\|D)|(kpr)|(kdp))" /e /r /s</v>
      </c>
      <c r="AG105" s="1" t="str">
        <f t="shared" si="35"/>
        <v>EC</v>
      </c>
      <c r="AH105" s="100" t="str">
        <f t="shared" si="36"/>
        <v>"%USERPROFILE%\Documents\GitHub\eaglep3\Utilities\RefineRTDCRunTimes.py" --tripid 193-06 --locoid 4027 --swversion DE.1.0.7.0 --startMP 204:449 --initTime 2016-09-06T15:10:09 --startdatetime 2016-09-06T15:15:15 --delay 2 --endMP 204:233307 --enddatetime 2016-09-06T15:51:40 --enforcementcount 0 &gt;&gt;C:\Users\stu\Documents\GitHub\eaglep3-reporting\EC\2016-09-06-refined-times.txt</v>
      </c>
      <c r="AI105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{"issue":{"subject":"","project_id":79,"tracker_id":40,"status_id":1,"priority_id":2,"assigned_to_id":23,"start_date":"2016-09-06","description":"","custom_fields":[{"id":1,"name":"Subdivision","value":"EC"},{"id":4,"name":"Milepost","value":"23.2858"},{"id":17,"name":"Train ID","value":"193-06"},{"id":16,"name":"Locomotive ID","value":"4027"},{"id":130,"name":"Impact","value":""},{"id":150,"name":"Time of Event (Mountain Time)","value":"15:51:40"},{"id":151,"name":"Denver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470</v>
      </c>
      <c r="B106" s="7">
        <v>4028</v>
      </c>
      <c r="C106" s="24" t="s">
        <v>112</v>
      </c>
      <c r="D106" s="24" t="s">
        <v>133</v>
      </c>
      <c r="E106" s="15">
        <v>42619.667291666665</v>
      </c>
      <c r="F106" s="15">
        <v>42619.674780092595</v>
      </c>
      <c r="G106" s="7">
        <v>1</v>
      </c>
      <c r="H106" s="15" t="s">
        <v>597</v>
      </c>
      <c r="I106" s="15">
        <v>42619.701481481483</v>
      </c>
      <c r="J106" s="7">
        <v>0</v>
      </c>
      <c r="K106" s="132" t="str">
        <f t="shared" si="23"/>
        <v>4027/4028</v>
      </c>
      <c r="L106" s="24" t="e">
        <f>VLOOKUP(A106,'Trips&amp;Operators'!$C$1:$E$10000,3,FALSE)</f>
        <v>#N/A</v>
      </c>
      <c r="M106" s="6">
        <f t="shared" si="24"/>
        <v>2.6701388887886424E-2</v>
      </c>
      <c r="N106" s="7">
        <f t="shared" si="38"/>
        <v>38.44999999855645</v>
      </c>
      <c r="O106" s="7"/>
      <c r="P106" s="7"/>
      <c r="Q106" s="25"/>
      <c r="R106" s="25"/>
      <c r="S106" s="37">
        <f t="shared" si="25"/>
        <v>1</v>
      </c>
      <c r="T106" s="52" t="str">
        <f t="shared" si="26"/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15:00:54-0600',mode:absolute,to:'2016-09-06 17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06" s="54" t="str">
        <f t="shared" si="28"/>
        <v>N</v>
      </c>
      <c r="X106" s="120">
        <f>VALUE(LEFT(AD106,4))-VALUE(LEFT(AD105,4))</f>
        <v>1</v>
      </c>
      <c r="Y106" s="69">
        <f t="shared" si="29"/>
        <v>23.299399999999999</v>
      </c>
      <c r="Z106" s="69">
        <f t="shared" si="30"/>
        <v>1.3899999999999999E-2</v>
      </c>
      <c r="AA106" s="69">
        <f t="shared" si="31"/>
        <v>23.285499999999999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32"/>
        <v>0194-06</v>
      </c>
      <c r="AE106" s="99" t="str">
        <f t="shared" si="33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106" s="96" t="str">
        <f t="shared" si="34"/>
        <v>"C:\Program Files (x86)\AstroGrep\AstroGrep.exe" /spath="%USERPROFILE%\AppData\Local\Temp\OnboardLogs" /stypes="*4028*20160906*" /stext=" 22:.+((SYSTEM_STATE.+slice.+state.+changed )|(ment ac)|(system.+state.+changed )|(\|lc)|(penalty)|(\[timeout)|(PRM\|1\|D)|(kpr)|(kdp))" /e /r /s</v>
      </c>
      <c r="AG106" s="1" t="str">
        <f t="shared" si="35"/>
        <v>EC</v>
      </c>
      <c r="AH106" s="100" t="str">
        <f t="shared" si="36"/>
        <v>"%USERPROFILE%\Documents\GitHub\eaglep3\Utilities\RefineRTDCRunTimes.py" --tripid 194-06 --locoid 4028 --swversion DE.1.0.7.0 --startMP 204:232994 --initTime 2016-09-06T16:00:54 --startdatetime 2016-09-06T16:11:41 --delay 1 --endMP 204:139 --enddatetime 2016-09-06T16:50:08 --enforcementcount 0 &gt;&gt;C:\Users\stu\Documents\GitHub\eaglep3-reporting\EC\2016-09-06-refined-times.txt</v>
      </c>
      <c r="AI106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{"issue":{"subject":"","project_id":79,"tracker_id":40,"status_id":1,"priority_id":2,"assigned_to_id":23,"start_date":"2016-09-06","description":"","custom_fields":[{"id":1,"name":"Subdivision","value":"EC"},{"id":4,"name":"Milepost","value":"23.2855"},{"id":17,"name":"Train ID","value":"194-06"},{"id":16,"name":"Locomotive ID","value":"4028"},{"id":130,"name":"Impact","value":""},{"id":150,"name":"Time of Event (Mountain Time)","value":"16:50:08"},{"id":151,"name":"Denver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463</v>
      </c>
      <c r="B107" s="7">
        <v>4038</v>
      </c>
      <c r="C107" s="24" t="s">
        <v>112</v>
      </c>
      <c r="D107" s="24" t="s">
        <v>160</v>
      </c>
      <c r="E107" s="15">
        <v>42619.644328703704</v>
      </c>
      <c r="F107" s="15">
        <v>42619.646481481483</v>
      </c>
      <c r="G107" s="7">
        <v>1</v>
      </c>
      <c r="H107" s="15" t="s">
        <v>225</v>
      </c>
      <c r="I107" s="15">
        <v>42619.673587962963</v>
      </c>
      <c r="J107" s="7">
        <v>0</v>
      </c>
      <c r="K107" s="132" t="str">
        <f t="shared" si="23"/>
        <v>4037/4038</v>
      </c>
      <c r="L107" s="24" t="e">
        <f>VLOOKUP(A107,'Trips&amp;Operators'!$C$1:$E$10000,3,FALSE)</f>
        <v>#N/A</v>
      </c>
      <c r="M107" s="6">
        <f t="shared" si="24"/>
        <v>2.7106481480586808E-2</v>
      </c>
      <c r="N107" s="7">
        <f t="shared" si="38"/>
        <v>39.033333332045004</v>
      </c>
      <c r="O107" s="7"/>
      <c r="P107" s="7"/>
      <c r="Q107" s="25"/>
      <c r="R107" s="25"/>
      <c r="S107" s="37">
        <f t="shared" si="25"/>
        <v>1</v>
      </c>
      <c r="T107" s="52" t="str">
        <f t="shared" si="26"/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14:27:50-0600',mode:absolute,to:'2016-09-06 17:09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07" s="54" t="str">
        <f t="shared" si="28"/>
        <v>N</v>
      </c>
      <c r="X107" s="120">
        <f t="shared" ref="X107:X111" si="40">VALUE(LEFT(AD107,4))-VALUE(LEFT(AD106,4))</f>
        <v>1</v>
      </c>
      <c r="Y107" s="69">
        <f t="shared" si="29"/>
        <v>4.5999999999999999E-2</v>
      </c>
      <c r="Z107" s="69">
        <f t="shared" si="30"/>
        <v>23.331700000000001</v>
      </c>
      <c r="AA107" s="69">
        <f t="shared" si="31"/>
        <v>23.285700000000002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32"/>
        <v>0195-06</v>
      </c>
      <c r="AE107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07" s="96" t="str">
        <f t="shared" si="34"/>
        <v>"C:\Program Files (x86)\AstroGrep\AstroGrep.exe" /spath="%USERPROFILE%\AppData\Local\Temp\OnboardLogs" /stypes="*4038*20160906*" /stext=" 22:.+((SYSTEM_STATE.+slice.+state.+changed )|(ment ac)|(system.+state.+changed )|(\|lc)|(penalty)|(\[timeout)|(PRM\|1\|D)|(kpr)|(kdp))" /e /r /s</v>
      </c>
      <c r="AG107" s="1" t="str">
        <f t="shared" si="35"/>
        <v>EC</v>
      </c>
      <c r="AH107" s="100" t="str">
        <f t="shared" si="36"/>
        <v>"%USERPROFILE%\Documents\GitHub\eaglep3\Utilities\RefineRTDCRunTimes.py" --tripid 195-06 --locoid 4038 --swversion DE.1.0.7.0 --startMP 204:460 --initTime 2016-09-06T15:27:50 --startdatetime 2016-09-06T15:30:56 --delay 1 --endMP 204:233317 --enddatetime 2016-09-06T16:09:58 --enforcementcount 0 &gt;&gt;C:\Users\stu\Documents\GitHub\eaglep3-reporting\EC\2016-09-06-refined-times.txt</v>
      </c>
      <c r="AI107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{"issue":{"subject":"","project_id":79,"tracker_id":40,"status_id":1,"priority_id":2,"assigned_to_id":23,"start_date":"2016-09-06","description":"","custom_fields":[{"id":1,"name":"Subdivision","value":"EC"},{"id":4,"name":"Milepost","value":"23.2857"},{"id":17,"name":"Train ID","value":"195-06"},{"id":16,"name":"Locomotive ID","value":"4038"},{"id":130,"name":"Impact","value":""},{"id":150,"name":"Time of Event (Mountain Time)","value":"16:09:58"},{"id":151,"name":"Denver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474</v>
      </c>
      <c r="B108" s="7">
        <v>4037</v>
      </c>
      <c r="C108" s="24" t="s">
        <v>112</v>
      </c>
      <c r="D108" s="24" t="s">
        <v>594</v>
      </c>
      <c r="E108" s="15">
        <v>42619.680462962962</v>
      </c>
      <c r="F108" s="15">
        <v>42619.685381944444</v>
      </c>
      <c r="G108" s="7">
        <v>1</v>
      </c>
      <c r="H108" s="15" t="s">
        <v>608</v>
      </c>
      <c r="I108" s="15">
        <v>42619.713506944441</v>
      </c>
      <c r="J108" s="7">
        <v>0</v>
      </c>
      <c r="K108" s="132" t="str">
        <f t="shared" si="23"/>
        <v>4037/4038</v>
      </c>
      <c r="L108" s="24" t="e">
        <f>VLOOKUP(A108,'Trips&amp;Operators'!$C$1:$E$10000,3,FALSE)</f>
        <v>#N/A</v>
      </c>
      <c r="M108" s="6">
        <f t="shared" si="24"/>
        <v>2.8124999997089617E-2</v>
      </c>
      <c r="N108" s="7">
        <f t="shared" si="38"/>
        <v>40.499999995809048</v>
      </c>
      <c r="O108" s="7"/>
      <c r="P108" s="7"/>
      <c r="Q108" s="25"/>
      <c r="R108" s="25"/>
      <c r="S108" s="37">
        <f t="shared" si="25"/>
        <v>1</v>
      </c>
      <c r="T108" s="52" t="str">
        <f t="shared" si="26"/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15:19:52-0600',mode:absolute,to:'2016-09-06 18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08" s="54" t="str">
        <f t="shared" si="28"/>
        <v>N</v>
      </c>
      <c r="X108" s="120">
        <f t="shared" si="40"/>
        <v>1</v>
      </c>
      <c r="Y108" s="69">
        <f t="shared" si="29"/>
        <v>23.299299999999999</v>
      </c>
      <c r="Z108" s="69">
        <f t="shared" si="30"/>
        <v>2.0899999999999998E-2</v>
      </c>
      <c r="AA108" s="69">
        <f t="shared" si="31"/>
        <v>23.278399999999998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32"/>
        <v>0196-06</v>
      </c>
      <c r="AE108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08" s="96" t="str">
        <f t="shared" si="34"/>
        <v>"C:\Program Files (x86)\AstroGrep\AstroGrep.exe" /spath="%USERPROFILE%\AppData\Local\Temp\OnboardLogs" /stypes="*4037*20160906*" /stext=" 23:.+((SYSTEM_STATE.+slice.+state.+changed )|(ment ac)|(system.+state.+changed )|(\|lc)|(penalty)|(\[timeout)|(PRM\|1\|D)|(kpr)|(kdp))" /e /r /s</v>
      </c>
      <c r="AG108" s="1" t="str">
        <f t="shared" si="35"/>
        <v>EC</v>
      </c>
      <c r="AH108" s="100" t="str">
        <f t="shared" si="36"/>
        <v>"%USERPROFILE%\Documents\GitHub\eaglep3\Utilities\RefineRTDCRunTimes.py" --tripid 196-06 --locoid 4037 --swversion DE.1.0.7.0 --startMP 204:232993 --initTime 2016-09-06T16:19:52 --startdatetime 2016-09-06T16:26:57 --delay 1 --endMP 204:209 --enddatetime 2016-09-06T17:07:27 --enforcementcount 0 &gt;&gt;C:\Users\stu\Documents\GitHub\eaglep3-reporting\EC\2016-09-06-refined-times.txt</v>
      </c>
      <c r="AI108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{"issue":{"subject":"","project_id":79,"tracker_id":40,"status_id":1,"priority_id":2,"assigned_to_id":23,"start_date":"2016-09-06","description":"","custom_fields":[{"id":1,"name":"Subdivision","value":"EC"},{"id":4,"name":"Milepost","value":"23.2784"},{"id":17,"name":"Train ID","value":"196-06"},{"id":16,"name":"Locomotive ID","value":"4037"},{"id":130,"name":"Impact","value":""},{"id":150,"name":"Time of Event (Mountain Time)","value":"17:07:27"},{"id":151,"name":"Denver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467</v>
      </c>
      <c r="B109" s="7">
        <v>4025</v>
      </c>
      <c r="C109" s="24" t="s">
        <v>112</v>
      </c>
      <c r="D109" s="24" t="s">
        <v>609</v>
      </c>
      <c r="E109" s="15">
        <v>42619.654386574075</v>
      </c>
      <c r="F109" s="15">
        <v>42619.656643518516</v>
      </c>
      <c r="G109" s="7">
        <v>1</v>
      </c>
      <c r="H109" s="15" t="s">
        <v>577</v>
      </c>
      <c r="I109" s="15">
        <v>42619.683310185188</v>
      </c>
      <c r="J109" s="7">
        <v>0</v>
      </c>
      <c r="K109" s="132" t="str">
        <f t="shared" si="23"/>
        <v>4025/4026</v>
      </c>
      <c r="L109" s="24" t="e">
        <f>VLOOKUP(A109,'Trips&amp;Operators'!$C$1:$E$10000,3,FALSE)</f>
        <v>#N/A</v>
      </c>
      <c r="M109" s="6">
        <f t="shared" si="24"/>
        <v>2.6666666672099382E-2</v>
      </c>
      <c r="N109" s="7">
        <f t="shared" si="38"/>
        <v>38.40000000782311</v>
      </c>
      <c r="O109" s="7"/>
      <c r="P109" s="7"/>
      <c r="Q109" s="25"/>
      <c r="R109" s="25"/>
      <c r="S109" s="37">
        <f t="shared" si="25"/>
        <v>1</v>
      </c>
      <c r="T109" s="52" t="str">
        <f t="shared" si="26"/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14:42:19-0600',mode:absolute,to:'2016-09-06 17:23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09" s="54" t="str">
        <f t="shared" si="28"/>
        <v>N</v>
      </c>
      <c r="X109" s="120">
        <f t="shared" si="40"/>
        <v>1</v>
      </c>
      <c r="Y109" s="69">
        <f t="shared" si="29"/>
        <v>4.2599999999999999E-2</v>
      </c>
      <c r="Z109" s="69">
        <f t="shared" si="30"/>
        <v>23.331800000000001</v>
      </c>
      <c r="AA109" s="69">
        <f t="shared" si="31"/>
        <v>23.289200000000001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32"/>
        <v>0197-06</v>
      </c>
      <c r="AE109" s="99" t="str">
        <f t="shared" si="33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109" s="96" t="str">
        <f t="shared" si="34"/>
        <v>"C:\Program Files (x86)\AstroGrep\AstroGrep.exe" /spath="%USERPROFILE%\AppData\Local\Temp\OnboardLogs" /stypes="*4025*20160906*" /stext=" 22:.+((SYSTEM_STATE.+slice.+state.+changed )|(ment ac)|(system.+state.+changed )|(\|lc)|(penalty)|(\[timeout)|(PRM\|1\|D)|(kpr)|(kdp))" /e /r /s</v>
      </c>
      <c r="AG109" s="1" t="str">
        <f t="shared" si="35"/>
        <v>EC</v>
      </c>
      <c r="AH109" s="100" t="str">
        <f t="shared" si="36"/>
        <v>"%USERPROFILE%\Documents\GitHub\eaglep3\Utilities\RefineRTDCRunTimes.py" --tripid 197-06 --locoid 4025 --swversion DE.1.0.7.0 --startMP 204:426 --initTime 2016-09-06T15:42:19 --startdatetime 2016-09-06T15:45:34 --delay 1 --endMP 204:233318 --enddatetime 2016-09-06T16:23:58 --enforcementcount 0 &gt;&gt;C:\Users\stu\Documents\GitHub\eaglep3-reporting\EC\2016-09-06-refined-times.txt</v>
      </c>
      <c r="AI109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{"issue":{"subject":"","project_id":79,"tracker_id":40,"status_id":1,"priority_id":2,"assigned_to_id":23,"start_date":"2016-09-06","description":"","custom_fields":[{"id":1,"name":"Subdivision","value":"EC"},{"id":4,"name":"Milepost","value":"23.2892"},{"id":17,"name":"Train ID","value":"197-06"},{"id":16,"name":"Locomotive ID","value":"4025"},{"id":130,"name":"Impact","value":""},{"id":150,"name":"Time of Event (Mountain Time)","value":"16:23:58"},{"id":151,"name":"Denver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477</v>
      </c>
      <c r="B110" s="7">
        <v>4026</v>
      </c>
      <c r="C110" s="24" t="s">
        <v>112</v>
      </c>
      <c r="D110" s="24" t="s">
        <v>566</v>
      </c>
      <c r="E110" s="15">
        <v>42619.692789351851</v>
      </c>
      <c r="F110" s="15">
        <v>42619.695381944446</v>
      </c>
      <c r="G110" s="7">
        <v>1</v>
      </c>
      <c r="H110" s="15" t="s">
        <v>135</v>
      </c>
      <c r="I110" s="15">
        <v>42619.724097222221</v>
      </c>
      <c r="J110" s="7">
        <v>0</v>
      </c>
      <c r="K110" s="132" t="str">
        <f t="shared" si="23"/>
        <v>4025/4026</v>
      </c>
      <c r="L110" s="24" t="e">
        <f>VLOOKUP(A110,'Trips&amp;Operators'!$C$1:$E$10000,3,FALSE)</f>
        <v>#N/A</v>
      </c>
      <c r="M110" s="6">
        <f t="shared" si="24"/>
        <v>2.8715277774608694E-2</v>
      </c>
      <c r="N110" s="7">
        <f t="shared" si="38"/>
        <v>41.349999995436519</v>
      </c>
      <c r="O110" s="7"/>
      <c r="P110" s="7"/>
      <c r="Q110" s="25"/>
      <c r="R110" s="25"/>
      <c r="S110" s="37">
        <f t="shared" si="25"/>
        <v>1</v>
      </c>
      <c r="T110" s="52" t="str">
        <f t="shared" si="26"/>
        <v>Southbound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15:37:37-0600',mode:absolute,to:'2016-09-06 18:22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10" s="54" t="str">
        <f t="shared" si="28"/>
        <v>N</v>
      </c>
      <c r="X110" s="120">
        <f t="shared" si="40"/>
        <v>1</v>
      </c>
      <c r="Y110" s="69">
        <f t="shared" si="29"/>
        <v>23.298200000000001</v>
      </c>
      <c r="Z110" s="69">
        <f t="shared" si="30"/>
        <v>1.49E-2</v>
      </c>
      <c r="AA110" s="69">
        <f t="shared" si="31"/>
        <v>23.283300000000001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32"/>
        <v>0198-06</v>
      </c>
      <c r="AE110" s="99" t="str">
        <f t="shared" si="33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110" s="96" t="str">
        <f t="shared" si="34"/>
        <v>"C:\Program Files (x86)\AstroGrep\AstroGrep.exe" /spath="%USERPROFILE%\AppData\Local\Temp\OnboardLogs" /stypes="*4026*20160906*" /stext=" 23:.+((SYSTEM_STATE.+slice.+state.+changed )|(ment ac)|(system.+state.+changed )|(\|lc)|(penalty)|(\[timeout)|(PRM\|1\|D)|(kpr)|(kdp))" /e /r /s</v>
      </c>
      <c r="AG110" s="1" t="str">
        <f t="shared" si="35"/>
        <v>EC</v>
      </c>
      <c r="AH110" s="100" t="str">
        <f t="shared" si="36"/>
        <v>"%USERPROFILE%\Documents\GitHub\eaglep3\Utilities\RefineRTDCRunTimes.py" --tripid 198-06 --locoid 4026 --swversion DE.1.0.7.0 --startMP 204:232982 --initTime 2016-09-06T16:37:37 --startdatetime 2016-09-06T16:41:21 --delay 1 --endMP 204:149 --enddatetime 2016-09-06T17:22:42 --enforcementcount 0 &gt;&gt;C:\Users\stu\Documents\GitHub\eaglep3-reporting\EC\2016-09-06-refined-times.txt</v>
      </c>
      <c r="AI110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{"issue":{"subject":"","project_id":79,"tracker_id":40,"status_id":1,"priority_id":2,"assigned_to_id":23,"start_date":"2016-09-06","description":"","custom_fields":[{"id":1,"name":"Subdivision","value":"EC"},{"id":4,"name":"Milepost","value":"23.2833"},{"id":17,"name":"Train ID","value":"198-06"},{"id":16,"name":"Locomotive ID","value":"4026"},{"id":130,"name":"Impact","value":""},{"id":150,"name":"Time of Event (Mountain Time)","value":"17:22:42"},{"id":151,"name":"Denver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469</v>
      </c>
      <c r="B111" s="7">
        <v>4029</v>
      </c>
      <c r="C111" s="24" t="s">
        <v>112</v>
      </c>
      <c r="D111" s="24" t="s">
        <v>157</v>
      </c>
      <c r="E111" s="15">
        <v>42619.662858796299</v>
      </c>
      <c r="F111" s="15">
        <v>42619.666817129626</v>
      </c>
      <c r="G111" s="7">
        <v>1</v>
      </c>
      <c r="H111" s="15" t="s">
        <v>273</v>
      </c>
      <c r="I111" s="15">
        <v>42619.693171296298</v>
      </c>
      <c r="J111" s="7">
        <v>0</v>
      </c>
      <c r="K111" s="132" t="str">
        <f t="shared" si="23"/>
        <v>4029/4030</v>
      </c>
      <c r="L111" s="24" t="e">
        <f>VLOOKUP(A111,'Trips&amp;Operators'!$C$1:$E$10000,3,FALSE)</f>
        <v>#N/A</v>
      </c>
      <c r="M111" s="6">
        <f t="shared" si="24"/>
        <v>2.6354166671808343E-2</v>
      </c>
      <c r="N111" s="7">
        <f t="shared" si="38"/>
        <v>37.950000007404014</v>
      </c>
      <c r="O111" s="7"/>
      <c r="P111" s="7"/>
      <c r="Q111" s="25"/>
      <c r="R111" s="25"/>
      <c r="S111" s="37">
        <f t="shared" si="25"/>
        <v>1</v>
      </c>
      <c r="T111" s="52" t="str">
        <f t="shared" si="26"/>
        <v>NorthBound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14:54:31-0600',mode:absolute,to:'2016-09-06 17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11" s="54" t="str">
        <f t="shared" si="28"/>
        <v>N</v>
      </c>
      <c r="X111" s="120">
        <f t="shared" si="40"/>
        <v>1</v>
      </c>
      <c r="Y111" s="69">
        <f t="shared" si="29"/>
        <v>4.4699999999999997E-2</v>
      </c>
      <c r="Z111" s="69">
        <f t="shared" si="30"/>
        <v>23.333600000000001</v>
      </c>
      <c r="AA111" s="69">
        <f t="shared" si="31"/>
        <v>23.288900000000002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32"/>
        <v>0199-06</v>
      </c>
      <c r="AE111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11" s="96" t="str">
        <f t="shared" si="34"/>
        <v>"C:\Program Files (x86)\AstroGrep\AstroGrep.exe" /spath="%USERPROFILE%\AppData\Local\Temp\OnboardLogs" /stypes="*4029*20160906*" /stext=" 22:.+((SYSTEM_STATE.+slice.+state.+changed )|(ment ac)|(system.+state.+changed )|(\|lc)|(penalty)|(\[timeout)|(PRM\|1\|D)|(kpr)|(kdp))" /e /r /s</v>
      </c>
      <c r="AG111" s="1" t="str">
        <f t="shared" si="35"/>
        <v>EC</v>
      </c>
      <c r="AH111" s="100" t="str">
        <f t="shared" si="36"/>
        <v>"%USERPROFILE%\Documents\GitHub\eaglep3\Utilities\RefineRTDCRunTimes.py" --tripid 199-06 --locoid 4029 --swversion DE.1.0.7.0 --startMP 204:447 --initTime 2016-09-06T15:54:31 --startdatetime 2016-09-06T16:00:13 --delay 1 --endMP 204:233336 --enddatetime 2016-09-06T16:38:10 --enforcementcount 0 &gt;&gt;C:\Users\stu\Documents\GitHub\eaglep3-reporting\EC\2016-09-06-refined-times.txt</v>
      </c>
      <c r="AI111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{"issue":{"subject":"","project_id":79,"tracker_id":40,"status_id":1,"priority_id":2,"assigned_to_id":23,"start_date":"2016-09-06","description":"","custom_fields":[{"id":1,"name":"Subdivision","value":"EC"},{"id":4,"name":"Milepost","value":"23.2889"},{"id":17,"name":"Train ID","value":"199-06"},{"id":16,"name":"Locomotive ID","value":"4029"},{"id":130,"name":"Impact","value":""},{"id":150,"name":"Time of Event (Mountain Time)","value":"16:38:10"},{"id":151,"name":"Denver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480</v>
      </c>
      <c r="B112" s="7">
        <v>4030</v>
      </c>
      <c r="C112" s="24" t="s">
        <v>112</v>
      </c>
      <c r="D112" s="24" t="s">
        <v>575</v>
      </c>
      <c r="E112" s="15">
        <v>42619.698483796295</v>
      </c>
      <c r="F112" s="15">
        <v>42619.705775462964</v>
      </c>
      <c r="G112" s="7">
        <v>1</v>
      </c>
      <c r="H112" s="15" t="s">
        <v>564</v>
      </c>
      <c r="I112" s="15">
        <v>42619.733726851853</v>
      </c>
      <c r="J112" s="7">
        <v>0</v>
      </c>
      <c r="K112" s="132" t="str">
        <f t="shared" si="23"/>
        <v>4029/4030</v>
      </c>
      <c r="L112" s="24" t="e">
        <f>VLOOKUP(A112,'Trips&amp;Operators'!$C$1:$E$10000,3,FALSE)</f>
        <v>#N/A</v>
      </c>
      <c r="M112" s="6">
        <f t="shared" si="24"/>
        <v>2.7951388889050577E-2</v>
      </c>
      <c r="N112" s="7">
        <f t="shared" si="38"/>
        <v>40.250000000232831</v>
      </c>
      <c r="O112" s="7"/>
      <c r="P112" s="7"/>
      <c r="Q112" s="25"/>
      <c r="R112" s="25"/>
      <c r="S112" s="37">
        <f t="shared" si="25"/>
        <v>1</v>
      </c>
      <c r="T112" s="52" t="str">
        <f t="shared" si="26"/>
        <v>Southbound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15:45:49-0600',mode:absolute,to:'2016-09-06 18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12" s="54" t="str">
        <f t="shared" si="28"/>
        <v>N</v>
      </c>
      <c r="X112" s="120">
        <f t="shared" ref="X112:X143" si="41">VALUE(LEFT(AD112,4))-VALUE(LEFT(AD111,4))</f>
        <v>1</v>
      </c>
      <c r="Y112" s="69">
        <f t="shared" si="29"/>
        <v>23.301300000000001</v>
      </c>
      <c r="Z112" s="69">
        <f t="shared" si="30"/>
        <v>1.34E-2</v>
      </c>
      <c r="AA112" s="69">
        <f t="shared" si="31"/>
        <v>23.2879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32"/>
        <v>0200-06</v>
      </c>
      <c r="AE112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112" s="96" t="str">
        <f t="shared" si="34"/>
        <v>"C:\Program Files (x86)\AstroGrep\AstroGrep.exe" /spath="%USERPROFILE%\AppData\Local\Temp\OnboardLogs" /stypes="*4030*20160906*" /stext=" 23:.+((SYSTEM_STATE.+slice.+state.+changed )|(ment ac)|(system.+state.+changed )|(\|lc)|(penalty)|(\[timeout)|(PRM\|1\|D)|(kpr)|(kdp))" /e /r /s</v>
      </c>
      <c r="AG112" s="1" t="str">
        <f t="shared" si="35"/>
        <v>EC</v>
      </c>
      <c r="AH112" s="100" t="str">
        <f t="shared" si="36"/>
        <v>"%USERPROFILE%\Documents\GitHub\eaglep3\Utilities\RefineRTDCRunTimes.py" --tripid 200-06 --locoid 4030 --swversion DE.1.0.7.0 --startMP 204:233013 --initTime 2016-09-06T16:45:49 --startdatetime 2016-09-06T16:56:19 --delay 1 --endMP 204:134 --enddatetime 2016-09-06T17:36:34 --enforcementcount 0 &gt;&gt;C:\Users\stu\Documents\GitHub\eaglep3-reporting\EC\2016-09-06-refined-times.txt</v>
      </c>
      <c r="AI112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{"issue":{"subject":"","project_id":79,"tracker_id":40,"status_id":1,"priority_id":2,"assigned_to_id":23,"start_date":"2016-09-06","description":"","custom_fields":[{"id":1,"name":"Subdivision","value":"EC"},{"id":4,"name":"Milepost","value":"23.2879"},{"id":17,"name":"Train ID","value":"200-06"},{"id":16,"name":"Locomotive ID","value":"4030"},{"id":130,"name":"Impact","value":""},{"id":150,"name":"Time of Event (Mountain Time)","value":"17:36:34"},{"id":151,"name":"Denver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471</v>
      </c>
      <c r="B113" s="7">
        <v>4011</v>
      </c>
      <c r="C113" s="24" t="s">
        <v>112</v>
      </c>
      <c r="D113" s="24" t="s">
        <v>278</v>
      </c>
      <c r="E113" s="15">
        <v>42619.672442129631</v>
      </c>
      <c r="F113" s="15">
        <v>42619.677361111113</v>
      </c>
      <c r="G113" s="7">
        <v>2</v>
      </c>
      <c r="H113" s="15" t="s">
        <v>232</v>
      </c>
      <c r="I113" s="15">
        <v>42619.703773148147</v>
      </c>
      <c r="J113" s="7">
        <v>0</v>
      </c>
      <c r="K113" s="132" t="str">
        <f t="shared" si="23"/>
        <v>4011/4012</v>
      </c>
      <c r="L113" s="24" t="e">
        <f>VLOOKUP(A113,'Trips&amp;Operators'!$C$1:$E$10000,3,FALSE)</f>
        <v>#N/A</v>
      </c>
      <c r="M113" s="6">
        <f t="shared" si="24"/>
        <v>2.6412037033878732E-2</v>
      </c>
      <c r="N113" s="7">
        <f t="shared" si="38"/>
        <v>38.033333328785375</v>
      </c>
      <c r="O113" s="7"/>
      <c r="P113" s="7"/>
      <c r="Q113" s="25"/>
      <c r="R113" s="25"/>
      <c r="S113" s="37">
        <f t="shared" si="25"/>
        <v>1</v>
      </c>
      <c r="T113" s="52" t="str">
        <f t="shared" si="26"/>
        <v>NorthBound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15:08:19-0600',mode:absolute,to:'2016-09-06 17:53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13" s="54" t="str">
        <f t="shared" si="28"/>
        <v>N</v>
      </c>
      <c r="X113" s="120">
        <f t="shared" si="41"/>
        <v>1</v>
      </c>
      <c r="Y113" s="69">
        <f t="shared" si="29"/>
        <v>4.4600000000000001E-2</v>
      </c>
      <c r="Z113" s="69">
        <f t="shared" si="30"/>
        <v>23.331199999999999</v>
      </c>
      <c r="AA113" s="69">
        <f t="shared" si="31"/>
        <v>23.2866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32"/>
        <v>0201-06</v>
      </c>
      <c r="AE113" s="99" t="str">
        <f t="shared" si="33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113" s="96" t="str">
        <f t="shared" si="34"/>
        <v>"C:\Program Files (x86)\AstroGrep\AstroGrep.exe" /spath="%USERPROFILE%\AppData\Local\Temp\OnboardLogs" /stypes="*4011*20160906*" /stext=" 22:.+((SYSTEM_STATE.+slice.+state.+changed )|(ment ac)|(system.+state.+changed )|(\|lc)|(penalty)|(\[timeout)|(PRM\|1\|D)|(kpr)|(kdp))" /e /r /s</v>
      </c>
      <c r="AG113" s="1" t="str">
        <f t="shared" si="35"/>
        <v>EC</v>
      </c>
      <c r="AH113" s="100" t="str">
        <f t="shared" si="36"/>
        <v>"%USERPROFILE%\Documents\GitHub\eaglep3\Utilities\RefineRTDCRunTimes.py" --tripid 201-06 --locoid 4011 --swversion DE.1.0.7.0 --startMP 204:446 --initTime 2016-09-06T16:08:19 --startdatetime 2016-09-06T16:15:24 --delay 2 --endMP 204:233312 --enddatetime 2016-09-06T16:53:26 --enforcementcount 0 &gt;&gt;C:\Users\stu\Documents\GitHub\eaglep3-reporting\EC\2016-09-06-refined-times.txt</v>
      </c>
      <c r="AI113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{"issue":{"subject":"","project_id":79,"tracker_id":40,"status_id":1,"priority_id":2,"assigned_to_id":23,"start_date":"2016-09-06","description":"","custom_fields":[{"id":1,"name":"Subdivision","value":"EC"},{"id":4,"name":"Milepost","value":"23.2866"},{"id":17,"name":"Train ID","value":"201-06"},{"id":16,"name":"Locomotive ID","value":"4011"},{"id":130,"name":"Impact","value":""},{"id":150,"name":"Time of Event (Mountain Time)","value":"16:53:26"},{"id":151,"name":"Denver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482</v>
      </c>
      <c r="B114" s="7">
        <v>4012</v>
      </c>
      <c r="C114" s="24" t="s">
        <v>112</v>
      </c>
      <c r="D114" s="24" t="s">
        <v>599</v>
      </c>
      <c r="E114" s="15">
        <v>42619.706990740742</v>
      </c>
      <c r="F114" s="15">
        <v>42619.716087962966</v>
      </c>
      <c r="G114" s="7">
        <v>1</v>
      </c>
      <c r="H114" s="15" t="s">
        <v>150</v>
      </c>
      <c r="I114" s="15">
        <v>42619.743333333332</v>
      </c>
      <c r="J114" s="7">
        <v>0</v>
      </c>
      <c r="K114" s="132" t="str">
        <f t="shared" si="23"/>
        <v>4011/4012</v>
      </c>
      <c r="L114" s="24" t="e">
        <f>VLOOKUP(A114,'Trips&amp;Operators'!$C$1:$E$10000,3,FALSE)</f>
        <v>#N/A</v>
      </c>
      <c r="M114" s="6">
        <f t="shared" si="24"/>
        <v>2.7245370365562849E-2</v>
      </c>
      <c r="N114" s="7">
        <f t="shared" si="38"/>
        <v>39.233333326410502</v>
      </c>
      <c r="O114" s="7"/>
      <c r="P114" s="7"/>
      <c r="Q114" s="25"/>
      <c r="R114" s="25"/>
      <c r="S114" s="37">
        <f t="shared" si="25"/>
        <v>1</v>
      </c>
      <c r="T114" s="52" t="str">
        <f t="shared" si="26"/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15:58:04-0600',mode:absolute,to:'2016-09-06 18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14" s="54" t="str">
        <f t="shared" si="28"/>
        <v>N</v>
      </c>
      <c r="X114" s="120">
        <f t="shared" si="41"/>
        <v>1</v>
      </c>
      <c r="Y114" s="69">
        <f t="shared" si="29"/>
        <v>23.2973</v>
      </c>
      <c r="Z114" s="69">
        <f t="shared" si="30"/>
        <v>1.52E-2</v>
      </c>
      <c r="AA114" s="69">
        <f t="shared" si="31"/>
        <v>23.2821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32"/>
        <v>0202-06</v>
      </c>
      <c r="AE114" s="99" t="str">
        <f t="shared" si="33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114" s="96" t="str">
        <f t="shared" si="34"/>
        <v>"C:\Program Files (x86)\AstroGrep\AstroGrep.exe" /spath="%USERPROFILE%\AppData\Local\Temp\OnboardLogs" /stypes="*4012*20160906*" /stext=" 23:.+((SYSTEM_STATE.+slice.+state.+changed )|(ment ac)|(system.+state.+changed )|(\|lc)|(penalty)|(\[timeout)|(PRM\|1\|D)|(kpr)|(kdp))" /e /r /s</v>
      </c>
      <c r="AG114" s="1" t="str">
        <f t="shared" si="35"/>
        <v>EC</v>
      </c>
      <c r="AH114" s="100" t="str">
        <f t="shared" si="36"/>
        <v>"%USERPROFILE%\Documents\GitHub\eaglep3\Utilities\RefineRTDCRunTimes.py" --tripid 202-06 --locoid 4012 --swversion DE.1.0.7.0 --startMP 204:232973 --initTime 2016-09-06T16:58:04 --startdatetime 2016-09-06T17:11:10 --delay 1 --endMP 204:152 --enddatetime 2016-09-06T17:50:24 --enforcementcount 0 &gt;&gt;C:\Users\stu\Documents\GitHub\eaglep3-reporting\EC\2016-09-06-refined-times.txt</v>
      </c>
      <c r="AI114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{"issue":{"subject":"","project_id":79,"tracker_id":40,"status_id":1,"priority_id":2,"assigned_to_id":23,"start_date":"2016-09-06","description":"","custom_fields":[{"id":1,"name":"Subdivision","value":"EC"},{"id":4,"name":"Milepost","value":"23.2821"},{"id":17,"name":"Train ID","value":"202-06"},{"id":16,"name":"Locomotive ID","value":"4012"},{"id":130,"name":"Impact","value":""},{"id":150,"name":"Time of Event (Mountain Time)","value":"17:50:24"},{"id":151,"name":"Denver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475</v>
      </c>
      <c r="B115" s="7">
        <v>4002</v>
      </c>
      <c r="C115" s="24" t="s">
        <v>112</v>
      </c>
      <c r="D115" s="24" t="s">
        <v>223</v>
      </c>
      <c r="E115" s="15">
        <v>42619.682673611111</v>
      </c>
      <c r="F115" s="15">
        <v>42619.687974537039</v>
      </c>
      <c r="G115" s="7">
        <v>1</v>
      </c>
      <c r="H115" s="15" t="s">
        <v>581</v>
      </c>
      <c r="I115" s="15">
        <v>42619.71371527778</v>
      </c>
      <c r="J115" s="7">
        <v>0</v>
      </c>
      <c r="K115" s="132" t="str">
        <f t="shared" si="23"/>
        <v>4001/4002</v>
      </c>
      <c r="L115" s="24" t="e">
        <f>VLOOKUP(A115,'Trips&amp;Operators'!$C$1:$E$10000,3,FALSE)</f>
        <v>#N/A</v>
      </c>
      <c r="M115" s="6">
        <f t="shared" si="24"/>
        <v>2.5740740740729962E-2</v>
      </c>
      <c r="N115" s="7">
        <f t="shared" si="38"/>
        <v>37.066666666651145</v>
      </c>
      <c r="O115" s="7"/>
      <c r="P115" s="7"/>
      <c r="Q115" s="25"/>
      <c r="R115" s="25"/>
      <c r="S115" s="37">
        <f t="shared" si="25"/>
        <v>1</v>
      </c>
      <c r="T115" s="52" t="str">
        <f t="shared" si="26"/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15:23:03-0600',mode:absolute,to:'2016-09-06 18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15" s="54" t="str">
        <f t="shared" si="28"/>
        <v>N</v>
      </c>
      <c r="X115" s="120">
        <f t="shared" si="41"/>
        <v>1</v>
      </c>
      <c r="Y115" s="69">
        <f t="shared" si="29"/>
        <v>4.4400000000000002E-2</v>
      </c>
      <c r="Z115" s="69">
        <f t="shared" si="30"/>
        <v>23.33</v>
      </c>
      <c r="AA115" s="69">
        <f t="shared" si="31"/>
        <v>23.285599999999999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32"/>
        <v>0203-06</v>
      </c>
      <c r="AE115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15" s="96" t="str">
        <f t="shared" si="34"/>
        <v>"C:\Program Files (x86)\AstroGrep\AstroGrep.exe" /spath="%USERPROFILE%\AppData\Local\Temp\OnboardLogs" /stypes="*4002*20160906*" /stext=" 23:.+((SYSTEM_STATE.+slice.+state.+changed )|(ment ac)|(system.+state.+changed )|(\|lc)|(penalty)|(\[timeout)|(PRM\|1\|D)|(kpr)|(kdp))" /e /r /s</v>
      </c>
      <c r="AG115" s="1" t="str">
        <f t="shared" si="35"/>
        <v>EC</v>
      </c>
      <c r="AH115" s="100" t="str">
        <f t="shared" si="36"/>
        <v>"%USERPROFILE%\Documents\GitHub\eaglep3\Utilities\RefineRTDCRunTimes.py" --tripid 203-06 --locoid 4002 --swversion DE.1.0.7.0 --startMP 204:444 --initTime 2016-09-06T16:23:03 --startdatetime 2016-09-06T16:30:41 --delay 1 --endMP 204:233300 --enddatetime 2016-09-06T17:07:45 --enforcementcount 0 &gt;&gt;C:\Users\stu\Documents\GitHub\eaglep3-reporting\EC\2016-09-06-refined-times.txt</v>
      </c>
      <c r="AI115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{"issue":{"subject":"","project_id":79,"tracker_id":40,"status_id":1,"priority_id":2,"assigned_to_id":23,"start_date":"2016-09-06","description":"","custom_fields":[{"id":1,"name":"Subdivision","value":"EC"},{"id":4,"name":"Milepost","value":"23.2856"},{"id":17,"name":"Train ID","value":"203-06"},{"id":16,"name":"Locomotive ID","value":"4002"},{"id":130,"name":"Impact","value":""},{"id":150,"name":"Time of Event (Mountain Time)","value":"17:07:45"},{"id":151,"name":"Denver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486</v>
      </c>
      <c r="B116" s="7">
        <v>4001</v>
      </c>
      <c r="C116" s="24" t="s">
        <v>112</v>
      </c>
      <c r="D116" s="24" t="s">
        <v>594</v>
      </c>
      <c r="E116" s="15">
        <v>42619.722037037034</v>
      </c>
      <c r="F116" s="15">
        <v>42619.726724537039</v>
      </c>
      <c r="G116" s="7">
        <v>1</v>
      </c>
      <c r="H116" s="15" t="s">
        <v>215</v>
      </c>
      <c r="I116" s="15">
        <v>42619.75708333333</v>
      </c>
      <c r="J116" s="7">
        <v>0</v>
      </c>
      <c r="K116" s="132" t="str">
        <f t="shared" si="23"/>
        <v>4001/4002</v>
      </c>
      <c r="L116" s="24" t="e">
        <f>VLOOKUP(A116,'Trips&amp;Operators'!$C$1:$E$10000,3,FALSE)</f>
        <v>#N/A</v>
      </c>
      <c r="M116" s="6">
        <f t="shared" si="24"/>
        <v>3.0358796291693579E-2</v>
      </c>
      <c r="N116" s="7">
        <f t="shared" si="38"/>
        <v>43.716666660038754</v>
      </c>
      <c r="O116" s="7"/>
      <c r="P116" s="7"/>
      <c r="Q116" s="25"/>
      <c r="R116" s="25"/>
      <c r="S116" s="37">
        <f t="shared" si="25"/>
        <v>1</v>
      </c>
      <c r="T116" s="52" t="str">
        <f t="shared" si="26"/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16:19:44-0600',mode:absolute,to:'2016-09-06 19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16" s="54" t="str">
        <f t="shared" si="28"/>
        <v>N</v>
      </c>
      <c r="X116" s="120">
        <f t="shared" si="41"/>
        <v>1</v>
      </c>
      <c r="Y116" s="69">
        <f t="shared" si="29"/>
        <v>23.299299999999999</v>
      </c>
      <c r="Z116" s="69">
        <f t="shared" si="30"/>
        <v>1.6299999999999999E-2</v>
      </c>
      <c r="AA116" s="69">
        <f t="shared" si="31"/>
        <v>23.282999999999998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32"/>
        <v>0204-06</v>
      </c>
      <c r="AE116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16" s="96" t="str">
        <f t="shared" si="34"/>
        <v>"C:\Program Files (x86)\AstroGrep\AstroGrep.exe" /spath="%USERPROFILE%\AppData\Local\Temp\OnboardLogs" /stypes="*4001*20160907*" /stext=" 00:.+((SYSTEM_STATE.+slice.+state.+changed )|(ment ac)|(system.+state.+changed )|(\|lc)|(penalty)|(\[timeout)|(PRM\|1\|D)|(kpr)|(kdp))" /e /r /s</v>
      </c>
      <c r="AG116" s="1" t="str">
        <f t="shared" si="35"/>
        <v>EC</v>
      </c>
      <c r="AH116" s="100" t="str">
        <f t="shared" si="36"/>
        <v>"%USERPROFILE%\Documents\GitHub\eaglep3\Utilities\RefineRTDCRunTimes.py" --tripid 204-06 --locoid 4001 --swversion DE.1.0.7.0 --startMP 204:232993 --initTime 2016-09-06T17:19:44 --startdatetime 2016-09-06T17:26:29 --delay 1 --endMP 204:163 --enddatetime 2016-09-06T18:10:12 --enforcementcount 0 &gt;&gt;C:\Users\stu\Documents\GitHub\eaglep3-reporting\EC\2016-09-06-refined-times.txt</v>
      </c>
      <c r="AI116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{"issue":{"subject":"","project_id":79,"tracker_id":40,"status_id":1,"priority_id":2,"assigned_to_id":23,"start_date":"2016-09-06","description":"","custom_fields":[{"id":1,"name":"Subdivision","value":"EC"},{"id":4,"name":"Milepost","value":"23.283"},{"id":17,"name":"Train ID","value":"204-06"},{"id":16,"name":"Locomotive ID","value":"4001"},{"id":130,"name":"Impact","value":""},{"id":150,"name":"Time of Event (Mountain Time)","value":"18:10:12"},{"id":151,"name":"Denver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479</v>
      </c>
      <c r="B117" s="7">
        <v>4042</v>
      </c>
      <c r="C117" s="24" t="s">
        <v>112</v>
      </c>
      <c r="D117" s="24" t="s">
        <v>153</v>
      </c>
      <c r="E117" s="15">
        <v>42619.695590277777</v>
      </c>
      <c r="F117" s="15">
        <v>42619.698287037034</v>
      </c>
      <c r="G117" s="7">
        <v>1</v>
      </c>
      <c r="H117" s="15" t="s">
        <v>255</v>
      </c>
      <c r="I117" s="15">
        <v>42619.72278935185</v>
      </c>
      <c r="J117" s="7">
        <v>0</v>
      </c>
      <c r="K117" s="132" t="str">
        <f t="shared" si="23"/>
        <v>4041/4042</v>
      </c>
      <c r="L117" s="24" t="e">
        <f>VLOOKUP(A117,'Trips&amp;Operators'!$C$1:$E$10000,3,FALSE)</f>
        <v>#N/A</v>
      </c>
      <c r="M117" s="6">
        <f t="shared" si="24"/>
        <v>2.4502314816345461E-2</v>
      </c>
      <c r="N117" s="7">
        <f t="shared" si="38"/>
        <v>35.283333335537463</v>
      </c>
      <c r="O117" s="7"/>
      <c r="P117" s="7"/>
      <c r="Q117" s="25"/>
      <c r="R117" s="25"/>
      <c r="S117" s="37">
        <f t="shared" si="25"/>
        <v>1</v>
      </c>
      <c r="T117" s="52" t="str">
        <f t="shared" si="26"/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15:41:39-0600',mode:absolute,to:'2016-09-06 18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17" s="54" t="str">
        <f t="shared" si="28"/>
        <v>N</v>
      </c>
      <c r="X117" s="120">
        <f t="shared" si="41"/>
        <v>1</v>
      </c>
      <c r="Y117" s="69">
        <f t="shared" si="29"/>
        <v>4.7100000000000003E-2</v>
      </c>
      <c r="Z117" s="69">
        <f t="shared" si="30"/>
        <v>23.329899999999999</v>
      </c>
      <c r="AA117" s="69">
        <f t="shared" si="31"/>
        <v>23.282799999999998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32"/>
        <v>0205-06</v>
      </c>
      <c r="AE117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17" s="96" t="str">
        <f t="shared" si="34"/>
        <v>"C:\Program Files (x86)\AstroGrep\AstroGrep.exe" /spath="%USERPROFILE%\AppData\Local\Temp\OnboardLogs" /stypes="*4042*20160906*" /stext=" 23:.+((SYSTEM_STATE.+slice.+state.+changed )|(ment ac)|(system.+state.+changed )|(\|lc)|(penalty)|(\[timeout)|(PRM\|1\|D)|(kpr)|(kdp))" /e /r /s</v>
      </c>
      <c r="AG117" s="1" t="str">
        <f t="shared" si="35"/>
        <v>EC</v>
      </c>
      <c r="AH117" s="100" t="str">
        <f t="shared" si="36"/>
        <v>"%USERPROFILE%\Documents\GitHub\eaglep3\Utilities\RefineRTDCRunTimes.py" --tripid 205-06 --locoid 4042 --swversion DE.1.0.7.0 --startMP 204:471 --initTime 2016-09-06T16:41:39 --startdatetime 2016-09-06T16:45:32 --delay 1 --endMP 204:233299 --enddatetime 2016-09-06T17:20:49 --enforcementcount 0 &gt;&gt;C:\Users\stu\Documents\GitHub\eaglep3-reporting\EC\2016-09-06-refined-times.txt</v>
      </c>
      <c r="AI117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{"issue":{"subject":"","project_id":79,"tracker_id":40,"status_id":1,"priority_id":2,"assigned_to_id":23,"start_date":"2016-09-06","description":"","custom_fields":[{"id":1,"name":"Subdivision","value":"EC"},{"id":4,"name":"Milepost","value":"23.2828"},{"id":17,"name":"Train ID","value":"205-06"},{"id":16,"name":"Locomotive ID","value":"4042"},{"id":130,"name":"Impact","value":""},{"id":150,"name":"Time of Event (Mountain Time)","value":"17:20:49"},{"id":151,"name":"Denver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489</v>
      </c>
      <c r="B118" s="7">
        <v>4041</v>
      </c>
      <c r="C118" s="24" t="s">
        <v>112</v>
      </c>
      <c r="D118" s="24" t="s">
        <v>267</v>
      </c>
      <c r="E118" s="15">
        <v>42619.732766203706</v>
      </c>
      <c r="F118" s="15">
        <v>42619.736979166664</v>
      </c>
      <c r="G118" s="7">
        <v>1</v>
      </c>
      <c r="H118" s="15" t="s">
        <v>158</v>
      </c>
      <c r="I118" s="15">
        <v>42619.764201388891</v>
      </c>
      <c r="J118" s="7">
        <v>0</v>
      </c>
      <c r="K118" s="132" t="str">
        <f t="shared" si="23"/>
        <v>4041/4042</v>
      </c>
      <c r="L118" s="24" t="e">
        <f>VLOOKUP(A118,'Trips&amp;Operators'!$C$1:$E$10000,3,FALSE)</f>
        <v>#N/A</v>
      </c>
      <c r="M118" s="6">
        <f t="shared" si="24"/>
        <v>2.7222222226555459E-2</v>
      </c>
      <c r="N118" s="7">
        <f t="shared" si="38"/>
        <v>39.200000006239861</v>
      </c>
      <c r="O118" s="7"/>
      <c r="P118" s="7"/>
      <c r="Q118" s="25"/>
      <c r="R118" s="25"/>
      <c r="S118" s="37">
        <f t="shared" si="25"/>
        <v>1</v>
      </c>
      <c r="T118" s="52" t="str">
        <f t="shared" si="26"/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16:35:11-0600',mode:absolute,to:'2016-09-06 19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18" s="54" t="str">
        <f t="shared" si="28"/>
        <v>N</v>
      </c>
      <c r="X118" s="120">
        <f t="shared" si="41"/>
        <v>1</v>
      </c>
      <c r="Y118" s="69">
        <f t="shared" si="29"/>
        <v>23.298400000000001</v>
      </c>
      <c r="Z118" s="69">
        <f t="shared" si="30"/>
        <v>1.6E-2</v>
      </c>
      <c r="AA118" s="69">
        <f t="shared" si="31"/>
        <v>23.282400000000003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32"/>
        <v>0206-06</v>
      </c>
      <c r="AE118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18" s="96" t="str">
        <f t="shared" si="34"/>
        <v>"C:\Program Files (x86)\AstroGrep\AstroGrep.exe" /spath="%USERPROFILE%\AppData\Local\Temp\OnboardLogs" /stypes="*4041*20160907*" /stext=" 00:.+((SYSTEM_STATE.+slice.+state.+changed )|(ment ac)|(system.+state.+changed )|(\|lc)|(penalty)|(\[timeout)|(PRM\|1\|D)|(kpr)|(kdp))" /e /r /s</v>
      </c>
      <c r="AG118" s="1" t="str">
        <f t="shared" si="35"/>
        <v>EC</v>
      </c>
      <c r="AH118" s="100" t="str">
        <f t="shared" si="36"/>
        <v>"%USERPROFILE%\Documents\GitHub\eaglep3\Utilities\RefineRTDCRunTimes.py" --tripid 206-06 --locoid 4041 --swversion DE.1.0.7.0 --startMP 204:232984 --initTime 2016-09-06T17:35:11 --startdatetime 2016-09-06T17:41:15 --delay 1 --endMP 204:160 --enddatetime 2016-09-06T18:20:27 --enforcementcount 0 &gt;&gt;C:\Users\stu\Documents\GitHub\eaglep3-reporting\EC\2016-09-06-refined-times.txt</v>
      </c>
      <c r="AI118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{"issue":{"subject":"","project_id":79,"tracker_id":40,"status_id":1,"priority_id":2,"assigned_to_id":23,"start_date":"2016-09-06","description":"","custom_fields":[{"id":1,"name":"Subdivision","value":"EC"},{"id":4,"name":"Milepost","value":"23.2824"},{"id":17,"name":"Train ID","value":"206-06"},{"id":16,"name":"Locomotive ID","value":"4041"},{"id":130,"name":"Impact","value":""},{"id":150,"name":"Time of Event (Mountain Time)","value":"18:20:27"},{"id":151,"name":"Denver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481</v>
      </c>
      <c r="B119" s="7">
        <v>4027</v>
      </c>
      <c r="C119" s="24" t="s">
        <v>112</v>
      </c>
      <c r="D119" s="24" t="s">
        <v>285</v>
      </c>
      <c r="E119" s="15">
        <v>42619.703032407408</v>
      </c>
      <c r="F119" s="15">
        <v>42619.708495370367</v>
      </c>
      <c r="G119" s="7">
        <v>1</v>
      </c>
      <c r="H119" s="15" t="s">
        <v>610</v>
      </c>
      <c r="I119" s="15">
        <v>42619.734467592592</v>
      </c>
      <c r="J119" s="7">
        <v>0</v>
      </c>
      <c r="K119" s="132" t="str">
        <f t="shared" si="23"/>
        <v>4027/4028</v>
      </c>
      <c r="L119" s="24" t="e">
        <f>VLOOKUP(A119,'Trips&amp;Operators'!$C$1:$E$10000,3,FALSE)</f>
        <v>#N/A</v>
      </c>
      <c r="M119" s="6">
        <f t="shared" si="24"/>
        <v>2.5972222225391306E-2</v>
      </c>
      <c r="N119" s="7">
        <f t="shared" si="38"/>
        <v>37.400000004563481</v>
      </c>
      <c r="O119" s="7"/>
      <c r="P119" s="7"/>
      <c r="Q119" s="25"/>
      <c r="R119" s="25"/>
      <c r="S119" s="37">
        <f t="shared" si="25"/>
        <v>1</v>
      </c>
      <c r="T119" s="52" t="str">
        <f t="shared" si="26"/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15:52:22-0600',mode:absolute,to:'2016-09-06 18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19" s="54" t="str">
        <f t="shared" si="28"/>
        <v>N</v>
      </c>
      <c r="X119" s="120">
        <f t="shared" si="41"/>
        <v>1</v>
      </c>
      <c r="Y119" s="69">
        <f t="shared" si="29"/>
        <v>4.3999999999999997E-2</v>
      </c>
      <c r="Z119" s="69">
        <f t="shared" si="30"/>
        <v>23.334599999999998</v>
      </c>
      <c r="AA119" s="69">
        <f t="shared" si="31"/>
        <v>23.290599999999998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32"/>
        <v>0207-06</v>
      </c>
      <c r="AE119" s="99" t="str">
        <f t="shared" si="33"/>
        <v>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 &amp; aws s3 cp s3://rtdc.mdm.uploadarchive/RTDC4027/2016-09-07/ "%USERPROFILE%\AppData\Local\Temp\OnboardLogs"\RTDC4027\2016-09-07 --recursive &amp; "%USERPROFILE%\Documents\GitHub\mrs-test-scripts\Headless Mode &amp; Sideloading\WalkAndUnGZ.bat" "%USERPROFILE%\AppData\Local\Temp\OnboardLogs"\RTDC4027\2016-09-07</v>
      </c>
      <c r="AF119" s="96" t="str">
        <f t="shared" si="34"/>
        <v>"C:\Program Files (x86)\AstroGrep\AstroGrep.exe" /spath="%USERPROFILE%\AppData\Local\Temp\OnboardLogs" /stypes="*4027*20160906*" /stext=" 23:.+((SYSTEM_STATE.+slice.+state.+changed )|(ment ac)|(system.+state.+changed )|(\|lc)|(penalty)|(\[timeout)|(PRM\|1\|D)|(kpr)|(kdp))" /e /r /s</v>
      </c>
      <c r="AG119" s="1" t="str">
        <f t="shared" si="35"/>
        <v>EC</v>
      </c>
      <c r="AH119" s="100" t="str">
        <f t="shared" si="36"/>
        <v>"%USERPROFILE%\Documents\GitHub\eaglep3\Utilities\RefineRTDCRunTimes.py" --tripid 207-06 --locoid 4027 --swversion DE.1.0.7.0 --startMP 204:440 --initTime 2016-09-06T16:52:22 --startdatetime 2016-09-06T17:00:14 --delay 1 --endMP 204:233346 --enddatetime 2016-09-06T17:37:38 --enforcementcount 0 &gt;&gt;C:\Users\stu\Documents\GitHub\eaglep3-reporting\EC\2016-09-06-refined-times.txt</v>
      </c>
      <c r="AI119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{"issue":{"subject":"","project_id":79,"tracker_id":40,"status_id":1,"priority_id":2,"assigned_to_id":23,"start_date":"2016-09-06","description":"","custom_fields":[{"id":1,"name":"Subdivision","value":"EC"},{"id":4,"name":"Milepost","value":"23.2906"},{"id":17,"name":"Train ID","value":"207-06"},{"id":16,"name":"Locomotive ID","value":"4027"},{"id":130,"name":"Impact","value":""},{"id":150,"name":"Time of Event (Mountain Time)","value":"17:37:38"},{"id":151,"name":"Denver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495</v>
      </c>
      <c r="B120" s="7">
        <v>4028</v>
      </c>
      <c r="C120" s="24" t="s">
        <v>112</v>
      </c>
      <c r="D120" s="24" t="s">
        <v>291</v>
      </c>
      <c r="E120" s="15">
        <v>42619.740914351853</v>
      </c>
      <c r="F120" s="15">
        <v>42619.74763888889</v>
      </c>
      <c r="G120" s="7">
        <v>1</v>
      </c>
      <c r="H120" s="15" t="s">
        <v>295</v>
      </c>
      <c r="I120" s="15">
        <v>42619.776342592595</v>
      </c>
      <c r="J120" s="7">
        <v>0</v>
      </c>
      <c r="K120" s="132" t="str">
        <f t="shared" si="23"/>
        <v>4027/4028</v>
      </c>
      <c r="L120" s="24" t="e">
        <f>VLOOKUP(A120,'Trips&amp;Operators'!$C$1:$E$10000,3,FALSE)</f>
        <v>#N/A</v>
      </c>
      <c r="M120" s="6">
        <f t="shared" si="24"/>
        <v>2.8703703705104999E-2</v>
      </c>
      <c r="N120" s="7">
        <f t="shared" si="38"/>
        <v>41.333333335351199</v>
      </c>
      <c r="O120" s="7"/>
      <c r="P120" s="7"/>
      <c r="Q120" s="25"/>
      <c r="R120" s="25"/>
      <c r="S120" s="37">
        <f t="shared" si="25"/>
        <v>1</v>
      </c>
      <c r="T120" s="52" t="str">
        <f t="shared" si="26"/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16:46:55-0600',mode:absolute,to:'2016-09-06 19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20" s="54" t="str">
        <f t="shared" si="28"/>
        <v>N</v>
      </c>
      <c r="X120" s="120">
        <f t="shared" si="41"/>
        <v>1</v>
      </c>
      <c r="Y120" s="69">
        <f t="shared" si="29"/>
        <v>23.298300000000001</v>
      </c>
      <c r="Z120" s="69">
        <f t="shared" si="30"/>
        <v>1.78E-2</v>
      </c>
      <c r="AA120" s="69">
        <f t="shared" si="31"/>
        <v>23.2805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32"/>
        <v>0208-06</v>
      </c>
      <c r="AE120" s="99" t="str">
        <f t="shared" si="33"/>
        <v>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 &amp; aws s3 cp s3://rtdc.mdm.uploadarchive/RTDC4028/2016-09-07/ "%USERPROFILE%\AppData\Local\Temp\OnboardLogs"\RTDC4028\2016-09-07 --recursive &amp; "%USERPROFILE%\Documents\GitHub\mrs-test-scripts\Headless Mode &amp; Sideloading\WalkAndUnGZ.bat" "%USERPROFILE%\AppData\Local\Temp\OnboardLogs"\RTDC4028\2016-09-07</v>
      </c>
      <c r="AF120" s="96" t="str">
        <f t="shared" si="34"/>
        <v>"C:\Program Files (x86)\AstroGrep\AstroGrep.exe" /spath="%USERPROFILE%\AppData\Local\Temp\OnboardLogs" /stypes="*4028*20160907*" /stext=" 00:.+((SYSTEM_STATE.+slice.+state.+changed )|(ment ac)|(system.+state.+changed )|(\|lc)|(penalty)|(\[timeout)|(PRM\|1\|D)|(kpr)|(kdp))" /e /r /s</v>
      </c>
      <c r="AG120" s="1" t="str">
        <f t="shared" si="35"/>
        <v>EC</v>
      </c>
      <c r="AH120" s="100" t="str">
        <f t="shared" si="36"/>
        <v>"%USERPROFILE%\Documents\GitHub\eaglep3\Utilities\RefineRTDCRunTimes.py" --tripid 208-06 --locoid 4028 --swversion DE.1.0.7.0 --startMP 204:232983 --initTime 2016-09-06T17:46:55 --startdatetime 2016-09-06T17:56:36 --delay 1 --endMP 204:178 --enddatetime 2016-09-06T18:37:56 --enforcementcount 0 &gt;&gt;C:\Users\stu\Documents\GitHub\eaglep3-reporting\EC\2016-09-06-refined-times.txt</v>
      </c>
      <c r="AI120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{"issue":{"subject":"","project_id":79,"tracker_id":40,"status_id":1,"priority_id":2,"assigned_to_id":23,"start_date":"2016-09-06","description":"","custom_fields":[{"id":1,"name":"Subdivision","value":"EC"},{"id":4,"name":"Milepost","value":"23.2805"},{"id":17,"name":"Train ID","value":"208-06"},{"id":16,"name":"Locomotive ID","value":"4028"},{"id":130,"name":"Impact","value":""},{"id":150,"name":"Time of Event (Mountain Time)","value":"18:37:56"},{"id":151,"name":"Denver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484</v>
      </c>
      <c r="B121" s="7">
        <v>4038</v>
      </c>
      <c r="C121" s="24" t="s">
        <v>112</v>
      </c>
      <c r="D121" s="24" t="s">
        <v>611</v>
      </c>
      <c r="E121" s="15">
        <v>42619.715937499997</v>
      </c>
      <c r="F121" s="15">
        <v>42619.719039351854</v>
      </c>
      <c r="G121" s="7">
        <v>2</v>
      </c>
      <c r="H121" s="15" t="s">
        <v>284</v>
      </c>
      <c r="I121" s="15">
        <v>42619.745925925927</v>
      </c>
      <c r="J121" s="7">
        <v>0</v>
      </c>
      <c r="K121" s="132" t="str">
        <f t="shared" si="23"/>
        <v>4037/4038</v>
      </c>
      <c r="L121" s="24" t="e">
        <f>VLOOKUP(A121,'Trips&amp;Operators'!$C$1:$E$10000,3,FALSE)</f>
        <v>#N/A</v>
      </c>
      <c r="M121" s="6">
        <f t="shared" si="24"/>
        <v>2.6886574072705116E-2</v>
      </c>
      <c r="N121" s="7">
        <f t="shared" si="38"/>
        <v>38.716666664695367</v>
      </c>
      <c r="O121" s="7"/>
      <c r="P121" s="7"/>
      <c r="Q121" s="25"/>
      <c r="R121" s="25"/>
      <c r="S121" s="37">
        <f t="shared" si="25"/>
        <v>1</v>
      </c>
      <c r="T121" s="52" t="str">
        <f t="shared" si="26"/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16:10:57-0600',mode:absolute,to:'2016-09-06 18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21" s="54" t="str">
        <f t="shared" si="28"/>
        <v>N</v>
      </c>
      <c r="X121" s="120">
        <f t="shared" si="41"/>
        <v>1</v>
      </c>
      <c r="Y121" s="69">
        <f t="shared" si="29"/>
        <v>5.1700000000000003E-2</v>
      </c>
      <c r="Z121" s="69">
        <f t="shared" si="30"/>
        <v>23.330500000000001</v>
      </c>
      <c r="AA121" s="69">
        <f t="shared" si="31"/>
        <v>23.2788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32"/>
        <v>0209-06</v>
      </c>
      <c r="AE121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21" s="96" t="str">
        <f t="shared" si="34"/>
        <v>"C:\Program Files (x86)\AstroGrep\AstroGrep.exe" /spath="%USERPROFILE%\AppData\Local\Temp\OnboardLogs" /stypes="*4038*20160906*" /stext=" 23:.+((SYSTEM_STATE.+slice.+state.+changed )|(ment ac)|(system.+state.+changed )|(\|lc)|(penalty)|(\[timeout)|(PRM\|1\|D)|(kpr)|(kdp))" /e /r /s</v>
      </c>
      <c r="AG121" s="1" t="str">
        <f t="shared" si="35"/>
        <v>EC</v>
      </c>
      <c r="AH121" s="100" t="str">
        <f t="shared" si="36"/>
        <v>"%USERPROFILE%\Documents\GitHub\eaglep3\Utilities\RefineRTDCRunTimes.py" --tripid 209-06 --locoid 4038 --swversion DE.1.0.7.0 --startMP 204:517 --initTime 2016-09-06T17:10:57 --startdatetime 2016-09-06T17:15:25 --delay 2 --endMP 204:233305 --enddatetime 2016-09-06T17:54:08 --enforcementcount 0 &gt;&gt;C:\Users\stu\Documents\GitHub\eaglep3-reporting\EC\2016-09-06-refined-times.txt</v>
      </c>
      <c r="AI121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{"issue":{"subject":"","project_id":79,"tracker_id":40,"status_id":1,"priority_id":2,"assigned_to_id":23,"start_date":"2016-09-06","description":"","custom_fields":[{"id":1,"name":"Subdivision","value":"EC"},{"id":4,"name":"Milepost","value":"23.2788"},{"id":17,"name":"Train ID","value":"209-06"},{"id":16,"name":"Locomotive ID","value":"4038"},{"id":130,"name":"Impact","value":""},{"id":150,"name":"Time of Event (Mountain Time)","value":"17:54:08"},{"id":151,"name":"Denver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500</v>
      </c>
      <c r="B122" s="7">
        <v>4037</v>
      </c>
      <c r="C122" s="24" t="s">
        <v>112</v>
      </c>
      <c r="D122" s="24" t="s">
        <v>240</v>
      </c>
      <c r="E122" s="15">
        <v>42619.749594907407</v>
      </c>
      <c r="F122" s="15">
        <v>42619.757893518516</v>
      </c>
      <c r="G122" s="7">
        <v>1</v>
      </c>
      <c r="H122" s="15" t="s">
        <v>296</v>
      </c>
      <c r="I122" s="15">
        <v>42619.785324074073</v>
      </c>
      <c r="J122" s="7">
        <v>0</v>
      </c>
      <c r="K122" s="132" t="str">
        <f t="shared" si="23"/>
        <v>4037/4038</v>
      </c>
      <c r="L122" s="24" t="e">
        <f>VLOOKUP(A122,'Trips&amp;Operators'!$C$1:$E$10000,3,FALSE)</f>
        <v>#N/A</v>
      </c>
      <c r="M122" s="6">
        <f t="shared" si="24"/>
        <v>2.7430555557657499E-2</v>
      </c>
      <c r="N122" s="7">
        <f t="shared" si="38"/>
        <v>39.500000003026798</v>
      </c>
      <c r="O122" s="7"/>
      <c r="P122" s="7"/>
      <c r="Q122" s="25"/>
      <c r="R122" s="25"/>
      <c r="S122" s="37">
        <f t="shared" si="25"/>
        <v>1</v>
      </c>
      <c r="T122" s="52" t="str">
        <f t="shared" si="26"/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16:59:25-0600',mode:absolute,to:'2016-09-06 19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22" s="54" t="str">
        <f t="shared" si="28"/>
        <v>N</v>
      </c>
      <c r="X122" s="120">
        <f t="shared" si="41"/>
        <v>1</v>
      </c>
      <c r="Y122" s="69">
        <f t="shared" si="29"/>
        <v>23.296900000000001</v>
      </c>
      <c r="Z122" s="69">
        <f t="shared" si="30"/>
        <v>1.6500000000000001E-2</v>
      </c>
      <c r="AA122" s="69">
        <f t="shared" si="31"/>
        <v>23.2804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32"/>
        <v>0210-06</v>
      </c>
      <c r="AE122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22" s="96" t="str">
        <f t="shared" si="34"/>
        <v>"C:\Program Files (x86)\AstroGrep\AstroGrep.exe" /spath="%USERPROFILE%\AppData\Local\Temp\OnboardLogs" /stypes="*4037*20160907*" /stext=" 00:.+((SYSTEM_STATE.+slice.+state.+changed )|(ment ac)|(system.+state.+changed )|(\|lc)|(penalty)|(\[timeout)|(PRM\|1\|D)|(kpr)|(kdp))" /e /r /s</v>
      </c>
      <c r="AG122" s="1" t="str">
        <f t="shared" si="35"/>
        <v>EC</v>
      </c>
      <c r="AH122" s="100" t="str">
        <f t="shared" si="36"/>
        <v>"%USERPROFILE%\Documents\GitHub\eaglep3\Utilities\RefineRTDCRunTimes.py" --tripid 210-06 --locoid 4037 --swversion DE.1.0.7.0 --startMP 204:232969 --initTime 2016-09-06T17:59:25 --startdatetime 2016-09-06T18:11:22 --delay 1 --endMP 204:165 --enddatetime 2016-09-06T18:50:52 --enforcementcount 0 &gt;&gt;C:\Users\stu\Documents\GitHub\eaglep3-reporting\EC\2016-09-06-refined-times.txt</v>
      </c>
      <c r="AI122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{"issue":{"subject":"","project_id":79,"tracker_id":40,"status_id":1,"priority_id":2,"assigned_to_id":23,"start_date":"2016-09-06","description":"","custom_fields":[{"id":1,"name":"Subdivision","value":"EC"},{"id":4,"name":"Milepost","value":"23.2804"},{"id":17,"name":"Train ID","value":"210-06"},{"id":16,"name":"Locomotive ID","value":"4037"},{"id":130,"name":"Impact","value":""},{"id":150,"name":"Time of Event (Mountain Time)","value":"18:50:52"},{"id":151,"name":"Denver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487</v>
      </c>
      <c r="B123" s="7">
        <v>4025</v>
      </c>
      <c r="C123" s="24" t="s">
        <v>112</v>
      </c>
      <c r="D123" s="24" t="s">
        <v>235</v>
      </c>
      <c r="E123" s="15">
        <v>42619.726469907408</v>
      </c>
      <c r="F123" s="15">
        <v>42619.729363425926</v>
      </c>
      <c r="G123" s="7">
        <v>1</v>
      </c>
      <c r="H123" s="15" t="s">
        <v>232</v>
      </c>
      <c r="I123" s="15">
        <v>42619.756504629629</v>
      </c>
      <c r="J123" s="7">
        <v>0</v>
      </c>
      <c r="K123" s="132" t="str">
        <f t="shared" si="23"/>
        <v>4025/4026</v>
      </c>
      <c r="L123" s="24" t="e">
        <f>VLOOKUP(A123,'Trips&amp;Operators'!$C$1:$E$10000,3,FALSE)</f>
        <v>#N/A</v>
      </c>
      <c r="M123" s="6">
        <f t="shared" si="24"/>
        <v>2.7141203703649808E-2</v>
      </c>
      <c r="N123" s="7">
        <f t="shared" si="38"/>
        <v>39.083333333255723</v>
      </c>
      <c r="O123" s="7"/>
      <c r="P123" s="7"/>
      <c r="Q123" s="25"/>
      <c r="R123" s="25"/>
      <c r="S123" s="37">
        <f t="shared" si="25"/>
        <v>1</v>
      </c>
      <c r="T123" s="52" t="str">
        <f t="shared" si="26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16:26:07-0600',mode:absolute,to:'2016-09-06 19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23" s="54" t="str">
        <f t="shared" si="28"/>
        <v>N</v>
      </c>
      <c r="X123" s="120">
        <f t="shared" si="41"/>
        <v>1</v>
      </c>
      <c r="Y123" s="69">
        <f t="shared" si="29"/>
        <v>4.6399999999999997E-2</v>
      </c>
      <c r="Z123" s="69">
        <f t="shared" si="30"/>
        <v>23.331199999999999</v>
      </c>
      <c r="AA123" s="69">
        <f t="shared" si="31"/>
        <v>23.284800000000001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32"/>
        <v>0211-06</v>
      </c>
      <c r="AE123" s="99" t="str">
        <f t="shared" si="33"/>
        <v>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 &amp; aws s3 cp s3://rtdc.mdm.uploadarchive/RTDC4025/2016-09-07/ "%USERPROFILE%\AppData\Local\Temp\OnboardLogs"\RTDC4025\2016-09-07 --recursive &amp; "%USERPROFILE%\Documents\GitHub\mrs-test-scripts\Headless Mode &amp; Sideloading\WalkAndUnGZ.bat" "%USERPROFILE%\AppData\Local\Temp\OnboardLogs"\RTDC4025\2016-09-07</v>
      </c>
      <c r="AF123" s="96" t="str">
        <f t="shared" si="34"/>
        <v>"C:\Program Files (x86)\AstroGrep\AstroGrep.exe" /spath="%USERPROFILE%\AppData\Local\Temp\OnboardLogs" /stypes="*4025*20160907*" /stext=" 00:.+((SYSTEM_STATE.+slice.+state.+changed )|(ment ac)|(system.+state.+changed )|(\|lc)|(penalty)|(\[timeout)|(PRM\|1\|D)|(kpr)|(kdp))" /e /r /s</v>
      </c>
      <c r="AG123" s="1" t="str">
        <f t="shared" si="35"/>
        <v>EC</v>
      </c>
      <c r="AH123" s="100" t="str">
        <f t="shared" si="36"/>
        <v>"%USERPROFILE%\Documents\GitHub\eaglep3\Utilities\RefineRTDCRunTimes.py" --tripid 211-06 --locoid 4025 --swversion DE.1.0.7.0 --startMP 204:464 --initTime 2016-09-06T17:26:07 --startdatetime 2016-09-06T17:30:17 --delay 1 --endMP 204:233312 --enddatetime 2016-09-06T18:09:22 --enforcementcount 0 &gt;&gt;C:\Users\stu\Documents\GitHub\eaglep3-reporting\EC\2016-09-06-refined-times.txt</v>
      </c>
      <c r="AI123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{"issue":{"subject":"","project_id":79,"tracker_id":40,"status_id":1,"priority_id":2,"assigned_to_id":23,"start_date":"2016-09-06","description":"","custom_fields":[{"id":1,"name":"Subdivision","value":"EC"},{"id":4,"name":"Milepost","value":"23.2848"},{"id":17,"name":"Train ID","value":"211-06"},{"id":16,"name":"Locomotive ID","value":"4025"},{"id":130,"name":"Impact","value":""},{"id":150,"name":"Time of Event (Mountain Time)","value":"18:09:22"},{"id":151,"name":"Denver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505</v>
      </c>
      <c r="B124" s="7">
        <v>4026</v>
      </c>
      <c r="C124" s="24" t="s">
        <v>112</v>
      </c>
      <c r="D124" s="24" t="s">
        <v>292</v>
      </c>
      <c r="E124" s="15">
        <v>42619.760451388887</v>
      </c>
      <c r="F124" s="15">
        <v>42619.768750000003</v>
      </c>
      <c r="G124" s="7">
        <v>1</v>
      </c>
      <c r="H124" s="15" t="s">
        <v>130</v>
      </c>
      <c r="I124" s="15">
        <v>42619.797222222223</v>
      </c>
      <c r="J124" s="7">
        <v>0</v>
      </c>
      <c r="K124" s="132" t="str">
        <f t="shared" si="23"/>
        <v>4025/4026</v>
      </c>
      <c r="L124" s="24" t="e">
        <f>VLOOKUP(A124,'Trips&amp;Operators'!$C$1:$E$10000,3,FALSE)</f>
        <v>#N/A</v>
      </c>
      <c r="M124" s="6">
        <f t="shared" si="24"/>
        <v>2.8472222220443655E-2</v>
      </c>
      <c r="N124" s="7">
        <f t="shared" si="38"/>
        <v>40.999999997438863</v>
      </c>
      <c r="O124" s="7"/>
      <c r="P124" s="7"/>
      <c r="Q124" s="25"/>
      <c r="R124" s="25"/>
      <c r="S124" s="37">
        <f t="shared" si="25"/>
        <v>1</v>
      </c>
      <c r="T124" s="52" t="str">
        <f t="shared" si="26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17:15:03-0600',mode:absolute,to:'2016-09-06 20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24" s="54" t="str">
        <f t="shared" si="28"/>
        <v>N</v>
      </c>
      <c r="X124" s="120">
        <f t="shared" si="41"/>
        <v>1</v>
      </c>
      <c r="Y124" s="69">
        <f t="shared" si="29"/>
        <v>23.300599999999999</v>
      </c>
      <c r="Z124" s="69">
        <f t="shared" si="30"/>
        <v>1.5800000000000002E-2</v>
      </c>
      <c r="AA124" s="69">
        <f t="shared" si="31"/>
        <v>23.284800000000001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32"/>
        <v>0212-06</v>
      </c>
      <c r="AE124" s="99" t="str">
        <f t="shared" si="33"/>
        <v>aws s3 cp s3://rtdc.mdm.uploadarchive/RTDC4026/2016-09-06/ "%USERPROFILE%\AppData\Local\Temp\OnboardLogs"\RTDC4026\2016-09-06 --recursive &amp; "%USERPROFILE%\Documents\GitHub\mrs-test-scripts\Headless Mode &amp; Sideloading\WalkAndUnGZ.bat" "%USERPROFILE%\AppData\Local\Temp\OnboardLogs"\RTDC4026\2016-09-06 &amp; aws s3 cp s3://rtdc.mdm.uploadarchive/RTDC4026/2016-09-07/ "%USERPROFILE%\AppData\Local\Temp\OnboardLogs"\RTDC4026\2016-09-07 --recursive &amp; "%USERPROFILE%\Documents\GitHub\mrs-test-scripts\Headless Mode &amp; Sideloading\WalkAndUnGZ.bat" "%USERPROFILE%\AppData\Local\Temp\OnboardLogs"\RTDC4026\2016-09-07</v>
      </c>
      <c r="AF124" s="96" t="str">
        <f t="shared" si="34"/>
        <v>"C:\Program Files (x86)\AstroGrep\AstroGrep.exe" /spath="%USERPROFILE%\AppData\Local\Temp\OnboardLogs" /stypes="*4026*20160907*" /stext=" 01:.+((SYSTEM_STATE.+slice.+state.+changed )|(ment ac)|(system.+state.+changed )|(\|lc)|(penalty)|(\[timeout)|(PRM\|1\|D)|(kpr)|(kdp))" /e /r /s</v>
      </c>
      <c r="AG124" s="1" t="str">
        <f t="shared" si="35"/>
        <v>EC</v>
      </c>
      <c r="AH124" s="100" t="str">
        <f t="shared" si="36"/>
        <v>"%USERPROFILE%\Documents\GitHub\eaglep3\Utilities\RefineRTDCRunTimes.py" --tripid 212-06 --locoid 4026 --swversion DE.1.0.7.0 --startMP 204:233006 --initTime 2016-09-06T18:15:03 --startdatetime 2016-09-06T18:27:00 --delay 1 --endMP 204:158 --enddatetime 2016-09-06T19:08:00 --enforcementcount 0 &gt;&gt;C:\Users\stu\Documents\GitHub\eaglep3-reporting\EC\2016-09-06-refined-times.txt</v>
      </c>
      <c r="AI124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{"issue":{"subject":"","project_id":79,"tracker_id":40,"status_id":1,"priority_id":2,"assigned_to_id":23,"start_date":"2016-09-06","description":"","custom_fields":[{"id":1,"name":"Subdivision","value":"EC"},{"id":4,"name":"Milepost","value":"23.2848"},{"id":17,"name":"Train ID","value":"212-06"},{"id":16,"name":"Locomotive ID","value":"4026"},{"id":130,"name":"Impact","value":""},{"id":150,"name":"Time of Event (Mountain Time)","value":"19:08:00"},{"id":151,"name":"Denver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493</v>
      </c>
      <c r="B125" s="7">
        <v>4029</v>
      </c>
      <c r="C125" s="24" t="s">
        <v>112</v>
      </c>
      <c r="D125" s="24" t="s">
        <v>612</v>
      </c>
      <c r="E125" s="15">
        <v>42619.735567129632</v>
      </c>
      <c r="F125" s="15">
        <v>42619.739768518521</v>
      </c>
      <c r="G125" s="7">
        <v>5</v>
      </c>
      <c r="H125" s="15" t="s">
        <v>214</v>
      </c>
      <c r="I125" s="15">
        <v>42619.764143518521</v>
      </c>
      <c r="J125" s="7">
        <v>0</v>
      </c>
      <c r="K125" s="132" t="str">
        <f t="shared" si="23"/>
        <v>4029/4030</v>
      </c>
      <c r="L125" s="24" t="e">
        <f>VLOOKUP(A125,'Trips&amp;Operators'!$C$1:$E$10000,3,FALSE)</f>
        <v>#N/A</v>
      </c>
      <c r="M125" s="6">
        <f t="shared" si="24"/>
        <v>2.4375000000873115E-2</v>
      </c>
      <c r="N125" s="7">
        <f t="shared" si="38"/>
        <v>35.100000001257285</v>
      </c>
      <c r="O125" s="7"/>
      <c r="P125" s="7"/>
      <c r="Q125" s="25"/>
      <c r="R125" s="25"/>
      <c r="S125" s="37">
        <f t="shared" si="25"/>
        <v>1</v>
      </c>
      <c r="T125" s="52" t="str">
        <f t="shared" si="26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16:39:13-0600',mode:absolute,to:'2016-09-06 19:20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25" s="54" t="str">
        <f t="shared" si="28"/>
        <v>N</v>
      </c>
      <c r="X125" s="120">
        <f t="shared" si="41"/>
        <v>1</v>
      </c>
      <c r="Y125" s="69">
        <f t="shared" si="29"/>
        <v>4.9700000000000001E-2</v>
      </c>
      <c r="Z125" s="69">
        <f t="shared" si="30"/>
        <v>23.331399999999999</v>
      </c>
      <c r="AA125" s="69">
        <f t="shared" si="31"/>
        <v>23.281699999999997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32"/>
        <v>0213-06</v>
      </c>
      <c r="AE125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25" s="96" t="str">
        <f t="shared" si="34"/>
        <v>"C:\Program Files (x86)\AstroGrep\AstroGrep.exe" /spath="%USERPROFILE%\AppData\Local\Temp\OnboardLogs" /stypes="*4029*20160907*" /stext=" 00:.+((SYSTEM_STATE.+slice.+state.+changed )|(ment ac)|(system.+state.+changed )|(\|lc)|(penalty)|(\[timeout)|(PRM\|1\|D)|(kpr)|(kdp))" /e /r /s</v>
      </c>
      <c r="AG125" s="1" t="str">
        <f t="shared" si="35"/>
        <v>EC</v>
      </c>
      <c r="AH125" s="100" t="str">
        <f t="shared" si="36"/>
        <v>"%USERPROFILE%\Documents\GitHub\eaglep3\Utilities\RefineRTDCRunTimes.py" --tripid 213-06 --locoid 4029 --swversion DE.1.0.7.0 --startMP 204:497 --initTime 2016-09-06T17:39:13 --startdatetime 2016-09-06T17:45:16 --delay 5 --endMP 204:233314 --enddatetime 2016-09-06T18:20:22 --enforcementcount 0 &gt;&gt;C:\Users\stu\Documents\GitHub\eaglep3-reporting\EC\2016-09-06-refined-times.txt</v>
      </c>
      <c r="AI125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{"issue":{"subject":"","project_id":79,"tracker_id":40,"status_id":1,"priority_id":2,"assigned_to_id":23,"start_date":"2016-09-06","description":"","custom_fields":[{"id":1,"name":"Subdivision","value":"EC"},{"id":4,"name":"Milepost","value":"23.2817"},{"id":17,"name":"Train ID","value":"213-06"},{"id":16,"name":"Locomotive ID","value":"4029"},{"id":130,"name":"Impact","value":""},{"id":150,"name":"Time of Event (Mountain Time)","value":"18:20:22"},{"id":151,"name":"Denver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507</v>
      </c>
      <c r="B126" s="7">
        <v>4030</v>
      </c>
      <c r="C126" s="24" t="s">
        <v>112</v>
      </c>
      <c r="D126" s="24" t="s">
        <v>566</v>
      </c>
      <c r="E126" s="15">
        <v>42619.771296296298</v>
      </c>
      <c r="F126" s="15">
        <v>42619.778657407405</v>
      </c>
      <c r="G126" s="7">
        <v>2</v>
      </c>
      <c r="H126" s="15" t="s">
        <v>148</v>
      </c>
      <c r="I126" s="15">
        <v>42619.805694444447</v>
      </c>
      <c r="J126" s="7">
        <v>0</v>
      </c>
      <c r="K126" s="132" t="str">
        <f t="shared" si="23"/>
        <v>4029/4030</v>
      </c>
      <c r="L126" s="24" t="e">
        <f>VLOOKUP(A126,'Trips&amp;Operators'!$C$1:$E$10000,3,FALSE)</f>
        <v>#N/A</v>
      </c>
      <c r="M126" s="6">
        <f t="shared" si="24"/>
        <v>2.7037037041736767E-2</v>
      </c>
      <c r="N126" s="7">
        <f t="shared" si="38"/>
        <v>38.933333340100944</v>
      </c>
      <c r="O126" s="7"/>
      <c r="P126" s="7"/>
      <c r="Q126" s="25"/>
      <c r="R126" s="25"/>
      <c r="S126" s="37">
        <f t="shared" si="25"/>
        <v>1</v>
      </c>
      <c r="T126" s="52" t="str">
        <f t="shared" si="26"/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17:30:40-0600',mode:absolute,to:'2016-09-06 20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26" s="54" t="str">
        <f t="shared" si="28"/>
        <v>N</v>
      </c>
      <c r="X126" s="120">
        <f t="shared" si="41"/>
        <v>1</v>
      </c>
      <c r="Y126" s="69">
        <f t="shared" si="29"/>
        <v>23.298200000000001</v>
      </c>
      <c r="Z126" s="69">
        <f t="shared" si="30"/>
        <v>1.54E-2</v>
      </c>
      <c r="AA126" s="69">
        <f t="shared" si="31"/>
        <v>23.282800000000002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32"/>
        <v>0214-06</v>
      </c>
      <c r="AE126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126" s="96" t="str">
        <f t="shared" si="34"/>
        <v>"C:\Program Files (x86)\AstroGrep\AstroGrep.exe" /spath="%USERPROFILE%\AppData\Local\Temp\OnboardLogs" /stypes="*4030*20160907*" /stext=" 01:.+((SYSTEM_STATE.+slice.+state.+changed )|(ment ac)|(system.+state.+changed )|(\|lc)|(penalty)|(\[timeout)|(PRM\|1\|D)|(kpr)|(kdp))" /e /r /s</v>
      </c>
      <c r="AG126" s="1" t="str">
        <f t="shared" si="35"/>
        <v>EC</v>
      </c>
      <c r="AH126" s="100" t="str">
        <f t="shared" si="36"/>
        <v>"%USERPROFILE%\Documents\GitHub\eaglep3\Utilities\RefineRTDCRunTimes.py" --tripid 214-06 --locoid 4030 --swversion DE.1.0.7.0 --startMP 204:232982 --initTime 2016-09-06T18:30:40 --startdatetime 2016-09-06T18:41:16 --delay 2 --endMP 204:154 --enddatetime 2016-09-06T19:20:12 --enforcementcount 0 &gt;&gt;C:\Users\stu\Documents\GitHub\eaglep3-reporting\EC\2016-09-06-refined-times.txt</v>
      </c>
      <c r="AI126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{"issue":{"subject":"","project_id":79,"tracker_id":40,"status_id":1,"priority_id":2,"assigned_to_id":23,"start_date":"2016-09-06","description":"","custom_fields":[{"id":1,"name":"Subdivision","value":"EC"},{"id":4,"name":"Milepost","value":"23.2828"},{"id":17,"name":"Train ID","value":"214-06"},{"id":16,"name":"Locomotive ID","value":"4030"},{"id":130,"name":"Impact","value":""},{"id":150,"name":"Time of Event (Mountain Time)","value":"19:20:12"},{"id":151,"name":"Denver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496</v>
      </c>
      <c r="B127" s="7">
        <v>4011</v>
      </c>
      <c r="C127" s="24" t="s">
        <v>112</v>
      </c>
      <c r="D127" s="24" t="s">
        <v>236</v>
      </c>
      <c r="E127" s="15">
        <v>42619.74659722222</v>
      </c>
      <c r="F127" s="15">
        <v>42619.750300925924</v>
      </c>
      <c r="G127" s="7">
        <v>1</v>
      </c>
      <c r="H127" s="15" t="s">
        <v>225</v>
      </c>
      <c r="I127" s="15">
        <v>42619.77579861111</v>
      </c>
      <c r="J127" s="7">
        <v>0</v>
      </c>
      <c r="K127" s="132" t="str">
        <f t="shared" si="23"/>
        <v>4011/4012</v>
      </c>
      <c r="L127" s="24" t="e">
        <f>VLOOKUP(A127,'Trips&amp;Operators'!$C$1:$E$10000,3,FALSE)</f>
        <v>#N/A</v>
      </c>
      <c r="M127" s="6">
        <f t="shared" si="24"/>
        <v>2.5497685186564922E-2</v>
      </c>
      <c r="N127" s="7">
        <f t="shared" ref="N127:N159" si="42">24*60*SUM($M127:$M127)</f>
        <v>36.716666668653488</v>
      </c>
      <c r="O127" s="7"/>
      <c r="P127" s="7"/>
      <c r="Q127" s="25"/>
      <c r="R127" s="25"/>
      <c r="S127" s="37">
        <f t="shared" si="25"/>
        <v>1</v>
      </c>
      <c r="T127" s="52" t="str">
        <f t="shared" si="26"/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16:55:06-0600',mode:absolute,to:'2016-09-06 19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27" s="54" t="str">
        <f t="shared" si="28"/>
        <v>N</v>
      </c>
      <c r="X127" s="120">
        <f t="shared" si="41"/>
        <v>1</v>
      </c>
      <c r="Y127" s="69">
        <f t="shared" si="29"/>
        <v>4.7800000000000002E-2</v>
      </c>
      <c r="Z127" s="69">
        <f t="shared" si="30"/>
        <v>23.331700000000001</v>
      </c>
      <c r="AA127" s="69">
        <f t="shared" si="31"/>
        <v>23.283900000000003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32"/>
        <v>0215-06</v>
      </c>
      <c r="AE127" s="99" t="str">
        <f t="shared" si="33"/>
        <v>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 &amp; aws s3 cp s3://rtdc.mdm.uploadarchive/RTDC4011/2016-09-07/ "%USERPROFILE%\AppData\Local\Temp\OnboardLogs"\RTDC4011\2016-09-07 --recursive &amp; "%USERPROFILE%\Documents\GitHub\mrs-test-scripts\Headless Mode &amp; Sideloading\WalkAndUnGZ.bat" "%USERPROFILE%\AppData\Local\Temp\OnboardLogs"\RTDC4011\2016-09-07</v>
      </c>
      <c r="AF127" s="96" t="str">
        <f t="shared" si="34"/>
        <v>"C:\Program Files (x86)\AstroGrep\AstroGrep.exe" /spath="%USERPROFILE%\AppData\Local\Temp\OnboardLogs" /stypes="*4011*20160907*" /stext=" 00:.+((SYSTEM_STATE.+slice.+state.+changed )|(ment ac)|(system.+state.+changed )|(\|lc)|(penalty)|(\[timeout)|(PRM\|1\|D)|(kpr)|(kdp))" /e /r /s</v>
      </c>
      <c r="AG127" s="1" t="str">
        <f t="shared" si="35"/>
        <v>EC</v>
      </c>
      <c r="AH127" s="100" t="str">
        <f t="shared" si="36"/>
        <v>"%USERPROFILE%\Documents\GitHub\eaglep3\Utilities\RefineRTDCRunTimes.py" --tripid 215-06 --locoid 4011 --swversion DE.1.0.7.0 --startMP 204:478 --initTime 2016-09-06T17:55:06 --startdatetime 2016-09-06T18:00:26 --delay 1 --endMP 204:233317 --enddatetime 2016-09-06T18:37:09 --enforcementcount 0 &gt;&gt;C:\Users\stu\Documents\GitHub\eaglep3-reporting\EC\2016-09-06-refined-times.txt</v>
      </c>
      <c r="AI127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{"issue":{"subject":"","project_id":79,"tracker_id":40,"status_id":1,"priority_id":2,"assigned_to_id":23,"start_date":"2016-09-06","description":"","custom_fields":[{"id":1,"name":"Subdivision","value":"EC"},{"id":4,"name":"Milepost","value":"23.2839"},{"id":17,"name":"Train ID","value":"215-06"},{"id":16,"name":"Locomotive ID","value":"4011"},{"id":130,"name":"Impact","value":""},{"id":150,"name":"Time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510</v>
      </c>
      <c r="B128" s="7">
        <v>4012</v>
      </c>
      <c r="C128" s="24" t="s">
        <v>112</v>
      </c>
      <c r="D128" s="24" t="s">
        <v>233</v>
      </c>
      <c r="E128" s="15">
        <v>42619.779293981483</v>
      </c>
      <c r="F128" s="15">
        <v>42619.789143518516</v>
      </c>
      <c r="G128" s="7">
        <v>2</v>
      </c>
      <c r="H128" s="15" t="s">
        <v>613</v>
      </c>
      <c r="I128" s="15">
        <v>42619.816307870373</v>
      </c>
      <c r="J128" s="7">
        <v>0</v>
      </c>
      <c r="K128" s="132" t="str">
        <f t="shared" si="23"/>
        <v>4011/4012</v>
      </c>
      <c r="L128" s="24" t="e">
        <f>VLOOKUP(A128,'Trips&amp;Operators'!$C$1:$E$10000,3,FALSE)</f>
        <v>#N/A</v>
      </c>
      <c r="M128" s="6">
        <f t="shared" si="24"/>
        <v>2.7164351857209112E-2</v>
      </c>
      <c r="N128" s="7">
        <f t="shared" si="42"/>
        <v>39.116666674381122</v>
      </c>
      <c r="O128" s="7"/>
      <c r="P128" s="7"/>
      <c r="Q128" s="25"/>
      <c r="R128" s="25"/>
      <c r="S128" s="37">
        <f t="shared" si="25"/>
        <v>1</v>
      </c>
      <c r="T128" s="52" t="str">
        <f t="shared" si="26"/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17:42:11-0600',mode:absolute,to:'2016-09-06 20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28" s="54" t="str">
        <f t="shared" si="28"/>
        <v>N</v>
      </c>
      <c r="X128" s="120">
        <f t="shared" si="41"/>
        <v>1</v>
      </c>
      <c r="Y128" s="69">
        <f t="shared" si="29"/>
        <v>23.299800000000001</v>
      </c>
      <c r="Z128" s="69">
        <f t="shared" si="30"/>
        <v>1.2699999999999999E-2</v>
      </c>
      <c r="AA128" s="69">
        <f t="shared" si="31"/>
        <v>23.287100000000002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32"/>
        <v>0216-06</v>
      </c>
      <c r="AE128" s="99" t="str">
        <f t="shared" si="33"/>
        <v>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 &amp; aws s3 cp s3://rtdc.mdm.uploadarchive/RTDC4012/2016-09-07/ "%USERPROFILE%\AppData\Local\Temp\OnboardLogs"\RTDC4012\2016-09-07 --recursive &amp; "%USERPROFILE%\Documents\GitHub\mrs-test-scripts\Headless Mode &amp; Sideloading\WalkAndUnGZ.bat" "%USERPROFILE%\AppData\Local\Temp\OnboardLogs"\RTDC4012\2016-09-07</v>
      </c>
      <c r="AF128" s="96" t="str">
        <f t="shared" si="34"/>
        <v>"C:\Program Files (x86)\AstroGrep\AstroGrep.exe" /spath="%USERPROFILE%\AppData\Local\Temp\OnboardLogs" /stypes="*4012*20160907*" /stext=" 01:.+((SYSTEM_STATE.+slice.+state.+changed )|(ment ac)|(system.+state.+changed )|(\|lc)|(penalty)|(\[timeout)|(PRM\|1\|D)|(kpr)|(kdp))" /e /r /s</v>
      </c>
      <c r="AG128" s="1" t="str">
        <f t="shared" si="35"/>
        <v>EC</v>
      </c>
      <c r="AH128" s="100" t="str">
        <f t="shared" si="36"/>
        <v>"%USERPROFILE%\Documents\GitHub\eaglep3\Utilities\RefineRTDCRunTimes.py" --tripid 216-06 --locoid 4012 --swversion DE.1.0.7.0 --startMP 204:232998 --initTime 2016-09-06T18:42:11 --startdatetime 2016-09-06T18:56:22 --delay 2 --endMP 204:127 --enddatetime 2016-09-06T19:35:29 --enforcementcount 0 &gt;&gt;C:\Users\stu\Documents\GitHub\eaglep3-reporting\EC\2016-09-06-refined-times.txt</v>
      </c>
      <c r="AI128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{"issue":{"subject":"","project_id":79,"tracker_id":40,"status_id":1,"priority_id":2,"assigned_to_id":23,"start_date":"2016-09-06","description":"","custom_fields":[{"id":1,"name":"Subdivision","value":"EC"},{"id":4,"name":"Milepost","value":"23.2871"},{"id":17,"name":"Train ID","value":"216-06"},{"id":16,"name":"Locomotive ID","value":"4012"},{"id":130,"name":"Impact","value":""},{"id":150,"name":"Time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502</v>
      </c>
      <c r="B129" s="7">
        <v>4002</v>
      </c>
      <c r="C129" s="24" t="s">
        <v>112</v>
      </c>
      <c r="D129" s="24" t="s">
        <v>285</v>
      </c>
      <c r="E129" s="15">
        <v>42619.758819444447</v>
      </c>
      <c r="F129" s="15">
        <v>42619.761412037034</v>
      </c>
      <c r="G129" s="7">
        <v>3</v>
      </c>
      <c r="H129" s="15" t="s">
        <v>565</v>
      </c>
      <c r="I129" s="15">
        <v>42619.786689814813</v>
      </c>
      <c r="J129" s="7">
        <v>0</v>
      </c>
      <c r="K129" s="132" t="str">
        <f t="shared" si="23"/>
        <v>4001/4002</v>
      </c>
      <c r="L129" s="24" t="e">
        <f>VLOOKUP(A129,'Trips&amp;Operators'!$C$1:$E$10000,3,FALSE)</f>
        <v>#N/A</v>
      </c>
      <c r="M129" s="6">
        <f t="shared" si="24"/>
        <v>2.527777777868323E-2</v>
      </c>
      <c r="N129" s="7">
        <f t="shared" si="42"/>
        <v>36.400000001303852</v>
      </c>
      <c r="O129" s="7"/>
      <c r="P129" s="7"/>
      <c r="Q129" s="25"/>
      <c r="R129" s="25"/>
      <c r="S129" s="37">
        <f t="shared" si="25"/>
        <v>1</v>
      </c>
      <c r="T129" s="52" t="str">
        <f t="shared" si="26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17:12:42-0600',mode:absolute,to:'2016-09-06 19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29" s="54" t="str">
        <f t="shared" si="28"/>
        <v>N</v>
      </c>
      <c r="X129" s="120">
        <f t="shared" si="41"/>
        <v>1</v>
      </c>
      <c r="Y129" s="69">
        <f t="shared" si="29"/>
        <v>4.3999999999999997E-2</v>
      </c>
      <c r="Z129" s="69">
        <f t="shared" si="30"/>
        <v>23.328399999999998</v>
      </c>
      <c r="AA129" s="69">
        <f t="shared" si="31"/>
        <v>23.284399999999998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32"/>
        <v>0217-06</v>
      </c>
      <c r="AE129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29" s="96" t="str">
        <f t="shared" si="34"/>
        <v>"C:\Program Files (x86)\AstroGrep\AstroGrep.exe" /spath="%USERPROFILE%\AppData\Local\Temp\OnboardLogs" /stypes="*4002*20160907*" /stext=" 00:.+((SYSTEM_STATE.+slice.+state.+changed )|(ment ac)|(system.+state.+changed )|(\|lc)|(penalty)|(\[timeout)|(PRM\|1\|D)|(kpr)|(kdp))" /e /r /s</v>
      </c>
      <c r="AG129" s="1" t="str">
        <f t="shared" si="35"/>
        <v>EC</v>
      </c>
      <c r="AH129" s="100" t="str">
        <f t="shared" si="36"/>
        <v>"%USERPROFILE%\Documents\GitHub\eaglep3\Utilities\RefineRTDCRunTimes.py" --tripid 217-06 --locoid 4002 --swversion DE.1.0.7.0 --startMP 204:440 --initTime 2016-09-06T18:12:42 --startdatetime 2016-09-06T18:16:26 --delay 3 --endMP 204:233284 --enddatetime 2016-09-06T18:52:50 --enforcementcount 0 &gt;&gt;C:\Users\stu\Documents\GitHub\eaglep3-reporting\EC\2016-09-06-refined-times.txt</v>
      </c>
      <c r="AI129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{"issue":{"subject":"","project_id":79,"tracker_id":40,"status_id":1,"priority_id":2,"assigned_to_id":23,"start_date":"2016-09-06","description":"","custom_fields":[{"id":1,"name":"Subdivision","value":"EC"},{"id":4,"name":"Milepost","value":"23.2844"},{"id":17,"name":"Train ID","value":"217-06"},{"id":16,"name":"Locomotive ID","value":"4002"},{"id":130,"name":"Impact","value":""},{"id":150,"name":"Time of Event (Mountain Time)","value":"18:52:50"},{"id":151,"name":"Denver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512</v>
      </c>
      <c r="B130" s="7">
        <v>4001</v>
      </c>
      <c r="C130" s="24" t="s">
        <v>112</v>
      </c>
      <c r="D130" s="24" t="s">
        <v>614</v>
      </c>
      <c r="E130" s="15">
        <v>42619.788182870368</v>
      </c>
      <c r="F130" s="15">
        <v>42619.799930555557</v>
      </c>
      <c r="G130" s="7">
        <v>1</v>
      </c>
      <c r="H130" s="15" t="s">
        <v>131</v>
      </c>
      <c r="I130" s="15">
        <v>42619.826701388891</v>
      </c>
      <c r="J130" s="7">
        <v>0</v>
      </c>
      <c r="K130" s="132" t="str">
        <f t="shared" si="23"/>
        <v>4001/4002</v>
      </c>
      <c r="L130" s="24" t="e">
        <f>VLOOKUP(A130,'Trips&amp;Operators'!$C$1:$E$10000,3,FALSE)</f>
        <v>#N/A</v>
      </c>
      <c r="M130" s="6">
        <f t="shared" si="24"/>
        <v>2.6770833334012423E-2</v>
      </c>
      <c r="N130" s="7">
        <f t="shared" si="42"/>
        <v>38.550000000977889</v>
      </c>
      <c r="O130" s="7"/>
      <c r="P130" s="7"/>
      <c r="Q130" s="25"/>
      <c r="R130" s="25"/>
      <c r="S130" s="37">
        <f t="shared" si="25"/>
        <v>1</v>
      </c>
      <c r="T130" s="52" t="str">
        <f t="shared" si="26"/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17:54:59-0600',mode:absolute,to:'2016-09-06 20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30" s="54" t="str">
        <f t="shared" si="28"/>
        <v>N</v>
      </c>
      <c r="X130" s="120">
        <f t="shared" si="41"/>
        <v>1</v>
      </c>
      <c r="Y130" s="69">
        <f t="shared" si="29"/>
        <v>23.295300000000001</v>
      </c>
      <c r="Z130" s="69">
        <f t="shared" si="30"/>
        <v>1.47E-2</v>
      </c>
      <c r="AA130" s="69">
        <f t="shared" si="31"/>
        <v>23.2806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32"/>
        <v>0218-06</v>
      </c>
      <c r="AE130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30" s="96" t="str">
        <f t="shared" si="34"/>
        <v>"C:\Program Files (x86)\AstroGrep\AstroGrep.exe" /spath="%USERPROFILE%\AppData\Local\Temp\OnboardLogs" /stypes="*4001*20160907*" /stext=" 01:.+((SYSTEM_STATE.+slice.+state.+changed )|(ment ac)|(system.+state.+changed )|(\|lc)|(penalty)|(\[timeout)|(PRM\|1\|D)|(kpr)|(kdp))" /e /r /s</v>
      </c>
      <c r="AG130" s="1" t="str">
        <f t="shared" si="35"/>
        <v>EC</v>
      </c>
      <c r="AH130" s="100" t="str">
        <f t="shared" si="36"/>
        <v>"%USERPROFILE%\Documents\GitHub\eaglep3\Utilities\RefineRTDCRunTimes.py" --tripid 218-06 --locoid 4001 --swversion DE.1.0.7.0 --startMP 204:232953 --initTime 2016-09-06T18:54:59 --startdatetime 2016-09-06T19:11:54 --delay 1 --endMP 204:147 --enddatetime 2016-09-06T19:50:27 --enforcementcount 0 &gt;&gt;C:\Users\stu\Documents\GitHub\eaglep3-reporting\EC\2016-09-06-refined-times.txt</v>
      </c>
      <c r="AI130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{"issue":{"subject":"","project_id":79,"tracker_id":40,"status_id":1,"priority_id":2,"assigned_to_id":23,"start_date":"2016-09-06","description":"","custom_fields":[{"id":1,"name":"Subdivision","value":"EC"},{"id":4,"name":"Milepost","value":"23.2806"},{"id":17,"name":"Train ID","value":"218-06"},{"id":16,"name":"Locomotive ID","value":"4001"},{"id":130,"name":"Impact","value":""},{"id":150,"name":"Time of Event (Mountain Time)","value":"19:50:27"},{"id":151,"name":"Denver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506</v>
      </c>
      <c r="B131" s="7">
        <v>4042</v>
      </c>
      <c r="C131" s="24" t="s">
        <v>112</v>
      </c>
      <c r="D131" s="24" t="s">
        <v>615</v>
      </c>
      <c r="E131" s="15">
        <v>42619.769293981481</v>
      </c>
      <c r="F131" s="15">
        <v>42619.771203703705</v>
      </c>
      <c r="G131" s="7">
        <v>2</v>
      </c>
      <c r="H131" s="15" t="s">
        <v>276</v>
      </c>
      <c r="I131" s="15">
        <v>42619.796990740739</v>
      </c>
      <c r="J131" s="7">
        <v>0</v>
      </c>
      <c r="K131" s="132" t="str">
        <f t="shared" si="23"/>
        <v>4041/4042</v>
      </c>
      <c r="L131" s="24" t="e">
        <f>VLOOKUP(A131,'Trips&amp;Operators'!$C$1:$E$10000,3,FALSE)</f>
        <v>#N/A</v>
      </c>
      <c r="M131" s="6">
        <f t="shared" si="24"/>
        <v>2.5787037033296656E-2</v>
      </c>
      <c r="N131" s="7">
        <f t="shared" si="42"/>
        <v>37.133333327947184</v>
      </c>
      <c r="O131" s="7"/>
      <c r="P131" s="7"/>
      <c r="Q131" s="25"/>
      <c r="R131" s="25"/>
      <c r="S131" s="37">
        <f t="shared" si="25"/>
        <v>1</v>
      </c>
      <c r="T131" s="52" t="str">
        <f t="shared" si="26"/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17:27:47-0600',mode:absolute,to:'2016-09-06 20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1" s="54" t="str">
        <f t="shared" si="28"/>
        <v>N</v>
      </c>
      <c r="X131" s="120">
        <f t="shared" si="41"/>
        <v>1</v>
      </c>
      <c r="Y131" s="69">
        <f t="shared" si="29"/>
        <v>4.6699999999999998E-2</v>
      </c>
      <c r="Z131" s="69">
        <f t="shared" si="30"/>
        <v>23.3306</v>
      </c>
      <c r="AA131" s="69">
        <f t="shared" si="31"/>
        <v>23.283899999999999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32"/>
        <v>0219-06</v>
      </c>
      <c r="AE131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31" s="96" t="str">
        <f t="shared" si="34"/>
        <v>"C:\Program Files (x86)\AstroGrep\AstroGrep.exe" /spath="%USERPROFILE%\AppData\Local\Temp\OnboardLogs" /stypes="*4042*20160907*" /stext=" 01:.+((SYSTEM_STATE.+slice.+state.+changed )|(ment ac)|(system.+state.+changed )|(\|lc)|(penalty)|(\[timeout)|(PRM\|1\|D)|(kpr)|(kdp))" /e /r /s</v>
      </c>
      <c r="AG131" s="1" t="str">
        <f t="shared" si="35"/>
        <v>EC</v>
      </c>
      <c r="AH131" s="100" t="str">
        <f t="shared" si="36"/>
        <v>"%USERPROFILE%\Documents\GitHub\eaglep3\Utilities\RefineRTDCRunTimes.py" --tripid 219-06 --locoid 4042 --swversion DE.1.0.7.0 --startMP 204:467 --initTime 2016-09-06T18:27:47 --startdatetime 2016-09-06T18:30:32 --delay 2 --endMP 204:233306 --enddatetime 2016-09-06T19:07:40 --enforcementcount 0 &gt;&gt;C:\Users\stu\Documents\GitHub\eaglep3-reporting\EC\2016-09-06-refined-times.txt</v>
      </c>
      <c r="AI131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{"issue":{"subject":"","project_id":79,"tracker_id":40,"status_id":1,"priority_id":2,"assigned_to_id":23,"start_date":"2016-09-06","description":"","custom_fields":[{"id":1,"name":"Subdivision","value":"EC"},{"id":4,"name":"Milepost","value":"23.2839"},{"id":17,"name":"Train ID","value":"219-06"},{"id":16,"name":"Locomotive ID","value":"4042"},{"id":130,"name":"Impact","value":""},{"id":150,"name":"Time of Event (Mountain Time)","value":"19:07:40"},{"id":151,"name":"Denver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515</v>
      </c>
      <c r="B132" s="7">
        <v>4041</v>
      </c>
      <c r="C132" s="24" t="s">
        <v>112</v>
      </c>
      <c r="D132" s="24" t="s">
        <v>252</v>
      </c>
      <c r="E132" s="15">
        <v>42619.807615740741</v>
      </c>
      <c r="F132" s="15">
        <v>42619.809953703705</v>
      </c>
      <c r="G132" s="7">
        <v>1</v>
      </c>
      <c r="H132" s="15" t="s">
        <v>131</v>
      </c>
      <c r="I132" s="15">
        <v>42619.838599537034</v>
      </c>
      <c r="J132" s="7">
        <v>0</v>
      </c>
      <c r="K132" s="132" t="str">
        <f t="shared" si="23"/>
        <v>4041/4042</v>
      </c>
      <c r="L132" s="24" t="e">
        <f>VLOOKUP(A132,'Trips&amp;Operators'!$C$1:$E$10000,3,FALSE)</f>
        <v>#N/A</v>
      </c>
      <c r="M132" s="6">
        <f t="shared" si="24"/>
        <v>2.8645833328482695E-2</v>
      </c>
      <c r="N132" s="7">
        <f t="shared" si="42"/>
        <v>41.249999993015081</v>
      </c>
      <c r="O132" s="7"/>
      <c r="P132" s="7"/>
      <c r="Q132" s="25"/>
      <c r="R132" s="25"/>
      <c r="S132" s="37">
        <f t="shared" si="25"/>
        <v>1</v>
      </c>
      <c r="T132" s="52" t="str">
        <f t="shared" si="26"/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18:22:58-0600',mode:absolute,to:'2016-09-06 21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32" s="54" t="str">
        <f t="shared" si="28"/>
        <v>N</v>
      </c>
      <c r="X132" s="120">
        <f t="shared" si="41"/>
        <v>1</v>
      </c>
      <c r="Y132" s="69">
        <f t="shared" si="29"/>
        <v>23.2972</v>
      </c>
      <c r="Z132" s="69">
        <f t="shared" si="30"/>
        <v>1.47E-2</v>
      </c>
      <c r="AA132" s="69">
        <f t="shared" si="31"/>
        <v>23.282499999999999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32"/>
        <v>0220-06</v>
      </c>
      <c r="AE132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32" s="96" t="str">
        <f t="shared" si="34"/>
        <v>"C:\Program Files (x86)\AstroGrep\AstroGrep.exe" /spath="%USERPROFILE%\AppData\Local\Temp\OnboardLogs" /stypes="*4041*20160907*" /stext=" 02:.+((SYSTEM_STATE.+slice.+state.+changed )|(ment ac)|(system.+state.+changed )|(\|lc)|(penalty)|(\[timeout)|(PRM\|1\|D)|(kpr)|(kdp))" /e /r /s</v>
      </c>
      <c r="AG132" s="1" t="str">
        <f t="shared" si="35"/>
        <v>EC</v>
      </c>
      <c r="AH132" s="100" t="str">
        <f t="shared" si="36"/>
        <v>"%USERPROFILE%\Documents\GitHub\eaglep3\Utilities\RefineRTDCRunTimes.py" --tripid 220-06 --locoid 4041 --swversion DE.1.0.7.0 --startMP 204:232972 --initTime 2016-09-06T19:22:58 --startdatetime 2016-09-06T19:26:20 --delay 1 --endMP 204:147 --enddatetime 2016-09-06T20:07:35 --enforcementcount 0 &gt;&gt;C:\Users\stu\Documents\GitHub\eaglep3-reporting\EC\2016-09-06-refined-times.txt</v>
      </c>
      <c r="AI132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{"issue":{"subject":"","project_id":79,"tracker_id":40,"status_id":1,"priority_id":2,"assigned_to_id":23,"start_date":"2016-09-06","description":"","custom_fields":[{"id":1,"name":"Subdivision","value":"EC"},{"id":4,"name":"Milepost","value":"23.2825"},{"id":17,"name":"Train ID","value":"220-06"},{"id":16,"name":"Locomotive ID","value":"4041"},{"id":130,"name":"Impact","value":""},{"id":150,"name":"Time of Event (Mountain Time)","value":"20:07:35"},{"id":151,"name":"Denver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511</v>
      </c>
      <c r="B133" s="7">
        <v>4038</v>
      </c>
      <c r="C133" s="24" t="s">
        <v>112</v>
      </c>
      <c r="D133" s="24" t="s">
        <v>160</v>
      </c>
      <c r="E133" s="15">
        <v>42619.787303240744</v>
      </c>
      <c r="F133" s="15">
        <v>42619.791898148149</v>
      </c>
      <c r="G133" s="7">
        <v>1</v>
      </c>
      <c r="H133" s="15" t="s">
        <v>560</v>
      </c>
      <c r="I133" s="15">
        <v>42619.817777777775</v>
      </c>
      <c r="J133" s="7">
        <v>0</v>
      </c>
      <c r="K133" s="132" t="str">
        <f t="shared" si="23"/>
        <v>4037/4038</v>
      </c>
      <c r="L133" s="24" t="e">
        <f>VLOOKUP(A133,'Trips&amp;Operators'!$C$1:$E$10000,3,FALSE)</f>
        <v>#N/A</v>
      </c>
      <c r="M133" s="6">
        <f t="shared" si="24"/>
        <v>2.5879629625706002E-2</v>
      </c>
      <c r="N133" s="7">
        <f t="shared" si="42"/>
        <v>37.266666661016643</v>
      </c>
      <c r="O133" s="7"/>
      <c r="P133" s="7"/>
      <c r="Q133" s="25"/>
      <c r="R133" s="25"/>
      <c r="S133" s="37">
        <f t="shared" si="25"/>
        <v>1</v>
      </c>
      <c r="T133" s="52" t="str">
        <f t="shared" si="26"/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17:53:43-0600',mode:absolute,to:'2016-09-06 20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33" s="54" t="str">
        <f t="shared" si="28"/>
        <v>N</v>
      </c>
      <c r="X133" s="120">
        <f t="shared" si="41"/>
        <v>1</v>
      </c>
      <c r="Y133" s="69">
        <f t="shared" si="29"/>
        <v>4.5999999999999999E-2</v>
      </c>
      <c r="Z133" s="69">
        <f t="shared" si="30"/>
        <v>23.3276</v>
      </c>
      <c r="AA133" s="69">
        <f t="shared" si="31"/>
        <v>23.281600000000001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32"/>
        <v>0221-06</v>
      </c>
      <c r="AE133" s="99" t="str">
        <f t="shared" si="33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33" s="96" t="str">
        <f t="shared" si="34"/>
        <v>"C:\Program Files (x86)\AstroGrep\AstroGrep.exe" /spath="%USERPROFILE%\AppData\Local\Temp\OnboardLogs" /stypes="*4038*20160907*" /stext=" 01:.+((SYSTEM_STATE.+slice.+state.+changed )|(ment ac)|(system.+state.+changed )|(\|lc)|(penalty)|(\[timeout)|(PRM\|1\|D)|(kpr)|(kdp))" /e /r /s</v>
      </c>
      <c r="AG133" s="1" t="str">
        <f t="shared" si="35"/>
        <v>EC</v>
      </c>
      <c r="AH133" s="100" t="str">
        <f t="shared" si="36"/>
        <v>"%USERPROFILE%\Documents\GitHub\eaglep3\Utilities\RefineRTDCRunTimes.py" --tripid 221-06 --locoid 4038 --swversion DE.1.0.7.0 --startMP 204:460 --initTime 2016-09-06T18:53:43 --startdatetime 2016-09-06T19:00:20 --delay 1 --endMP 204:233276 --enddatetime 2016-09-06T19:37:36 --enforcementcount 0 &gt;&gt;C:\Users\stu\Documents\GitHub\eaglep3-reporting\EC\2016-09-06-refined-times.txt</v>
      </c>
      <c r="AI133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{"issue":{"subject":"","project_id":79,"tracker_id":40,"status_id":1,"priority_id":2,"assigned_to_id":23,"start_date":"2016-09-06","description":"","custom_fields":[{"id":1,"name":"Subdivision","value":"EC"},{"id":4,"name":"Milepost","value":"23.2816"},{"id":17,"name":"Train ID","value":"221-06"},{"id":16,"name":"Locomotive ID","value":"4038"},{"id":130,"name":"Impact","value":""},{"id":150,"name":"Time of Event (Mountain Time)","value":"19:37:36"},{"id":151,"name":"Denver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518</v>
      </c>
      <c r="B134" s="7">
        <v>4037</v>
      </c>
      <c r="C134" s="24" t="s">
        <v>112</v>
      </c>
      <c r="D134" s="24" t="s">
        <v>256</v>
      </c>
      <c r="E134" s="15">
        <v>42619.824664351851</v>
      </c>
      <c r="F134" s="15">
        <v>42619.830925925926</v>
      </c>
      <c r="G134" s="7">
        <v>1</v>
      </c>
      <c r="H134" s="15" t="s">
        <v>150</v>
      </c>
      <c r="I134" s="15">
        <v>42619.857847222222</v>
      </c>
      <c r="J134" s="7">
        <v>0</v>
      </c>
      <c r="K134" s="132" t="str">
        <f t="shared" si="23"/>
        <v>4037/4038</v>
      </c>
      <c r="L134" s="24" t="e">
        <f>VLOOKUP(A134,'Trips&amp;Operators'!$C$1:$E$10000,3,FALSE)</f>
        <v>#N/A</v>
      </c>
      <c r="M134" s="6">
        <f t="shared" si="24"/>
        <v>2.6921296295768116E-2</v>
      </c>
      <c r="N134" s="7">
        <f t="shared" si="42"/>
        <v>38.766666665906087</v>
      </c>
      <c r="O134" s="7"/>
      <c r="P134" s="7"/>
      <c r="Q134" s="25"/>
      <c r="R134" s="25"/>
      <c r="S134" s="37">
        <f t="shared" si="25"/>
        <v>1</v>
      </c>
      <c r="T134" s="52" t="str">
        <f t="shared" si="26"/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18:47:31-0600',mode:absolute,to:'2016-09-06 21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34" s="54" t="str">
        <f t="shared" si="28"/>
        <v>N</v>
      </c>
      <c r="X134" s="120">
        <f t="shared" si="41"/>
        <v>1</v>
      </c>
      <c r="Y134" s="69">
        <f t="shared" si="29"/>
        <v>23.2957</v>
      </c>
      <c r="Z134" s="69">
        <f t="shared" si="30"/>
        <v>1.52E-2</v>
      </c>
      <c r="AA134" s="69">
        <f t="shared" si="31"/>
        <v>23.2805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32"/>
        <v>0222-06</v>
      </c>
      <c r="AE134" s="99" t="str">
        <f t="shared" si="33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34" s="96" t="str">
        <f t="shared" si="34"/>
        <v>"C:\Program Files (x86)\AstroGrep\AstroGrep.exe" /spath="%USERPROFILE%\AppData\Local\Temp\OnboardLogs" /stypes="*4037*20160907*" /stext=" 02:.+((SYSTEM_STATE.+slice.+state.+changed )|(ment ac)|(system.+state.+changed )|(\|lc)|(penalty)|(\[timeout)|(PRM\|1\|D)|(kpr)|(kdp))" /e /r /s</v>
      </c>
      <c r="AG134" s="1" t="str">
        <f t="shared" si="35"/>
        <v>EC</v>
      </c>
      <c r="AH134" s="100" t="str">
        <f t="shared" si="36"/>
        <v>"%USERPROFILE%\Documents\GitHub\eaglep3\Utilities\RefineRTDCRunTimes.py" --tripid 222-06 --locoid 4037 --swversion DE.1.0.7.0 --startMP 204:232957 --initTime 2016-09-06T19:47:31 --startdatetime 2016-09-06T19:56:32 --delay 1 --endMP 204:152 --enddatetime 2016-09-06T20:35:18 --enforcementcount 0 &gt;&gt;C:\Users\stu\Documents\GitHub\eaglep3-reporting\EC\2016-09-06-refined-times.txt</v>
      </c>
      <c r="AI134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{"issue":{"subject":"","project_id":79,"tracker_id":40,"status_id":1,"priority_id":2,"assigned_to_id":23,"start_date":"2016-09-06","description":"","custom_fields":[{"id":1,"name":"Subdivision","value":"EC"},{"id":4,"name":"Milepost","value":"23.2805"},{"id":17,"name":"Train ID","value":"222-06"},{"id":16,"name":"Locomotive ID","value":"4037"},{"id":130,"name":"Impact","value":""},{"id":150,"name":"Time of Event (Mountain Time)","value":"20:35:18"},{"id":151,"name":"Denver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516</v>
      </c>
      <c r="B135" s="7">
        <v>4029</v>
      </c>
      <c r="C135" s="24" t="s">
        <v>112</v>
      </c>
      <c r="D135" s="24" t="s">
        <v>616</v>
      </c>
      <c r="E135" s="15">
        <v>42619.808622685188</v>
      </c>
      <c r="F135" s="15">
        <v>42619.812719907408</v>
      </c>
      <c r="G135" s="7">
        <v>5</v>
      </c>
      <c r="H135" s="15" t="s">
        <v>617</v>
      </c>
      <c r="I135" s="15">
        <v>42619.837256944447</v>
      </c>
      <c r="J135" s="7">
        <v>0</v>
      </c>
      <c r="K135" s="132" t="str">
        <f t="shared" si="23"/>
        <v>4029/4030</v>
      </c>
      <c r="L135" s="24" t="e">
        <f>VLOOKUP(A135,'Trips&amp;Operators'!$C$1:$E$10000,3,FALSE)</f>
        <v>#N/A</v>
      </c>
      <c r="M135" s="6">
        <f t="shared" si="24"/>
        <v>2.453703703940846E-2</v>
      </c>
      <c r="N135" s="7">
        <f t="shared" si="42"/>
        <v>35.333333336748183</v>
      </c>
      <c r="O135" s="7"/>
      <c r="P135" s="7"/>
      <c r="Q135" s="25"/>
      <c r="R135" s="25"/>
      <c r="S135" s="37">
        <f t="shared" si="25"/>
        <v>1</v>
      </c>
      <c r="T135" s="52" t="str">
        <f t="shared" si="26"/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18:24:25-0600',mode:absolute,to:'2016-09-06 21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35" s="54" t="str">
        <f t="shared" si="28"/>
        <v>N</v>
      </c>
      <c r="X135" s="120">
        <f t="shared" si="41"/>
        <v>1</v>
      </c>
      <c r="Y135" s="69">
        <f t="shared" si="29"/>
        <v>4.3099999999999999E-2</v>
      </c>
      <c r="Z135" s="69">
        <f t="shared" si="30"/>
        <v>23.331900000000001</v>
      </c>
      <c r="AA135" s="69">
        <f t="shared" si="31"/>
        <v>23.288800000000002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32"/>
        <v>0223-06</v>
      </c>
      <c r="AE135" s="99" t="str">
        <f t="shared" si="33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35" s="96" t="str">
        <f t="shared" si="34"/>
        <v>"C:\Program Files (x86)\AstroGrep\AstroGrep.exe" /spath="%USERPROFILE%\AppData\Local\Temp\OnboardLogs" /stypes="*4029*20160907*" /stext=" 02:.+((SYSTEM_STATE.+slice.+state.+changed )|(ment ac)|(system.+state.+changed )|(\|lc)|(penalty)|(\[timeout)|(PRM\|1\|D)|(kpr)|(kdp))" /e /r /s</v>
      </c>
      <c r="AG135" s="1" t="str">
        <f t="shared" si="35"/>
        <v>EC</v>
      </c>
      <c r="AH135" s="100" t="str">
        <f t="shared" si="36"/>
        <v>"%USERPROFILE%\Documents\GitHub\eaglep3\Utilities\RefineRTDCRunTimes.py" --tripid 223-06 --locoid 4029 --swversion DE.1.0.7.0 --startMP 204:431 --initTime 2016-09-06T19:24:25 --startdatetime 2016-09-06T19:30:19 --delay 5 --endMP 204:233319 --enddatetime 2016-09-06T20:05:39 --enforcementcount 0 &gt;&gt;C:\Users\stu\Documents\GitHub\eaglep3-reporting\EC\2016-09-06-refined-times.txt</v>
      </c>
      <c r="AI135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{"issue":{"subject":"","project_id":79,"tracker_id":40,"status_id":1,"priority_id":2,"assigned_to_id":23,"start_date":"2016-09-06","description":"","custom_fields":[{"id":1,"name":"Subdivision","value":"EC"},{"id":4,"name":"Milepost","value":"23.2888"},{"id":17,"name":"Train ID","value":"223-06"},{"id":16,"name":"Locomotive ID","value":"4029"},{"id":130,"name":"Impact","value":""},{"id":150,"name":"Time of Event (Mountain Time)","value":"20:05:39"},{"id":151,"name":"Denver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521</v>
      </c>
      <c r="B136" s="7">
        <v>4030</v>
      </c>
      <c r="C136" s="24" t="s">
        <v>112</v>
      </c>
      <c r="D136" s="24" t="s">
        <v>618</v>
      </c>
      <c r="E136" s="15">
        <v>42619.846990740742</v>
      </c>
      <c r="F136" s="15">
        <v>42619.851631944446</v>
      </c>
      <c r="G136" s="7">
        <v>1</v>
      </c>
      <c r="H136" s="15" t="s">
        <v>221</v>
      </c>
      <c r="I136" s="15">
        <v>42619.878599537034</v>
      </c>
      <c r="J136" s="7">
        <v>0</v>
      </c>
      <c r="K136" s="132" t="str">
        <f t="shared" si="23"/>
        <v>4029/4030</v>
      </c>
      <c r="L136" s="24" t="e">
        <f>VLOOKUP(A136,'Trips&amp;Operators'!$C$1:$E$10000,3,FALSE)</f>
        <v>#N/A</v>
      </c>
      <c r="M136" s="6">
        <f t="shared" si="24"/>
        <v>2.696759258833481E-2</v>
      </c>
      <c r="N136" s="7">
        <f t="shared" si="42"/>
        <v>38.833333327202126</v>
      </c>
      <c r="O136" s="7"/>
      <c r="P136" s="7"/>
      <c r="Q136" s="25"/>
      <c r="R136" s="25"/>
      <c r="S136" s="37">
        <f t="shared" si="25"/>
        <v>1</v>
      </c>
      <c r="T136" s="52" t="str">
        <f t="shared" si="26"/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19:19:40-0600',mode:absolute,to:'2016-09-06 22:05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36" s="54" t="str">
        <f t="shared" si="28"/>
        <v>N</v>
      </c>
      <c r="X136" s="120">
        <f t="shared" si="41"/>
        <v>1</v>
      </c>
      <c r="Y136" s="69">
        <f t="shared" si="29"/>
        <v>23.3002</v>
      </c>
      <c r="Z136" s="69">
        <f t="shared" si="30"/>
        <v>1.41E-2</v>
      </c>
      <c r="AA136" s="69">
        <f t="shared" si="31"/>
        <v>23.286100000000001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32"/>
        <v>0224-06</v>
      </c>
      <c r="AE136" s="99" t="str">
        <f t="shared" si="33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136" s="96" t="str">
        <f t="shared" si="34"/>
        <v>"C:\Program Files (x86)\AstroGrep\AstroGrep.exe" /spath="%USERPROFILE%\AppData\Local\Temp\OnboardLogs" /stypes="*4030*20160907*" /stext=" 03:.+((SYSTEM_STATE.+slice.+state.+changed )|(ment ac)|(system.+state.+changed )|(\|lc)|(penalty)|(\[timeout)|(PRM\|1\|D)|(kpr)|(kdp))" /e /r /s</v>
      </c>
      <c r="AG136" s="1" t="str">
        <f t="shared" si="35"/>
        <v>EC</v>
      </c>
      <c r="AH136" s="100" t="str">
        <f t="shared" si="36"/>
        <v>"%USERPROFILE%\Documents\GitHub\eaglep3\Utilities\RefineRTDCRunTimes.py" --tripid 224-06 --locoid 4030 --swversion DE.1.0.7.0 --startMP 204:233002 --initTime 2016-09-06T20:19:40 --startdatetime 2016-09-06T20:26:21 --delay 1 --endMP 204:141 --enddatetime 2016-09-06T21:05:11 --enforcementcount 0 &gt;&gt;C:\Users\stu\Documents\GitHub\eaglep3-reporting\EC\2016-09-06-refined-times.txt</v>
      </c>
      <c r="AI136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{"issue":{"subject":"","project_id":79,"tracker_id":40,"status_id":1,"priority_id":2,"assigned_to_id":23,"start_date":"2016-09-06","description":"","custom_fields":[{"id":1,"name":"Subdivision","value":"EC"},{"id":4,"name":"Milepost","value":"23.2861"},{"id":17,"name":"Train ID","value":"224-06"},{"id":16,"name":"Locomotive ID","value":"4030"},{"id":130,"name":"Impact","value":""},{"id":150,"name":"Time of Event (Mountain Time)","value":"21:05:11"},{"id":151,"name":"Denver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519</v>
      </c>
      <c r="B137" s="7">
        <v>4002</v>
      </c>
      <c r="C137" s="24" t="s">
        <v>112</v>
      </c>
      <c r="D137" s="24" t="s">
        <v>146</v>
      </c>
      <c r="E137" s="15">
        <v>42619.829062500001</v>
      </c>
      <c r="F137" s="15">
        <v>42619.833657407406</v>
      </c>
      <c r="G137" s="7">
        <v>1</v>
      </c>
      <c r="H137" s="15" t="s">
        <v>224</v>
      </c>
      <c r="I137" s="15">
        <v>42619.860023148147</v>
      </c>
      <c r="J137" s="7">
        <v>0</v>
      </c>
      <c r="K137" s="132" t="str">
        <f t="shared" si="23"/>
        <v>4001/4002</v>
      </c>
      <c r="L137" s="24" t="e">
        <f>VLOOKUP(A137,'Trips&amp;Operators'!$C$1:$E$10000,3,FALSE)</f>
        <v>#N/A</v>
      </c>
      <c r="M137" s="6">
        <f t="shared" si="24"/>
        <v>2.6365740741312038E-2</v>
      </c>
      <c r="N137" s="7">
        <f t="shared" si="42"/>
        <v>37.966666667489335</v>
      </c>
      <c r="O137" s="7"/>
      <c r="P137" s="7"/>
      <c r="Q137" s="25"/>
      <c r="R137" s="25"/>
      <c r="S137" s="37">
        <f t="shared" si="25"/>
        <v>1</v>
      </c>
      <c r="T137" s="52" t="str">
        <f t="shared" si="26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18:53:51-0600',mode:absolute,to:'2016-09-06 21:38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37" s="54" t="str">
        <f t="shared" si="28"/>
        <v>N</v>
      </c>
      <c r="X137" s="120">
        <f t="shared" si="41"/>
        <v>1</v>
      </c>
      <c r="Y137" s="69">
        <f t="shared" si="29"/>
        <v>4.5100000000000001E-2</v>
      </c>
      <c r="Z137" s="69">
        <f t="shared" si="30"/>
        <v>23.330400000000001</v>
      </c>
      <c r="AA137" s="69">
        <f t="shared" si="31"/>
        <v>23.285299999999999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32"/>
        <v>0225-06</v>
      </c>
      <c r="AE137" s="99" t="str">
        <f t="shared" si="33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37" s="96" t="str">
        <f t="shared" si="34"/>
        <v>"C:\Program Files (x86)\AstroGrep\AstroGrep.exe" /spath="%USERPROFILE%\AppData\Local\Temp\OnboardLogs" /stypes="*4002*20160907*" /stext=" 02:.+((SYSTEM_STATE.+slice.+state.+changed )|(ment ac)|(system.+state.+changed )|(\|lc)|(penalty)|(\[timeout)|(PRM\|1\|D)|(kpr)|(kdp))" /e /r /s</v>
      </c>
      <c r="AG137" s="1" t="str">
        <f t="shared" si="35"/>
        <v>EC</v>
      </c>
      <c r="AH137" s="100" t="str">
        <f t="shared" si="36"/>
        <v>"%USERPROFILE%\Documents\GitHub\eaglep3\Utilities\RefineRTDCRunTimes.py" --tripid 225-06 --locoid 4002 --swversion DE.1.0.7.0 --startMP 204:451 --initTime 2016-09-06T19:53:51 --startdatetime 2016-09-06T20:00:28 --delay 1 --endMP 204:233304 --enddatetime 2016-09-06T20:38:26 --enforcementcount 0 &gt;&gt;C:\Users\stu\Documents\GitHub\eaglep3-reporting\EC\2016-09-06-refined-times.txt</v>
      </c>
      <c r="AI137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{"issue":{"subject":"","project_id":79,"tracker_id":40,"status_id":1,"priority_id":2,"assigned_to_id":23,"start_date":"2016-09-06","description":"","custom_fields":[{"id":1,"name":"Subdivision","value":"EC"},{"id":4,"name":"Milepost","value":"23.2853"},{"id":17,"name":"Train ID","value":"225-06"},{"id":16,"name":"Locomotive ID","value":"4002"},{"id":130,"name":"Impact","value":""},{"id":150,"name":"Time of Event (Mountain Time)","value":"20:38:26"},{"id":151,"name":"Denver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524</v>
      </c>
      <c r="B138" s="7">
        <v>4001</v>
      </c>
      <c r="C138" s="24" t="s">
        <v>112</v>
      </c>
      <c r="D138" s="24" t="s">
        <v>264</v>
      </c>
      <c r="E138" s="15">
        <v>42619.864756944444</v>
      </c>
      <c r="F138" s="15">
        <v>42619.872418981482</v>
      </c>
      <c r="G138" s="7">
        <v>1</v>
      </c>
      <c r="H138" s="15" t="s">
        <v>158</v>
      </c>
      <c r="I138" s="15">
        <v>42619.900625000002</v>
      </c>
      <c r="J138" s="7">
        <v>0</v>
      </c>
      <c r="K138" s="132" t="str">
        <f t="shared" si="23"/>
        <v>4001/4002</v>
      </c>
      <c r="L138" s="24" t="e">
        <f>VLOOKUP(A138,'Trips&amp;Operators'!$C$1:$E$10000,3,FALSE)</f>
        <v>#N/A</v>
      </c>
      <c r="M138" s="6">
        <f t="shared" si="24"/>
        <v>2.8206018519995268E-2</v>
      </c>
      <c r="N138" s="7">
        <f t="shared" si="42"/>
        <v>40.616666668793187</v>
      </c>
      <c r="O138" s="7"/>
      <c r="P138" s="7"/>
      <c r="Q138" s="25"/>
      <c r="R138" s="25"/>
      <c r="S138" s="37">
        <f t="shared" si="25"/>
        <v>1</v>
      </c>
      <c r="T138" s="52" t="str">
        <f t="shared" si="26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19:45:15-0600',mode:absolute,to:'2016-09-06 22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38" s="54" t="str">
        <f t="shared" si="28"/>
        <v>N</v>
      </c>
      <c r="X138" s="120">
        <f t="shared" si="41"/>
        <v>1</v>
      </c>
      <c r="Y138" s="69">
        <f t="shared" si="29"/>
        <v>23.297899999999998</v>
      </c>
      <c r="Z138" s="69">
        <f t="shared" si="30"/>
        <v>1.6E-2</v>
      </c>
      <c r="AA138" s="69">
        <f t="shared" si="31"/>
        <v>23.2819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32"/>
        <v>0226-06</v>
      </c>
      <c r="AE138" s="99" t="str">
        <f t="shared" si="33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38" s="96" t="str">
        <f t="shared" si="34"/>
        <v>"C:\Program Files (x86)\AstroGrep\AstroGrep.exe" /spath="%USERPROFILE%\AppData\Local\Temp\OnboardLogs" /stypes="*4001*20160907*" /stext=" 03:.+((SYSTEM_STATE.+slice.+state.+changed )|(ment ac)|(system.+state.+changed )|(\|lc)|(penalty)|(\[timeout)|(PRM\|1\|D)|(kpr)|(kdp))" /e /r /s</v>
      </c>
      <c r="AG138" s="1" t="str">
        <f t="shared" si="35"/>
        <v>EC</v>
      </c>
      <c r="AH138" s="100" t="str">
        <f t="shared" si="36"/>
        <v>"%USERPROFILE%\Documents\GitHub\eaglep3\Utilities\RefineRTDCRunTimes.py" --tripid 226-06 --locoid 4001 --swversion DE.1.0.7.0 --startMP 204:232979 --initTime 2016-09-06T20:45:15 --startdatetime 2016-09-06T20:56:17 --delay 1 --endMP 204:160 --enddatetime 2016-09-06T21:36:54 --enforcementcount 0 &gt;&gt;C:\Users\stu\Documents\GitHub\eaglep3-reporting\EC\2016-09-06-refined-times.txt</v>
      </c>
      <c r="AI138" s="147" t="str">
        <f t="shared" si="37"/>
        <v>echo {"issue":{"subject":"","project_id":79,"tracker_id":40,"status_id":1,"priority_id":2,"assigned_to_id":23,"start_date":"2016-09-06","description":"","custom_fields":[{"id":1,"name":"Subdivision","value":"EC"},{"id":4,"name":"Milepost","value":"23.2819"},{"id":17,"name":"Train ID","value":"226-06"},{"id":16,"name":"Locomotive ID","value":"4001"},{"id":130,"name":"Impact","value":""},{"id":150,"name":"Time of Event (Mountain Time)","value":"21:36:54"},{"id":151,"name":"Denver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522</v>
      </c>
      <c r="B139" s="7">
        <v>4042</v>
      </c>
      <c r="C139" s="24" t="s">
        <v>112</v>
      </c>
      <c r="D139" s="24" t="s">
        <v>160</v>
      </c>
      <c r="E139" s="15">
        <v>42619.853298611109</v>
      </c>
      <c r="F139" s="15">
        <v>42619.854502314818</v>
      </c>
      <c r="G139" s="7">
        <v>1</v>
      </c>
      <c r="H139" s="15" t="s">
        <v>210</v>
      </c>
      <c r="I139" s="15">
        <v>42619.880868055552</v>
      </c>
      <c r="J139" s="7">
        <v>0</v>
      </c>
      <c r="K139" s="132" t="str">
        <f t="shared" si="23"/>
        <v>4041/4042</v>
      </c>
      <c r="L139" s="24" t="e">
        <f>VLOOKUP(A139,'Trips&amp;Operators'!$C$1:$E$10000,3,FALSE)</f>
        <v>#N/A</v>
      </c>
      <c r="M139" s="6">
        <f t="shared" si="24"/>
        <v>2.6365740734036081E-2</v>
      </c>
      <c r="N139" s="7">
        <f t="shared" si="42"/>
        <v>37.966666657011956</v>
      </c>
      <c r="O139" s="7"/>
      <c r="P139" s="7"/>
      <c r="Q139" s="25"/>
      <c r="R139" s="25"/>
      <c r="S139" s="37">
        <f t="shared" si="25"/>
        <v>1</v>
      </c>
      <c r="T139" s="52" t="str">
        <f t="shared" si="26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19:28:45-0600',mode:absolute,to:'2016-09-06 22:08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39" s="54" t="str">
        <f t="shared" si="28"/>
        <v>N</v>
      </c>
      <c r="X139" s="120">
        <f t="shared" si="41"/>
        <v>1</v>
      </c>
      <c r="Y139" s="69">
        <f t="shared" si="29"/>
        <v>4.5999999999999999E-2</v>
      </c>
      <c r="Z139" s="69">
        <f t="shared" si="30"/>
        <v>23.329699999999999</v>
      </c>
      <c r="AA139" s="69">
        <f t="shared" si="31"/>
        <v>23.2837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32"/>
        <v>0227-06</v>
      </c>
      <c r="AE139" s="99" t="str">
        <f t="shared" si="33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39" s="96" t="str">
        <f t="shared" si="34"/>
        <v>"C:\Program Files (x86)\AstroGrep\AstroGrep.exe" /spath="%USERPROFILE%\AppData\Local\Temp\OnboardLogs" /stypes="*4042*20160907*" /stext=" 03:.+((SYSTEM_STATE.+slice.+state.+changed )|(ment ac)|(system.+state.+changed )|(\|lc)|(penalty)|(\[timeout)|(PRM\|1\|D)|(kpr)|(kdp))" /e /r /s</v>
      </c>
      <c r="AG139" s="1" t="str">
        <f t="shared" si="35"/>
        <v>EC</v>
      </c>
      <c r="AH139" s="100" t="str">
        <f t="shared" ref="AH139:AH202" si="43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227-06 --locoid 4042 --swversion DE.1.0.7.0 --startMP 204:460 --initTime 2016-09-06T20:28:45 --startdatetime 2016-09-06T20:30:29 --delay 1 --endMP 204:233297 --enddatetime 2016-09-06T21:08:27 --enforcementcount 0 &gt;&gt;C:\Users\stu\Documents\GitHub\eaglep3-reporting\EC\2016-09-06-refined-times.txt</v>
      </c>
      <c r="AI139" s="147" t="str">
        <f t="shared" ref="AI139:AI202" si="44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AA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{"issue":{"subject":"","project_id":79,"tracker_id":40,"status_id":1,"priority_id":2,"assigned_to_id":23,"start_date":"2016-09-06","description":"","custom_fields":[{"id":1,"name":"Subdivision","value":"EC"},{"id":4,"name":"Milepost","value":"23.2837"},{"id":17,"name":"Train ID","value":"227-06"},{"id":16,"name":"Locomotive ID","value":"4042"},{"id":130,"name":"Impact","value":""},{"id":150,"name":"Time of Event (Mountain Time)","value":"21:08:27"},{"id":151,"name":"Denver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527</v>
      </c>
      <c r="B140" s="7">
        <v>4041</v>
      </c>
      <c r="C140" s="24" t="s">
        <v>112</v>
      </c>
      <c r="D140" s="24" t="s">
        <v>619</v>
      </c>
      <c r="E140" s="15">
        <v>42619.892847222225</v>
      </c>
      <c r="F140" s="15">
        <v>42619.893993055557</v>
      </c>
      <c r="G140" s="7">
        <v>1</v>
      </c>
      <c r="H140" s="15" t="s">
        <v>130</v>
      </c>
      <c r="I140" s="15">
        <v>42619.922118055554</v>
      </c>
      <c r="J140" s="7">
        <v>0</v>
      </c>
      <c r="K140" s="132" t="str">
        <f t="shared" si="23"/>
        <v>4041/4042</v>
      </c>
      <c r="L140" s="24" t="e">
        <f>VLOOKUP(A140,'Trips&amp;Operators'!$C$1:$E$10000,3,FALSE)</f>
        <v>#N/A</v>
      </c>
      <c r="M140" s="6">
        <f t="shared" si="24"/>
        <v>2.8124999997089617E-2</v>
      </c>
      <c r="N140" s="7">
        <f t="shared" si="42"/>
        <v>40.499999995809048</v>
      </c>
      <c r="O140" s="7"/>
      <c r="P140" s="7"/>
      <c r="Q140" s="25"/>
      <c r="R140" s="25"/>
      <c r="S140" s="37">
        <f t="shared" si="25"/>
        <v>1</v>
      </c>
      <c r="T140" s="52" t="str">
        <f t="shared" si="26"/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https://search-rtdc-monitor-bjffxe2xuh6vdkpspy63sjmuny.us-east-1.es.amazonaws.com/_plugin/kibana/#/discover/Steve-Slow-Train-Analysis-(2080s-and-2083s)?_g=(refreshInterval:(display:Off,section:0,value:0),time:(from:'2016-09-06 20:25:42-0600',mode:absolute,to:'2016-09-06 23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0" s="54" t="str">
        <f t="shared" si="28"/>
        <v>N</v>
      </c>
      <c r="X140" s="120">
        <f t="shared" si="41"/>
        <v>1</v>
      </c>
      <c r="Y140" s="69">
        <f t="shared" si="29"/>
        <v>23.232800000000001</v>
      </c>
      <c r="Z140" s="69">
        <f t="shared" si="30"/>
        <v>1.5800000000000002E-2</v>
      </c>
      <c r="AA140" s="69">
        <f t="shared" si="31"/>
        <v>23.217000000000002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32"/>
        <v>0228-06</v>
      </c>
      <c r="AE140" s="99" t="str">
        <f t="shared" si="33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40" s="96" t="str">
        <f t="shared" si="34"/>
        <v>"C:\Program Files (x86)\AstroGrep\AstroGrep.exe" /spath="%USERPROFILE%\AppData\Local\Temp\OnboardLogs" /stypes="*4041*20160907*" /stext=" 04:.+((SYSTEM_STATE.+slice.+state.+changed )|(ment ac)|(system.+state.+changed )|(\|lc)|(penalty)|(\[timeout)|(PRM\|1\|D)|(kpr)|(kdp))" /e /r /s</v>
      </c>
      <c r="AG140" s="1" t="str">
        <f t="shared" si="35"/>
        <v>EC</v>
      </c>
      <c r="AH140" s="100" t="str">
        <f t="shared" si="43"/>
        <v>"%USERPROFILE%\Documents\GitHub\eaglep3\Utilities\RefineRTDCRunTimes.py" --tripid 228-06 --locoid 4041 --swversion DE.1.0.7.0 --startMP 204:232328 --initTime 2016-09-06T21:25:42 --startdatetime 2016-09-06T21:27:21 --delay 1 --endMP 204:158 --enddatetime 2016-09-06T22:07:51 --enforcementcount 0 &gt;&gt;C:\Users\stu\Documents\GitHub\eaglep3-reporting\EC\2016-09-06-refined-times.txt</v>
      </c>
      <c r="AI140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{"issue":{"subject":"","project_id":79,"tracker_id":40,"status_id":1,"priority_id":2,"assigned_to_id":23,"start_date":"2016-09-06","description":"","custom_fields":[{"id":1,"name":"Subdivision","value":"EC"},{"id":4,"name":"Milepost","value":"23.217"},{"id":17,"name":"Train ID","value":"228-06"},{"id":16,"name":"Locomotive ID","value":"4041"},{"id":130,"name":"Impact","value":""},{"id":150,"name":"Time of Event (Mountain Time)","value":"22:07:51"},{"id":151,"name":"Denver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525</v>
      </c>
      <c r="B141" s="7">
        <v>4038</v>
      </c>
      <c r="C141" s="24" t="s">
        <v>112</v>
      </c>
      <c r="D141" s="24" t="s">
        <v>134</v>
      </c>
      <c r="E141" s="15">
        <v>42619.868854166663</v>
      </c>
      <c r="F141" s="15">
        <v>42619.8753125</v>
      </c>
      <c r="G141" s="7">
        <v>1</v>
      </c>
      <c r="H141" s="15" t="s">
        <v>159</v>
      </c>
      <c r="I141" s="15">
        <v>42619.900381944448</v>
      </c>
      <c r="J141" s="7">
        <v>0</v>
      </c>
      <c r="K141" s="132" t="str">
        <f t="shared" ref="K141:K204" si="45">IF(ISEVEN(B141),(B141-1)&amp;"/"&amp;B141,B141&amp;"/"&amp;(B141+1))</f>
        <v>4037/4038</v>
      </c>
      <c r="L141" s="24" t="e">
        <f>VLOOKUP(A141,'Trips&amp;Operators'!$C$1:$E$10000,3,FALSE)</f>
        <v>#N/A</v>
      </c>
      <c r="M141" s="6">
        <f t="shared" ref="M141:M204" si="46">I141-F141</f>
        <v>2.5069444447581191E-2</v>
      </c>
      <c r="N141" s="7">
        <f t="shared" si="42"/>
        <v>36.100000004516914</v>
      </c>
      <c r="O141" s="7"/>
      <c r="P141" s="7"/>
      <c r="Q141" s="25"/>
      <c r="R141" s="25"/>
      <c r="S141" s="37">
        <f t="shared" ref="S141:S204" si="47">SUM(U141:U141)/IF(AG141="EC",12,1)</f>
        <v>1</v>
      </c>
      <c r="T141" s="52" t="str">
        <f t="shared" ref="T141:T204" si="48">IF(ISEVEN(LEFT(AD141,4)),"Southbound","NorthBound")</f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49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https://search-rtdc-monitor-bjffxe2xuh6vdkpspy63sjmuny.us-east-1.es.amazonaws.com/_plugin/kibana/#/discover/Steve-Slow-Train-Analysis-(2080s-and-2083s)?_g=(refreshInterval:(display:Off,section:0,value:0),time:(from:'2016-09-06 19:51:09-0600',mode:absolute,to:'2016-09-06 22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41" s="54" t="str">
        <f t="shared" ref="W141:W204" si="50">IF(AA141&lt;IF(AG141="EC",23,5.65),"Y","N")</f>
        <v>N</v>
      </c>
      <c r="X141" s="120">
        <f t="shared" si="41"/>
        <v>1</v>
      </c>
      <c r="Y141" s="69">
        <f t="shared" ref="Y141:Y204" si="51">RIGHT(D141,LEN(D141)-4)/10000</f>
        <v>4.4900000000000002E-2</v>
      </c>
      <c r="Z141" s="69">
        <f t="shared" ref="Z141:Z204" si="52">RIGHT(H141,LEN(H141)-4)/10000</f>
        <v>23.3293</v>
      </c>
      <c r="AA141" s="69">
        <f t="shared" ref="AA141:AA204" si="53">ABS(Z141-Y141)</f>
        <v>23.284400000000002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ref="AD141:AD204" si="54">IF(LEN(A141)=6,"0"&amp;A141,A141)</f>
        <v>0229-06</v>
      </c>
      <c r="AE141" s="99" t="str">
        <f t="shared" ref="AE141:AE204" si="55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41" s="96" t="str">
        <f t="shared" ref="AF141:AF204" si="56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/stypes="*4038*20160907*" /stext=" 03:.+((SYSTEM_STATE.+slice.+state.+changed )|(ment ac)|(system.+state.+changed )|(\|lc)|(penalty)|(\[timeout)|(PRM\|1\|D)|(kpr)|(kdp))" /e /r /s</v>
      </c>
      <c r="AG141" s="1" t="str">
        <f t="shared" ref="AG141:AG204" si="57">IFERROR(IF(VALUE(LEFT(AD141,2))&lt;=2,"EC",IF(OR(VALUE(LEFT(AD141,2))=8,VALUE(LEFT(AD141,2))=18),"NW","Other")),"Other")</f>
        <v>EC</v>
      </c>
      <c r="AH141" s="100" t="str">
        <f t="shared" si="43"/>
        <v>"%USERPROFILE%\Documents\GitHub\eaglep3\Utilities\RefineRTDCRunTimes.py" --tripid 229-06 --locoid 4038 --swversion DE.1.0.7.0 --startMP 204:449 --initTime 2016-09-06T20:51:09 --startdatetime 2016-09-06T21:00:27 --delay 1 --endMP 204:233293 --enddatetime 2016-09-06T21:36:33 --enforcementcount 0 &gt;&gt;C:\Users\stu\Documents\GitHub\eaglep3-reporting\EC\2016-09-06-refined-times.txt</v>
      </c>
      <c r="AI141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{"issue":{"subject":"","project_id":79,"tracker_id":40,"status_id":1,"priority_id":2,"assigned_to_id":23,"start_date":"2016-09-06","description":"","custom_fields":[{"id":1,"name":"Subdivision","value":"EC"},{"id":4,"name":"Milepost","value":"23.2844"},{"id":17,"name":"Train ID","value":"229-06"},{"id":16,"name":"Locomotive ID","value":"4038"},{"id":130,"name":"Impact","value":""},{"id":150,"name":"Time of Event (Mountain Time)","value":"21:36:33"},{"id":151,"name":"Denver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530</v>
      </c>
      <c r="B142" s="7">
        <v>4037</v>
      </c>
      <c r="C142" s="24" t="s">
        <v>112</v>
      </c>
      <c r="D142" s="24" t="s">
        <v>607</v>
      </c>
      <c r="E142" s="15">
        <v>42619.910636574074</v>
      </c>
      <c r="F142" s="15">
        <v>42619.914143518516</v>
      </c>
      <c r="G142" s="7">
        <v>1</v>
      </c>
      <c r="H142" s="15" t="s">
        <v>156</v>
      </c>
      <c r="I142" s="15">
        <v>42619.941076388888</v>
      </c>
      <c r="J142" s="7">
        <v>0</v>
      </c>
      <c r="K142" s="132" t="str">
        <f t="shared" si="45"/>
        <v>4037/4038</v>
      </c>
      <c r="L142" s="24" t="e">
        <f>VLOOKUP(A142,'Trips&amp;Operators'!$C$1:$E$10000,3,FALSE)</f>
        <v>#N/A</v>
      </c>
      <c r="M142" s="6">
        <f t="shared" si="46"/>
        <v>2.6932870372547768E-2</v>
      </c>
      <c r="N142" s="7">
        <f t="shared" si="42"/>
        <v>38.783333336468786</v>
      </c>
      <c r="O142" s="7"/>
      <c r="P142" s="7"/>
      <c r="Q142" s="25"/>
      <c r="R142" s="25"/>
      <c r="S142" s="37">
        <f t="shared" si="47"/>
        <v>1</v>
      </c>
      <c r="T142" s="52" t="str">
        <f t="shared" si="48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20:51:19-0600',mode:absolute,to:'2016-09-06 23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42" s="54" t="str">
        <f t="shared" si="50"/>
        <v>N</v>
      </c>
      <c r="X142" s="120">
        <f t="shared" si="41"/>
        <v>1</v>
      </c>
      <c r="Y142" s="69">
        <f t="shared" si="51"/>
        <v>23.296399999999998</v>
      </c>
      <c r="Z142" s="69">
        <f t="shared" si="52"/>
        <v>1.4500000000000001E-2</v>
      </c>
      <c r="AA142" s="69">
        <f t="shared" si="53"/>
        <v>23.281899999999997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54"/>
        <v>0230-06</v>
      </c>
      <c r="AE142" s="99" t="str">
        <f t="shared" si="55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42" s="96" t="str">
        <f t="shared" si="56"/>
        <v>"C:\Program Files (x86)\AstroGrep\AstroGrep.exe" /spath="%USERPROFILE%\AppData\Local\Temp\OnboardLogs" /stypes="*4037*20160907*" /stext=" 04:.+((SYSTEM_STATE.+slice.+state.+changed )|(ment ac)|(system.+state.+changed )|(\|lc)|(penalty)|(\[timeout)|(PRM\|1\|D)|(kpr)|(kdp))" /e /r /s</v>
      </c>
      <c r="AG142" s="1" t="str">
        <f t="shared" si="57"/>
        <v>EC</v>
      </c>
      <c r="AH142" s="100" t="str">
        <f t="shared" si="43"/>
        <v>"%USERPROFILE%\Documents\GitHub\eaglep3\Utilities\RefineRTDCRunTimes.py" --tripid 230-06 --locoid 4037 --swversion DE.1.0.7.0 --startMP 204:232964 --initTime 2016-09-06T21:51:19 --startdatetime 2016-09-06T21:56:22 --delay 1 --endMP 204:145 --enddatetime 2016-09-06T22:35:09 --enforcementcount 0 &gt;&gt;C:\Users\stu\Documents\GitHub\eaglep3-reporting\EC\2016-09-06-refined-times.txt</v>
      </c>
      <c r="AI142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{"issue":{"subject":"","project_id":79,"tracker_id":40,"status_id":1,"priority_id":2,"assigned_to_id":23,"start_date":"2016-09-06","description":"","custom_fields":[{"id":1,"name":"Subdivision","value":"EC"},{"id":4,"name":"Milepost","value":"23.2819"},{"id":17,"name":"Train ID","value":"230-06"},{"id":16,"name":"Locomotive ID","value":"4037"},{"id":130,"name":"Impact","value":""},{"id":150,"name":"Time of Event (Mountain Time)","value":"22:35:09"},{"id":151,"name":"Denver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528</v>
      </c>
      <c r="B143" s="7">
        <v>4029</v>
      </c>
      <c r="C143" s="24" t="s">
        <v>112</v>
      </c>
      <c r="D143" s="24" t="s">
        <v>157</v>
      </c>
      <c r="E143" s="15">
        <v>42619.893009259256</v>
      </c>
      <c r="F143" s="15">
        <v>42619.896157407406</v>
      </c>
      <c r="G143" s="7">
        <v>4</v>
      </c>
      <c r="H143" s="15" t="s">
        <v>231</v>
      </c>
      <c r="I143" s="15">
        <v>42619.920613425929</v>
      </c>
      <c r="J143" s="7">
        <v>0</v>
      </c>
      <c r="K143" s="132" t="str">
        <f t="shared" si="45"/>
        <v>4029/4030</v>
      </c>
      <c r="L143" s="24" t="e">
        <f>VLOOKUP(A143,'Trips&amp;Operators'!$C$1:$E$10000,3,FALSE)</f>
        <v>#N/A</v>
      </c>
      <c r="M143" s="6">
        <f t="shared" si="46"/>
        <v>2.4456018523778766E-2</v>
      </c>
      <c r="N143" s="7">
        <f t="shared" si="42"/>
        <v>35.216666674241424</v>
      </c>
      <c r="O143" s="7"/>
      <c r="P143" s="7"/>
      <c r="Q143" s="25"/>
      <c r="R143" s="25"/>
      <c r="S143" s="37">
        <f t="shared" si="47"/>
        <v>1</v>
      </c>
      <c r="T143" s="52" t="str">
        <f t="shared" si="48"/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20:25:56-0600',mode:absolute,to:'2016-09-06 23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43" s="54" t="str">
        <f t="shared" si="50"/>
        <v>N</v>
      </c>
      <c r="X143" s="120">
        <f t="shared" si="41"/>
        <v>1</v>
      </c>
      <c r="Y143" s="69">
        <f t="shared" si="51"/>
        <v>4.4699999999999997E-2</v>
      </c>
      <c r="Z143" s="69">
        <f t="shared" si="52"/>
        <v>23.331499999999998</v>
      </c>
      <c r="AA143" s="69">
        <f t="shared" si="53"/>
        <v>23.286799999999999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54"/>
        <v>0231-06</v>
      </c>
      <c r="AE143" s="99" t="str">
        <f t="shared" si="55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43" s="96" t="str">
        <f t="shared" si="56"/>
        <v>"C:\Program Files (x86)\AstroGrep\AstroGrep.exe" /spath="%USERPROFILE%\AppData\Local\Temp\OnboardLogs" /stypes="*4029*20160907*" /stext=" 04:.+((SYSTEM_STATE.+slice.+state.+changed )|(ment ac)|(system.+state.+changed )|(\|lc)|(penalty)|(\[timeout)|(PRM\|1\|D)|(kpr)|(kdp))" /e /r /s</v>
      </c>
      <c r="AG143" s="1" t="str">
        <f t="shared" si="57"/>
        <v>EC</v>
      </c>
      <c r="AH143" s="100" t="str">
        <f t="shared" si="43"/>
        <v>"%USERPROFILE%\Documents\GitHub\eaglep3\Utilities\RefineRTDCRunTimes.py" --tripid 231-06 --locoid 4029 --swversion DE.1.0.7.0 --startMP 204:447 --initTime 2016-09-06T21:25:56 --startdatetime 2016-09-06T21:30:28 --delay 4 --endMP 204:233315 --enddatetime 2016-09-06T22:05:41 --enforcementcount 0 &gt;&gt;C:\Users\stu\Documents\GitHub\eaglep3-reporting\EC\2016-09-06-refined-times.txt</v>
      </c>
      <c r="AI143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{"issue":{"subject":"","project_id":79,"tracker_id":40,"status_id":1,"priority_id":2,"assigned_to_id":23,"start_date":"2016-09-06","description":"","custom_fields":[{"id":1,"name":"Subdivision","value":"EC"},{"id":4,"name":"Milepost","value":"23.2868"},{"id":17,"name":"Train ID","value":"231-06"},{"id":16,"name":"Locomotive ID","value":"4029"},{"id":130,"name":"Impact","value":""},{"id":150,"name":"Time of Event (Mountain Time)","value":"22:05:41"},{"id":151,"name":"Denver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533</v>
      </c>
      <c r="B144" s="7">
        <v>4030</v>
      </c>
      <c r="C144" s="24" t="s">
        <v>112</v>
      </c>
      <c r="D144" s="24" t="s">
        <v>233</v>
      </c>
      <c r="E144" s="15">
        <v>42619.929444444446</v>
      </c>
      <c r="F144" s="15">
        <v>42619.934965277775</v>
      </c>
      <c r="G144" s="7">
        <v>1</v>
      </c>
      <c r="H144" s="15" t="s">
        <v>579</v>
      </c>
      <c r="I144" s="15">
        <v>42619.962500000001</v>
      </c>
      <c r="J144" s="7">
        <v>0</v>
      </c>
      <c r="K144" s="132" t="str">
        <f t="shared" si="45"/>
        <v>4029/4030</v>
      </c>
      <c r="L144" s="24" t="e">
        <f>VLOOKUP(A144,'Trips&amp;Operators'!$C$1:$E$10000,3,FALSE)</f>
        <v>#N/A</v>
      </c>
      <c r="M144" s="6">
        <f t="shared" si="46"/>
        <v>2.7534722226846498E-2</v>
      </c>
      <c r="N144" s="7">
        <f t="shared" si="42"/>
        <v>39.650000006658956</v>
      </c>
      <c r="O144" s="7"/>
      <c r="P144" s="7"/>
      <c r="Q144" s="25"/>
      <c r="R144" s="25"/>
      <c r="S144" s="37">
        <f t="shared" si="47"/>
        <v>1</v>
      </c>
      <c r="T144" s="52" t="str">
        <f t="shared" si="48"/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21:18:24-0600',mode:absolute,to:'2016-09-07 00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44" s="54" t="str">
        <f t="shared" si="50"/>
        <v>N</v>
      </c>
      <c r="X144" s="120">
        <f t="shared" ref="X144:X173" si="58">VALUE(LEFT(AD144,4))-VALUE(LEFT(AD143,4))</f>
        <v>1</v>
      </c>
      <c r="Y144" s="69">
        <f t="shared" si="51"/>
        <v>23.299800000000001</v>
      </c>
      <c r="Z144" s="69">
        <f t="shared" si="52"/>
        <v>1.7399999999999999E-2</v>
      </c>
      <c r="AA144" s="69">
        <f t="shared" si="53"/>
        <v>23.282400000000003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54"/>
        <v>0232-06</v>
      </c>
      <c r="AE144" s="99" t="str">
        <f t="shared" si="55"/>
        <v>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 &amp; 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</v>
      </c>
      <c r="AF144" s="96" t="str">
        <f t="shared" si="56"/>
        <v>"C:\Program Files (x86)\AstroGrep\AstroGrep.exe" /spath="%USERPROFILE%\AppData\Local\Temp\OnboardLogs" /stypes="*4030*20160907*" /stext=" 05:.+((SYSTEM_STATE.+slice.+state.+changed )|(ment ac)|(system.+state.+changed )|(\|lc)|(penalty)|(\[timeout)|(PRM\|1\|D)|(kpr)|(kdp))" /e /r /s</v>
      </c>
      <c r="AG144" s="1" t="str">
        <f t="shared" si="57"/>
        <v>EC</v>
      </c>
      <c r="AH144" s="100" t="str">
        <f t="shared" si="43"/>
        <v>"%USERPROFILE%\Documents\GitHub\eaglep3\Utilities\RefineRTDCRunTimes.py" --tripid 232-06 --locoid 4030 --swversion DE.1.0.7.0 --startMP 204:232998 --initTime 2016-09-06T22:18:24 --startdatetime 2016-09-06T22:26:21 --delay 1 --endMP 204:174 --enddatetime 2016-09-06T23:06:00 --enforcementcount 0 &gt;&gt;C:\Users\stu\Documents\GitHub\eaglep3-reporting\EC\2016-09-06-refined-times.txt</v>
      </c>
      <c r="AI144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{"issue":{"subject":"","project_id":79,"tracker_id":40,"status_id":1,"priority_id":2,"assigned_to_id":23,"start_date":"2016-09-06","description":"","custom_fields":[{"id":1,"name":"Subdivision","value":"EC"},{"id":4,"name":"Milepost","value":"23.2824"},{"id":17,"name":"Train ID","value":"232-06"},{"id":16,"name":"Locomotive ID","value":"4030"},{"id":130,"name":"Impact","value":""},{"id":150,"name":"Time of Event (Mountain Time)","value":"23:06:00"},{"id":151,"name":"Denver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531</v>
      </c>
      <c r="B145" s="7">
        <v>4002</v>
      </c>
      <c r="C145" s="24" t="s">
        <v>112</v>
      </c>
      <c r="D145" s="24" t="s">
        <v>278</v>
      </c>
      <c r="E145" s="15">
        <v>42619.913344907407</v>
      </c>
      <c r="F145" s="15">
        <v>42619.916851851849</v>
      </c>
      <c r="G145" s="7">
        <v>1</v>
      </c>
      <c r="H145" s="15" t="s">
        <v>251</v>
      </c>
      <c r="I145" s="15">
        <v>42619.941238425927</v>
      </c>
      <c r="J145" s="7">
        <v>0</v>
      </c>
      <c r="K145" s="132" t="str">
        <f t="shared" si="45"/>
        <v>4001/4002</v>
      </c>
      <c r="L145" s="24" t="e">
        <f>VLOOKUP(A145,'Trips&amp;Operators'!$C$1:$E$10000,3,FALSE)</f>
        <v>#N/A</v>
      </c>
      <c r="M145" s="6">
        <f t="shared" si="46"/>
        <v>2.4386574077652767E-2</v>
      </c>
      <c r="N145" s="7">
        <f t="shared" si="42"/>
        <v>35.116666671819985</v>
      </c>
      <c r="O145" s="7"/>
      <c r="P145" s="7"/>
      <c r="Q145" s="25"/>
      <c r="R145" s="25"/>
      <c r="S145" s="37">
        <f t="shared" si="47"/>
        <v>1</v>
      </c>
      <c r="T145" s="52" t="str">
        <f t="shared" si="48"/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20:55:13-0600',mode:absolute,to:'2016-09-06 23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45" s="54" t="str">
        <f t="shared" si="50"/>
        <v>N</v>
      </c>
      <c r="X145" s="120">
        <f t="shared" si="58"/>
        <v>1</v>
      </c>
      <c r="Y145" s="69">
        <f t="shared" si="51"/>
        <v>4.4600000000000001E-2</v>
      </c>
      <c r="Z145" s="69">
        <f t="shared" si="52"/>
        <v>23.329499999999999</v>
      </c>
      <c r="AA145" s="69">
        <f t="shared" si="53"/>
        <v>23.2849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54"/>
        <v>0233-06</v>
      </c>
      <c r="AE145" s="99" t="str">
        <f t="shared" si="55"/>
        <v>aws s3 cp s3://rtdc.mdm.uploadarchive/RTDC4002/2016-09-06/ "%USERPROFILE%\AppData\Local\Temp\OnboardLogs"\RTDC4002\2016-09-06 --recursive &amp; "%USERPROFILE%\Documents\GitHub\mrs-test-scripts\Headless Mode &amp; Sideloading\WalkAndUnGZ.bat" "%USERPROFILE%\AppData\Local\Temp\OnboardLogs"\RTDC4002\2016-09-06 &amp; 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</v>
      </c>
      <c r="AF145" s="96" t="str">
        <f t="shared" si="56"/>
        <v>"C:\Program Files (x86)\AstroGrep\AstroGrep.exe" /spath="%USERPROFILE%\AppData\Local\Temp\OnboardLogs" /stypes="*4002*20160907*" /stext=" 04:.+((SYSTEM_STATE.+slice.+state.+changed )|(ment ac)|(system.+state.+changed )|(\|lc)|(penalty)|(\[timeout)|(PRM\|1\|D)|(kpr)|(kdp))" /e /r /s</v>
      </c>
      <c r="AG145" s="1" t="str">
        <f t="shared" si="57"/>
        <v>EC</v>
      </c>
      <c r="AH145" s="100" t="str">
        <f t="shared" si="43"/>
        <v>"%USERPROFILE%\Documents\GitHub\eaglep3\Utilities\RefineRTDCRunTimes.py" --tripid 233-06 --locoid 4002 --swversion DE.1.0.7.0 --startMP 204:446 --initTime 2016-09-06T21:55:13 --startdatetime 2016-09-06T22:00:16 --delay 1 --endMP 204:233295 --enddatetime 2016-09-06T22:35:23 --enforcementcount 0 &gt;&gt;C:\Users\stu\Documents\GitHub\eaglep3-reporting\EC\2016-09-06-refined-times.txt</v>
      </c>
      <c r="AI145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{"issue":{"subject":"","project_id":79,"tracker_id":40,"status_id":1,"priority_id":2,"assigned_to_id":23,"start_date":"2016-09-06","description":"","custom_fields":[{"id":1,"name":"Subdivision","value":"EC"},{"id":4,"name":"Milepost","value":"23.2849"},{"id":17,"name":"Train ID","value":"233-06"},{"id":16,"name":"Locomotive ID","value":"4002"},{"id":130,"name":"Impact","value":""},{"id":150,"name":"Time of Event (Mountain Time)","value":"22:35:23"},{"id":151,"name":"Denver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536</v>
      </c>
      <c r="B146" s="7">
        <v>4001</v>
      </c>
      <c r="C146" s="24" t="s">
        <v>112</v>
      </c>
      <c r="D146" s="24" t="s">
        <v>198</v>
      </c>
      <c r="E146" s="15">
        <v>42619.951793981483</v>
      </c>
      <c r="F146" s="15">
        <v>42619.955706018518</v>
      </c>
      <c r="G146" s="7">
        <v>1</v>
      </c>
      <c r="H146" s="15" t="s">
        <v>620</v>
      </c>
      <c r="I146" s="15">
        <v>42619.983298611114</v>
      </c>
      <c r="J146" s="7">
        <v>0</v>
      </c>
      <c r="K146" s="132" t="str">
        <f t="shared" si="45"/>
        <v>4001/4002</v>
      </c>
      <c r="L146" s="24" t="e">
        <f>VLOOKUP(A146,'Trips&amp;Operators'!$C$1:$E$10000,3,FALSE)</f>
        <v>#N/A</v>
      </c>
      <c r="M146" s="6">
        <f t="shared" si="46"/>
        <v>2.7592592596192844E-2</v>
      </c>
      <c r="N146" s="7">
        <f t="shared" si="42"/>
        <v>39.733333338517696</v>
      </c>
      <c r="O146" s="7"/>
      <c r="P146" s="7"/>
      <c r="Q146" s="25"/>
      <c r="R146" s="25"/>
      <c r="S146" s="37">
        <f t="shared" si="47"/>
        <v>1</v>
      </c>
      <c r="T146" s="52" t="str">
        <f t="shared" si="48"/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21:50:35-0600',mode:absolute,to:'2016-09-07 00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46" s="54" t="str">
        <f t="shared" si="50"/>
        <v>N</v>
      </c>
      <c r="X146" s="120">
        <f t="shared" si="58"/>
        <v>1</v>
      </c>
      <c r="Y146" s="69">
        <f t="shared" si="51"/>
        <v>23.297699999999999</v>
      </c>
      <c r="Z146" s="69">
        <f t="shared" si="52"/>
        <v>1.61E-2</v>
      </c>
      <c r="AA146" s="69">
        <f t="shared" si="53"/>
        <v>23.281599999999997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54"/>
        <v>0234-06</v>
      </c>
      <c r="AE146" s="99" t="str">
        <f t="shared" si="55"/>
        <v>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 &amp; 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</v>
      </c>
      <c r="AF146" s="96" t="str">
        <f t="shared" si="56"/>
        <v>"C:\Program Files (x86)\AstroGrep\AstroGrep.exe" /spath="%USERPROFILE%\AppData\Local\Temp\OnboardLogs" /stypes="*4001*20160907*" /stext=" 05:.+((SYSTEM_STATE.+slice.+state.+changed )|(ment ac)|(system.+state.+changed )|(\|lc)|(penalty)|(\[timeout)|(PRM\|1\|D)|(kpr)|(kdp))" /e /r /s</v>
      </c>
      <c r="AG146" s="1" t="str">
        <f t="shared" si="57"/>
        <v>EC</v>
      </c>
      <c r="AH146" s="100" t="str">
        <f t="shared" si="43"/>
        <v>"%USERPROFILE%\Documents\GitHub\eaglep3\Utilities\RefineRTDCRunTimes.py" --tripid 234-06 --locoid 4001 --swversion DE.1.0.7.0 --startMP 204:232977 --initTime 2016-09-06T22:50:35 --startdatetime 2016-09-06T22:56:13 --delay 1 --endMP 204:161 --enddatetime 2016-09-06T23:35:57 --enforcementcount 0 &gt;&gt;C:\Users\stu\Documents\GitHub\eaglep3-reporting\EC\2016-09-06-refined-times.txt</v>
      </c>
      <c r="AI146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{"issue":{"subject":"","project_id":79,"tracker_id":40,"status_id":1,"priority_id":2,"assigned_to_id":23,"start_date":"2016-09-06","description":"","custom_fields":[{"id":1,"name":"Subdivision","value":"EC"},{"id":4,"name":"Milepost","value":"23.2816"},{"id":17,"name":"Train ID","value":"234-06"},{"id":16,"name":"Locomotive ID","value":"4001"},{"id":130,"name":"Impact","value":""},{"id":150,"name":"Time of Event (Mountain Time)","value":"23:35:57"},{"id":151,"name":"Denver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534</v>
      </c>
      <c r="B147" s="7">
        <v>4042</v>
      </c>
      <c r="C147" s="24" t="s">
        <v>112</v>
      </c>
      <c r="D147" s="24" t="s">
        <v>132</v>
      </c>
      <c r="E147" s="15">
        <v>42619.935868055552</v>
      </c>
      <c r="F147" s="15">
        <v>42619.937708333331</v>
      </c>
      <c r="G147" s="7">
        <v>1</v>
      </c>
      <c r="H147" s="15" t="s">
        <v>287</v>
      </c>
      <c r="I147" s="15">
        <v>42619.963506944441</v>
      </c>
      <c r="J147" s="7">
        <v>0</v>
      </c>
      <c r="K147" s="132" t="str">
        <f t="shared" si="45"/>
        <v>4041/4042</v>
      </c>
      <c r="L147" s="24" t="e">
        <f>VLOOKUP(A147,'Trips&amp;Operators'!$C$1:$E$10000,3,FALSE)</f>
        <v>#N/A</v>
      </c>
      <c r="M147" s="6">
        <f t="shared" si="46"/>
        <v>2.5798611110076308E-2</v>
      </c>
      <c r="N147" s="7">
        <f t="shared" si="42"/>
        <v>37.149999998509884</v>
      </c>
      <c r="O147" s="7"/>
      <c r="P147" s="7"/>
      <c r="Q147" s="25"/>
      <c r="R147" s="25"/>
      <c r="S147" s="37">
        <f t="shared" si="47"/>
        <v>1</v>
      </c>
      <c r="T147" s="52" t="str">
        <f t="shared" si="48"/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21:27:39-0600',mode:absolute,to:'2016-09-07 00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47" s="54" t="str">
        <f t="shared" si="50"/>
        <v>N</v>
      </c>
      <c r="X147" s="120">
        <f t="shared" si="58"/>
        <v>1</v>
      </c>
      <c r="Y147" s="69">
        <f t="shared" si="51"/>
        <v>4.53E-2</v>
      </c>
      <c r="Z147" s="69">
        <f t="shared" si="52"/>
        <v>23.325500000000002</v>
      </c>
      <c r="AA147" s="69">
        <f t="shared" si="53"/>
        <v>23.280200000000001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54"/>
        <v>0235-06</v>
      </c>
      <c r="AE147" s="99" t="str">
        <f t="shared" si="55"/>
        <v>aws s3 cp s3://rtdc.mdm.uploadarchive/RTDC4042/2016-09-06/ "%USERPROFILE%\AppData\Local\Temp\OnboardLogs"\RTDC4042\2016-09-06 --recursive &amp; "%USERPROFILE%\Documents\GitHub\mrs-test-scripts\Headless Mode &amp; Sideloading\WalkAndUnGZ.bat" "%USERPROFILE%\AppData\Local\Temp\OnboardLogs"\RTDC4042\2016-09-06 &amp; 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</v>
      </c>
      <c r="AF147" s="96" t="str">
        <f t="shared" si="56"/>
        <v>"C:\Program Files (x86)\AstroGrep\AstroGrep.exe" /spath="%USERPROFILE%\AppData\Local\Temp\OnboardLogs" /stypes="*4042*20160907*" /stext=" 05:.+((SYSTEM_STATE.+slice.+state.+changed )|(ment ac)|(system.+state.+changed )|(\|lc)|(penalty)|(\[timeout)|(PRM\|1\|D)|(kpr)|(kdp))" /e /r /s</v>
      </c>
      <c r="AG147" s="1" t="str">
        <f t="shared" si="57"/>
        <v>EC</v>
      </c>
      <c r="AH147" s="100" t="str">
        <f t="shared" si="43"/>
        <v>"%USERPROFILE%\Documents\GitHub\eaglep3\Utilities\RefineRTDCRunTimes.py" --tripid 235-06 --locoid 4042 --swversion DE.1.0.7.0 --startMP 204:453 --initTime 2016-09-06T22:27:39 --startdatetime 2016-09-06T22:30:18 --delay 1 --endMP 204:233255 --enddatetime 2016-09-06T23:07:27 --enforcementcount 0 &gt;&gt;C:\Users\stu\Documents\GitHub\eaglep3-reporting\EC\2016-09-06-refined-times.txt</v>
      </c>
      <c r="AI147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{"issue":{"subject":"","project_id":79,"tracker_id":40,"status_id":1,"priority_id":2,"assigned_to_id":23,"start_date":"2016-09-06","description":"","custom_fields":[{"id":1,"name":"Subdivision","value":"EC"},{"id":4,"name":"Milepost","value":"23.2802"},{"id":17,"name":"Train ID","value":"235-06"},{"id":16,"name":"Locomotive ID","value":"4042"},{"id":130,"name":"Impact","value":""},{"id":150,"name":"Time of Event (Mountain Time)","value":"23:07:27"},{"id":151,"name":"Denver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538</v>
      </c>
      <c r="B148" s="7">
        <v>4041</v>
      </c>
      <c r="C148" s="24" t="s">
        <v>112</v>
      </c>
      <c r="D148" s="24" t="s">
        <v>300</v>
      </c>
      <c r="E148" s="15">
        <v>42619.976041666669</v>
      </c>
      <c r="F148" s="15">
        <v>42619.977013888885</v>
      </c>
      <c r="G148" s="7">
        <v>1</v>
      </c>
      <c r="H148" s="15" t="s">
        <v>621</v>
      </c>
      <c r="I148" s="15">
        <v>42620.007708333331</v>
      </c>
      <c r="J148" s="7">
        <v>0</v>
      </c>
      <c r="K148" s="132" t="str">
        <f t="shared" si="45"/>
        <v>4041/4042</v>
      </c>
      <c r="L148" s="24" t="e">
        <f>VLOOKUP(A148,'Trips&amp;Operators'!$C$1:$E$10000,3,FALSE)</f>
        <v>#N/A</v>
      </c>
      <c r="M148" s="6">
        <f t="shared" si="46"/>
        <v>3.0694444445543922E-2</v>
      </c>
      <c r="N148" s="7">
        <f t="shared" si="42"/>
        <v>44.200000001583248</v>
      </c>
      <c r="O148" s="7"/>
      <c r="P148" s="7"/>
      <c r="Q148" s="25"/>
      <c r="R148" s="25"/>
      <c r="S148" s="37">
        <f t="shared" si="47"/>
        <v>1</v>
      </c>
      <c r="T148" s="52" t="str">
        <f t="shared" si="48"/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22:25:30-0600',mode:absolute,to:'2016-09-07 01:11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48" s="54" t="str">
        <f t="shared" si="50"/>
        <v>N</v>
      </c>
      <c r="X148" s="120">
        <f t="shared" si="58"/>
        <v>1</v>
      </c>
      <c r="Y148" s="69">
        <f t="shared" si="51"/>
        <v>23.2959</v>
      </c>
      <c r="Z148" s="69">
        <f t="shared" si="52"/>
        <v>1.7600000000000001E-2</v>
      </c>
      <c r="AA148" s="69">
        <f t="shared" si="53"/>
        <v>23.278299999999998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54"/>
        <v>0236-06</v>
      </c>
      <c r="AE148" s="99" t="str">
        <f t="shared" si="55"/>
        <v>aws s3 cp s3://rtdc.mdm.uploadarchive/RTDC4041/2016-09-06/ "%USERPROFILE%\AppData\Local\Temp\OnboardLogs"\RTDC4041\2016-09-06 --recursive &amp; "%USERPROFILE%\Documents\GitHub\mrs-test-scripts\Headless Mode &amp; Sideloading\WalkAndUnGZ.bat" "%USERPROFILE%\AppData\Local\Temp\OnboardLogs"\RTDC4041\2016-09-06 &amp; 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</v>
      </c>
      <c r="AF148" s="96" t="str">
        <f t="shared" si="56"/>
        <v>"C:\Program Files (x86)\AstroGrep\AstroGrep.exe" /spath="%USERPROFILE%\AppData\Local\Temp\OnboardLogs" /stypes="*4041*20160907*" /stext=" 06:.+((SYSTEM_STATE.+slice.+state.+changed )|(ment ac)|(system.+state.+changed )|(\|lc)|(penalty)|(\[timeout)|(PRM\|1\|D)|(kpr)|(kdp))" /e /r /s</v>
      </c>
      <c r="AG148" s="1" t="str">
        <f t="shared" si="57"/>
        <v>EC</v>
      </c>
      <c r="AH148" s="100" t="str">
        <f t="shared" si="43"/>
        <v>"%USERPROFILE%\Documents\GitHub\eaglep3\Utilities\RefineRTDCRunTimes.py" --tripid 236-06 --locoid 4041 --swversion DE.1.0.7.0 --startMP 204:232959 --initTime 2016-09-06T23:25:30 --startdatetime 2016-09-06T23:26:54 --delay 1 --endMP 204:176 --enddatetime 2016-09-07T00:11:06 --enforcementcount 0 &gt;&gt;C:\Users\stu\Documents\GitHub\eaglep3-reporting\EC\2016-09-06-refined-times.txt</v>
      </c>
      <c r="AI148" s="147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{"issue":{"subject":"","project_id":79,"tracker_id":40,"status_id":1,"priority_id":2,"assigned_to_id":23,"start_date":"2016-09-07","description":"","custom_fields":[{"id":1,"name":"Subdivision","value":"EC"},{"id":4,"name":"Milepost","value":"23.2783"},{"id":17,"name":"Train ID","value":"236-06"},{"id":16,"name":"Locomotive ID","value":"4041"},{"id":130,"name":"Impact","value":""},{"id":150,"name":"Time of Event (Mountain Time)","value":"00:11:06"},{"id":151,"name":"Denver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537</v>
      </c>
      <c r="B149" s="7">
        <v>4038</v>
      </c>
      <c r="C149" s="24" t="s">
        <v>112</v>
      </c>
      <c r="D149" s="24" t="s">
        <v>137</v>
      </c>
      <c r="E149" s="15">
        <v>42619.954282407409</v>
      </c>
      <c r="F149" s="15">
        <v>42619.958622685182</v>
      </c>
      <c r="G149" s="7">
        <v>6</v>
      </c>
      <c r="H149" s="15" t="s">
        <v>622</v>
      </c>
      <c r="I149" s="15">
        <v>42619.984178240738</v>
      </c>
      <c r="J149" s="7">
        <v>0</v>
      </c>
      <c r="K149" s="132" t="str">
        <f t="shared" si="45"/>
        <v>4037/4038</v>
      </c>
      <c r="L149" s="24" t="e">
        <f>VLOOKUP(A149,'Trips&amp;Operators'!$C$1:$E$10000,3,FALSE)</f>
        <v>#N/A</v>
      </c>
      <c r="M149" s="6">
        <f t="shared" si="46"/>
        <v>2.5555555555911269E-2</v>
      </c>
      <c r="N149" s="7">
        <f t="shared" si="42"/>
        <v>36.800000000512227</v>
      </c>
      <c r="O149" s="7"/>
      <c r="P149" s="7"/>
      <c r="Q149" s="25"/>
      <c r="R149" s="25"/>
      <c r="S149" s="37">
        <f t="shared" si="47"/>
        <v>1</v>
      </c>
      <c r="T149" s="52" t="str">
        <f t="shared" si="48"/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21:54:10-0600',mode:absolute,to:'2016-09-07 00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49" s="54" t="str">
        <f t="shared" si="50"/>
        <v>N</v>
      </c>
      <c r="X149" s="120">
        <f t="shared" si="58"/>
        <v>1</v>
      </c>
      <c r="Y149" s="69">
        <f t="shared" si="51"/>
        <v>4.5699999999999998E-2</v>
      </c>
      <c r="Z149" s="69">
        <f t="shared" si="52"/>
        <v>23.330300000000001</v>
      </c>
      <c r="AA149" s="69">
        <f t="shared" si="53"/>
        <v>23.284600000000001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54"/>
        <v>0237-06</v>
      </c>
      <c r="AE149" s="99" t="str">
        <f t="shared" si="55"/>
        <v>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 &amp; 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</v>
      </c>
      <c r="AF149" s="96" t="str">
        <f t="shared" si="56"/>
        <v>"C:\Program Files (x86)\AstroGrep\AstroGrep.exe" /spath="%USERPROFILE%\AppData\Local\Temp\OnboardLogs" /stypes="*4038*20160907*" /stext=" 05:.+((SYSTEM_STATE.+slice.+state.+changed )|(ment ac)|(system.+state.+changed )|(\|lc)|(penalty)|(\[timeout)|(PRM\|1\|D)|(kpr)|(kdp))" /e /r /s</v>
      </c>
      <c r="AG149" s="1" t="str">
        <f t="shared" si="57"/>
        <v>EC</v>
      </c>
      <c r="AH149" s="100" t="str">
        <f t="shared" si="43"/>
        <v>"%USERPROFILE%\Documents\GitHub\eaglep3\Utilities\RefineRTDCRunTimes.py" --tripid 237-06 --locoid 4038 --swversion DE.1.0.7.0 --startMP 204:457 --initTime 2016-09-06T22:54:10 --startdatetime 2016-09-06T23:00:25 --delay 6 --endMP 204:233303 --enddatetime 2016-09-06T23:37:13 --enforcementcount 0 &gt;&gt;C:\Users\stu\Documents\GitHub\eaglep3-reporting\EC\2016-09-06-refined-times.txt</v>
      </c>
      <c r="AI149" s="147" t="str">
        <f t="shared" si="44"/>
        <v>echo {"issue":{"subject":"","project_id":79,"tracker_id":40,"status_id":1,"priority_id":2,"assigned_to_id":23,"start_date":"2016-09-06","description":"","custom_fields":[{"id":1,"name":"Subdivision","value":"EC"},{"id":4,"name":"Milepost","value":"23.2846"},{"id":17,"name":"Train ID","value":"237-06"},{"id":16,"name":"Locomotive ID","value":"4038"},{"id":130,"name":"Impact","value":""},{"id":150,"name":"Time of Event (Mountain Time)","value":"23:37:13"},{"id":151,"name":"Denver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540</v>
      </c>
      <c r="B150" s="7">
        <v>4037</v>
      </c>
      <c r="C150" s="24" t="s">
        <v>112</v>
      </c>
      <c r="D150" s="24" t="s">
        <v>207</v>
      </c>
      <c r="E150" s="15">
        <v>42619.993298611109</v>
      </c>
      <c r="F150" s="15">
        <v>42619.997546296298</v>
      </c>
      <c r="G150" s="7">
        <v>1</v>
      </c>
      <c r="H150" s="15" t="s">
        <v>620</v>
      </c>
      <c r="I150" s="15">
        <v>42620.028506944444</v>
      </c>
      <c r="J150" s="7">
        <v>0</v>
      </c>
      <c r="K150" s="132" t="str">
        <f t="shared" si="45"/>
        <v>4037/4038</v>
      </c>
      <c r="L150" s="24" t="e">
        <f>VLOOKUP(A150,'Trips&amp;Operators'!$C$1:$E$10000,3,FALSE)</f>
        <v>#N/A</v>
      </c>
      <c r="M150" s="6">
        <f t="shared" si="46"/>
        <v>3.0960648145992309E-2</v>
      </c>
      <c r="N150" s="7">
        <f t="shared" si="42"/>
        <v>44.583333330228925</v>
      </c>
      <c r="O150" s="7"/>
      <c r="P150" s="7"/>
      <c r="Q150" s="25"/>
      <c r="R150" s="25"/>
      <c r="S150" s="37">
        <f t="shared" si="47"/>
        <v>1</v>
      </c>
      <c r="T150" s="52" t="str">
        <f t="shared" si="48"/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22:50:21-0600',mode:absolute,to:'2016-09-07 01:41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50" s="54" t="str">
        <f t="shared" si="50"/>
        <v>N</v>
      </c>
      <c r="X150" s="120">
        <f t="shared" si="58"/>
        <v>1</v>
      </c>
      <c r="Y150" s="69">
        <f t="shared" si="51"/>
        <v>23.2971</v>
      </c>
      <c r="Z150" s="69">
        <f t="shared" si="52"/>
        <v>1.61E-2</v>
      </c>
      <c r="AA150" s="69">
        <f t="shared" si="53"/>
        <v>23.280999999999999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54"/>
        <v>0238-06</v>
      </c>
      <c r="AE150" s="99" t="str">
        <f t="shared" si="55"/>
        <v>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 &amp; aws s3 cp s3://rtdc.mdm.uploadarchive/RTDC4037/2016-09-07/ "%USERPROFILE%\AppData\Local\Temp\OnboardLogs"\RTDC4037\2016-09-07 --recursive &amp; "%USERPROFILE%\Documents\GitHub\mrs-test-scripts\Headless Mode &amp; Sideloading\WalkAndUnGZ.bat" "%USERPROFILE%\AppData\Local\Temp\OnboardLogs"\RTDC4037\2016-09-07</v>
      </c>
      <c r="AF150" s="96" t="str">
        <f t="shared" si="56"/>
        <v>"C:\Program Files (x86)\AstroGrep\AstroGrep.exe" /spath="%USERPROFILE%\AppData\Local\Temp\OnboardLogs" /stypes="*4037*20160907*" /stext=" 06:.+((SYSTEM_STATE.+slice.+state.+changed )|(ment ac)|(system.+state.+changed )|(\|lc)|(penalty)|(\[timeout)|(PRM\|1\|D)|(kpr)|(kdp))" /e /r /s</v>
      </c>
      <c r="AG150" s="1" t="str">
        <f t="shared" si="57"/>
        <v>EC</v>
      </c>
      <c r="AH150" s="100" t="str">
        <f t="shared" si="43"/>
        <v>"%USERPROFILE%\Documents\GitHub\eaglep3\Utilities\RefineRTDCRunTimes.py" --tripid 238-06 --locoid 4037 --swversion DE.1.0.7.0 --startMP 204:232971 --initTime 2016-09-06T23:50:21 --startdatetime 2016-09-06T23:56:28 --delay 1 --endMP 204:161 --enddatetime 2016-09-07T00:41:03 --enforcementcount 0 &gt;&gt;C:\Users\stu\Documents\GitHub\eaglep3-reporting\EC\2016-09-06-refined-times.txt</v>
      </c>
      <c r="AI150" s="147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{"issue":{"subject":"","project_id":79,"tracker_id":40,"status_id":1,"priority_id":2,"assigned_to_id":23,"start_date":"2016-09-07","description":"","custom_fields":[{"id":1,"name":"Subdivision","value":"EC"},{"id":4,"name":"Milepost","value":"23.281"},{"id":17,"name":"Train ID","value":"238-06"},{"id":16,"name":"Locomotive ID","value":"4037"},{"id":130,"name":"Impact","value":""},{"id":150,"name":"Time of Event (Mountain Time)","value":"00:41:03"},{"id":151,"name":"Denver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539</v>
      </c>
      <c r="B151" s="7">
        <v>4029</v>
      </c>
      <c r="C151" s="24" t="s">
        <v>112</v>
      </c>
      <c r="D151" s="24" t="s">
        <v>294</v>
      </c>
      <c r="E151" s="15">
        <v>42619.9765162037</v>
      </c>
      <c r="F151" s="15">
        <v>42619.979398148149</v>
      </c>
      <c r="G151" s="7">
        <v>1</v>
      </c>
      <c r="H151" s="15" t="s">
        <v>251</v>
      </c>
      <c r="I151" s="15">
        <v>42620.003935185188</v>
      </c>
      <c r="J151" s="7">
        <v>0</v>
      </c>
      <c r="K151" s="132" t="str">
        <f t="shared" si="45"/>
        <v>4029/4030</v>
      </c>
      <c r="L151" s="24" t="e">
        <f>VLOOKUP(A151,'Trips&amp;Operators'!$C$1:$E$10000,3,FALSE)</f>
        <v>#N/A</v>
      </c>
      <c r="M151" s="6">
        <f t="shared" si="46"/>
        <v>2.453703703940846E-2</v>
      </c>
      <c r="N151" s="7">
        <f t="shared" si="42"/>
        <v>35.333333336748183</v>
      </c>
      <c r="O151" s="7"/>
      <c r="P151" s="7"/>
      <c r="Q151" s="25"/>
      <c r="R151" s="25"/>
      <c r="S151" s="37">
        <f t="shared" si="47"/>
        <v>1</v>
      </c>
      <c r="T151" s="52" t="str">
        <f t="shared" si="48"/>
        <v>NorthBound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22:26:11-0600',mode:absolute,to:'2016-09-07 01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51" s="54" t="str">
        <f t="shared" si="50"/>
        <v>N</v>
      </c>
      <c r="X151" s="120">
        <f t="shared" si="58"/>
        <v>1</v>
      </c>
      <c r="Y151" s="69">
        <f t="shared" si="51"/>
        <v>4.8399999999999999E-2</v>
      </c>
      <c r="Z151" s="69">
        <f t="shared" si="52"/>
        <v>23.329499999999999</v>
      </c>
      <c r="AA151" s="69">
        <f t="shared" si="53"/>
        <v>23.281099999999999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54"/>
        <v>0239-06</v>
      </c>
      <c r="AE151" s="99" t="str">
        <f t="shared" si="55"/>
        <v>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 &amp; aws s3 cp s3://rtdc.mdm.uploadarchive/RTDC4029/2016-09-07/ "%USERPROFILE%\AppData\Local\Temp\OnboardLogs"\RTDC4029\2016-09-07 --recursive &amp; "%USERPROFILE%\Documents\GitHub\mrs-test-scripts\Headless Mode &amp; Sideloading\WalkAndUnGZ.bat" "%USERPROFILE%\AppData\Local\Temp\OnboardLogs"\RTDC4029\2016-09-07</v>
      </c>
      <c r="AF151" s="96" t="str">
        <f t="shared" si="56"/>
        <v>"C:\Program Files (x86)\AstroGrep\AstroGrep.exe" /spath="%USERPROFILE%\AppData\Local\Temp\OnboardLogs" /stypes="*4029*20160907*" /stext=" 06:.+((SYSTEM_STATE.+slice.+state.+changed )|(ment ac)|(system.+state.+changed )|(\|lc)|(penalty)|(\[timeout)|(PRM\|1\|D)|(kpr)|(kdp))" /e /r /s</v>
      </c>
      <c r="AG151" s="1" t="str">
        <f t="shared" si="57"/>
        <v>EC</v>
      </c>
      <c r="AH151" s="100" t="str">
        <f t="shared" si="43"/>
        <v>"%USERPROFILE%\Documents\GitHub\eaglep3\Utilities\RefineRTDCRunTimes.py" --tripid 239-06 --locoid 4029 --swversion DE.1.0.7.0 --startMP 204:484 --initTime 2016-09-06T23:26:11 --startdatetime 2016-09-06T23:30:20 --delay 1 --endMP 204:233295 --enddatetime 2016-09-07T00:05:40 --enforcementcount 0 &gt;&gt;C:\Users\stu\Documents\GitHub\eaglep3-reporting\EC\2016-09-06-refined-times.txt</v>
      </c>
      <c r="AI151" s="147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{"issue":{"subject":"","project_id":79,"tracker_id":40,"status_id":1,"priority_id":2,"assigned_to_id":23,"start_date":"2016-09-07","description":"","custom_fields":[{"id":1,"name":"Subdivision","value":"EC"},{"id":4,"name":"Milepost","value":"23.2811"},{"id":17,"name":"Train ID","value":"239-06"},{"id":16,"name":"Locomotive ID","value":"4029"},{"id":130,"name":"Impact","value":""},{"id":150,"name":"Time of Event (Mountain Time)","value":"00:05:40"},{"id":151,"name":"Denver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542</v>
      </c>
      <c r="B152" s="7">
        <v>4030</v>
      </c>
      <c r="C152" s="24" t="s">
        <v>112</v>
      </c>
      <c r="D152" s="24" t="s">
        <v>198</v>
      </c>
      <c r="E152" s="15">
        <v>42620.009641203702</v>
      </c>
      <c r="F152" s="15">
        <v>42620.018310185187</v>
      </c>
      <c r="G152" s="7">
        <v>1</v>
      </c>
      <c r="H152" s="15" t="s">
        <v>288</v>
      </c>
      <c r="I152" s="15">
        <v>42620.044212962966</v>
      </c>
      <c r="J152" s="7">
        <v>0</v>
      </c>
      <c r="K152" s="132" t="str">
        <f t="shared" si="45"/>
        <v>4029/4030</v>
      </c>
      <c r="L152" s="24" t="e">
        <f>VLOOKUP(A152,'Trips&amp;Operators'!$C$1:$E$10000,3,FALSE)</f>
        <v>#N/A</v>
      </c>
      <c r="M152" s="6">
        <f t="shared" si="46"/>
        <v>2.5902777779265307E-2</v>
      </c>
      <c r="N152" s="7">
        <f t="shared" si="42"/>
        <v>37.300000002142042</v>
      </c>
      <c r="O152" s="7"/>
      <c r="P152" s="7"/>
      <c r="Q152" s="25"/>
      <c r="R152" s="25"/>
      <c r="S152" s="37">
        <f t="shared" si="47"/>
        <v>1</v>
      </c>
      <c r="T152" s="52" t="str">
        <f t="shared" si="48"/>
        <v>Southbound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23:13:53-0600',mode:absolute,to:'2016-09-07 02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52" s="54" t="str">
        <f t="shared" si="50"/>
        <v>N</v>
      </c>
      <c r="X152" s="120">
        <f t="shared" si="58"/>
        <v>1</v>
      </c>
      <c r="Y152" s="69">
        <f t="shared" si="51"/>
        <v>23.297699999999999</v>
      </c>
      <c r="Z152" s="69">
        <f t="shared" si="52"/>
        <v>1.6899999999999998E-2</v>
      </c>
      <c r="AA152" s="69">
        <f t="shared" si="53"/>
        <v>23.280799999999999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54"/>
        <v>0240-06</v>
      </c>
      <c r="AE152" s="99" t="str">
        <f t="shared" si="55"/>
        <v>aws s3 cp s3://rtdc.mdm.uploadarchive/RTDC4030/2016-09-07/ "%USERPROFILE%\AppData\Local\Temp\OnboardLogs"\RTDC4030\2016-09-07 --recursive &amp; "%USERPROFILE%\Documents\GitHub\mrs-test-scripts\Headless Mode &amp; Sideloading\WalkAndUnGZ.bat" "%USERPROFILE%\AppData\Local\Temp\OnboardLogs"\RTDC4030\2016-09-07 &amp; aws s3 cp s3://rtdc.mdm.uploadarchive/RTDC4030/2016-09-08/ "%USERPROFILE%\AppData\Local\Temp\OnboardLogs"\RTDC4030\2016-09-08 --recursive &amp; "%USERPROFILE%\Documents\GitHub\mrs-test-scripts\Headless Mode &amp; Sideloading\WalkAndUnGZ.bat" "%USERPROFILE%\AppData\Local\Temp\OnboardLogs"\RTDC4030\2016-09-08</v>
      </c>
      <c r="AF152" s="96" t="str">
        <f t="shared" si="56"/>
        <v>"C:\Program Files (x86)\AstroGrep\AstroGrep.exe" /spath="%USERPROFILE%\AppData\Local\Temp\OnboardLogs" /stypes="*4030*20160907*" /stext=" 07:.+((SYSTEM_STATE.+slice.+state.+changed )|(ment ac)|(system.+state.+changed )|(\|lc)|(penalty)|(\[timeout)|(PRM\|1\|D)|(kpr)|(kdp))" /e /r /s</v>
      </c>
      <c r="AG152" s="1" t="str">
        <f t="shared" si="57"/>
        <v>EC</v>
      </c>
      <c r="AH152" s="100" t="str">
        <f t="shared" si="43"/>
        <v>"%USERPROFILE%\Documents\GitHub\eaglep3\Utilities\RefineRTDCRunTimes.py" --tripid 240-06 --locoid 4030 --swversion DE.1.0.7.0 --startMP 204:232977 --initTime 2016-09-07T00:13:53 --startdatetime 2016-09-07T00:26:22 --delay 1 --endMP 204:169 --enddatetime 2016-09-07T01:03:40 --enforcementcount 0 &gt;&gt;C:\Users\stu\Documents\GitHub\eaglep3-reporting\EC\2016-09-06-refined-times.txt</v>
      </c>
      <c r="AI152" s="147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{"issue":{"subject":"","project_id":79,"tracker_id":40,"status_id":1,"priority_id":2,"assigned_to_id":23,"start_date":"2016-09-07","description":"","custom_fields":[{"id":1,"name":"Subdivision","value":"EC"},{"id":4,"name":"Milepost","value":"23.2808"},{"id":17,"name":"Train ID","value":"240-06"},{"id":16,"name":"Locomotive ID","value":"4030"},{"id":130,"name":"Impact","value":""},{"id":150,"name":"Time of Event (Mountain Time)","value":"01:03:40"},{"id":151,"name":"Denver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541</v>
      </c>
      <c r="B153" s="7">
        <v>4002</v>
      </c>
      <c r="C153" s="24" t="s">
        <v>112</v>
      </c>
      <c r="D153" s="24" t="s">
        <v>157</v>
      </c>
      <c r="E153" s="15">
        <v>42619.996446759258</v>
      </c>
      <c r="F153" s="15">
        <v>42620.000231481485</v>
      </c>
      <c r="G153" s="7">
        <v>1</v>
      </c>
      <c r="H153" s="15" t="s">
        <v>147</v>
      </c>
      <c r="I153" s="15">
        <v>42620.024548611109</v>
      </c>
      <c r="J153" s="7">
        <v>0</v>
      </c>
      <c r="K153" s="132" t="str">
        <f t="shared" si="45"/>
        <v>4001/4002</v>
      </c>
      <c r="L153" s="24" t="e">
        <f>VLOOKUP(A153,'Trips&amp;Operators'!$C$1:$E$10000,3,FALSE)</f>
        <v>#N/A</v>
      </c>
      <c r="M153" s="6">
        <f t="shared" si="46"/>
        <v>2.4317129624250811E-2</v>
      </c>
      <c r="N153" s="7">
        <f t="shared" si="42"/>
        <v>35.016666658921167</v>
      </c>
      <c r="O153" s="7"/>
      <c r="P153" s="7"/>
      <c r="Q153" s="25"/>
      <c r="R153" s="25"/>
      <c r="S153" s="37">
        <f t="shared" si="47"/>
        <v>1</v>
      </c>
      <c r="T153" s="52" t="str">
        <f t="shared" si="48"/>
        <v>NorthBound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22:54:53-0600',mode:absolute,to:'2016-09-07 01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53" s="54" t="str">
        <f t="shared" si="50"/>
        <v>N</v>
      </c>
      <c r="X153" s="120">
        <f t="shared" si="58"/>
        <v>1</v>
      </c>
      <c r="Y153" s="69">
        <f t="shared" si="51"/>
        <v>4.4699999999999997E-2</v>
      </c>
      <c r="Z153" s="69">
        <f t="shared" si="52"/>
        <v>23.3291</v>
      </c>
      <c r="AA153" s="69">
        <f t="shared" si="53"/>
        <v>23.284400000000002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54"/>
        <v>0241-06</v>
      </c>
      <c r="AE153" s="99" t="str">
        <f t="shared" si="55"/>
        <v>aws s3 cp s3://rtdc.mdm.uploadarchive/RTDC4002/2016-09-07/ "%USERPROFILE%\AppData\Local\Temp\OnboardLogs"\RTDC4002\2016-09-07 --recursive &amp; "%USERPROFILE%\Documents\GitHub\mrs-test-scripts\Headless Mode &amp; Sideloading\WalkAndUnGZ.bat" "%USERPROFILE%\AppData\Local\Temp\OnboardLogs"\RTDC4002\2016-09-07 &amp; aws s3 cp s3://rtdc.mdm.uploadarchive/RTDC4002/2016-09-08/ "%USERPROFILE%\AppData\Local\Temp\OnboardLogs"\RTDC4002\2016-09-08 --recursive &amp; "%USERPROFILE%\Documents\GitHub\mrs-test-scripts\Headless Mode &amp; Sideloading\WalkAndUnGZ.bat" "%USERPROFILE%\AppData\Local\Temp\OnboardLogs"\RTDC4002\2016-09-08</v>
      </c>
      <c r="AF153" s="96" t="str">
        <f t="shared" si="56"/>
        <v>"C:\Program Files (x86)\AstroGrep\AstroGrep.exe" /spath="%USERPROFILE%\AppData\Local\Temp\OnboardLogs" /stypes="*4002*20160907*" /stext=" 06:.+((SYSTEM_STATE.+slice.+state.+changed )|(ment ac)|(system.+state.+changed )|(\|lc)|(penalty)|(\[timeout)|(PRM\|1\|D)|(kpr)|(kdp))" /e /r /s</v>
      </c>
      <c r="AG153" s="1" t="str">
        <f t="shared" si="57"/>
        <v>EC</v>
      </c>
      <c r="AH153" s="100" t="str">
        <f t="shared" si="43"/>
        <v>"%USERPROFILE%\Documents\GitHub\eaglep3\Utilities\RefineRTDCRunTimes.py" --tripid 241-06 --locoid 4002 --swversion DE.1.0.7.0 --startMP 204:447 --initTime 2016-09-06T23:54:53 --startdatetime 2016-09-07T00:00:20 --delay 1 --endMP 204:233291 --enddatetime 2016-09-07T00:35:21 --enforcementcount 0 &gt;&gt;C:\Users\stu\Documents\GitHub\eaglep3-reporting\EC\2016-09-06-refined-times.txt</v>
      </c>
      <c r="AI153" s="147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{"issue":{"subject":"","project_id":79,"tracker_id":40,"status_id":1,"priority_id":2,"assigned_to_id":23,"start_date":"2016-09-07","description":"","custom_fields":[{"id":1,"name":"Subdivision","value":"EC"},{"id":4,"name":"Milepost","value":"23.2844"},{"id":17,"name":"Train ID","value":"241-06"},{"id":16,"name":"Locomotive ID","value":"4002"},{"id":130,"name":"Impact","value":""},{"id":150,"name":"Time of Event (Mountain Time)","value":"00:35:21"},{"id":151,"name":"Denver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545</v>
      </c>
      <c r="B154" s="7">
        <v>4001</v>
      </c>
      <c r="C154" s="24" t="s">
        <v>112</v>
      </c>
      <c r="D154" s="24" t="s">
        <v>275</v>
      </c>
      <c r="E154" s="15">
        <v>42620.035879629628</v>
      </c>
      <c r="F154" s="15">
        <v>42620.0390625</v>
      </c>
      <c r="G154" s="7">
        <v>1</v>
      </c>
      <c r="H154" s="15" t="s">
        <v>583</v>
      </c>
      <c r="I154" s="15">
        <v>42620.064722222225</v>
      </c>
      <c r="J154" s="7">
        <v>0</v>
      </c>
      <c r="K154" s="132" t="str">
        <f t="shared" si="45"/>
        <v>4001/4002</v>
      </c>
      <c r="L154" s="24" t="e">
        <f>VLOOKUP(A154,'Trips&amp;Operators'!$C$1:$E$10000,3,FALSE)</f>
        <v>#N/A</v>
      </c>
      <c r="M154" s="6">
        <f t="shared" si="46"/>
        <v>2.5659722225100268E-2</v>
      </c>
      <c r="N154" s="7">
        <f t="shared" si="42"/>
        <v>36.950000004144385</v>
      </c>
      <c r="O154" s="7"/>
      <c r="P154" s="7"/>
      <c r="Q154" s="25"/>
      <c r="R154" s="25"/>
      <c r="S154" s="37">
        <f t="shared" si="47"/>
        <v>1</v>
      </c>
      <c r="T154" s="52" t="str">
        <f t="shared" si="48"/>
        <v>Southbound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23:51:40-0600',mode:absolute,to:'2016-09-07 02:33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54" s="54" t="str">
        <f t="shared" si="50"/>
        <v>N</v>
      </c>
      <c r="X154" s="120">
        <f t="shared" si="58"/>
        <v>1</v>
      </c>
      <c r="Y154" s="69">
        <f t="shared" si="51"/>
        <v>23.297799999999999</v>
      </c>
      <c r="Z154" s="69">
        <f t="shared" si="52"/>
        <v>2.12E-2</v>
      </c>
      <c r="AA154" s="69">
        <f t="shared" si="53"/>
        <v>23.276599999999998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54"/>
        <v>0242-06</v>
      </c>
      <c r="AE154" s="99" t="str">
        <f t="shared" si="55"/>
        <v>aws s3 cp s3://rtdc.mdm.uploadarchive/RTDC4001/2016-09-07/ "%USERPROFILE%\AppData\Local\Temp\OnboardLogs"\RTDC4001\2016-09-07 --recursive &amp; "%USERPROFILE%\Documents\GitHub\mrs-test-scripts\Headless Mode &amp; Sideloading\WalkAndUnGZ.bat" "%USERPROFILE%\AppData\Local\Temp\OnboardLogs"\RTDC4001\2016-09-07 &amp; aws s3 cp s3://rtdc.mdm.uploadarchive/RTDC4001/2016-09-08/ "%USERPROFILE%\AppData\Local\Temp\OnboardLogs"\RTDC4001\2016-09-08 --recursive &amp; "%USERPROFILE%\Documents\GitHub\mrs-test-scripts\Headless Mode &amp; Sideloading\WalkAndUnGZ.bat" "%USERPROFILE%\AppData\Local\Temp\OnboardLogs"\RTDC4001\2016-09-08</v>
      </c>
      <c r="AF154" s="96" t="str">
        <f t="shared" si="56"/>
        <v>"C:\Program Files (x86)\AstroGrep\AstroGrep.exe" /spath="%USERPROFILE%\AppData\Local\Temp\OnboardLogs" /stypes="*4001*20160907*" /stext=" 07:.+((SYSTEM_STATE.+slice.+state.+changed )|(ment ac)|(system.+state.+changed )|(\|lc)|(penalty)|(\[timeout)|(PRM\|1\|D)|(kpr)|(kdp))" /e /r /s</v>
      </c>
      <c r="AG154" s="1" t="str">
        <f t="shared" si="57"/>
        <v>EC</v>
      </c>
      <c r="AH154" s="100" t="str">
        <f t="shared" si="43"/>
        <v>"%USERPROFILE%\Documents\GitHub\eaglep3\Utilities\RefineRTDCRunTimes.py" --tripid 242-06 --locoid 4001 --swversion DE.1.0.7.0 --startMP 204:232978 --initTime 2016-09-07T00:51:40 --startdatetime 2016-09-07T00:56:15 --delay 1 --endMP 204:212 --enddatetime 2016-09-07T01:33:12 --enforcementcount 0 &gt;&gt;C:\Users\stu\Documents\GitHub\eaglep3-reporting\EC\2016-09-06-refined-times.txt</v>
      </c>
      <c r="AI154" s="147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{"issue":{"subject":"","project_id":79,"tracker_id":40,"status_id":1,"priority_id":2,"assigned_to_id":23,"start_date":"2016-09-07","description":"","custom_fields":[{"id":1,"name":"Subdivision","value":"EC"},{"id":4,"name":"Milepost","value":"23.2766"},{"id":17,"name":"Train ID","value":"242-06"},{"id":16,"name":"Locomotive ID","value":"4001"},{"id":130,"name":"Impact","value":""},{"id":150,"name":"Time of Event (Mountain Time)","value":"01:33:12"},{"id":151,"name":"Denver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543</v>
      </c>
      <c r="B155" s="7">
        <v>4042</v>
      </c>
      <c r="C155" s="24" t="s">
        <v>112</v>
      </c>
      <c r="D155" s="24" t="s">
        <v>298</v>
      </c>
      <c r="E155" s="15">
        <v>42620.019884259258</v>
      </c>
      <c r="F155" s="15">
        <v>42620.021192129629</v>
      </c>
      <c r="G155" s="7">
        <v>1</v>
      </c>
      <c r="H155" s="15" t="s">
        <v>250</v>
      </c>
      <c r="I155" s="15">
        <v>42620.046631944446</v>
      </c>
      <c r="J155" s="7">
        <v>0</v>
      </c>
      <c r="K155" s="132" t="str">
        <f t="shared" si="45"/>
        <v>4041/4042</v>
      </c>
      <c r="L155" s="24" t="e">
        <f>VLOOKUP(A155,'Trips&amp;Operators'!$C$1:$E$10000,3,FALSE)</f>
        <v>#N/A</v>
      </c>
      <c r="M155" s="6">
        <f t="shared" si="46"/>
        <v>2.5439814817218576E-2</v>
      </c>
      <c r="N155" s="7">
        <f t="shared" si="42"/>
        <v>36.633333336794749</v>
      </c>
      <c r="O155" s="7"/>
      <c r="P155" s="7"/>
      <c r="Q155" s="25"/>
      <c r="R155" s="25"/>
      <c r="S155" s="37">
        <f t="shared" si="47"/>
        <v>1</v>
      </c>
      <c r="T155" s="52" t="str">
        <f t="shared" si="48"/>
        <v>NorthBound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23:28:38-0600',mode:absolute,to:'2016-09-07 02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55" s="54" t="str">
        <f t="shared" si="50"/>
        <v>N</v>
      </c>
      <c r="X155" s="120">
        <f t="shared" si="58"/>
        <v>1</v>
      </c>
      <c r="Y155" s="69">
        <f t="shared" si="51"/>
        <v>4.8599999999999997E-2</v>
      </c>
      <c r="Z155" s="69">
        <f t="shared" si="52"/>
        <v>23.330100000000002</v>
      </c>
      <c r="AA155" s="69">
        <f t="shared" si="53"/>
        <v>23.281500000000001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54"/>
        <v>0243-06</v>
      </c>
      <c r="AE155" s="99" t="str">
        <f t="shared" si="55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155" s="96" t="str">
        <f t="shared" si="56"/>
        <v>"C:\Program Files (x86)\AstroGrep\AstroGrep.exe" /spath="%USERPROFILE%\AppData\Local\Temp\OnboardLogs" /stypes="*4042*20160907*" /stext=" 07:.+((SYSTEM_STATE.+slice.+state.+changed )|(ment ac)|(system.+state.+changed )|(\|lc)|(penalty)|(\[timeout)|(PRM\|1\|D)|(kpr)|(kdp))" /e /r /s</v>
      </c>
      <c r="AG155" s="1" t="str">
        <f t="shared" si="57"/>
        <v>EC</v>
      </c>
      <c r="AH155" s="100" t="str">
        <f t="shared" si="43"/>
        <v>"%USERPROFILE%\Documents\GitHub\eaglep3\Utilities\RefineRTDCRunTimes.py" --tripid 243-06 --locoid 4042 --swversion DE.1.0.7.0 --startMP 204:486 --initTime 2016-09-07T00:28:38 --startdatetime 2016-09-07T00:30:31 --delay 1 --endMP 204:233301 --enddatetime 2016-09-07T01:07:09 --enforcementcount 0 &gt;&gt;C:\Users\stu\Documents\GitHub\eaglep3-reporting\EC\2016-09-06-refined-times.txt</v>
      </c>
      <c r="AI155" s="147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{"issue":{"subject":"","project_id":79,"tracker_id":40,"status_id":1,"priority_id":2,"assigned_to_id":23,"start_date":"2016-09-07","description":"","custom_fields":[{"id":1,"name":"Subdivision","value":"EC"},{"id":4,"name":"Milepost","value":"23.2815"},{"id":17,"name":"Train ID","value":"243-06"},{"id":16,"name":"Locomotive ID","value":"4042"},{"id":130,"name":"Impact","value":""},{"id":150,"name":"Time of Event (Mountain Time)","value":"01:07:09"},{"id":151,"name":"Denver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549</v>
      </c>
      <c r="B156" s="7">
        <v>4041</v>
      </c>
      <c r="C156" s="24" t="s">
        <v>112</v>
      </c>
      <c r="D156" s="24" t="s">
        <v>623</v>
      </c>
      <c r="E156" s="15">
        <v>42620.059282407405</v>
      </c>
      <c r="F156" s="15">
        <v>42620.060324074075</v>
      </c>
      <c r="G156" s="7">
        <v>1</v>
      </c>
      <c r="H156" s="15" t="s">
        <v>158</v>
      </c>
      <c r="I156" s="15">
        <v>42620.089166666665</v>
      </c>
      <c r="J156" s="7">
        <v>0</v>
      </c>
      <c r="K156" s="132" t="str">
        <f t="shared" si="45"/>
        <v>4041/4042</v>
      </c>
      <c r="L156" s="24" t="e">
        <f>VLOOKUP(A156,'Trips&amp;Operators'!$C$1:$E$10000,3,FALSE)</f>
        <v>#N/A</v>
      </c>
      <c r="M156" s="6">
        <f t="shared" si="46"/>
        <v>2.884259259008104E-2</v>
      </c>
      <c r="N156" s="7">
        <f t="shared" si="42"/>
        <v>41.533333329716697</v>
      </c>
      <c r="O156" s="7"/>
      <c r="P156" s="7"/>
      <c r="Q156" s="25"/>
      <c r="R156" s="25"/>
      <c r="S156" s="37">
        <f t="shared" si="47"/>
        <v>1</v>
      </c>
      <c r="T156" s="52" t="str">
        <f t="shared" si="48"/>
        <v>Southbound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https://search-rtdc-monitor-bjffxe2xuh6vdkpspy63sjmuny.us-east-1.es.amazonaws.com/_plugin/kibana/#/discover/Steve-Slow-Train-Analysis-(2080s-and-2083s)?_g=(refreshInterval:(display:Off,section:0,value:0),time:(from:'2016-09-07 00:25:22-0600',mode:absolute,to:'2016-09-07 03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56" s="54" t="str">
        <f t="shared" si="50"/>
        <v>N</v>
      </c>
      <c r="X156" s="120">
        <f t="shared" si="58"/>
        <v>1</v>
      </c>
      <c r="Y156" s="69">
        <f t="shared" si="51"/>
        <v>23.295500000000001</v>
      </c>
      <c r="Z156" s="69">
        <f t="shared" si="52"/>
        <v>1.6E-2</v>
      </c>
      <c r="AA156" s="69">
        <f t="shared" si="53"/>
        <v>23.279500000000002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54"/>
        <v>0244-06</v>
      </c>
      <c r="AE156" s="99" t="str">
        <f t="shared" si="55"/>
        <v>aws s3 cp s3://rtdc.mdm.uploadarchive/RTDC4041/2016-09-07/ "%USERPROFILE%\AppData\Local\Temp\OnboardLogs"\RTDC4041\2016-09-07 --recursive &amp; "%USERPROFILE%\Documents\GitHub\mrs-test-scripts\Headless Mode &amp; Sideloading\WalkAndUnGZ.bat" "%USERPROFILE%\AppData\Local\Temp\OnboardLogs"\RTDC4041\2016-09-07 &amp; aws s3 cp s3://rtdc.mdm.uploadarchive/RTDC4041/2016-09-08/ "%USERPROFILE%\AppData\Local\Temp\OnboardLogs"\RTDC4041\2016-09-08 --recursive &amp; "%USERPROFILE%\Documents\GitHub\mrs-test-scripts\Headless Mode &amp; Sideloading\WalkAndUnGZ.bat" "%USERPROFILE%\AppData\Local\Temp\OnboardLogs"\RTDC4041\2016-09-08</v>
      </c>
      <c r="AF156" s="96" t="str">
        <f t="shared" si="56"/>
        <v>"C:\Program Files (x86)\AstroGrep\AstroGrep.exe" /spath="%USERPROFILE%\AppData\Local\Temp\OnboardLogs" /stypes="*4041*20160907*" /stext=" 08:.+((SYSTEM_STATE.+slice.+state.+changed )|(ment ac)|(system.+state.+changed )|(\|lc)|(penalty)|(\[timeout)|(PRM\|1\|D)|(kpr)|(kdp))" /e /r /s</v>
      </c>
      <c r="AG156" s="1" t="str">
        <f t="shared" si="57"/>
        <v>EC</v>
      </c>
      <c r="AH156" s="100" t="str">
        <f t="shared" si="43"/>
        <v>"%USERPROFILE%\Documents\GitHub\eaglep3\Utilities\RefineRTDCRunTimes.py" --tripid 244-06 --locoid 4041 --swversion DE.1.0.7.0 --startMP 204:232955 --initTime 2016-09-07T01:25:22 --startdatetime 2016-09-07T01:26:52 --delay 1 --endMP 204:160 --enddatetime 2016-09-07T02:08:24 --enforcementcount 0 &gt;&gt;C:\Users\stu\Documents\GitHub\eaglep3-reporting\EC\2016-09-06-refined-times.txt</v>
      </c>
      <c r="AI156" s="147" t="str">
        <f t="shared" si="44"/>
        <v>echo {"issue":{"subject":"","project_id":79,"tracker_id":40,"status_id":1,"priority_id":2,"assigned_to_id":23,"start_date":"2016-09-07","description":"","custom_fields":[{"id":1,"name":"Subdivision","value":"EC"},{"id":4,"name":"Milepost","value":"23.2795"},{"id":17,"name":"Train ID","value":"244-06"},{"id":16,"name":"Locomotive ID","value":"4041"},{"id":130,"name":"Impact","value":""},{"id":150,"name":"Time of Event (Mountain Time)","value":"02:08:24"},{"id":151,"name":"Denver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352</v>
      </c>
      <c r="B157" s="7">
        <v>4010</v>
      </c>
      <c r="C157" s="24" t="s">
        <v>112</v>
      </c>
      <c r="D157" s="24" t="s">
        <v>643</v>
      </c>
      <c r="E157" s="15">
        <v>42619.214004629626</v>
      </c>
      <c r="F157" s="15">
        <v>42619.215543981481</v>
      </c>
      <c r="G157" s="7">
        <v>1</v>
      </c>
      <c r="H157" s="15" t="s">
        <v>644</v>
      </c>
      <c r="I157" s="15">
        <v>42619.226273148146</v>
      </c>
      <c r="J157" s="7">
        <v>0</v>
      </c>
      <c r="K157" s="132" t="str">
        <f t="shared" si="45"/>
        <v>4009/4010</v>
      </c>
      <c r="L157" s="24" t="e">
        <f>VLOOKUP(A157,'Trips&amp;Operators'!$C$1:$E$10000,3,FALSE)</f>
        <v>#N/A</v>
      </c>
      <c r="M157" s="6">
        <f t="shared" si="46"/>
        <v>1.0729166664532386E-2</v>
      </c>
      <c r="N157" s="7">
        <f t="shared" si="42"/>
        <v>15.449999996926636</v>
      </c>
      <c r="O157" s="7"/>
      <c r="P157" s="7"/>
      <c r="Q157" s="25"/>
      <c r="R157" s="25"/>
      <c r="S157" s="37">
        <f t="shared" si="47"/>
        <v>1</v>
      </c>
      <c r="T157" s="52" t="str">
        <f t="shared" si="48"/>
        <v>Southbound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04:08:10-0600',mode:absolute,to:'2016-09-06 06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7" s="54" t="str">
        <f t="shared" si="50"/>
        <v>N</v>
      </c>
      <c r="X157" s="120">
        <f t="shared" si="58"/>
        <v>556</v>
      </c>
      <c r="Y157" s="69">
        <f t="shared" si="51"/>
        <v>5.8616999999999999</v>
      </c>
      <c r="Z157" s="69">
        <f t="shared" si="52"/>
        <v>7.0300000000000001E-2</v>
      </c>
      <c r="AA157" s="69">
        <f t="shared" si="53"/>
        <v>5.7914000000000003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54"/>
        <v>0800-06</v>
      </c>
      <c r="AE157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57" s="96" t="str">
        <f t="shared" si="56"/>
        <v>"C:\Program Files (x86)\AstroGrep\AstroGrep.exe" /spath="%USERPROFILE%\AppData\Local\Temp\OnboardLogs" /stypes="*4010*20160906*" /stext=" 11:.+((SYSTEM_STATE.+slice.+state.+changed )|(ment ac)|(system.+state.+changed )|(\|lc)|(penalty)|(\[timeout)|(PRM\|1\|D)|(kpr)|(kdp))" /e /r /s</v>
      </c>
      <c r="AG157" s="1" t="str">
        <f t="shared" si="57"/>
        <v>NW</v>
      </c>
      <c r="AH157" s="100" t="str">
        <f t="shared" si="43"/>
        <v>"%USERPROFILE%\Documents\GitHub\eaglep3\Utilities\RefineRTDCRunTimes.py" --tripid 800-06 --locoid 4010 --swversion DE.1.0.7.0 --startMP 300:58617 --initTime 2016-09-06T05:08:10 --startdatetime 2016-09-06T05:10:23 --delay 1 --endMP 204:703 --enddatetime 2016-09-06T05:25:50 --enforcementcount 0 &gt;&gt;C:\Users\stu\Documents\GitHub\eaglep3-reporting\EC\2016-09-06-refined-times.txt</v>
      </c>
      <c r="AI157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{"issue":{"subject":"","project_id":79,"tracker_id":40,"status_id":1,"priority_id":2,"assigned_to_id":23,"start_date":"2016-09-06","description":"","custom_fields":[{"id":1,"name":"Subdivision","value":"NW"},{"id":4,"name":"Milepost","value":"5.7914"},{"id":17,"name":"Train ID","value":"800-06"},{"id":16,"name":"Locomotive ID","value":"4010"},{"id":130,"name":"Impact","value":""},{"id":150,"name":"Time of Event (Mountain Time)","value":"05:25:50"},{"id":151,"name":"Denver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357</v>
      </c>
      <c r="B158" s="7">
        <v>4009</v>
      </c>
      <c r="C158" s="24" t="s">
        <v>112</v>
      </c>
      <c r="D158" s="24" t="s">
        <v>271</v>
      </c>
      <c r="E158" s="15">
        <v>42619.241666666669</v>
      </c>
      <c r="F158" s="15">
        <v>42619.243958333333</v>
      </c>
      <c r="G158" s="7">
        <v>1</v>
      </c>
      <c r="H158" s="15" t="s">
        <v>645</v>
      </c>
      <c r="I158" s="15">
        <v>42619.253738425927</v>
      </c>
      <c r="J158" s="7">
        <v>0</v>
      </c>
      <c r="K158" s="132" t="str">
        <f t="shared" si="45"/>
        <v>4009/4010</v>
      </c>
      <c r="L158" s="24" t="e">
        <f>VLOOKUP(A158,'Trips&amp;Operators'!$C$1:$E$10000,3,FALSE)</f>
        <v>#N/A</v>
      </c>
      <c r="M158" s="6">
        <f t="shared" si="46"/>
        <v>9.7800925941555761E-3</v>
      </c>
      <c r="N158" s="7">
        <f t="shared" si="42"/>
        <v>14.08333333558403</v>
      </c>
      <c r="O158" s="7"/>
      <c r="P158" s="7"/>
      <c r="Q158" s="25"/>
      <c r="R158" s="25"/>
      <c r="S158" s="37">
        <f t="shared" si="47"/>
        <v>1</v>
      </c>
      <c r="T158" s="52" t="str">
        <f t="shared" si="48"/>
        <v>NorthBound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04:48:00-0600',mode:absolute,to:'2016-09-06 07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58" s="54" t="str">
        <f t="shared" si="50"/>
        <v>N</v>
      </c>
      <c r="X158" s="120">
        <f t="shared" si="58"/>
        <v>1</v>
      </c>
      <c r="Y158" s="69">
        <f t="shared" si="51"/>
        <v>9.7100000000000006E-2</v>
      </c>
      <c r="Z158" s="69">
        <f t="shared" si="52"/>
        <v>5.8926999999999996</v>
      </c>
      <c r="AA158" s="69">
        <f t="shared" si="53"/>
        <v>5.7955999999999994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54"/>
        <v>0801-06</v>
      </c>
      <c r="AE158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58" s="96" t="str">
        <f t="shared" si="56"/>
        <v>"C:\Program Files (x86)\AstroGrep\AstroGrep.exe" /spath="%USERPROFILE%\AppData\Local\Temp\OnboardLogs" /stypes="*4009*20160906*" /stext=" 12:.+((SYSTEM_STATE.+slice.+state.+changed )|(ment ac)|(system.+state.+changed )|(\|lc)|(penalty)|(\[timeout)|(PRM\|1\|D)|(kpr)|(kdp))" /e /r /s</v>
      </c>
      <c r="AG158" s="1" t="str">
        <f t="shared" si="57"/>
        <v>NW</v>
      </c>
      <c r="AH158" s="100" t="str">
        <f t="shared" si="43"/>
        <v>"%USERPROFILE%\Documents\GitHub\eaglep3\Utilities\RefineRTDCRunTimes.py" --tripid 801-06 --locoid 4009 --swversion DE.1.0.7.0 --startMP 204:971 --initTime 2016-09-06T05:48:00 --startdatetime 2016-09-06T05:51:18 --delay 1 --endMP 300:58927 --enddatetime 2016-09-06T06:05:23 --enforcementcount 0 &gt;&gt;C:\Users\stu\Documents\GitHub\eaglep3-reporting\EC\2016-09-06-refined-times.txt</v>
      </c>
      <c r="AI158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{"issue":{"subject":"","project_id":79,"tracker_id":40,"status_id":1,"priority_id":2,"assigned_to_id":23,"start_date":"2016-09-06","description":"","custom_fields":[{"id":1,"name":"Subdivision","value":"NW"},{"id":4,"name":"Milepost","value":"5.7956"},{"id":17,"name":"Train ID","value":"801-06"},{"id":16,"name":"Locomotive ID","value":"4009"},{"id":130,"name":"Impact","value":""},{"id":150,"name":"Time of Event (Mountain Time)","value":"06:05:23"},{"id":151,"name":"Denver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361</v>
      </c>
      <c r="B159" s="7">
        <v>4010</v>
      </c>
      <c r="C159" s="24" t="s">
        <v>112</v>
      </c>
      <c r="D159" s="24" t="s">
        <v>646</v>
      </c>
      <c r="E159" s="15">
        <v>42619.254965277774</v>
      </c>
      <c r="F159" s="15">
        <v>42619.256261574075</v>
      </c>
      <c r="G159" s="7">
        <v>1</v>
      </c>
      <c r="H159" s="15" t="s">
        <v>647</v>
      </c>
      <c r="I159" s="15">
        <v>42619.268495370372</v>
      </c>
      <c r="J159" s="7">
        <v>0</v>
      </c>
      <c r="K159" s="132" t="str">
        <f t="shared" si="45"/>
        <v>4009/4010</v>
      </c>
      <c r="L159" s="24" t="e">
        <f>VLOOKUP(A159,'Trips&amp;Operators'!$C$1:$E$10000,3,FALSE)</f>
        <v>#N/A</v>
      </c>
      <c r="M159" s="6">
        <f t="shared" si="46"/>
        <v>1.2233796296641231E-2</v>
      </c>
      <c r="N159" s="7">
        <f t="shared" si="42"/>
        <v>17.616666667163372</v>
      </c>
      <c r="O159" s="7"/>
      <c r="P159" s="7"/>
      <c r="Q159" s="25"/>
      <c r="R159" s="25"/>
      <c r="S159" s="37">
        <f t="shared" si="47"/>
        <v>1</v>
      </c>
      <c r="T159" s="52" t="str">
        <f t="shared" si="48"/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05:07:09-0600',mode:absolute,to:'2016-09-06 07:26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59" s="54" t="str">
        <f t="shared" si="50"/>
        <v>N</v>
      </c>
      <c r="X159" s="120">
        <f t="shared" si="58"/>
        <v>1</v>
      </c>
      <c r="Y159" s="69">
        <f t="shared" si="51"/>
        <v>5.8597999999999999</v>
      </c>
      <c r="Z159" s="69">
        <f t="shared" si="52"/>
        <v>6.9599999999999995E-2</v>
      </c>
      <c r="AA159" s="69">
        <f t="shared" si="53"/>
        <v>5.7901999999999996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54"/>
        <v>0802-06</v>
      </c>
      <c r="AE159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59" s="96" t="str">
        <f t="shared" si="56"/>
        <v>"C:\Program Files (x86)\AstroGrep\AstroGrep.exe" /spath="%USERPROFILE%\AppData\Local\Temp\OnboardLogs" /stypes="*4010*20160906*" /stext=" 12:.+((SYSTEM_STATE.+slice.+state.+changed )|(ment ac)|(system.+state.+changed )|(\|lc)|(penalty)|(\[timeout)|(PRM\|1\|D)|(kpr)|(kdp))" /e /r /s</v>
      </c>
      <c r="AG159" s="1" t="str">
        <f t="shared" si="57"/>
        <v>NW</v>
      </c>
      <c r="AH159" s="100" t="str">
        <f t="shared" si="43"/>
        <v>"%USERPROFILE%\Documents\GitHub\eaglep3\Utilities\RefineRTDCRunTimes.py" --tripid 802-06 --locoid 4010 --swversion DE.1.0.7.0 --startMP 300:58598 --initTime 2016-09-06T06:07:09 --startdatetime 2016-09-06T06:09:01 --delay 1 --endMP 204:696 --enddatetime 2016-09-06T06:26:38 --enforcementcount 0 &gt;&gt;C:\Users\stu\Documents\GitHub\eaglep3-reporting\EC\2016-09-06-refined-times.txt</v>
      </c>
      <c r="AI159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{"issue":{"subject":"","project_id":79,"tracker_id":40,"status_id":1,"priority_id":2,"assigned_to_id":23,"start_date":"2016-09-06","description":"","custom_fields":[{"id":1,"name":"Subdivision","value":"NW"},{"id":4,"name":"Milepost","value":"5.7902"},{"id":17,"name":"Train ID","value":"802-06"},{"id":16,"name":"Locomotive ID","value":"4010"},{"id":130,"name":"Impact","value":""},{"id":150,"name":"Time of Event (Mountain Time)","value":"06:26:38"},{"id":151,"name":"Denver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362</v>
      </c>
      <c r="B160" s="7">
        <v>4018</v>
      </c>
      <c r="C160" s="24" t="s">
        <v>112</v>
      </c>
      <c r="D160" s="24" t="s">
        <v>319</v>
      </c>
      <c r="E160" s="15">
        <v>42619.25980324074</v>
      </c>
      <c r="F160" s="15">
        <v>42619.264826388891</v>
      </c>
      <c r="G160" s="7">
        <v>1</v>
      </c>
      <c r="H160" s="15" t="s">
        <v>648</v>
      </c>
      <c r="I160" s="15">
        <v>42619.270462962966</v>
      </c>
      <c r="J160" s="7">
        <v>0</v>
      </c>
      <c r="K160" s="132" t="str">
        <f t="shared" si="45"/>
        <v>4017/4018</v>
      </c>
      <c r="L160" s="24" t="e">
        <f>VLOOKUP(A160,'Trips&amp;Operators'!$C$1:$E$10000,3,FALSE)</f>
        <v>#N/A</v>
      </c>
      <c r="M160" s="6">
        <f t="shared" si="46"/>
        <v>5.6365740747423843E-3</v>
      </c>
      <c r="N160" s="7"/>
      <c r="O160" s="7"/>
      <c r="P160" s="7">
        <f>24*60*SUM($M160:$M160)</f>
        <v>8.1166666676290333</v>
      </c>
      <c r="Q160" s="25"/>
      <c r="R160" s="25" t="s">
        <v>337</v>
      </c>
      <c r="S160" s="37">
        <f t="shared" si="47"/>
        <v>1</v>
      </c>
      <c r="T160" s="52" t="str">
        <f t="shared" si="48"/>
        <v>NorthBound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05:14:07-0600',mode:absolute,to:'2016-09-06 07:29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60" s="54" t="str">
        <f t="shared" si="50"/>
        <v>Y</v>
      </c>
      <c r="X160" s="120">
        <f t="shared" si="58"/>
        <v>1</v>
      </c>
      <c r="Y160" s="69">
        <f t="shared" si="51"/>
        <v>9.4600000000000004E-2</v>
      </c>
      <c r="Z160" s="69">
        <f t="shared" si="52"/>
        <v>3.1606000000000001</v>
      </c>
      <c r="AA160" s="69">
        <f t="shared" si="53"/>
        <v>3.0660000000000003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54"/>
        <v>0803-06</v>
      </c>
      <c r="AE16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60" s="96" t="str">
        <f t="shared" si="56"/>
        <v>"C:\Program Files (x86)\AstroGrep\AstroGrep.exe" /spath="%USERPROFILE%\AppData\Local\Temp\OnboardLogs" /stypes="*4018*20160906*" /stext=" 12:.+((SYSTEM_STATE.+slice.+state.+changed )|(ment ac)|(system.+state.+changed )|(\|lc)|(penalty)|(\[timeout)|(PRM\|1\|D)|(kpr)|(kdp))" /e /r /s</v>
      </c>
      <c r="AG160" s="1" t="str">
        <f t="shared" si="57"/>
        <v>NW</v>
      </c>
      <c r="AH160" s="100" t="str">
        <f t="shared" si="43"/>
        <v>"%USERPROFILE%\Documents\GitHub\eaglep3\Utilities\RefineRTDCRunTimes.py" --tripid 803-06 --locoid 4018 --swversion DE.1.0.7.0 --startMP 204:946 --initTime 2016-09-06T06:14:07 --startdatetime 2016-09-06T06:21:21 --delay 1 --endMP 300:31606 --enddatetime 2016-09-06T06:29:28 --enforcementcount 0 &gt;&gt;C:\Users\stu\Documents\GitHub\eaglep3-reporting\EC\2016-09-06-refined-times.txt</v>
      </c>
      <c r="AI160" s="147" t="str">
        <f t="shared" si="44"/>
        <v>echo {"issue":{"subject":"Wi-MAX outage","project_id":79,"tracker_id":40,"status_id":1,"priority_id":2,"assigned_to_id":23,"start_date":"2016-09-06","description":"","custom_fields":[{"id":1,"name":"Subdivision","value":"NW"},{"id":4,"name":"Milepost","value":"3.066"},{"id":17,"name":"Train ID","value":"803-06"},{"id":16,"name":"Locomotive ID","value":"4018"},{"id":130,"name":"Impact","value":""},{"id":150,"name":"Time of Event (Mountain Time)","value":"06:29:28"},{"id":151,"name":"Denver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702</v>
      </c>
      <c r="B161" s="7">
        <v>4017</v>
      </c>
      <c r="C161" s="24" t="s">
        <v>112</v>
      </c>
      <c r="D161" s="24" t="s">
        <v>319</v>
      </c>
      <c r="E161" s="15">
        <v>42619.25980324074</v>
      </c>
      <c r="F161" s="15">
        <v>42619.264826388891</v>
      </c>
      <c r="G161" s="7">
        <v>1</v>
      </c>
      <c r="H161" s="15" t="s">
        <v>648</v>
      </c>
      <c r="I161" s="15">
        <v>42619.270462962966</v>
      </c>
      <c r="J161" s="7">
        <v>0</v>
      </c>
      <c r="K161" s="132" t="str">
        <f t="shared" si="45"/>
        <v>4017/4018</v>
      </c>
      <c r="L161" s="24" t="e">
        <f>VLOOKUP(A161,'Trips&amp;Operators'!$C$1:$E$10000,3,FALSE)</f>
        <v>#N/A</v>
      </c>
      <c r="M161" s="6">
        <f t="shared" si="46"/>
        <v>5.6365740747423843E-3</v>
      </c>
      <c r="N161" s="7"/>
      <c r="O161" s="7"/>
      <c r="P161" s="7">
        <v>1</v>
      </c>
      <c r="Q161" s="25"/>
      <c r="R161" s="25" t="s">
        <v>703</v>
      </c>
      <c r="S161" s="37">
        <f t="shared" si="47"/>
        <v>0</v>
      </c>
      <c r="T161" s="52" t="str">
        <f t="shared" si="48"/>
        <v>Southbound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0</v>
      </c>
      <c r="V16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05:14:07-0600',mode:absolute,to:'2016-09-06 07:29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1" s="54" t="str">
        <f t="shared" si="50"/>
        <v>Y</v>
      </c>
      <c r="X161" s="120">
        <f t="shared" si="58"/>
        <v>1</v>
      </c>
      <c r="Y161" s="69">
        <f t="shared" si="51"/>
        <v>9.4600000000000004E-2</v>
      </c>
      <c r="Z161" s="69">
        <f t="shared" si="52"/>
        <v>3.1606000000000001</v>
      </c>
      <c r="AA161" s="69">
        <f t="shared" si="53"/>
        <v>3.0660000000000003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54"/>
        <v>0804-06</v>
      </c>
      <c r="AE16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61" s="96" t="str">
        <f t="shared" si="56"/>
        <v>"C:\Program Files (x86)\AstroGrep\AstroGrep.exe" /spath="%USERPROFILE%\AppData\Local\Temp\OnboardLogs" /stypes="*4017*20160906*" /stext=" 12:.+((SYSTEM_STATE.+slice.+state.+changed )|(ment ac)|(system.+state.+changed )|(\|lc)|(penalty)|(\[timeout)|(PRM\|1\|D)|(kpr)|(kdp))" /e /r /s</v>
      </c>
      <c r="AG161" s="1" t="str">
        <f t="shared" si="57"/>
        <v>NW</v>
      </c>
      <c r="AH161" s="100" t="str">
        <f t="shared" ref="AH161" si="59"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804-06 --locoid 4017 --swversion DE.1.0.7.0 --startMP 204:946 --initTime 2016-09-06T06:14:07 --startdatetime 2016-09-06T06:21:21 --delay 1 --endMP 300:31606 --enddatetime 2016-09-06T06:29:28 --enforcementcount 0 &gt;&gt;C:\Users\stu\Documents\GitHub\eaglep3-reporting\EC\2016-09-06-refined-times.txt</v>
      </c>
      <c r="AI161" s="147" t="str">
        <f t="shared" ref="AI161" si="60"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AA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init","project_id":79,"tracker_id":40,"status_id":1,"priority_id":2,"assigned_to_id":23,"start_date":"2016-09-06","description":"","custom_fields":[{"id":1,"name":"Subdivision","value":"NW"},{"id":4,"name":"Milepost","value":"3.066"},{"id":17,"name":"Train ID","value":"804-06"},{"id":16,"name":"Locomotive ID","value":"4017"},{"id":130,"name":"Impact","value":""},{"id":150,"name":"Time of Event (Mountain Time)","value":"06:29:28"},{"id":151,"name":"Denver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368</v>
      </c>
      <c r="B162" s="7">
        <v>4009</v>
      </c>
      <c r="C162" s="24" t="s">
        <v>112</v>
      </c>
      <c r="D162" s="24" t="s">
        <v>649</v>
      </c>
      <c r="E162" s="15">
        <v>42619.282314814816</v>
      </c>
      <c r="F162" s="15">
        <v>42619.285624999997</v>
      </c>
      <c r="G162" s="7">
        <v>1</v>
      </c>
      <c r="H162" s="15" t="s">
        <v>650</v>
      </c>
      <c r="I162" s="15">
        <v>42619.29583333333</v>
      </c>
      <c r="J162" s="7">
        <v>0</v>
      </c>
      <c r="K162" s="132" t="str">
        <f t="shared" si="45"/>
        <v>4009/4010</v>
      </c>
      <c r="L162" s="24" t="e">
        <f>VLOOKUP(A162,'Trips&amp;Operators'!$C$1:$E$10000,3,FALSE)</f>
        <v>#N/A</v>
      </c>
      <c r="M162" s="6">
        <f t="shared" si="46"/>
        <v>1.0208333333139308E-2</v>
      </c>
      <c r="N162" s="7">
        <f t="shared" ref="N162:N193" si="61">24*60*SUM($M162:$M162)</f>
        <v>14.699999999720603</v>
      </c>
      <c r="O162" s="7"/>
      <c r="P162" s="7"/>
      <c r="Q162" s="25"/>
      <c r="R162" s="25"/>
      <c r="S162" s="37">
        <f t="shared" si="47"/>
        <v>1</v>
      </c>
      <c r="T162" s="52" t="str">
        <f t="shared" si="48"/>
        <v>NorthBound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05:46:32-0600',mode:absolute,to:'2016-09-06 08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62" s="54" t="str">
        <f t="shared" si="50"/>
        <v>N</v>
      </c>
      <c r="X162" s="120">
        <f t="shared" si="58"/>
        <v>1</v>
      </c>
      <c r="Y162" s="69">
        <f t="shared" si="51"/>
        <v>9.8299999999999998E-2</v>
      </c>
      <c r="Z162" s="69">
        <f t="shared" si="52"/>
        <v>5.8940999999999999</v>
      </c>
      <c r="AA162" s="69">
        <f t="shared" si="53"/>
        <v>5.7957999999999998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54"/>
        <v>0805-06</v>
      </c>
      <c r="AE162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62" s="96" t="str">
        <f t="shared" si="56"/>
        <v>"C:\Program Files (x86)\AstroGrep\AstroGrep.exe" /spath="%USERPROFILE%\AppData\Local\Temp\OnboardLogs" /stypes="*4009*20160906*" /stext=" 13:.+((SYSTEM_STATE.+slice.+state.+changed )|(ment ac)|(system.+state.+changed )|(\|lc)|(penalty)|(\[timeout)|(PRM\|1\|D)|(kpr)|(kdp))" /e /r /s</v>
      </c>
      <c r="AG162" s="1" t="str">
        <f t="shared" si="57"/>
        <v>NW</v>
      </c>
      <c r="AH162" s="100" t="str">
        <f t="shared" si="43"/>
        <v>"%USERPROFILE%\Documents\GitHub\eaglep3\Utilities\RefineRTDCRunTimes.py" --tripid 805-06 --locoid 4009 --swversion DE.1.0.7.0 --startMP 204:983 --initTime 2016-09-06T06:46:32 --startdatetime 2016-09-06T06:51:18 --delay 1 --endMP 300:58941 --enddatetime 2016-09-06T07:06:00 --enforcementcount 0 &gt;&gt;C:\Users\stu\Documents\GitHub\eaglep3-reporting\EC\2016-09-06-refined-times.txt</v>
      </c>
      <c r="AI162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{"issue":{"subject":"","project_id":79,"tracker_id":40,"status_id":1,"priority_id":2,"assigned_to_id":23,"start_date":"2016-09-06","description":"","custom_fields":[{"id":1,"name":"Subdivision","value":"NW"},{"id":4,"name":"Milepost","value":"5.7958"},{"id":17,"name":"Train ID","value":"805-06"},{"id":16,"name":"Locomotive ID","value":"4009"},{"id":130,"name":"Impact","value":""},{"id":150,"name":"Time of Event (Mountain Time)","value":"07:06:00"},{"id":151,"name":"Denver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372</v>
      </c>
      <c r="B163" s="7">
        <v>4010</v>
      </c>
      <c r="C163" s="24" t="s">
        <v>112</v>
      </c>
      <c r="D163" s="24" t="s">
        <v>270</v>
      </c>
      <c r="E163" s="15">
        <v>42619.2968287037</v>
      </c>
      <c r="F163" s="15">
        <v>42619.297974537039</v>
      </c>
      <c r="G163" s="7">
        <v>1</v>
      </c>
      <c r="H163" s="15" t="s">
        <v>651</v>
      </c>
      <c r="I163" s="15">
        <v>42619.30978009259</v>
      </c>
      <c r="J163" s="7">
        <v>0</v>
      </c>
      <c r="K163" s="132" t="str">
        <f t="shared" si="45"/>
        <v>4009/4010</v>
      </c>
      <c r="L163" s="24" t="e">
        <f>VLOOKUP(A163,'Trips&amp;Operators'!$C$1:$E$10000,3,FALSE)</f>
        <v>#N/A</v>
      </c>
      <c r="M163" s="6">
        <f t="shared" si="46"/>
        <v>1.1805555550381541E-2</v>
      </c>
      <c r="N163" s="7">
        <f t="shared" si="61"/>
        <v>16.999999992549419</v>
      </c>
      <c r="O163" s="7"/>
      <c r="P163" s="7"/>
      <c r="Q163" s="25"/>
      <c r="R163" s="25"/>
      <c r="S163" s="37">
        <f t="shared" si="47"/>
        <v>1</v>
      </c>
      <c r="T163" s="52" t="str">
        <f t="shared" si="48"/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06:07:26-0600',mode:absolute,to:'2016-09-06 08:26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63" s="54" t="str">
        <f t="shared" si="50"/>
        <v>N</v>
      </c>
      <c r="X163" s="120">
        <f t="shared" si="58"/>
        <v>1</v>
      </c>
      <c r="Y163" s="69">
        <f t="shared" si="51"/>
        <v>5.8613</v>
      </c>
      <c r="Z163" s="69">
        <f t="shared" si="52"/>
        <v>7.1499999999999994E-2</v>
      </c>
      <c r="AA163" s="69">
        <f t="shared" si="53"/>
        <v>5.7897999999999996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54"/>
        <v>0806-06</v>
      </c>
      <c r="AE163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63" s="96" t="str">
        <f t="shared" si="56"/>
        <v>"C:\Program Files (x86)\AstroGrep\AstroGrep.exe" /spath="%USERPROFILE%\AppData\Local\Temp\OnboardLogs" /stypes="*4010*20160906*" /stext=" 13:.+((SYSTEM_STATE.+slice.+state.+changed )|(ment ac)|(system.+state.+changed )|(\|lc)|(penalty)|(\[timeout)|(PRM\|1\|D)|(kpr)|(kdp))" /e /r /s</v>
      </c>
      <c r="AG163" s="1" t="str">
        <f t="shared" si="57"/>
        <v>NW</v>
      </c>
      <c r="AH163" s="100" t="str">
        <f t="shared" si="43"/>
        <v>"%USERPROFILE%\Documents\GitHub\eaglep3\Utilities\RefineRTDCRunTimes.py" --tripid 806-06 --locoid 4010 --swversion DE.1.0.7.0 --startMP 300:58613 --initTime 2016-09-06T07:07:26 --startdatetime 2016-09-06T07:09:05 --delay 1 --endMP 204:715 --enddatetime 2016-09-06T07:26:05 --enforcementcount 0 &gt;&gt;C:\Users\stu\Documents\GitHub\eaglep3-reporting\EC\2016-09-06-refined-times.txt</v>
      </c>
      <c r="AI163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{"issue":{"subject":"","project_id":79,"tracker_id":40,"status_id":1,"priority_id":2,"assigned_to_id":23,"start_date":"2016-09-06","description":"","custom_fields":[{"id":1,"name":"Subdivision","value":"NW"},{"id":4,"name":"Milepost","value":"5.7898"},{"id":17,"name":"Train ID","value":"806-06"},{"id":16,"name":"Locomotive ID","value":"4010"},{"id":130,"name":"Impact","value":""},{"id":150,"name":"Time of Event (Mountain Time)","value":"07:26:05"},{"id":151,"name":"Denver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374</v>
      </c>
      <c r="B164" s="7">
        <v>4018</v>
      </c>
      <c r="C164" s="24" t="s">
        <v>112</v>
      </c>
      <c r="D164" s="24" t="s">
        <v>652</v>
      </c>
      <c r="E164" s="15">
        <v>42619.300682870373</v>
      </c>
      <c r="F164" s="15">
        <v>42619.304571759261</v>
      </c>
      <c r="G164" s="7">
        <v>1</v>
      </c>
      <c r="H164" s="15" t="s">
        <v>653</v>
      </c>
      <c r="I164" s="15">
        <v>42619.315810185188</v>
      </c>
      <c r="J164" s="7">
        <v>0</v>
      </c>
      <c r="K164" s="132" t="str">
        <f t="shared" si="45"/>
        <v>4017/4018</v>
      </c>
      <c r="L164" s="24" t="e">
        <f>VLOOKUP(A164,'Trips&amp;Operators'!$C$1:$E$10000,3,FALSE)</f>
        <v>#N/A</v>
      </c>
      <c r="M164" s="6">
        <f t="shared" si="46"/>
        <v>1.1238425926421769E-2</v>
      </c>
      <c r="N164" s="7">
        <f t="shared" si="61"/>
        <v>16.183333334047347</v>
      </c>
      <c r="O164" s="7"/>
      <c r="P164" s="7"/>
      <c r="Q164" s="25"/>
      <c r="R164" s="25"/>
      <c r="S164" s="37">
        <f t="shared" si="47"/>
        <v>1</v>
      </c>
      <c r="T164" s="52" t="str">
        <f t="shared" si="48"/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06:12:59-0600',mode:absolute,to:'2016-09-06 08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64" s="54" t="str">
        <f t="shared" si="50"/>
        <v>N</v>
      </c>
      <c r="X164" s="120">
        <f t="shared" si="58"/>
        <v>1</v>
      </c>
      <c r="Y164" s="69">
        <f t="shared" si="51"/>
        <v>0.10340000000000001</v>
      </c>
      <c r="Z164" s="69">
        <f t="shared" si="52"/>
        <v>5.8901000000000003</v>
      </c>
      <c r="AA164" s="69">
        <f t="shared" si="53"/>
        <v>5.7867000000000006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54"/>
        <v>0807-06</v>
      </c>
      <c r="AE164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64" s="96" t="str">
        <f t="shared" si="56"/>
        <v>"C:\Program Files (x86)\AstroGrep\AstroGrep.exe" /spath="%USERPROFILE%\AppData\Local\Temp\OnboardLogs" /stypes="*4018*20160906*" /stext=" 13:.+((SYSTEM_STATE.+slice.+state.+changed )|(ment ac)|(system.+state.+changed )|(\|lc)|(penalty)|(\[timeout)|(PRM\|1\|D)|(kpr)|(kdp))" /e /r /s</v>
      </c>
      <c r="AG164" s="1" t="str">
        <f t="shared" si="57"/>
        <v>NW</v>
      </c>
      <c r="AH164" s="100" t="str">
        <f t="shared" si="43"/>
        <v>"%USERPROFILE%\Documents\GitHub\eaglep3\Utilities\RefineRTDCRunTimes.py" --tripid 807-06 --locoid 4018 --swversion DE.1.0.7.0 --startMP 204:1034 --initTime 2016-09-06T07:12:59 --startdatetime 2016-09-06T07:18:35 --delay 1 --endMP 300:58901 --enddatetime 2016-09-06T07:34:46 --enforcementcount 0 &gt;&gt;C:\Users\stu\Documents\GitHub\eaglep3-reporting\EC\2016-09-06-refined-times.txt</v>
      </c>
      <c r="AI164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{"issue":{"subject":"","project_id":79,"tracker_id":40,"status_id":1,"priority_id":2,"assigned_to_id":23,"start_date":"2016-09-06","description":"","custom_fields":[{"id":1,"name":"Subdivision","value":"NW"},{"id":4,"name":"Milepost","value":"5.7867"},{"id":17,"name":"Train ID","value":"807-06"},{"id":16,"name":"Locomotive ID","value":"4018"},{"id":130,"name":"Impact","value":""},{"id":150,"name":"Time of Event (Mountain Time)","value":"07:34:46"},{"id":151,"name":"Denver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378</v>
      </c>
      <c r="B165" s="7">
        <v>4017</v>
      </c>
      <c r="C165" s="24" t="s">
        <v>112</v>
      </c>
      <c r="D165" s="24" t="s">
        <v>654</v>
      </c>
      <c r="E165" s="15">
        <v>42619.317002314812</v>
      </c>
      <c r="F165" s="15">
        <v>42619.318576388891</v>
      </c>
      <c r="G165" s="7">
        <v>1</v>
      </c>
      <c r="H165" s="15" t="s">
        <v>655</v>
      </c>
      <c r="I165" s="15">
        <v>42619.331516203703</v>
      </c>
      <c r="J165" s="7">
        <v>0</v>
      </c>
      <c r="K165" s="132" t="str">
        <f t="shared" si="45"/>
        <v>4017/4018</v>
      </c>
      <c r="L165" s="24" t="e">
        <f>VLOOKUP(A165,'Trips&amp;Operators'!$C$1:$E$10000,3,FALSE)</f>
        <v>#N/A</v>
      </c>
      <c r="M165" s="6">
        <f t="shared" si="46"/>
        <v>1.2939814812853001E-2</v>
      </c>
      <c r="N165" s="7">
        <f t="shared" si="61"/>
        <v>18.633333330508322</v>
      </c>
      <c r="O165" s="7"/>
      <c r="P165" s="7"/>
      <c r="Q165" s="25"/>
      <c r="R165" s="25"/>
      <c r="S165" s="37">
        <f t="shared" si="47"/>
        <v>1</v>
      </c>
      <c r="T165" s="52" t="str">
        <f t="shared" si="48"/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06:36:29-0600',mode:absolute,to:'2016-09-06 08:57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5" s="54" t="str">
        <f t="shared" si="50"/>
        <v>N</v>
      </c>
      <c r="X165" s="120">
        <f t="shared" si="58"/>
        <v>1</v>
      </c>
      <c r="Y165" s="69">
        <f t="shared" si="51"/>
        <v>5.8578999999999999</v>
      </c>
      <c r="Z165" s="69">
        <f t="shared" si="52"/>
        <v>7.1199999999999999E-2</v>
      </c>
      <c r="AA165" s="69">
        <f t="shared" si="53"/>
        <v>5.7866999999999997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54"/>
        <v>0808-06</v>
      </c>
      <c r="AE165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65" s="96" t="str">
        <f t="shared" si="56"/>
        <v>"C:\Program Files (x86)\AstroGrep\AstroGrep.exe" /spath="%USERPROFILE%\AppData\Local\Temp\OnboardLogs" /stypes="*4017*20160906*" /stext=" 13:.+((SYSTEM_STATE.+slice.+state.+changed )|(ment ac)|(system.+state.+changed )|(\|lc)|(penalty)|(\[timeout)|(PRM\|1\|D)|(kpr)|(kdp))" /e /r /s</v>
      </c>
      <c r="AG165" s="1" t="str">
        <f t="shared" si="57"/>
        <v>NW</v>
      </c>
      <c r="AH165" s="100" t="str">
        <f t="shared" si="43"/>
        <v>"%USERPROFILE%\Documents\GitHub\eaglep3\Utilities\RefineRTDCRunTimes.py" --tripid 808-06 --locoid 4017 --swversion DE.1.0.7.0 --startMP 300:58579 --initTime 2016-09-06T07:36:29 --startdatetime 2016-09-06T07:38:45 --delay 1 --endMP 204:712 --enddatetime 2016-09-06T07:57:23 --enforcementcount 0 &gt;&gt;C:\Users\stu\Documents\GitHub\eaglep3-reporting\EC\2016-09-06-refined-times.txt</v>
      </c>
      <c r="AI165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{"issue":{"subject":"","project_id":79,"tracker_id":40,"status_id":1,"priority_id":2,"assigned_to_id":23,"start_date":"2016-09-06","description":"","custom_fields":[{"id":1,"name":"Subdivision","value":"NW"},{"id":4,"name":"Milepost","value":"5.7867"},{"id":17,"name":"Train ID","value":"808-06"},{"id":16,"name":"Locomotive ID","value":"4017"},{"id":130,"name":"Impact","value":""},{"id":150,"name":"Time of Event (Mountain Time)","value":"07:57:23"},{"id":151,"name":"Denver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381</v>
      </c>
      <c r="B166" s="7">
        <v>4009</v>
      </c>
      <c r="C166" s="24" t="s">
        <v>112</v>
      </c>
      <c r="D166" s="24" t="s">
        <v>656</v>
      </c>
      <c r="E166" s="15">
        <v>42619.324479166666</v>
      </c>
      <c r="F166" s="15">
        <v>42619.327326388891</v>
      </c>
      <c r="G166" s="7">
        <v>1</v>
      </c>
      <c r="H166" s="15" t="s">
        <v>242</v>
      </c>
      <c r="I166" s="15">
        <v>42619.336539351854</v>
      </c>
      <c r="J166" s="7">
        <v>0</v>
      </c>
      <c r="K166" s="132" t="str">
        <f t="shared" si="45"/>
        <v>4009/4010</v>
      </c>
      <c r="L166" s="24" t="e">
        <f>VLOOKUP(A166,'Trips&amp;Operators'!$C$1:$E$10000,3,FALSE)</f>
        <v>#N/A</v>
      </c>
      <c r="M166" s="6">
        <f t="shared" si="46"/>
        <v>9.2129629629198462E-3</v>
      </c>
      <c r="N166" s="7">
        <f t="shared" si="61"/>
        <v>13.266666666604578</v>
      </c>
      <c r="O166" s="7"/>
      <c r="P166" s="7"/>
      <c r="Q166" s="25"/>
      <c r="R166" s="25"/>
      <c r="S166" s="37">
        <f t="shared" si="47"/>
        <v>1</v>
      </c>
      <c r="T166" s="52" t="str">
        <f t="shared" si="48"/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06:47:15-0600',mode:absolute,to:'2016-09-06 09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66" s="54" t="str">
        <f t="shared" si="50"/>
        <v>N</v>
      </c>
      <c r="X166" s="120">
        <f t="shared" si="58"/>
        <v>1</v>
      </c>
      <c r="Y166" s="69">
        <f t="shared" si="51"/>
        <v>0.10059999999999999</v>
      </c>
      <c r="Z166" s="69">
        <f t="shared" si="52"/>
        <v>5.8929</v>
      </c>
      <c r="AA166" s="69">
        <f t="shared" si="53"/>
        <v>5.7923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54"/>
        <v>0809-06</v>
      </c>
      <c r="AE166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66" s="96" t="str">
        <f t="shared" si="56"/>
        <v>"C:\Program Files (x86)\AstroGrep\AstroGrep.exe" /spath="%USERPROFILE%\AppData\Local\Temp\OnboardLogs" /stypes="*4009*20160906*" /stext=" 14:.+((SYSTEM_STATE.+slice.+state.+changed )|(ment ac)|(system.+state.+changed )|(\|lc)|(penalty)|(\[timeout)|(PRM\|1\|D)|(kpr)|(kdp))" /e /r /s</v>
      </c>
      <c r="AG166" s="1" t="str">
        <f t="shared" si="57"/>
        <v>NW</v>
      </c>
      <c r="AH166" s="100" t="str">
        <f t="shared" si="43"/>
        <v>"%USERPROFILE%\Documents\GitHub\eaglep3\Utilities\RefineRTDCRunTimes.py" --tripid 809-06 --locoid 4009 --swversion DE.1.0.7.0 --startMP 204:1006 --initTime 2016-09-06T07:47:15 --startdatetime 2016-09-06T07:51:21 --delay 1 --endMP 300:58929 --enddatetime 2016-09-06T08:04:37 --enforcementcount 0 &gt;&gt;C:\Users\stu\Documents\GitHub\eaglep3-reporting\EC\2016-09-06-refined-times.txt</v>
      </c>
      <c r="AI166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{"issue":{"subject":"","project_id":79,"tracker_id":40,"status_id":1,"priority_id":2,"assigned_to_id":23,"start_date":"2016-09-06","description":"","custom_fields":[{"id":1,"name":"Subdivision","value":"NW"},{"id":4,"name":"Milepost","value":"5.7923"},{"id":17,"name":"Train ID","value":"809-06"},{"id":16,"name":"Locomotive ID","value":"4009"},{"id":130,"name":"Impact","value":""},{"id":150,"name":"Time of Event (Mountain Time)","value":"08:04:37"},{"id":151,"name":"Denver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383</v>
      </c>
      <c r="B167" s="7">
        <v>4010</v>
      </c>
      <c r="C167" s="24" t="s">
        <v>112</v>
      </c>
      <c r="D167" s="24" t="s">
        <v>269</v>
      </c>
      <c r="E167" s="15">
        <v>42619.337488425925</v>
      </c>
      <c r="F167" s="15">
        <v>42619.339490740742</v>
      </c>
      <c r="G167" s="7">
        <v>1</v>
      </c>
      <c r="H167" s="15" t="s">
        <v>657</v>
      </c>
      <c r="I167" s="15">
        <v>42619.351840277777</v>
      </c>
      <c r="J167" s="7">
        <v>0</v>
      </c>
      <c r="K167" s="132" t="str">
        <f t="shared" si="45"/>
        <v>4009/4010</v>
      </c>
      <c r="L167" s="24" t="e">
        <f>VLOOKUP(A167,'Trips&amp;Operators'!$C$1:$E$10000,3,FALSE)</f>
        <v>#N/A</v>
      </c>
      <c r="M167" s="6">
        <f t="shared" si="46"/>
        <v>1.2349537035333924E-2</v>
      </c>
      <c r="N167" s="7">
        <f t="shared" si="61"/>
        <v>17.783333330880851</v>
      </c>
      <c r="O167" s="7"/>
      <c r="P167" s="7"/>
      <c r="Q167" s="25"/>
      <c r="R167" s="25"/>
      <c r="S167" s="37">
        <f t="shared" si="47"/>
        <v>1</v>
      </c>
      <c r="T167" s="52" t="str">
        <f t="shared" si="48"/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07:05:59-0600',mode:absolute,to:'2016-09-06 09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67" s="54" t="str">
        <f t="shared" si="50"/>
        <v>N</v>
      </c>
      <c r="X167" s="120">
        <f t="shared" si="58"/>
        <v>1</v>
      </c>
      <c r="Y167" s="69">
        <f t="shared" si="51"/>
        <v>5.8609</v>
      </c>
      <c r="Z167" s="69">
        <f t="shared" si="52"/>
        <v>7.0599999999999996E-2</v>
      </c>
      <c r="AA167" s="69">
        <f t="shared" si="53"/>
        <v>5.7903000000000002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54"/>
        <v>0810-06</v>
      </c>
      <c r="AE167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67" s="96" t="str">
        <f t="shared" si="56"/>
        <v>"C:\Program Files (x86)\AstroGrep\AstroGrep.exe" /spath="%USERPROFILE%\AppData\Local\Temp\OnboardLogs" /stypes="*4010*20160906*" /stext=" 14:.+((SYSTEM_STATE.+slice.+state.+changed )|(ment ac)|(system.+state.+changed )|(\|lc)|(penalty)|(\[timeout)|(PRM\|1\|D)|(kpr)|(kdp))" /e /r /s</v>
      </c>
      <c r="AG167" s="1" t="str">
        <f t="shared" si="57"/>
        <v>NW</v>
      </c>
      <c r="AH167" s="100" t="str">
        <f t="shared" si="43"/>
        <v>"%USERPROFILE%\Documents\GitHub\eaglep3\Utilities\RefineRTDCRunTimes.py" --tripid 810-06 --locoid 4010 --swversion DE.1.0.7.0 --startMP 300:58609 --initTime 2016-09-06T08:05:59 --startdatetime 2016-09-06T08:08:52 --delay 1 --endMP 204:706 --enddatetime 2016-09-06T08:26:39 --enforcementcount 0 &gt;&gt;C:\Users\stu\Documents\GitHub\eaglep3-reporting\EC\2016-09-06-refined-times.txt</v>
      </c>
      <c r="AI167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{"issue":{"subject":"","project_id":79,"tracker_id":40,"status_id":1,"priority_id":2,"assigned_to_id":23,"start_date":"2016-09-06","description":"","custom_fields":[{"id":1,"name":"Subdivision","value":"NW"},{"id":4,"name":"Milepost","value":"5.7903"},{"id":17,"name":"Train ID","value":"810-06"},{"id":16,"name":"Locomotive ID","value":"4010"},{"id":130,"name":"Impact","value":""},{"id":150,"name":"Time of Event (Mountain Time)","value":"08:26:39"},{"id":151,"name":"Denver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386</v>
      </c>
      <c r="B168" s="7">
        <v>4018</v>
      </c>
      <c r="C168" s="24" t="s">
        <v>112</v>
      </c>
      <c r="D168" s="24" t="s">
        <v>658</v>
      </c>
      <c r="E168" s="15">
        <v>42619.341354166667</v>
      </c>
      <c r="F168" s="15">
        <v>42619.34820601852</v>
      </c>
      <c r="G168" s="7">
        <v>1</v>
      </c>
      <c r="H168" s="15" t="s">
        <v>659</v>
      </c>
      <c r="I168" s="15">
        <v>42619.357581018521</v>
      </c>
      <c r="J168" s="7">
        <v>0</v>
      </c>
      <c r="K168" s="132" t="str">
        <f t="shared" si="45"/>
        <v>4017/4018</v>
      </c>
      <c r="L168" s="24" t="e">
        <f>VLOOKUP(A168,'Trips&amp;Operators'!$C$1:$E$10000,3,FALSE)</f>
        <v>#N/A</v>
      </c>
      <c r="M168" s="6">
        <f t="shared" si="46"/>
        <v>9.3750000014551915E-3</v>
      </c>
      <c r="N168" s="7">
        <f t="shared" si="61"/>
        <v>13.500000002095476</v>
      </c>
      <c r="O168" s="7"/>
      <c r="P168" s="7"/>
      <c r="Q168" s="25"/>
      <c r="R168" s="25"/>
      <c r="S168" s="37">
        <f t="shared" si="47"/>
        <v>1</v>
      </c>
      <c r="T168" s="52" t="str">
        <f t="shared" si="48"/>
        <v>NorthBound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07:11:33-0600',mode:absolute,to:'2016-09-06 09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68" s="54" t="str">
        <f t="shared" si="50"/>
        <v>N</v>
      </c>
      <c r="X168" s="120">
        <f t="shared" si="58"/>
        <v>1</v>
      </c>
      <c r="Y168" s="69">
        <f t="shared" si="51"/>
        <v>9.9900000000000003E-2</v>
      </c>
      <c r="Z168" s="69">
        <f t="shared" si="52"/>
        <v>5.8906999999999998</v>
      </c>
      <c r="AA168" s="69">
        <f t="shared" si="53"/>
        <v>5.7907999999999999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54"/>
        <v>0811-06</v>
      </c>
      <c r="AE168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68" s="96" t="str">
        <f t="shared" si="56"/>
        <v>"C:\Program Files (x86)\AstroGrep\AstroGrep.exe" /spath="%USERPROFILE%\AppData\Local\Temp\OnboardLogs" /stypes="*4018*20160906*" /stext=" 14:.+((SYSTEM_STATE.+slice.+state.+changed )|(ment ac)|(system.+state.+changed )|(\|lc)|(penalty)|(\[timeout)|(PRM\|1\|D)|(kpr)|(kdp))" /e /r /s</v>
      </c>
      <c r="AG168" s="1" t="str">
        <f t="shared" si="57"/>
        <v>NW</v>
      </c>
      <c r="AH168" s="100" t="str">
        <f t="shared" si="43"/>
        <v>"%USERPROFILE%\Documents\GitHub\eaglep3\Utilities\RefineRTDCRunTimes.py" --tripid 811-06 --locoid 4018 --swversion DE.1.0.7.0 --startMP 204:999 --initTime 2016-09-06T08:11:33 --startdatetime 2016-09-06T08:21:25 --delay 1 --endMP 300:58907 --enddatetime 2016-09-06T08:34:55 --enforcementcount 0 &gt;&gt;C:\Users\stu\Documents\GitHub\eaglep3-reporting\EC\2016-09-06-refined-times.txt</v>
      </c>
      <c r="AI168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{"issue":{"subject":"","project_id":79,"tracker_id":40,"status_id":1,"priority_id":2,"assigned_to_id":23,"start_date":"2016-09-06","description":"","custom_fields":[{"id":1,"name":"Subdivision","value":"NW"},{"id":4,"name":"Milepost","value":"5.7908"},{"id":17,"name":"Train ID","value":"811-06"},{"id":16,"name":"Locomotive ID","value":"4018"},{"id":130,"name":"Impact","value":""},{"id":150,"name":"Time of Event (Mountain Time)","value":"08:34:55"},{"id":151,"name":"Denver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389</v>
      </c>
      <c r="B169" s="7">
        <v>4017</v>
      </c>
      <c r="C169" s="24" t="s">
        <v>112</v>
      </c>
      <c r="D169" s="24" t="s">
        <v>660</v>
      </c>
      <c r="E169" s="15">
        <v>42619.358831018515</v>
      </c>
      <c r="F169" s="15">
        <v>42619.360138888886</v>
      </c>
      <c r="G169" s="7">
        <v>1</v>
      </c>
      <c r="H169" s="15" t="s">
        <v>661</v>
      </c>
      <c r="I169" s="15">
        <v>42619.370972222219</v>
      </c>
      <c r="J169" s="7">
        <v>0</v>
      </c>
      <c r="K169" s="132" t="str">
        <f t="shared" si="45"/>
        <v>4017/4018</v>
      </c>
      <c r="L169" s="24" t="e">
        <f>VLOOKUP(A169,'Trips&amp;Operators'!$C$1:$E$10000,3,FALSE)</f>
        <v>#N/A</v>
      </c>
      <c r="M169" s="6">
        <f t="shared" si="46"/>
        <v>1.0833333333721384E-2</v>
      </c>
      <c r="N169" s="7">
        <f t="shared" si="61"/>
        <v>15.600000000558794</v>
      </c>
      <c r="O169" s="7"/>
      <c r="P169" s="7"/>
      <c r="Q169" s="25"/>
      <c r="R169" s="25"/>
      <c r="S169" s="37">
        <f t="shared" si="47"/>
        <v>1</v>
      </c>
      <c r="T169" s="52" t="str">
        <f t="shared" si="48"/>
        <v>Southbound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07:36:43-0600',mode:absolute,to:'2016-09-06 09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69" s="54" t="str">
        <f t="shared" si="50"/>
        <v>N</v>
      </c>
      <c r="X169" s="120">
        <f t="shared" si="58"/>
        <v>1</v>
      </c>
      <c r="Y169" s="69">
        <f t="shared" si="51"/>
        <v>5.8593999999999999</v>
      </c>
      <c r="Z169" s="69">
        <f t="shared" si="52"/>
        <v>7.1999999999999995E-2</v>
      </c>
      <c r="AA169" s="69">
        <f t="shared" si="53"/>
        <v>5.7873999999999999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54"/>
        <v>0812-06</v>
      </c>
      <c r="AE169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69" s="96" t="str">
        <f t="shared" si="56"/>
        <v>"C:\Program Files (x86)\AstroGrep\AstroGrep.exe" /spath="%USERPROFILE%\AppData\Local\Temp\OnboardLogs" /stypes="*4017*20160906*" /stext=" 14:.+((SYSTEM_STATE.+slice.+state.+changed )|(ment ac)|(system.+state.+changed )|(\|lc)|(penalty)|(\[timeout)|(PRM\|1\|D)|(kpr)|(kdp))" /e /r /s</v>
      </c>
      <c r="AG169" s="1" t="str">
        <f t="shared" si="57"/>
        <v>NW</v>
      </c>
      <c r="AH169" s="100" t="str">
        <f t="shared" si="43"/>
        <v>"%USERPROFILE%\Documents\GitHub\eaglep3\Utilities\RefineRTDCRunTimes.py" --tripid 812-06 --locoid 4017 --swversion DE.1.0.7.0 --startMP 300:58594 --initTime 2016-09-06T08:36:43 --startdatetime 2016-09-06T08:38:36 --delay 1 --endMP 204:720 --enddatetime 2016-09-06T08:54:12 --enforcementcount 0 &gt;&gt;C:\Users\stu\Documents\GitHub\eaglep3-reporting\EC\2016-09-06-refined-times.txt</v>
      </c>
      <c r="AI169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{"issue":{"subject":"","project_id":79,"tracker_id":40,"status_id":1,"priority_id":2,"assigned_to_id":23,"start_date":"2016-09-06","description":"","custom_fields":[{"id":1,"name":"Subdivision","value":"NW"},{"id":4,"name":"Milepost","value":"5.7874"},{"id":17,"name":"Train ID","value":"812-06"},{"id":16,"name":"Locomotive ID","value":"4017"},{"id":130,"name":"Impact","value":""},{"id":150,"name":"Time of Event (Mountain Time)","value":"08:54:12"},{"id":151,"name":"Denver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396</v>
      </c>
      <c r="B170" s="7">
        <v>4018</v>
      </c>
      <c r="C170" s="24" t="s">
        <v>112</v>
      </c>
      <c r="D170" s="24" t="s">
        <v>662</v>
      </c>
      <c r="E170" s="15">
        <v>42619.382337962961</v>
      </c>
      <c r="F170" s="15">
        <v>42619.389768518522</v>
      </c>
      <c r="G170" s="7">
        <v>1</v>
      </c>
      <c r="H170" s="15" t="s">
        <v>663</v>
      </c>
      <c r="I170" s="15">
        <v>42619.398773148147</v>
      </c>
      <c r="J170" s="7">
        <v>0</v>
      </c>
      <c r="K170" s="132" t="str">
        <f t="shared" si="45"/>
        <v>4017/4018</v>
      </c>
      <c r="L170" s="24" t="e">
        <f>VLOOKUP(A170,'Trips&amp;Operators'!$C$1:$E$10000,3,FALSE)</f>
        <v>#N/A</v>
      </c>
      <c r="M170" s="6">
        <f t="shared" si="46"/>
        <v>9.0046296245418489E-3</v>
      </c>
      <c r="N170" s="7">
        <f t="shared" si="61"/>
        <v>12.966666659340262</v>
      </c>
      <c r="O170" s="7"/>
      <c r="P170" s="7"/>
      <c r="Q170" s="25"/>
      <c r="R170" s="25"/>
      <c r="S170" s="37">
        <f t="shared" si="47"/>
        <v>1</v>
      </c>
      <c r="T170" s="52" t="str">
        <f t="shared" si="48"/>
        <v>NorthBound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08:10:34-0600',mode:absolute,to:'2016-09-06 10:34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0" s="54" t="str">
        <f t="shared" si="50"/>
        <v>N</v>
      </c>
      <c r="X170" s="120">
        <f t="shared" si="58"/>
        <v>1</v>
      </c>
      <c r="Y170" s="69">
        <f t="shared" si="51"/>
        <v>0.1013</v>
      </c>
      <c r="Z170" s="69">
        <f t="shared" si="52"/>
        <v>5.8910999999999998</v>
      </c>
      <c r="AA170" s="69">
        <f t="shared" si="53"/>
        <v>5.7897999999999996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54"/>
        <v>0813-06</v>
      </c>
      <c r="AE17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0" s="96" t="str">
        <f t="shared" si="56"/>
        <v>"C:\Program Files (x86)\AstroGrep\AstroGrep.exe" /spath="%USERPROFILE%\AppData\Local\Temp\OnboardLogs" /stypes="*4018*20160906*" /stext=" 15:.+((SYSTEM_STATE.+slice.+state.+changed )|(ment ac)|(system.+state.+changed )|(\|lc)|(penalty)|(\[timeout)|(PRM\|1\|D)|(kpr)|(kdp))" /e /r /s</v>
      </c>
      <c r="AG170" s="1" t="str">
        <f t="shared" si="57"/>
        <v>NW</v>
      </c>
      <c r="AH170" s="100" t="str">
        <f t="shared" si="43"/>
        <v>"%USERPROFILE%\Documents\GitHub\eaglep3\Utilities\RefineRTDCRunTimes.py" --tripid 813-06 --locoid 4018 --swversion DE.1.0.7.0 --startMP 204:1013 --initTime 2016-09-06T09:10:34 --startdatetime 2016-09-06T09:21:16 --delay 1 --endMP 300:58911 --enddatetime 2016-09-06T09:34:14 --enforcementcount 0 &gt;&gt;C:\Users\stu\Documents\GitHub\eaglep3-reporting\EC\2016-09-06-refined-times.txt</v>
      </c>
      <c r="AI170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{"issue":{"subject":"","project_id":79,"tracker_id":40,"status_id":1,"priority_id":2,"assigned_to_id":23,"start_date":"2016-09-06","description":"","custom_fields":[{"id":1,"name":"Subdivision","value":"NW"},{"id":4,"name":"Milepost","value":"5.7898"},{"id":17,"name":"Train ID","value":"813-06"},{"id":16,"name":"Locomotive ID","value":"4018"},{"id":130,"name":"Impact","value":""},{"id":150,"name":"Time of Event (Mountain Time)","value":"09:34:14"},{"id":151,"name":"Denver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400</v>
      </c>
      <c r="B171" s="7">
        <v>4017</v>
      </c>
      <c r="C171" s="24" t="s">
        <v>112</v>
      </c>
      <c r="D171" s="24" t="s">
        <v>664</v>
      </c>
      <c r="E171" s="15">
        <v>42619.400682870371</v>
      </c>
      <c r="F171" s="15">
        <v>42619.40216435185</v>
      </c>
      <c r="G171" s="7">
        <v>1</v>
      </c>
      <c r="H171" s="15" t="s">
        <v>665</v>
      </c>
      <c r="I171" s="15">
        <v>42619.412708333337</v>
      </c>
      <c r="J171" s="7">
        <v>0</v>
      </c>
      <c r="K171" s="132" t="str">
        <f t="shared" si="45"/>
        <v>4017/4018</v>
      </c>
      <c r="L171" s="24" t="e">
        <f>VLOOKUP(A171,'Trips&amp;Operators'!$C$1:$E$10000,3,FALSE)</f>
        <v>#N/A</v>
      </c>
      <c r="M171" s="6">
        <f t="shared" si="46"/>
        <v>1.0543981486989651E-2</v>
      </c>
      <c r="N171" s="7">
        <f t="shared" si="61"/>
        <v>15.183333341265097</v>
      </c>
      <c r="O171" s="7"/>
      <c r="P171" s="7"/>
      <c r="Q171" s="25"/>
      <c r="R171" s="25"/>
      <c r="S171" s="37">
        <f t="shared" si="47"/>
        <v>1</v>
      </c>
      <c r="T171" s="52" t="str">
        <f t="shared" si="48"/>
        <v>Southbound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08:36:59-0600',mode:absolute,to:'2016-09-06 10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1" s="54" t="str">
        <f t="shared" si="50"/>
        <v>N</v>
      </c>
      <c r="X171" s="120">
        <f t="shared" si="58"/>
        <v>1</v>
      </c>
      <c r="Y171" s="69">
        <f t="shared" si="51"/>
        <v>5.8601999999999999</v>
      </c>
      <c r="Z171" s="69">
        <f t="shared" si="52"/>
        <v>6.9400000000000003E-2</v>
      </c>
      <c r="AA171" s="69">
        <f t="shared" si="53"/>
        <v>5.7907999999999999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54"/>
        <v>0814-06</v>
      </c>
      <c r="AE17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1" s="96" t="str">
        <f t="shared" si="56"/>
        <v>"C:\Program Files (x86)\AstroGrep\AstroGrep.exe" /spath="%USERPROFILE%\AppData\Local\Temp\OnboardLogs" /stypes="*4017*20160906*" /stext=" 15:.+((SYSTEM_STATE.+slice.+state.+changed )|(ment ac)|(system.+state.+changed )|(\|lc)|(penalty)|(\[timeout)|(PRM\|1\|D)|(kpr)|(kdp))" /e /r /s</v>
      </c>
      <c r="AG171" s="1" t="str">
        <f t="shared" si="57"/>
        <v>NW</v>
      </c>
      <c r="AH171" s="100" t="str">
        <f t="shared" si="43"/>
        <v>"%USERPROFILE%\Documents\GitHub\eaglep3\Utilities\RefineRTDCRunTimes.py" --tripid 814-06 --locoid 4017 --swversion DE.1.0.7.0 --startMP 300:58602 --initTime 2016-09-06T09:36:59 --startdatetime 2016-09-06T09:39:07 --delay 1 --endMP 204:694 --enddatetime 2016-09-06T09:54:18 --enforcementcount 0 &gt;&gt;C:\Users\stu\Documents\GitHub\eaglep3-reporting\EC\2016-09-06-refined-times.txt</v>
      </c>
      <c r="AI171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{"issue":{"subject":"","project_id":79,"tracker_id":40,"status_id":1,"priority_id":2,"assigned_to_id":23,"start_date":"2016-09-06","description":"","custom_fields":[{"id":1,"name":"Subdivision","value":"NW"},{"id":4,"name":"Milepost","value":"5.7908"},{"id":17,"name":"Train ID","value":"814-06"},{"id":16,"name":"Locomotive ID","value":"4017"},{"id":130,"name":"Impact","value":""},{"id":150,"name":"Time of Event (Mountain Time)","value":"09:54:18"},{"id":151,"name":"Denver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405</v>
      </c>
      <c r="B172" s="7">
        <v>4018</v>
      </c>
      <c r="C172" s="24" t="s">
        <v>112</v>
      </c>
      <c r="D172" s="24" t="s">
        <v>666</v>
      </c>
      <c r="E172" s="15">
        <v>42619.423009259262</v>
      </c>
      <c r="F172" s="15">
        <v>42619.431458333333</v>
      </c>
      <c r="G172" s="7">
        <v>1</v>
      </c>
      <c r="H172" s="15" t="s">
        <v>667</v>
      </c>
      <c r="I172" s="15">
        <v>42619.440254629626</v>
      </c>
      <c r="J172" s="7">
        <v>0</v>
      </c>
      <c r="K172" s="132" t="str">
        <f t="shared" si="45"/>
        <v>4017/4018</v>
      </c>
      <c r="L172" s="24" t="e">
        <f>VLOOKUP(A172,'Trips&amp;Operators'!$C$1:$E$10000,3,FALSE)</f>
        <v>#N/A</v>
      </c>
      <c r="M172" s="6">
        <f t="shared" si="46"/>
        <v>8.7962962934398092E-3</v>
      </c>
      <c r="N172" s="7">
        <f t="shared" si="61"/>
        <v>12.666666662553325</v>
      </c>
      <c r="O172" s="7"/>
      <c r="P172" s="7"/>
      <c r="Q172" s="25"/>
      <c r="R172" s="25"/>
      <c r="S172" s="37">
        <f t="shared" si="47"/>
        <v>1</v>
      </c>
      <c r="T172" s="52" t="str">
        <f t="shared" si="48"/>
        <v>NorthBound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09:09:08-0600',mode:absolute,to:'2016-09-06 11:33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2" s="54" t="str">
        <f t="shared" si="50"/>
        <v>N</v>
      </c>
      <c r="X172" s="120">
        <f t="shared" si="58"/>
        <v>1</v>
      </c>
      <c r="Y172" s="69">
        <f t="shared" si="51"/>
        <v>0.1007</v>
      </c>
      <c r="Z172" s="69">
        <f t="shared" si="52"/>
        <v>5.8894000000000002</v>
      </c>
      <c r="AA172" s="69">
        <f t="shared" si="53"/>
        <v>5.7887000000000004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54"/>
        <v>0815-06</v>
      </c>
      <c r="AE172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2" s="96" t="str">
        <f t="shared" si="56"/>
        <v>"C:\Program Files (x86)\AstroGrep\AstroGrep.exe" /spath="%USERPROFILE%\AppData\Local\Temp\OnboardLogs" /stypes="*4018*20160906*" /stext=" 16:.+((SYSTEM_STATE.+slice.+state.+changed )|(ment ac)|(system.+state.+changed )|(\|lc)|(penalty)|(\[timeout)|(PRM\|1\|D)|(kpr)|(kdp))" /e /r /s</v>
      </c>
      <c r="AG172" s="1" t="str">
        <f t="shared" si="57"/>
        <v>NW</v>
      </c>
      <c r="AH172" s="100" t="str">
        <f t="shared" si="43"/>
        <v>"%USERPROFILE%\Documents\GitHub\eaglep3\Utilities\RefineRTDCRunTimes.py" --tripid 815-06 --locoid 4018 --swversion DE.1.0.7.0 --startMP 204:1007 --initTime 2016-09-06T10:09:08 --startdatetime 2016-09-06T10:21:18 --delay 1 --endMP 300:58894 --enddatetime 2016-09-06T10:33:58 --enforcementcount 0 &gt;&gt;C:\Users\stu\Documents\GitHub\eaglep3-reporting\EC\2016-09-06-refined-times.txt</v>
      </c>
      <c r="AI172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{"issue":{"subject":"","project_id":79,"tracker_id":40,"status_id":1,"priority_id":2,"assigned_to_id":23,"start_date":"2016-09-06","description":"","custom_fields":[{"id":1,"name":"Subdivision","value":"NW"},{"id":4,"name":"Milepost","value":"5.7887"},{"id":17,"name":"Train ID","value":"815-06"},{"id":16,"name":"Locomotive ID","value":"4018"},{"id":130,"name":"Impact","value":""},{"id":150,"name":"Time of Event (Mountain Time)","value":"10:33:58"},{"id":151,"name":"Denver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410</v>
      </c>
      <c r="B173" s="7">
        <v>4017</v>
      </c>
      <c r="C173" s="24" t="s">
        <v>112</v>
      </c>
      <c r="D173" s="24" t="s">
        <v>668</v>
      </c>
      <c r="E173" s="15">
        <v>42619.44427083333</v>
      </c>
      <c r="F173" s="15">
        <v>42619.446712962963</v>
      </c>
      <c r="G173" s="7">
        <v>1</v>
      </c>
      <c r="H173" s="15" t="s">
        <v>669</v>
      </c>
      <c r="I173" s="15">
        <v>42619.455405092594</v>
      </c>
      <c r="J173" s="7">
        <v>0</v>
      </c>
      <c r="K173" s="132" t="str">
        <f t="shared" si="45"/>
        <v>4017/4018</v>
      </c>
      <c r="L173" s="24" t="e">
        <f>VLOOKUP(A173,'Trips&amp;Operators'!$C$1:$E$10000,3,FALSE)</f>
        <v>#N/A</v>
      </c>
      <c r="M173" s="6">
        <f t="shared" si="46"/>
        <v>8.6921296315267682E-3</v>
      </c>
      <c r="N173" s="7">
        <f t="shared" si="61"/>
        <v>12.516666669398546</v>
      </c>
      <c r="O173" s="7"/>
      <c r="P173" s="7"/>
      <c r="Q173" s="25"/>
      <c r="R173" s="25"/>
      <c r="S173" s="37">
        <f t="shared" si="47"/>
        <v>1</v>
      </c>
      <c r="T173" s="52" t="str">
        <f t="shared" si="48"/>
        <v>Southbound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09:39:45-0600',mode:absolute,to:'2016-09-06 11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3" s="54" t="str">
        <f t="shared" si="50"/>
        <v>N</v>
      </c>
      <c r="X173" s="120">
        <f t="shared" si="58"/>
        <v>1</v>
      </c>
      <c r="Y173" s="69">
        <f t="shared" si="51"/>
        <v>5.7320000000000002</v>
      </c>
      <c r="Z173" s="69">
        <f t="shared" si="52"/>
        <v>7.1900000000000006E-2</v>
      </c>
      <c r="AA173" s="69">
        <f t="shared" si="53"/>
        <v>5.6600999999999999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54"/>
        <v>0816-06</v>
      </c>
      <c r="AE173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3" s="96" t="str">
        <f t="shared" si="56"/>
        <v>"C:\Program Files (x86)\AstroGrep\AstroGrep.exe" /spath="%USERPROFILE%\AppData\Local\Temp\OnboardLogs" /stypes="*4017*20160906*" /stext=" 16:.+((SYSTEM_STATE.+slice.+state.+changed )|(ment ac)|(system.+state.+changed )|(\|lc)|(penalty)|(\[timeout)|(PRM\|1\|D)|(kpr)|(kdp))" /e /r /s</v>
      </c>
      <c r="AG173" s="1" t="str">
        <f t="shared" si="57"/>
        <v>NW</v>
      </c>
      <c r="AH173" s="100" t="str">
        <f t="shared" si="43"/>
        <v>"%USERPROFILE%\Documents\GitHub\eaglep3\Utilities\RefineRTDCRunTimes.py" --tripid 816-06 --locoid 4017 --swversion DE.1.0.7.0 --startMP 300:57320 --initTime 2016-09-06T10:39:45 --startdatetime 2016-09-06T10:43:16 --delay 1 --endMP 204:719 --enddatetime 2016-09-06T10:55:47 --enforcementcount 0 &gt;&gt;C:\Users\stu\Documents\GitHub\eaglep3-reporting\EC\2016-09-06-refined-times.txt</v>
      </c>
      <c r="AI173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{"issue":{"subject":"","project_id":79,"tracker_id":40,"status_id":1,"priority_id":2,"assigned_to_id":23,"start_date":"2016-09-06","description":"","custom_fields":[{"id":1,"name":"Subdivision","value":"NW"},{"id":4,"name":"Milepost","value":"5.6601"},{"id":17,"name":"Train ID","value":"816-06"},{"id":16,"name":"Locomotive ID","value":"4017"},{"id":130,"name":"Impact","value":""},{"id":150,"name":"Time of Event (Mountain Time)","value":"10:55:47"},{"id":151,"name":"Denver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417</v>
      </c>
      <c r="B174" s="7">
        <v>4018</v>
      </c>
      <c r="C174" s="24" t="s">
        <v>112</v>
      </c>
      <c r="D174" s="24" t="s">
        <v>670</v>
      </c>
      <c r="E174" s="15">
        <v>42619.468692129631</v>
      </c>
      <c r="F174" s="15">
        <v>42619.473101851851</v>
      </c>
      <c r="G174" s="7">
        <v>1</v>
      </c>
      <c r="H174" s="15" t="s">
        <v>667</v>
      </c>
      <c r="I174" s="15">
        <v>42619.482569444444</v>
      </c>
      <c r="J174" s="7">
        <v>0</v>
      </c>
      <c r="K174" s="132" t="str">
        <f t="shared" si="45"/>
        <v>4017/4018</v>
      </c>
      <c r="L174" s="24" t="e">
        <f>VLOOKUP(A174,'Trips&amp;Operators'!$C$1:$E$10000,3,FALSE)</f>
        <v>#N/A</v>
      </c>
      <c r="M174" s="6">
        <f t="shared" si="46"/>
        <v>9.4675925938645378E-3</v>
      </c>
      <c r="N174" s="7">
        <f t="shared" si="61"/>
        <v>13.633333335164934</v>
      </c>
      <c r="O174" s="7"/>
      <c r="P174" s="7"/>
      <c r="Q174" s="25"/>
      <c r="R174" s="25"/>
      <c r="S174" s="37">
        <f t="shared" si="47"/>
        <v>1</v>
      </c>
      <c r="T174" s="52" t="str">
        <f t="shared" si="48"/>
        <v>NorthBound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10:14:55-0600',mode:absolute,to:'2016-09-06 12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4" s="54" t="str">
        <f t="shared" si="50"/>
        <v>N</v>
      </c>
      <c r="X174" s="120">
        <f t="shared" ref="X174:X177" si="62">VALUE(LEFT(AD174,4))-VALUE(LEFT(AD173,4))</f>
        <v>1</v>
      </c>
      <c r="Y174" s="69">
        <f t="shared" si="51"/>
        <v>0.1004</v>
      </c>
      <c r="Z174" s="69">
        <f t="shared" si="52"/>
        <v>5.8894000000000002</v>
      </c>
      <c r="AA174" s="69">
        <f t="shared" si="53"/>
        <v>5.7890000000000006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54"/>
        <v>0817-06</v>
      </c>
      <c r="AE174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4" s="96" t="str">
        <f t="shared" si="56"/>
        <v>"C:\Program Files (x86)\AstroGrep\AstroGrep.exe" /spath="%USERPROFILE%\AppData\Local\Temp\OnboardLogs" /stypes="*4018*20160906*" /stext=" 17:.+((SYSTEM_STATE.+slice.+state.+changed )|(ment ac)|(system.+state.+changed )|(\|lc)|(penalty)|(\[timeout)|(PRM\|1\|D)|(kpr)|(kdp))" /e /r /s</v>
      </c>
      <c r="AG174" s="1" t="str">
        <f t="shared" si="57"/>
        <v>NW</v>
      </c>
      <c r="AH174" s="100" t="str">
        <f t="shared" si="43"/>
        <v>"%USERPROFILE%\Documents\GitHub\eaglep3\Utilities\RefineRTDCRunTimes.py" --tripid 817-06 --locoid 4018 --swversion DE.1.0.7.0 --startMP 204:1004 --initTime 2016-09-06T11:14:55 --startdatetime 2016-09-06T11:21:16 --delay 1 --endMP 300:58894 --enddatetime 2016-09-06T11:34:54 --enforcementcount 0 &gt;&gt;C:\Users\stu\Documents\GitHub\eaglep3-reporting\EC\2016-09-06-refined-times.txt</v>
      </c>
      <c r="AI174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{"issue":{"subject":"","project_id":79,"tracker_id":40,"status_id":1,"priority_id":2,"assigned_to_id":23,"start_date":"2016-09-06","description":"","custom_fields":[{"id":1,"name":"Subdivision","value":"NW"},{"id":4,"name":"Milepost","value":"5.789"},{"id":17,"name":"Train ID","value":"817-06"},{"id":16,"name":"Locomotive ID","value":"4018"},{"id":130,"name":"Impact","value":""},{"id":150,"name":"Time of Event (Mountain Time)","value":"11:34:54"},{"id":151,"name":"Denver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422</v>
      </c>
      <c r="B175" s="7">
        <v>4017</v>
      </c>
      <c r="C175" s="24" t="s">
        <v>112</v>
      </c>
      <c r="D175" s="24" t="s">
        <v>671</v>
      </c>
      <c r="E175" s="15">
        <v>42619.483738425923</v>
      </c>
      <c r="F175" s="15">
        <v>42619.485289351855</v>
      </c>
      <c r="G175" s="7">
        <v>1</v>
      </c>
      <c r="H175" s="15" t="s">
        <v>672</v>
      </c>
      <c r="I175" s="15">
        <v>42619.495821759258</v>
      </c>
      <c r="J175" s="7">
        <v>0</v>
      </c>
      <c r="K175" s="132" t="str">
        <f t="shared" si="45"/>
        <v>4017/4018</v>
      </c>
      <c r="L175" s="24" t="e">
        <f>VLOOKUP(A175,'Trips&amp;Operators'!$C$1:$E$10000,3,FALSE)</f>
        <v>#N/A</v>
      </c>
      <c r="M175" s="6">
        <f t="shared" si="46"/>
        <v>1.0532407402934041E-2</v>
      </c>
      <c r="N175" s="7">
        <f t="shared" si="61"/>
        <v>15.166666660225019</v>
      </c>
      <c r="O175" s="7"/>
      <c r="P175" s="7"/>
      <c r="Q175" s="25"/>
      <c r="R175" s="25"/>
      <c r="S175" s="37">
        <f t="shared" si="47"/>
        <v>1</v>
      </c>
      <c r="T175" s="52" t="str">
        <f t="shared" si="48"/>
        <v>Southbound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10:36:35-0600',mode:absolute,to:'2016-09-06 12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5" s="54" t="str">
        <f t="shared" si="50"/>
        <v>N</v>
      </c>
      <c r="X175" s="120">
        <f t="shared" si="62"/>
        <v>1</v>
      </c>
      <c r="Y175" s="69">
        <f t="shared" si="51"/>
        <v>5.8581000000000003</v>
      </c>
      <c r="Z175" s="69">
        <f t="shared" si="52"/>
        <v>7.1300000000000002E-2</v>
      </c>
      <c r="AA175" s="69">
        <f t="shared" si="53"/>
        <v>5.7868000000000004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54"/>
        <v>0818-06</v>
      </c>
      <c r="AE175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5" s="96" t="str">
        <f t="shared" si="56"/>
        <v>"C:\Program Files (x86)\AstroGrep\AstroGrep.exe" /spath="%USERPROFILE%\AppData\Local\Temp\OnboardLogs" /stypes="*4017*20160906*" /stext=" 17:.+((SYSTEM_STATE.+slice.+state.+changed )|(ment ac)|(system.+state.+changed )|(\|lc)|(penalty)|(\[timeout)|(PRM\|1\|D)|(kpr)|(kdp))" /e /r /s</v>
      </c>
      <c r="AG175" s="1" t="str">
        <f t="shared" si="57"/>
        <v>NW</v>
      </c>
      <c r="AH175" s="100" t="str">
        <f t="shared" si="43"/>
        <v>"%USERPROFILE%\Documents\GitHub\eaglep3\Utilities\RefineRTDCRunTimes.py" --tripid 818-06 --locoid 4017 --swversion DE.1.0.7.0 --startMP 300:58581 --initTime 2016-09-06T11:36:35 --startdatetime 2016-09-06T11:38:49 --delay 1 --endMP 204:713 --enddatetime 2016-09-06T11:53:59 --enforcementcount 0 &gt;&gt;C:\Users\stu\Documents\GitHub\eaglep3-reporting\EC\2016-09-06-refined-times.txt</v>
      </c>
      <c r="AI175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{"issue":{"subject":"","project_id":79,"tracker_id":40,"status_id":1,"priority_id":2,"assigned_to_id":23,"start_date":"2016-09-06","description":"","custom_fields":[{"id":1,"name":"Subdivision","value":"NW"},{"id":4,"name":"Milepost","value":"5.7868"},{"id":17,"name":"Train ID","value":"818-06"},{"id":16,"name":"Locomotive ID","value":"4017"},{"id":130,"name":"Impact","value":""},{"id":150,"name":"Time of Event (Mountain Time)","value":"11:53:59"},{"id":151,"name":"Denver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427</v>
      </c>
      <c r="B176" s="7">
        <v>4018</v>
      </c>
      <c r="C176" s="24" t="s">
        <v>112</v>
      </c>
      <c r="D176" s="24" t="s">
        <v>656</v>
      </c>
      <c r="E176" s="15">
        <v>42619.506215277775</v>
      </c>
      <c r="F176" s="15">
        <v>42619.514826388891</v>
      </c>
      <c r="G176" s="7">
        <v>1</v>
      </c>
      <c r="H176" s="15" t="s">
        <v>673</v>
      </c>
      <c r="I176" s="15">
        <v>42619.523993055554</v>
      </c>
      <c r="J176" s="7">
        <v>0</v>
      </c>
      <c r="K176" s="132" t="str">
        <f t="shared" si="45"/>
        <v>4017/4018</v>
      </c>
      <c r="L176" s="24" t="e">
        <f>VLOOKUP(A176,'Trips&amp;Operators'!$C$1:$E$10000,3,FALSE)</f>
        <v>#N/A</v>
      </c>
      <c r="M176" s="6">
        <f t="shared" si="46"/>
        <v>9.1666666630771942E-3</v>
      </c>
      <c r="N176" s="7">
        <f t="shared" si="61"/>
        <v>13.19999999483116</v>
      </c>
      <c r="O176" s="7"/>
      <c r="P176" s="7"/>
      <c r="Q176" s="25"/>
      <c r="R176" s="25"/>
      <c r="S176" s="37">
        <f t="shared" si="47"/>
        <v>1</v>
      </c>
      <c r="T176" s="52" t="str">
        <f t="shared" si="48"/>
        <v>NorthBound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11:08:57-0600',mode:absolute,to:'2016-09-06 13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6" s="54" t="str">
        <f t="shared" si="50"/>
        <v>N</v>
      </c>
      <c r="X176" s="120">
        <f t="shared" si="62"/>
        <v>1</v>
      </c>
      <c r="Y176" s="69">
        <f t="shared" si="51"/>
        <v>0.10059999999999999</v>
      </c>
      <c r="Z176" s="69">
        <f t="shared" si="52"/>
        <v>5.8891999999999998</v>
      </c>
      <c r="AA176" s="69">
        <f t="shared" si="53"/>
        <v>5.7885999999999997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54"/>
        <v>0819-06</v>
      </c>
      <c r="AE176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6" s="96" t="str">
        <f t="shared" si="56"/>
        <v>"C:\Program Files (x86)\AstroGrep\AstroGrep.exe" /spath="%USERPROFILE%\AppData\Local\Temp\OnboardLogs" /stypes="*4018*20160906*" /stext=" 18:.+((SYSTEM_STATE.+slice.+state.+changed )|(ment ac)|(system.+state.+changed )|(\|lc)|(penalty)|(\[timeout)|(PRM\|1\|D)|(kpr)|(kdp))" /e /r /s</v>
      </c>
      <c r="AG176" s="1" t="str">
        <f t="shared" si="57"/>
        <v>NW</v>
      </c>
      <c r="AH176" s="100" t="str">
        <f t="shared" si="43"/>
        <v>"%USERPROFILE%\Documents\GitHub\eaglep3\Utilities\RefineRTDCRunTimes.py" --tripid 819-06 --locoid 4018 --swversion DE.1.0.7.0 --startMP 204:1006 --initTime 2016-09-06T12:08:57 --startdatetime 2016-09-06T12:21:21 --delay 1 --endMP 300:58892 --enddatetime 2016-09-06T12:34:33 --enforcementcount 0 &gt;&gt;C:\Users\stu\Documents\GitHub\eaglep3-reporting\EC\2016-09-06-refined-times.txt</v>
      </c>
      <c r="AI176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{"issue":{"subject":"","project_id":79,"tracker_id":40,"status_id":1,"priority_id":2,"assigned_to_id":23,"start_date":"2016-09-06","description":"","custom_fields":[{"id":1,"name":"Subdivision","value":"NW"},{"id":4,"name":"Milepost","value":"5.7886"},{"id":17,"name":"Train ID","value":"819-06"},{"id":16,"name":"Locomotive ID","value":"4018"},{"id":130,"name":"Impact","value":""},{"id":150,"name":"Time of Event (Mountain Time)","value":"12:34:33"},{"id":151,"name":"Denver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432</v>
      </c>
      <c r="B177" s="7">
        <v>4017</v>
      </c>
      <c r="C177" s="24" t="s">
        <v>112</v>
      </c>
      <c r="D177" s="24" t="s">
        <v>674</v>
      </c>
      <c r="E177" s="15">
        <v>42619.525462962964</v>
      </c>
      <c r="F177" s="15">
        <v>42619.526689814818</v>
      </c>
      <c r="G177" s="7">
        <v>1</v>
      </c>
      <c r="H177" s="15" t="s">
        <v>675</v>
      </c>
      <c r="I177" s="15">
        <v>42619.538587962961</v>
      </c>
      <c r="J177" s="7">
        <v>0</v>
      </c>
      <c r="K177" s="132" t="str">
        <f t="shared" si="45"/>
        <v>4017/4018</v>
      </c>
      <c r="L177" s="24" t="e">
        <f>VLOOKUP(A177,'Trips&amp;Operators'!$C$1:$E$10000,3,FALSE)</f>
        <v>#N/A</v>
      </c>
      <c r="M177" s="6">
        <f t="shared" si="46"/>
        <v>1.1898148142790888E-2</v>
      </c>
      <c r="N177" s="7">
        <f t="shared" si="61"/>
        <v>17.133333325618878</v>
      </c>
      <c r="O177" s="7"/>
      <c r="P177" s="7"/>
      <c r="Q177" s="25"/>
      <c r="R177" s="25"/>
      <c r="S177" s="37">
        <f t="shared" si="47"/>
        <v>1</v>
      </c>
      <c r="T177" s="52" t="str">
        <f t="shared" si="48"/>
        <v>Southbound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11:36:40-0600',mode:absolute,to:'2016-09-06 13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7" s="54" t="str">
        <f t="shared" si="50"/>
        <v>N</v>
      </c>
      <c r="X177" s="120">
        <f t="shared" si="62"/>
        <v>1</v>
      </c>
      <c r="Y177" s="69">
        <f t="shared" si="51"/>
        <v>5.8575999999999997</v>
      </c>
      <c r="Z177" s="69">
        <f t="shared" si="52"/>
        <v>7.2400000000000006E-2</v>
      </c>
      <c r="AA177" s="69">
        <f t="shared" si="53"/>
        <v>5.7851999999999997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54"/>
        <v>0820-06</v>
      </c>
      <c r="AE177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7" s="96" t="str">
        <f t="shared" si="56"/>
        <v>"C:\Program Files (x86)\AstroGrep\AstroGrep.exe" /spath="%USERPROFILE%\AppData\Local\Temp\OnboardLogs" /stypes="*4017*20160906*" /stext=" 18:.+((SYSTEM_STATE.+slice.+state.+changed )|(ment ac)|(system.+state.+changed )|(\|lc)|(penalty)|(\[timeout)|(PRM\|1\|D)|(kpr)|(kdp))" /e /r /s</v>
      </c>
      <c r="AG177" s="1" t="str">
        <f t="shared" si="57"/>
        <v>NW</v>
      </c>
      <c r="AH177" s="100" t="str">
        <f t="shared" si="43"/>
        <v>"%USERPROFILE%\Documents\GitHub\eaglep3\Utilities\RefineRTDCRunTimes.py" --tripid 820-06 --locoid 4017 --swversion DE.1.0.7.0 --startMP 300:58576 --initTime 2016-09-06T12:36:40 --startdatetime 2016-09-06T12:38:26 --delay 1 --endMP 204:724 --enddatetime 2016-09-06T12:55:34 --enforcementcount 0 &gt;&gt;C:\Users\stu\Documents\GitHub\eaglep3-reporting\EC\2016-09-06-refined-times.txt</v>
      </c>
      <c r="AI177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{"issue":{"subject":"","project_id":79,"tracker_id":40,"status_id":1,"priority_id":2,"assigned_to_id":23,"start_date":"2016-09-06","description":"","custom_fields":[{"id":1,"name":"Subdivision","value":"NW"},{"id":4,"name":"Milepost","value":"5.7852"},{"id":17,"name":"Train ID","value":"820-06"},{"id":16,"name":"Locomotive ID","value":"4017"},{"id":130,"name":"Impact","value":""},{"id":150,"name":"Time of Event (Mountain Time)","value":"12:55:34"},{"id":151,"name":"Denver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437</v>
      </c>
      <c r="B178" s="7">
        <v>4018</v>
      </c>
      <c r="C178" s="24" t="s">
        <v>112</v>
      </c>
      <c r="D178" s="24" t="s">
        <v>662</v>
      </c>
      <c r="E178" s="15">
        <v>42619.546261574076</v>
      </c>
      <c r="F178" s="15">
        <v>42619.556469907409</v>
      </c>
      <c r="G178" s="7">
        <v>4</v>
      </c>
      <c r="H178" s="15" t="s">
        <v>676</v>
      </c>
      <c r="I178" s="15">
        <v>42619.565393518518</v>
      </c>
      <c r="J178" s="7">
        <v>0</v>
      </c>
      <c r="K178" s="132" t="str">
        <f t="shared" si="45"/>
        <v>4017/4018</v>
      </c>
      <c r="L178" s="24" t="e">
        <f>VLOOKUP(A178,'Trips&amp;Operators'!$C$1:$E$10000,3,FALSE)</f>
        <v>#N/A</v>
      </c>
      <c r="M178" s="6">
        <f t="shared" si="46"/>
        <v>8.923611108912155E-3</v>
      </c>
      <c r="N178" s="7">
        <f t="shared" si="61"/>
        <v>12.849999996833503</v>
      </c>
      <c r="O178" s="7"/>
      <c r="P178" s="7"/>
      <c r="Q178" s="25"/>
      <c r="R178" s="25"/>
      <c r="S178" s="37">
        <f t="shared" si="47"/>
        <v>1</v>
      </c>
      <c r="T178" s="52" t="str">
        <f t="shared" si="48"/>
        <v>NorthBound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12:06:37-0600',mode:absolute,to:'2016-09-06 14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78" s="54" t="str">
        <f t="shared" si="50"/>
        <v>N</v>
      </c>
      <c r="X178" s="120">
        <f t="shared" ref="X178:X222" si="63">VALUE(LEFT(AD178,4))-VALUE(LEFT(AD177,4))</f>
        <v>1</v>
      </c>
      <c r="Y178" s="69">
        <f t="shared" si="51"/>
        <v>0.1013</v>
      </c>
      <c r="Z178" s="69">
        <f t="shared" si="52"/>
        <v>5.8921999999999999</v>
      </c>
      <c r="AA178" s="69">
        <f t="shared" si="53"/>
        <v>5.7908999999999997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54"/>
        <v>0821-06</v>
      </c>
      <c r="AE178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78" s="96" t="str">
        <f t="shared" si="56"/>
        <v>"C:\Program Files (x86)\AstroGrep\AstroGrep.exe" /spath="%USERPROFILE%\AppData\Local\Temp\OnboardLogs" /stypes="*4018*20160906*" /stext=" 19:.+((SYSTEM_STATE.+slice.+state.+changed )|(ment ac)|(system.+state.+changed )|(\|lc)|(penalty)|(\[timeout)|(PRM\|1\|D)|(kpr)|(kdp))" /e /r /s</v>
      </c>
      <c r="AG178" s="1" t="str">
        <f t="shared" si="57"/>
        <v>NW</v>
      </c>
      <c r="AH178" s="100" t="str">
        <f t="shared" si="43"/>
        <v>"%USERPROFILE%\Documents\GitHub\eaglep3\Utilities\RefineRTDCRunTimes.py" --tripid 821-06 --locoid 4018 --swversion DE.1.0.7.0 --startMP 204:1013 --initTime 2016-09-06T13:06:37 --startdatetime 2016-09-06T13:21:19 --delay 4 --endMP 300:58922 --enddatetime 2016-09-06T13:34:10 --enforcementcount 0 &gt;&gt;C:\Users\stu\Documents\GitHub\eaglep3-reporting\EC\2016-09-06-refined-times.txt</v>
      </c>
      <c r="AI178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{"issue":{"subject":"","project_id":79,"tracker_id":40,"status_id":1,"priority_id":2,"assigned_to_id":23,"start_date":"2016-09-06","description":"","custom_fields":[{"id":1,"name":"Subdivision","value":"NW"},{"id":4,"name":"Milepost","value":"5.7909"},{"id":17,"name":"Train ID","value":"821-06"},{"id":16,"name":"Locomotive ID","value":"4018"},{"id":130,"name":"Impact","value":""},{"id":150,"name":"Time of Event (Mountain Time)","value":"13:34:10"},{"id":151,"name":"Denver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442</v>
      </c>
      <c r="B179" s="7">
        <v>4017</v>
      </c>
      <c r="C179" s="24" t="s">
        <v>112</v>
      </c>
      <c r="D179" s="24" t="s">
        <v>270</v>
      </c>
      <c r="E179" s="15">
        <v>42619.566932870373</v>
      </c>
      <c r="F179" s="15">
        <v>42619.569189814814</v>
      </c>
      <c r="G179" s="7">
        <v>2</v>
      </c>
      <c r="H179" s="15" t="s">
        <v>677</v>
      </c>
      <c r="I179" s="15">
        <v>42619.579629629632</v>
      </c>
      <c r="J179" s="7">
        <v>0</v>
      </c>
      <c r="K179" s="132" t="str">
        <f t="shared" si="45"/>
        <v>4017/4018</v>
      </c>
      <c r="L179" s="24" t="e">
        <f>VLOOKUP(A179,'Trips&amp;Operators'!$C$1:$E$10000,3,FALSE)</f>
        <v>#N/A</v>
      </c>
      <c r="M179" s="6">
        <f t="shared" si="46"/>
        <v>1.0439814817800652E-2</v>
      </c>
      <c r="N179" s="7">
        <f t="shared" si="61"/>
        <v>15.033333337632939</v>
      </c>
      <c r="O179" s="7"/>
      <c r="P179" s="7"/>
      <c r="Q179" s="25"/>
      <c r="R179" s="25"/>
      <c r="S179" s="37">
        <f t="shared" si="47"/>
        <v>1</v>
      </c>
      <c r="T179" s="52" t="str">
        <f t="shared" si="48"/>
        <v>Southbound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12:36:23-0600',mode:absolute,to:'2016-09-06 14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79" s="54" t="str">
        <f t="shared" si="50"/>
        <v>N</v>
      </c>
      <c r="X179" s="120">
        <f t="shared" si="63"/>
        <v>1</v>
      </c>
      <c r="Y179" s="69">
        <f t="shared" si="51"/>
        <v>5.8613</v>
      </c>
      <c r="Z179" s="69">
        <f t="shared" si="52"/>
        <v>6.9099999999999995E-2</v>
      </c>
      <c r="AA179" s="69">
        <f t="shared" si="53"/>
        <v>5.7922000000000002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54"/>
        <v>0822-06</v>
      </c>
      <c r="AE179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79" s="96" t="str">
        <f t="shared" si="56"/>
        <v>"C:\Program Files (x86)\AstroGrep\AstroGrep.exe" /spath="%USERPROFILE%\AppData\Local\Temp\OnboardLogs" /stypes="*4017*20160906*" /stext=" 19:.+((SYSTEM_STATE.+slice.+state.+changed )|(ment ac)|(system.+state.+changed )|(\|lc)|(penalty)|(\[timeout)|(PRM\|1\|D)|(kpr)|(kdp))" /e /r /s</v>
      </c>
      <c r="AG179" s="1" t="str">
        <f t="shared" si="57"/>
        <v>NW</v>
      </c>
      <c r="AH179" s="100" t="str">
        <f t="shared" si="43"/>
        <v>"%USERPROFILE%\Documents\GitHub\eaglep3\Utilities\RefineRTDCRunTimes.py" --tripid 822-06 --locoid 4017 --swversion DE.1.0.7.0 --startMP 300:58613 --initTime 2016-09-06T13:36:23 --startdatetime 2016-09-06T13:39:38 --delay 2 --endMP 204:691 --enddatetime 2016-09-06T13:54:40 --enforcementcount 0 &gt;&gt;C:\Users\stu\Documents\GitHub\eaglep3-reporting\EC\2016-09-06-refined-times.txt</v>
      </c>
      <c r="AI179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{"issue":{"subject":"","project_id":79,"tracker_id":40,"status_id":1,"priority_id":2,"assigned_to_id":23,"start_date":"2016-09-06","description":"","custom_fields":[{"id":1,"name":"Subdivision","value":"NW"},{"id":4,"name":"Milepost","value":"5.7922"},{"id":17,"name":"Train ID","value":"822-06"},{"id":16,"name":"Locomotive ID","value":"4017"},{"id":130,"name":"Impact","value":""},{"id":150,"name":"Time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448</v>
      </c>
      <c r="B180" s="7">
        <v>4018</v>
      </c>
      <c r="C180" s="24" t="s">
        <v>112</v>
      </c>
      <c r="D180" s="24" t="s">
        <v>678</v>
      </c>
      <c r="E180" s="15">
        <v>42619.592789351853</v>
      </c>
      <c r="F180" s="15">
        <v>42619.59814814815</v>
      </c>
      <c r="G180" s="7">
        <v>1</v>
      </c>
      <c r="H180" s="15" t="s">
        <v>317</v>
      </c>
      <c r="I180" s="15">
        <v>42619.607071759259</v>
      </c>
      <c r="J180" s="7">
        <v>0</v>
      </c>
      <c r="K180" s="132" t="str">
        <f t="shared" si="45"/>
        <v>4017/4018</v>
      </c>
      <c r="L180" s="24" t="e">
        <f>VLOOKUP(A180,'Trips&amp;Operators'!$C$1:$E$10000,3,FALSE)</f>
        <v>#N/A</v>
      </c>
      <c r="M180" s="6">
        <f t="shared" si="46"/>
        <v>8.923611108912155E-3</v>
      </c>
      <c r="N180" s="7">
        <f t="shared" si="61"/>
        <v>12.849999996833503</v>
      </c>
      <c r="O180" s="7"/>
      <c r="P180" s="7"/>
      <c r="Q180" s="25"/>
      <c r="R180" s="25"/>
      <c r="S180" s="37">
        <f t="shared" si="47"/>
        <v>1</v>
      </c>
      <c r="T180" s="52" t="str">
        <f t="shared" si="48"/>
        <v>NorthBound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13:13:37-0600',mode:absolute,to:'2016-09-06 15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80" s="54" t="str">
        <f t="shared" si="50"/>
        <v>N</v>
      </c>
      <c r="X180" s="120">
        <f t="shared" si="63"/>
        <v>1</v>
      </c>
      <c r="Y180" s="69">
        <f t="shared" si="51"/>
        <v>9.7600000000000006E-2</v>
      </c>
      <c r="Z180" s="69">
        <f t="shared" si="52"/>
        <v>5.8925999999999998</v>
      </c>
      <c r="AA180" s="69">
        <f t="shared" si="53"/>
        <v>5.7949999999999999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54"/>
        <v>0823-06</v>
      </c>
      <c r="AE18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80" s="96" t="str">
        <f t="shared" si="56"/>
        <v>"C:\Program Files (x86)\AstroGrep\AstroGrep.exe" /spath="%USERPROFILE%\AppData\Local\Temp\OnboardLogs" /stypes="*4018*20160906*" /stext=" 20:.+((SYSTEM_STATE.+slice.+state.+changed )|(ment ac)|(system.+state.+changed )|(\|lc)|(penalty)|(\[timeout)|(PRM\|1\|D)|(kpr)|(kdp))" /e /r /s</v>
      </c>
      <c r="AG180" s="1" t="str">
        <f t="shared" si="57"/>
        <v>NW</v>
      </c>
      <c r="AH180" s="100" t="str">
        <f t="shared" si="43"/>
        <v>"%USERPROFILE%\Documents\GitHub\eaglep3\Utilities\RefineRTDCRunTimes.py" --tripid 823-06 --locoid 4018 --swversion DE.1.0.7.0 --startMP 204:976 --initTime 2016-09-06T14:13:37 --startdatetime 2016-09-06T14:21:20 --delay 1 --endMP 300:58926 --enddatetime 2016-09-06T14:34:11 --enforcementcount 0 &gt;&gt;C:\Users\stu\Documents\GitHub\eaglep3-reporting\EC\2016-09-06-refined-times.txt</v>
      </c>
      <c r="AI180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{"issue":{"subject":"","project_id":79,"tracker_id":40,"status_id":1,"priority_id":2,"assigned_to_id":23,"start_date":"2016-09-06","description":"","custom_fields":[{"id":1,"name":"Subdivision","value":"NW"},{"id":4,"name":"Milepost","value":"5.795"},{"id":17,"name":"Train ID","value":"823-06"},{"id":16,"name":"Locomotive ID","value":"4018"},{"id":130,"name":"Impact","value":""},{"id":150,"name":"Time of Event (Mountain Time)","value":"14:34:11"},{"id":151,"name":"Denver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452</v>
      </c>
      <c r="B181" s="7">
        <v>4017</v>
      </c>
      <c r="C181" s="24" t="s">
        <v>112</v>
      </c>
      <c r="D181" s="24" t="s">
        <v>322</v>
      </c>
      <c r="E181" s="15">
        <v>42619.608344907407</v>
      </c>
      <c r="F181" s="15">
        <v>42619.609814814816</v>
      </c>
      <c r="G181" s="7">
        <v>1</v>
      </c>
      <c r="H181" s="15" t="s">
        <v>679</v>
      </c>
      <c r="I181" s="15">
        <v>42619.62128472222</v>
      </c>
      <c r="J181" s="7">
        <v>0</v>
      </c>
      <c r="K181" s="132" t="str">
        <f t="shared" si="45"/>
        <v>4017/4018</v>
      </c>
      <c r="L181" s="24" t="e">
        <f>VLOOKUP(A181,'Trips&amp;Operators'!$C$1:$E$10000,3,FALSE)</f>
        <v>#N/A</v>
      </c>
      <c r="M181" s="6">
        <f t="shared" si="46"/>
        <v>1.1469907403807156E-2</v>
      </c>
      <c r="N181" s="7">
        <f t="shared" si="61"/>
        <v>16.516666661482304</v>
      </c>
      <c r="O181" s="7"/>
      <c r="P181" s="7"/>
      <c r="Q181" s="25"/>
      <c r="R181" s="25"/>
      <c r="S181" s="37">
        <f t="shared" si="47"/>
        <v>1</v>
      </c>
      <c r="T181" s="52" t="str">
        <f t="shared" si="48"/>
        <v>Southbound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13:36:01-0600',mode:absolute,to:'2016-09-06 15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81" s="54" t="str">
        <f t="shared" si="50"/>
        <v>N</v>
      </c>
      <c r="X181" s="120">
        <f t="shared" si="63"/>
        <v>1</v>
      </c>
      <c r="Y181" s="69">
        <f t="shared" si="51"/>
        <v>5.8615000000000004</v>
      </c>
      <c r="Z181" s="69">
        <f t="shared" si="52"/>
        <v>6.7299999999999999E-2</v>
      </c>
      <c r="AA181" s="69">
        <f t="shared" si="53"/>
        <v>5.7942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54"/>
        <v>0824-06</v>
      </c>
      <c r="AE18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81" s="96" t="str">
        <f t="shared" si="56"/>
        <v>"C:\Program Files (x86)\AstroGrep\AstroGrep.exe" /spath="%USERPROFILE%\AppData\Local\Temp\OnboardLogs" /stypes="*4017*20160906*" /stext=" 20:.+((SYSTEM_STATE.+slice.+state.+changed )|(ment ac)|(system.+state.+changed )|(\|lc)|(penalty)|(\[timeout)|(PRM\|1\|D)|(kpr)|(kdp))" /e /r /s</v>
      </c>
      <c r="AG181" s="1" t="str">
        <f t="shared" si="57"/>
        <v>NW</v>
      </c>
      <c r="AH181" s="100" t="str">
        <f t="shared" si="43"/>
        <v>"%USERPROFILE%\Documents\GitHub\eaglep3\Utilities\RefineRTDCRunTimes.py" --tripid 824-06 --locoid 4017 --swversion DE.1.0.7.0 --startMP 300:58615 --initTime 2016-09-06T14:36:01 --startdatetime 2016-09-06T14:38:08 --delay 1 --endMP 204:673 --enddatetime 2016-09-06T14:54:39 --enforcementcount 0 &gt;&gt;C:\Users\stu\Documents\GitHub\eaglep3-reporting\EC\2016-09-06-refined-times.txt</v>
      </c>
      <c r="AI181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{"issue":{"subject":"","project_id":79,"tracker_id":40,"status_id":1,"priority_id":2,"assigned_to_id":23,"start_date":"2016-09-06","description":"","custom_fields":[{"id":1,"name":"Subdivision","value":"NW"},{"id":4,"name":"Milepost","value":"5.7942"},{"id":17,"name":"Train ID","value":"824-06"},{"id":16,"name":"Locomotive ID","value":"4017"},{"id":130,"name":"Impact","value":""},{"id":150,"name":"Time of Event (Mountain Time)","value":"14:54:39"},{"id":151,"name":"Denver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458</v>
      </c>
      <c r="B182" s="7">
        <v>4018</v>
      </c>
      <c r="C182" s="24" t="s">
        <v>112</v>
      </c>
      <c r="D182" s="24" t="s">
        <v>272</v>
      </c>
      <c r="E182" s="15">
        <v>42619.63621527778</v>
      </c>
      <c r="F182" s="15">
        <v>42619.639803240738</v>
      </c>
      <c r="G182" s="7">
        <v>1</v>
      </c>
      <c r="H182" s="15" t="s">
        <v>680</v>
      </c>
      <c r="I182" s="15">
        <v>42619.649189814816</v>
      </c>
      <c r="J182" s="7">
        <v>0</v>
      </c>
      <c r="K182" s="132" t="str">
        <f t="shared" si="45"/>
        <v>4017/4018</v>
      </c>
      <c r="L182" s="24" t="e">
        <f>VLOOKUP(A182,'Trips&amp;Operators'!$C$1:$E$10000,3,FALSE)</f>
        <v>#N/A</v>
      </c>
      <c r="M182" s="6">
        <f t="shared" si="46"/>
        <v>9.3865740782348439E-3</v>
      </c>
      <c r="N182" s="7">
        <f t="shared" si="61"/>
        <v>13.516666672658175</v>
      </c>
      <c r="O182" s="7"/>
      <c r="P182" s="7"/>
      <c r="Q182" s="25"/>
      <c r="R182" s="25"/>
      <c r="S182" s="37">
        <f t="shared" si="47"/>
        <v>1</v>
      </c>
      <c r="T182" s="52" t="str">
        <f t="shared" si="48"/>
        <v>NorthBound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14:16:09-0600',mode:absolute,to:'2016-09-06 16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82" s="54" t="str">
        <f t="shared" si="50"/>
        <v>N</v>
      </c>
      <c r="X182" s="120">
        <f t="shared" si="63"/>
        <v>1</v>
      </c>
      <c r="Y182" s="69">
        <f t="shared" si="51"/>
        <v>9.7199999999999995E-2</v>
      </c>
      <c r="Z182" s="69">
        <f t="shared" si="52"/>
        <v>5.8936999999999999</v>
      </c>
      <c r="AA182" s="69">
        <f t="shared" si="53"/>
        <v>5.7965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54"/>
        <v>0825-06</v>
      </c>
      <c r="AE182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82" s="96" t="str">
        <f t="shared" si="56"/>
        <v>"C:\Program Files (x86)\AstroGrep\AstroGrep.exe" /spath="%USERPROFILE%\AppData\Local\Temp\OnboardLogs" /stypes="*4018*20160906*" /stext=" 21:.+((SYSTEM_STATE.+slice.+state.+changed )|(ment ac)|(system.+state.+changed )|(\|lc)|(penalty)|(\[timeout)|(PRM\|1\|D)|(kpr)|(kdp))" /e /r /s</v>
      </c>
      <c r="AG182" s="1" t="str">
        <f t="shared" si="57"/>
        <v>NW</v>
      </c>
      <c r="AH182" s="100" t="str">
        <f t="shared" si="43"/>
        <v>"%USERPROFILE%\Documents\GitHub\eaglep3\Utilities\RefineRTDCRunTimes.py" --tripid 825-06 --locoid 4018 --swversion DE.1.0.7.0 --startMP 204:972 --initTime 2016-09-06T15:16:09 --startdatetime 2016-09-06T15:21:19 --delay 1 --endMP 300:58937 --enddatetime 2016-09-06T15:34:50 --enforcementcount 0 &gt;&gt;C:\Users\stu\Documents\GitHub\eaglep3-reporting\EC\2016-09-06-refined-times.txt</v>
      </c>
      <c r="AI182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{"issue":{"subject":"","project_id":79,"tracker_id":40,"status_id":1,"priority_id":2,"assigned_to_id":23,"start_date":"2016-09-06","description":"","custom_fields":[{"id":1,"name":"Subdivision","value":"NW"},{"id":4,"name":"Milepost","value":"5.7965"},{"id":17,"name":"Train ID","value":"825-06"},{"id":16,"name":"Locomotive ID","value":"4018"},{"id":130,"name":"Impact","value":""},{"id":150,"name":"Time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464</v>
      </c>
      <c r="B183" s="7">
        <v>4017</v>
      </c>
      <c r="C183" s="24" t="s">
        <v>112</v>
      </c>
      <c r="D183" s="24" t="s">
        <v>269</v>
      </c>
      <c r="E183" s="15">
        <v>42619.651006944441</v>
      </c>
      <c r="F183" s="15">
        <v>42619.652546296296</v>
      </c>
      <c r="G183" s="7">
        <v>1</v>
      </c>
      <c r="H183" s="15" t="s">
        <v>651</v>
      </c>
      <c r="I183" s="15">
        <v>42619.663819444446</v>
      </c>
      <c r="J183" s="7">
        <v>0</v>
      </c>
      <c r="K183" s="132" t="str">
        <f t="shared" si="45"/>
        <v>4017/4018</v>
      </c>
      <c r="L183" s="24" t="e">
        <f>VLOOKUP(A183,'Trips&amp;Operators'!$C$1:$E$10000,3,FALSE)</f>
        <v>#N/A</v>
      </c>
      <c r="M183" s="6">
        <f t="shared" si="46"/>
        <v>1.1273148149484769E-2</v>
      </c>
      <c r="N183" s="7">
        <f t="shared" si="61"/>
        <v>16.233333335258067</v>
      </c>
      <c r="O183" s="7"/>
      <c r="P183" s="7"/>
      <c r="Q183" s="25"/>
      <c r="R183" s="25"/>
      <c r="S183" s="37">
        <f t="shared" si="47"/>
        <v>1</v>
      </c>
      <c r="T183" s="52" t="str">
        <f t="shared" si="48"/>
        <v>Southbound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14:37:27-0600',mode:absolute,to:'2016-09-06 16:55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83" s="54" t="str">
        <f t="shared" si="50"/>
        <v>N</v>
      </c>
      <c r="X183" s="120">
        <f t="shared" si="63"/>
        <v>1</v>
      </c>
      <c r="Y183" s="69">
        <f t="shared" si="51"/>
        <v>5.8609</v>
      </c>
      <c r="Z183" s="69">
        <f t="shared" si="52"/>
        <v>7.1499999999999994E-2</v>
      </c>
      <c r="AA183" s="69">
        <f t="shared" si="53"/>
        <v>5.7893999999999997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54"/>
        <v>0826-06</v>
      </c>
      <c r="AE183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83" s="96" t="str">
        <f t="shared" si="56"/>
        <v>"C:\Program Files (x86)\AstroGrep\AstroGrep.exe" /spath="%USERPROFILE%\AppData\Local\Temp\OnboardLogs" /stypes="*4017*20160906*" /stext=" 21:.+((SYSTEM_STATE.+slice.+state.+changed )|(ment ac)|(system.+state.+changed )|(\|lc)|(penalty)|(\[timeout)|(PRM\|1\|D)|(kpr)|(kdp))" /e /r /s</v>
      </c>
      <c r="AG183" s="1" t="str">
        <f t="shared" si="57"/>
        <v>NW</v>
      </c>
      <c r="AH183" s="100" t="str">
        <f t="shared" si="43"/>
        <v>"%USERPROFILE%\Documents\GitHub\eaglep3\Utilities\RefineRTDCRunTimes.py" --tripid 826-06 --locoid 4017 --swversion DE.1.0.7.0 --startMP 300:58609 --initTime 2016-09-06T15:37:27 --startdatetime 2016-09-06T15:39:40 --delay 1 --endMP 204:715 --enddatetime 2016-09-06T15:55:54 --enforcementcount 0 &gt;&gt;C:\Users\stu\Documents\GitHub\eaglep3-reporting\EC\2016-09-06-refined-times.txt</v>
      </c>
      <c r="AI183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{"issue":{"subject":"","project_id":79,"tracker_id":40,"status_id":1,"priority_id":2,"assigned_to_id":23,"start_date":"2016-09-06","description":"","custom_fields":[{"id":1,"name":"Subdivision","value":"NW"},{"id":4,"name":"Milepost","value":"5.7894"},{"id":17,"name":"Train ID","value":"826-06"},{"id":16,"name":"Locomotive ID","value":"4017"},{"id":130,"name":"Impact","value":""},{"id":150,"name":"Time of Event (Mountain Time)","value":"15:55:54"},{"id":151,"name":"Denver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465</v>
      </c>
      <c r="B184" s="7">
        <v>4009</v>
      </c>
      <c r="C184" s="24" t="s">
        <v>112</v>
      </c>
      <c r="D184" s="24" t="s">
        <v>662</v>
      </c>
      <c r="E184" s="15">
        <v>42619.652812499997</v>
      </c>
      <c r="F184" s="15">
        <v>42619.660856481481</v>
      </c>
      <c r="G184" s="7">
        <v>1</v>
      </c>
      <c r="H184" s="15" t="s">
        <v>242</v>
      </c>
      <c r="I184" s="15">
        <v>42619.671064814815</v>
      </c>
      <c r="J184" s="7">
        <v>0</v>
      </c>
      <c r="K184" s="132" t="str">
        <f t="shared" si="45"/>
        <v>4009/4010</v>
      </c>
      <c r="L184" s="24" t="e">
        <f>VLOOKUP(A184,'Trips&amp;Operators'!$C$1:$E$10000,3,FALSE)</f>
        <v>#N/A</v>
      </c>
      <c r="M184" s="6">
        <f t="shared" si="46"/>
        <v>1.0208333333139308E-2</v>
      </c>
      <c r="N184" s="7">
        <f t="shared" si="61"/>
        <v>14.699999999720603</v>
      </c>
      <c r="O184" s="7"/>
      <c r="P184" s="7"/>
      <c r="Q184" s="25"/>
      <c r="R184" s="25"/>
      <c r="S184" s="37">
        <f t="shared" si="47"/>
        <v>1</v>
      </c>
      <c r="T184" s="52" t="str">
        <f t="shared" si="48"/>
        <v>NorthBound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14:40:03-0600',mode:absolute,to:'2016-09-06 17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4" s="54" t="str">
        <f t="shared" si="50"/>
        <v>N</v>
      </c>
      <c r="X184" s="120">
        <f t="shared" si="63"/>
        <v>1</v>
      </c>
      <c r="Y184" s="69">
        <f t="shared" si="51"/>
        <v>0.1013</v>
      </c>
      <c r="Z184" s="69">
        <f t="shared" si="52"/>
        <v>5.8929</v>
      </c>
      <c r="AA184" s="69">
        <f t="shared" si="53"/>
        <v>5.7915999999999999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54"/>
        <v>0827-06</v>
      </c>
      <c r="AE184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84" s="96" t="str">
        <f t="shared" si="56"/>
        <v>"C:\Program Files (x86)\AstroGrep\AstroGrep.exe" /spath="%USERPROFILE%\AppData\Local\Temp\OnboardLogs" /stypes="*4009*20160906*" /stext=" 22:.+((SYSTEM_STATE.+slice.+state.+changed )|(ment ac)|(system.+state.+changed )|(\|lc)|(penalty)|(\[timeout)|(PRM\|1\|D)|(kpr)|(kdp))" /e /r /s</v>
      </c>
      <c r="AG184" s="1" t="str">
        <f t="shared" si="57"/>
        <v>NW</v>
      </c>
      <c r="AH184" s="100" t="str">
        <f t="shared" si="43"/>
        <v>"%USERPROFILE%\Documents\GitHub\eaglep3\Utilities\RefineRTDCRunTimes.py" --tripid 827-06 --locoid 4009 --swversion DE.1.0.7.0 --startMP 204:1013 --initTime 2016-09-06T15:40:03 --startdatetime 2016-09-06T15:51:38 --delay 1 --endMP 300:58929 --enddatetime 2016-09-06T16:06:20 --enforcementcount 0 &gt;&gt;C:\Users\stu\Documents\GitHub\eaglep3-reporting\EC\2016-09-06-refined-times.txt</v>
      </c>
      <c r="AI184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{"issue":{"subject":"","project_id":79,"tracker_id":40,"status_id":1,"priority_id":2,"assigned_to_id":23,"start_date":"2016-09-06","description":"","custom_fields":[{"id":1,"name":"Subdivision","value":"NW"},{"id":4,"name":"Milepost","value":"5.7916"},{"id":17,"name":"Train ID","value":"827-06"},{"id":16,"name":"Locomotive ID","value":"4009"},{"id":130,"name":"Impact","value":""},{"id":150,"name":"Time of Event (Mountain Time)","value":"16:06:20"},{"id":151,"name":"Denver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472</v>
      </c>
      <c r="B185" s="7">
        <v>4010</v>
      </c>
      <c r="C185" s="24" t="s">
        <v>112</v>
      </c>
      <c r="D185" s="24" t="s">
        <v>270</v>
      </c>
      <c r="E185" s="15">
        <v>42619.672534722224</v>
      </c>
      <c r="F185" s="15">
        <v>42619.674513888887</v>
      </c>
      <c r="G185" s="7">
        <v>1</v>
      </c>
      <c r="H185" s="15" t="s">
        <v>681</v>
      </c>
      <c r="I185" s="15">
        <v>42619.684537037036</v>
      </c>
      <c r="J185" s="7">
        <v>0</v>
      </c>
      <c r="K185" s="132" t="str">
        <f t="shared" si="45"/>
        <v>4009/4010</v>
      </c>
      <c r="L185" s="24" t="e">
        <f>VLOOKUP(A185,'Trips&amp;Operators'!$C$1:$E$10000,3,FALSE)</f>
        <v>#N/A</v>
      </c>
      <c r="M185" s="6">
        <f t="shared" si="46"/>
        <v>1.0023148148320615E-2</v>
      </c>
      <c r="N185" s="7">
        <f t="shared" si="61"/>
        <v>14.433333333581686</v>
      </c>
      <c r="O185" s="7"/>
      <c r="P185" s="7"/>
      <c r="Q185" s="25"/>
      <c r="R185" s="25"/>
      <c r="S185" s="37">
        <f t="shared" si="47"/>
        <v>1</v>
      </c>
      <c r="T185" s="52" t="str">
        <f t="shared" si="48"/>
        <v>Southbound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15:08:27-0600',mode:absolute,to:'2016-09-06 17:25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5" s="54" t="str">
        <f t="shared" si="50"/>
        <v>N</v>
      </c>
      <c r="X185" s="120">
        <f t="shared" si="63"/>
        <v>1</v>
      </c>
      <c r="Y185" s="69">
        <f t="shared" si="51"/>
        <v>5.8613</v>
      </c>
      <c r="Z185" s="69">
        <f t="shared" si="52"/>
        <v>8.3099999999999993E-2</v>
      </c>
      <c r="AA185" s="69">
        <f t="shared" si="53"/>
        <v>5.7782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54"/>
        <v>0828-06</v>
      </c>
      <c r="AE185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85" s="96" t="str">
        <f t="shared" si="56"/>
        <v>"C:\Program Files (x86)\AstroGrep\AstroGrep.exe" /spath="%USERPROFILE%\AppData\Local\Temp\OnboardLogs" /stypes="*4010*20160906*" /stext=" 22:.+((SYSTEM_STATE.+slice.+state.+changed )|(ment ac)|(system.+state.+changed )|(\|lc)|(penalty)|(\[timeout)|(PRM\|1\|D)|(kpr)|(kdp))" /e /r /s</v>
      </c>
      <c r="AG185" s="1" t="str">
        <f t="shared" si="57"/>
        <v>NW</v>
      </c>
      <c r="AH185" s="100" t="str">
        <f t="shared" si="43"/>
        <v>"%USERPROFILE%\Documents\GitHub\eaglep3\Utilities\RefineRTDCRunTimes.py" --tripid 828-06 --locoid 4010 --swversion DE.1.0.7.0 --startMP 300:58613 --initTime 2016-09-06T16:08:27 --startdatetime 2016-09-06T16:11:18 --delay 1 --endMP 204:831 --enddatetime 2016-09-06T16:25:44 --enforcementcount 0 &gt;&gt;C:\Users\stu\Documents\GitHub\eaglep3-reporting\EC\2016-09-06-refined-times.txt</v>
      </c>
      <c r="AI185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{"issue":{"subject":"","project_id":79,"tracker_id":40,"status_id":1,"priority_id":2,"assigned_to_id":23,"start_date":"2016-09-06","description":"","custom_fields":[{"id":1,"name":"Subdivision","value":"NW"},{"id":4,"name":"Milepost","value":"5.7782"},{"id":17,"name":"Train ID","value":"828-06"},{"id":16,"name":"Locomotive ID","value":"4010"},{"id":130,"name":"Impact","value":""},{"id":150,"name":"Time of Event (Mountain Time)","value":"16:25:44"},{"id":151,"name":"Denver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473</v>
      </c>
      <c r="B186" s="7">
        <v>4018</v>
      </c>
      <c r="C186" s="24" t="s">
        <v>112</v>
      </c>
      <c r="D186" s="24" t="s">
        <v>678</v>
      </c>
      <c r="E186" s="15">
        <v>42619.677395833336</v>
      </c>
      <c r="F186" s="15">
        <v>42619.681585648148</v>
      </c>
      <c r="G186" s="7">
        <v>1</v>
      </c>
      <c r="H186" s="15" t="s">
        <v>315</v>
      </c>
      <c r="I186" s="15">
        <v>42619.690659722219</v>
      </c>
      <c r="J186" s="7">
        <v>0</v>
      </c>
      <c r="K186" s="132" t="str">
        <f t="shared" si="45"/>
        <v>4017/4018</v>
      </c>
      <c r="L186" s="24" t="e">
        <f>VLOOKUP(A186,'Trips&amp;Operators'!$C$1:$E$10000,3,FALSE)</f>
        <v>#N/A</v>
      </c>
      <c r="M186" s="6">
        <f t="shared" si="46"/>
        <v>9.074074070667848E-3</v>
      </c>
      <c r="N186" s="7">
        <f t="shared" si="61"/>
        <v>13.066666661761701</v>
      </c>
      <c r="O186" s="7"/>
      <c r="P186" s="7"/>
      <c r="Q186" s="25"/>
      <c r="R186" s="25"/>
      <c r="S186" s="37">
        <f t="shared" si="47"/>
        <v>1</v>
      </c>
      <c r="T186" s="52" t="str">
        <f t="shared" si="48"/>
        <v>NorthBound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15:15:27-0600',mode:absolute,to:'2016-09-06 17:34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86" s="54" t="str">
        <f t="shared" si="50"/>
        <v>N</v>
      </c>
      <c r="X186" s="120">
        <f t="shared" si="63"/>
        <v>1</v>
      </c>
      <c r="Y186" s="69">
        <f t="shared" si="51"/>
        <v>9.7600000000000006E-2</v>
      </c>
      <c r="Z186" s="69">
        <f t="shared" si="52"/>
        <v>5.8930999999999996</v>
      </c>
      <c r="AA186" s="69">
        <f t="shared" si="53"/>
        <v>5.7954999999999997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54"/>
        <v>0829-06</v>
      </c>
      <c r="AE186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86" s="96" t="str">
        <f t="shared" si="56"/>
        <v>"C:\Program Files (x86)\AstroGrep\AstroGrep.exe" /spath="%USERPROFILE%\AppData\Local\Temp\OnboardLogs" /stypes="*4018*20160906*" /stext=" 22:.+((SYSTEM_STATE.+slice.+state.+changed )|(ment ac)|(system.+state.+changed )|(\|lc)|(penalty)|(\[timeout)|(PRM\|1\|D)|(kpr)|(kdp))" /e /r /s</v>
      </c>
      <c r="AG186" s="1" t="str">
        <f t="shared" si="57"/>
        <v>NW</v>
      </c>
      <c r="AH186" s="100" t="str">
        <f t="shared" si="43"/>
        <v>"%USERPROFILE%\Documents\GitHub\eaglep3\Utilities\RefineRTDCRunTimes.py" --tripid 829-06 --locoid 4018 --swversion DE.1.0.7.0 --startMP 204:976 --initTime 2016-09-06T16:15:27 --startdatetime 2016-09-06T16:21:29 --delay 1 --endMP 300:58931 --enddatetime 2016-09-06T16:34:33 --enforcementcount 0 &gt;&gt;C:\Users\stu\Documents\GitHub\eaglep3-reporting\EC\2016-09-06-refined-times.txt</v>
      </c>
      <c r="AI186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{"issue":{"subject":"","project_id":79,"tracker_id":40,"status_id":1,"priority_id":2,"assigned_to_id":23,"start_date":"2016-09-06","description":"","custom_fields":[{"id":1,"name":"Subdivision","value":"NW"},{"id":4,"name":"Milepost","value":"5.7955"},{"id":17,"name":"Train ID","value":"829-06"},{"id":16,"name":"Locomotive ID","value":"4018"},{"id":130,"name":"Impact","value":""},{"id":150,"name":"Time of Event (Mountain Time)","value":"16:34:33"},{"id":151,"name":"Denver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476</v>
      </c>
      <c r="B187" s="7">
        <v>4017</v>
      </c>
      <c r="C187" s="24" t="s">
        <v>112</v>
      </c>
      <c r="D187" s="24" t="s">
        <v>270</v>
      </c>
      <c r="E187" s="15">
        <v>42619.692407407405</v>
      </c>
      <c r="F187" s="15">
        <v>42619.693935185183</v>
      </c>
      <c r="G187" s="7">
        <v>1</v>
      </c>
      <c r="H187" s="15" t="s">
        <v>324</v>
      </c>
      <c r="I187" s="15">
        <v>42619.706701388888</v>
      </c>
      <c r="J187" s="7">
        <v>0</v>
      </c>
      <c r="K187" s="132" t="str">
        <f t="shared" si="45"/>
        <v>4017/4018</v>
      </c>
      <c r="L187" s="24" t="e">
        <f>VLOOKUP(A187,'Trips&amp;Operators'!$C$1:$E$10000,3,FALSE)</f>
        <v>#N/A</v>
      </c>
      <c r="M187" s="6">
        <f t="shared" si="46"/>
        <v>1.2766203704813961E-2</v>
      </c>
      <c r="N187" s="7">
        <f t="shared" si="61"/>
        <v>18.383333334932104</v>
      </c>
      <c r="O187" s="7"/>
      <c r="P187" s="7"/>
      <c r="Q187" s="25"/>
      <c r="R187" s="25"/>
      <c r="S187" s="37">
        <f t="shared" si="47"/>
        <v>1</v>
      </c>
      <c r="T187" s="52" t="str">
        <f t="shared" si="48"/>
        <v>Southbound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15:37:04-0600',mode:absolute,to:'2016-09-06 17:57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87" s="54" t="str">
        <f t="shared" si="50"/>
        <v>N</v>
      </c>
      <c r="X187" s="120">
        <f t="shared" si="63"/>
        <v>1</v>
      </c>
      <c r="Y187" s="69">
        <f t="shared" si="51"/>
        <v>5.8613</v>
      </c>
      <c r="Z187" s="69">
        <f t="shared" si="52"/>
        <v>6.8900000000000003E-2</v>
      </c>
      <c r="AA187" s="69">
        <f t="shared" si="53"/>
        <v>5.7923999999999998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54"/>
        <v>0830-06</v>
      </c>
      <c r="AE187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87" s="96" t="str">
        <f t="shared" si="56"/>
        <v>"C:\Program Files (x86)\AstroGrep\AstroGrep.exe" /spath="%USERPROFILE%\AppData\Local\Temp\OnboardLogs" /stypes="*4017*20160906*" /stext=" 22:.+((SYSTEM_STATE.+slice.+state.+changed )|(ment ac)|(system.+state.+changed )|(\|lc)|(penalty)|(\[timeout)|(PRM\|1\|D)|(kpr)|(kdp))" /e /r /s</v>
      </c>
      <c r="AG187" s="1" t="str">
        <f t="shared" si="57"/>
        <v>NW</v>
      </c>
      <c r="AH187" s="100" t="str">
        <f t="shared" si="43"/>
        <v>"%USERPROFILE%\Documents\GitHub\eaglep3\Utilities\RefineRTDCRunTimes.py" --tripid 830-06 --locoid 4017 --swversion DE.1.0.7.0 --startMP 300:58613 --initTime 2016-09-06T16:37:04 --startdatetime 2016-09-06T16:39:16 --delay 1 --endMP 204:689 --enddatetime 2016-09-06T16:57:39 --enforcementcount 0 &gt;&gt;C:\Users\stu\Documents\GitHub\eaglep3-reporting\EC\2016-09-06-refined-times.txt</v>
      </c>
      <c r="AI187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{"issue":{"subject":"","project_id":79,"tracker_id":40,"status_id":1,"priority_id":2,"assigned_to_id":23,"start_date":"2016-09-06","description":"","custom_fields":[{"id":1,"name":"Subdivision","value":"NW"},{"id":4,"name":"Milepost","value":"5.7924"},{"id":17,"name":"Train ID","value":"830-06"},{"id":16,"name":"Locomotive ID","value":"4017"},{"id":130,"name":"Impact","value":""},{"id":150,"name":"Time of Event (Mountain Time)","value":"16:57:39"},{"id":151,"name":"Denver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478</v>
      </c>
      <c r="B188" s="7">
        <v>4009</v>
      </c>
      <c r="C188" s="24" t="s">
        <v>112</v>
      </c>
      <c r="D188" s="24" t="s">
        <v>682</v>
      </c>
      <c r="E188" s="15">
        <v>42619.693229166667</v>
      </c>
      <c r="F188" s="15">
        <v>42619.702361111114</v>
      </c>
      <c r="G188" s="7">
        <v>1</v>
      </c>
      <c r="H188" s="15" t="s">
        <v>683</v>
      </c>
      <c r="I188" s="15">
        <v>42619.71199074074</v>
      </c>
      <c r="J188" s="7">
        <v>0</v>
      </c>
      <c r="K188" s="132" t="str">
        <f t="shared" si="45"/>
        <v>4009/4010</v>
      </c>
      <c r="L188" s="24" t="e">
        <f>VLOOKUP(A188,'Trips&amp;Operators'!$C$1:$E$10000,3,FALSE)</f>
        <v>#N/A</v>
      </c>
      <c r="M188" s="6">
        <f t="shared" si="46"/>
        <v>9.6296296251239255E-3</v>
      </c>
      <c r="N188" s="7">
        <f t="shared" si="61"/>
        <v>13.866666660178453</v>
      </c>
      <c r="O188" s="7"/>
      <c r="P188" s="7"/>
      <c r="Q188" s="25"/>
      <c r="R188" s="25"/>
      <c r="S188" s="37">
        <f t="shared" si="47"/>
        <v>1</v>
      </c>
      <c r="T188" s="52" t="str">
        <f t="shared" si="48"/>
        <v>NorthBound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15:38:15-0600',mode:absolute,to:'2016-09-06 18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88" s="54" t="str">
        <f t="shared" si="50"/>
        <v>N</v>
      </c>
      <c r="X188" s="120">
        <f t="shared" si="63"/>
        <v>1</v>
      </c>
      <c r="Y188" s="69">
        <f t="shared" si="51"/>
        <v>0.1142</v>
      </c>
      <c r="Z188" s="69">
        <f t="shared" si="52"/>
        <v>5.8954000000000004</v>
      </c>
      <c r="AA188" s="69">
        <f t="shared" si="53"/>
        <v>5.7812000000000001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54"/>
        <v>0831-06</v>
      </c>
      <c r="AE188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88" s="96" t="str">
        <f t="shared" si="56"/>
        <v>"C:\Program Files (x86)\AstroGrep\AstroGrep.exe" /spath="%USERPROFILE%\AppData\Local\Temp\OnboardLogs" /stypes="*4009*20160906*" /stext=" 23:.+((SYSTEM_STATE.+slice.+state.+changed )|(ment ac)|(system.+state.+changed )|(\|lc)|(penalty)|(\[timeout)|(PRM\|1\|D)|(kpr)|(kdp))" /e /r /s</v>
      </c>
      <c r="AG188" s="1" t="str">
        <f t="shared" si="57"/>
        <v>NW</v>
      </c>
      <c r="AH188" s="100" t="str">
        <f t="shared" si="43"/>
        <v>"%USERPROFILE%\Documents\GitHub\eaglep3\Utilities\RefineRTDCRunTimes.py" --tripid 831-06 --locoid 4009 --swversion DE.1.0.7.0 --startMP 204:1142 --initTime 2016-09-06T16:38:15 --startdatetime 2016-09-06T16:51:24 --delay 1 --endMP 300:58954 --enddatetime 2016-09-06T17:05:16 --enforcementcount 0 &gt;&gt;C:\Users\stu\Documents\GitHub\eaglep3-reporting\EC\2016-09-06-refined-times.txt</v>
      </c>
      <c r="AI188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{"issue":{"subject":"","project_id":79,"tracker_id":40,"status_id":1,"priority_id":2,"assigned_to_id":23,"start_date":"2016-09-06","description":"","custom_fields":[{"id":1,"name":"Subdivision","value":"NW"},{"id":4,"name":"Milepost","value":"5.7812"},{"id":17,"name":"Train ID","value":"831-06"},{"id":16,"name":"Locomotive ID","value":"4009"},{"id":130,"name":"Impact","value":""},{"id":150,"name":"Time of Event (Mountain Time)","value":"17:05:16"},{"id":151,"name":"Denver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483</v>
      </c>
      <c r="B189" s="7">
        <v>4010</v>
      </c>
      <c r="C189" s="24" t="s">
        <v>112</v>
      </c>
      <c r="D189" s="24" t="s">
        <v>321</v>
      </c>
      <c r="E189" s="15">
        <v>42619.714375000003</v>
      </c>
      <c r="F189" s="15">
        <v>42619.716423611113</v>
      </c>
      <c r="G189" s="7">
        <v>1</v>
      </c>
      <c r="H189" s="15" t="s">
        <v>684</v>
      </c>
      <c r="I189" s="15">
        <v>42619.729016203702</v>
      </c>
      <c r="J189" s="7">
        <v>0</v>
      </c>
      <c r="K189" s="132" t="str">
        <f t="shared" si="45"/>
        <v>4009/4010</v>
      </c>
      <c r="L189" s="24" t="e">
        <f>VLOOKUP(A189,'Trips&amp;Operators'!$C$1:$E$10000,3,FALSE)</f>
        <v>#N/A</v>
      </c>
      <c r="M189" s="6">
        <f t="shared" si="46"/>
        <v>1.2592592589498963E-2</v>
      </c>
      <c r="N189" s="7">
        <f t="shared" si="61"/>
        <v>18.133333328878507</v>
      </c>
      <c r="O189" s="7"/>
      <c r="P189" s="7"/>
      <c r="Q189" s="25"/>
      <c r="R189" s="25"/>
      <c r="S189" s="37">
        <f t="shared" si="47"/>
        <v>1</v>
      </c>
      <c r="T189" s="52" t="str">
        <f t="shared" si="48"/>
        <v>Southbound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16:08:42-0600',mode:absolute,to:'2016-09-06 18:29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89" s="54" t="str">
        <f t="shared" si="50"/>
        <v>N</v>
      </c>
      <c r="X189" s="120">
        <f t="shared" si="63"/>
        <v>1</v>
      </c>
      <c r="Y189" s="69">
        <f t="shared" si="51"/>
        <v>5.8647</v>
      </c>
      <c r="Z189" s="69">
        <f t="shared" si="52"/>
        <v>7.4800000000000005E-2</v>
      </c>
      <c r="AA189" s="69">
        <f t="shared" si="53"/>
        <v>5.7899000000000003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54"/>
        <v>0832-06</v>
      </c>
      <c r="AE189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89" s="96" t="str">
        <f t="shared" si="56"/>
        <v>"C:\Program Files (x86)\AstroGrep\AstroGrep.exe" /spath="%USERPROFILE%\AppData\Local\Temp\OnboardLogs" /stypes="*4010*20160906*" /stext=" 23:.+((SYSTEM_STATE.+slice.+state.+changed )|(ment ac)|(system.+state.+changed )|(\|lc)|(penalty)|(\[timeout)|(PRM\|1\|D)|(kpr)|(kdp))" /e /r /s</v>
      </c>
      <c r="AG189" s="1" t="str">
        <f t="shared" si="57"/>
        <v>NW</v>
      </c>
      <c r="AH189" s="100" t="str">
        <f t="shared" si="43"/>
        <v>"%USERPROFILE%\Documents\GitHub\eaglep3\Utilities\RefineRTDCRunTimes.py" --tripid 832-06 --locoid 4010 --swversion DE.1.0.7.0 --startMP 300:58647 --initTime 2016-09-06T17:08:42 --startdatetime 2016-09-06T17:11:39 --delay 1 --endMP 204:748 --enddatetime 2016-09-06T17:29:47 --enforcementcount 0 &gt;&gt;C:\Users\stu\Documents\GitHub\eaglep3-reporting\EC\2016-09-06-refined-times.txt</v>
      </c>
      <c r="AI189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{"issue":{"subject":"","project_id":79,"tracker_id":40,"status_id":1,"priority_id":2,"assigned_to_id":23,"start_date":"2016-09-06","description":"","custom_fields":[{"id":1,"name":"Subdivision","value":"NW"},{"id":4,"name":"Milepost","value":"5.7899"},{"id":17,"name":"Train ID","value":"832-06"},{"id":16,"name":"Locomotive ID","value":"4010"},{"id":130,"name":"Impact","value":""},{"id":150,"name":"Time of Event (Mountain Time)","value":"17:29:47"},{"id":151,"name":"Denver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485</v>
      </c>
      <c r="B190" s="7">
        <v>4018</v>
      </c>
      <c r="C190" s="24" t="s">
        <v>112</v>
      </c>
      <c r="D190" s="24" t="s">
        <v>271</v>
      </c>
      <c r="E190" s="15">
        <v>42619.718252314815</v>
      </c>
      <c r="F190" s="15">
        <v>42619.723113425927</v>
      </c>
      <c r="G190" s="7">
        <v>1</v>
      </c>
      <c r="H190" s="15" t="s">
        <v>317</v>
      </c>
      <c r="I190" s="15">
        <v>42619.732256944444</v>
      </c>
      <c r="J190" s="7">
        <v>0</v>
      </c>
      <c r="K190" s="132" t="str">
        <f t="shared" si="45"/>
        <v>4017/4018</v>
      </c>
      <c r="L190" s="24" t="e">
        <f>VLOOKUP(A190,'Trips&amp;Operators'!$C$1:$E$10000,3,FALSE)</f>
        <v>#N/A</v>
      </c>
      <c r="M190" s="6">
        <f t="shared" si="46"/>
        <v>9.1435185167938471E-3</v>
      </c>
      <c r="N190" s="7">
        <f t="shared" si="61"/>
        <v>13.16666666418314</v>
      </c>
      <c r="O190" s="7"/>
      <c r="P190" s="7"/>
      <c r="Q190" s="25"/>
      <c r="R190" s="25"/>
      <c r="S190" s="37">
        <f t="shared" si="47"/>
        <v>1</v>
      </c>
      <c r="T190" s="52" t="str">
        <f t="shared" si="48"/>
        <v>NorthBound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16:14:17-0600',mode:absolute,to:'2016-09-06 18:34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0" s="54" t="str">
        <f t="shared" si="50"/>
        <v>N</v>
      </c>
      <c r="X190" s="120">
        <f t="shared" si="63"/>
        <v>1</v>
      </c>
      <c r="Y190" s="69">
        <f t="shared" si="51"/>
        <v>9.7100000000000006E-2</v>
      </c>
      <c r="Z190" s="69">
        <f t="shared" si="52"/>
        <v>5.8925999999999998</v>
      </c>
      <c r="AA190" s="69">
        <f t="shared" si="53"/>
        <v>5.7954999999999997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54"/>
        <v>0833-06</v>
      </c>
      <c r="AE19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90" s="96" t="str">
        <f t="shared" si="56"/>
        <v>"C:\Program Files (x86)\AstroGrep\AstroGrep.exe" /spath="%USERPROFILE%\AppData\Local\Temp\OnboardLogs" /stypes="*4018*20160906*" /stext=" 23:.+((SYSTEM_STATE.+slice.+state.+changed )|(ment ac)|(system.+state.+changed )|(\|lc)|(penalty)|(\[timeout)|(PRM\|1\|D)|(kpr)|(kdp))" /e /r /s</v>
      </c>
      <c r="AG190" s="1" t="str">
        <f t="shared" si="57"/>
        <v>NW</v>
      </c>
      <c r="AH190" s="100" t="str">
        <f t="shared" si="43"/>
        <v>"%USERPROFILE%\Documents\GitHub\eaglep3\Utilities\RefineRTDCRunTimes.py" --tripid 833-06 --locoid 4018 --swversion DE.1.0.7.0 --startMP 204:971 --initTime 2016-09-06T17:14:17 --startdatetime 2016-09-06T17:21:17 --delay 1 --endMP 300:58926 --enddatetime 2016-09-06T17:34:27 --enforcementcount 0 &gt;&gt;C:\Users\stu\Documents\GitHub\eaglep3-reporting\EC\2016-09-06-refined-times.txt</v>
      </c>
      <c r="AI190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{"issue":{"subject":"","project_id":79,"tracker_id":40,"status_id":1,"priority_id":2,"assigned_to_id":23,"start_date":"2016-09-06","description":"","custom_fields":[{"id":1,"name":"Subdivision","value":"NW"},{"id":4,"name":"Milepost","value":"5.7955"},{"id":17,"name":"Train ID","value":"833-06"},{"id":16,"name":"Locomotive ID","value":"4018"},{"id":130,"name":"Impact","value":""},{"id":150,"name":"Time of Event (Mountain Time)","value":"17:34:27"},{"id":151,"name":"Denver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490</v>
      </c>
      <c r="B191" s="7">
        <v>4017</v>
      </c>
      <c r="C191" s="24" t="s">
        <v>112</v>
      </c>
      <c r="D191" s="24" t="s">
        <v>685</v>
      </c>
      <c r="E191" s="15">
        <v>42619.734768518516</v>
      </c>
      <c r="F191" s="15">
        <v>42619.736261574071</v>
      </c>
      <c r="G191" s="7">
        <v>1</v>
      </c>
      <c r="H191" s="15" t="s">
        <v>686</v>
      </c>
      <c r="I191" s="15">
        <v>42619.746793981481</v>
      </c>
      <c r="J191" s="7">
        <v>0</v>
      </c>
      <c r="K191" s="132" t="str">
        <f t="shared" si="45"/>
        <v>4017/4018</v>
      </c>
      <c r="L191" s="24" t="e">
        <f>VLOOKUP(A191,'Trips&amp;Operators'!$C$1:$E$10000,3,FALSE)</f>
        <v>#N/A</v>
      </c>
      <c r="M191" s="6">
        <f t="shared" si="46"/>
        <v>1.0532407410209998E-2</v>
      </c>
      <c r="N191" s="7">
        <f t="shared" si="61"/>
        <v>15.166666670702398</v>
      </c>
      <c r="O191" s="7"/>
      <c r="P191" s="7"/>
      <c r="Q191" s="25"/>
      <c r="R191" s="25"/>
      <c r="S191" s="37">
        <f t="shared" si="47"/>
        <v>1</v>
      </c>
      <c r="T191" s="52" t="str">
        <f t="shared" si="48"/>
        <v>Southbound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16:38:04-0600',mode:absolute,to:'2016-09-06 18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1" s="54" t="str">
        <f t="shared" si="50"/>
        <v>N</v>
      </c>
      <c r="X191" s="120">
        <f t="shared" si="63"/>
        <v>1</v>
      </c>
      <c r="Y191" s="69">
        <f t="shared" si="51"/>
        <v>5.8608000000000002</v>
      </c>
      <c r="Z191" s="69">
        <f t="shared" si="52"/>
        <v>6.8699999999999997E-2</v>
      </c>
      <c r="AA191" s="69">
        <f t="shared" si="53"/>
        <v>5.7921000000000005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54"/>
        <v>0834-06</v>
      </c>
      <c r="AE19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91" s="96" t="str">
        <f t="shared" si="56"/>
        <v>"C:\Program Files (x86)\AstroGrep\AstroGrep.exe" /spath="%USERPROFILE%\AppData\Local\Temp\OnboardLogs" /stypes="*4017*20160906*" /stext=" 23:.+((SYSTEM_STATE.+slice.+state.+changed )|(ment ac)|(system.+state.+changed )|(\|lc)|(penalty)|(\[timeout)|(PRM\|1\|D)|(kpr)|(kdp))" /e /r /s</v>
      </c>
      <c r="AG191" s="1" t="str">
        <f t="shared" si="57"/>
        <v>NW</v>
      </c>
      <c r="AH191" s="100" t="str">
        <f t="shared" si="43"/>
        <v>"%USERPROFILE%\Documents\GitHub\eaglep3\Utilities\RefineRTDCRunTimes.py" --tripid 834-06 --locoid 4017 --swversion DE.1.0.7.0 --startMP 300:58608 --initTime 2016-09-06T17:38:04 --startdatetime 2016-09-06T17:40:13 --delay 1 --endMP 204:687 --enddatetime 2016-09-06T17:55:23 --enforcementcount 0 &gt;&gt;C:\Users\stu\Documents\GitHub\eaglep3-reporting\EC\2016-09-06-refined-times.txt</v>
      </c>
      <c r="AI191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{"issue":{"subject":"","project_id":79,"tracker_id":40,"status_id":1,"priority_id":2,"assigned_to_id":23,"start_date":"2016-09-06","description":"","custom_fields":[{"id":1,"name":"Subdivision","value":"NW"},{"id":4,"name":"Milepost","value":"5.7921"},{"id":17,"name":"Train ID","value":"834-06"},{"id":16,"name":"Locomotive ID","value":"4017"},{"id":130,"name":"Impact","value":""},{"id":150,"name":"Time of Event (Mountain Time)","value":"17:55:23"},{"id":151,"name":"Denver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494</v>
      </c>
      <c r="B192" s="7">
        <v>4009</v>
      </c>
      <c r="C192" s="24" t="s">
        <v>112</v>
      </c>
      <c r="D192" s="24" t="s">
        <v>652</v>
      </c>
      <c r="E192" s="15">
        <v>42619.740810185183</v>
      </c>
      <c r="F192" s="15">
        <v>42619.743946759256</v>
      </c>
      <c r="G192" s="7">
        <v>1</v>
      </c>
      <c r="H192" s="15" t="s">
        <v>320</v>
      </c>
      <c r="I192" s="15">
        <v>42619.753553240742</v>
      </c>
      <c r="J192" s="7">
        <v>0</v>
      </c>
      <c r="K192" s="132" t="str">
        <f t="shared" si="45"/>
        <v>4009/4010</v>
      </c>
      <c r="L192" s="24" t="e">
        <f>VLOOKUP(A192,'Trips&amp;Operators'!$C$1:$E$10000,3,FALSE)</f>
        <v>#N/A</v>
      </c>
      <c r="M192" s="6">
        <f t="shared" si="46"/>
        <v>9.606481486116536E-3</v>
      </c>
      <c r="N192" s="7">
        <f t="shared" si="61"/>
        <v>13.833333340007812</v>
      </c>
      <c r="O192" s="7"/>
      <c r="P192" s="7"/>
      <c r="Q192" s="25"/>
      <c r="R192" s="25"/>
      <c r="S192" s="37">
        <f t="shared" si="47"/>
        <v>1</v>
      </c>
      <c r="T192" s="52" t="str">
        <f t="shared" si="48"/>
        <v>NorthBound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16:46:46-0600',mode:absolute,to:'2016-09-06 19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92" s="54" t="str">
        <f t="shared" si="50"/>
        <v>N</v>
      </c>
      <c r="X192" s="120">
        <f t="shared" si="63"/>
        <v>1</v>
      </c>
      <c r="Y192" s="69">
        <f t="shared" si="51"/>
        <v>0.10340000000000001</v>
      </c>
      <c r="Z192" s="69">
        <f t="shared" si="52"/>
        <v>5.8935000000000004</v>
      </c>
      <c r="AA192" s="69">
        <f t="shared" si="53"/>
        <v>5.7901000000000007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54"/>
        <v>0835-06</v>
      </c>
      <c r="AE192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92" s="96" t="str">
        <f t="shared" si="56"/>
        <v>"C:\Program Files (x86)\AstroGrep\AstroGrep.exe" /spath="%USERPROFILE%\AppData\Local\Temp\OnboardLogs" /stypes="*4009*20160907*" /stext=" 00:.+((SYSTEM_STATE.+slice.+state.+changed )|(ment ac)|(system.+state.+changed )|(\|lc)|(penalty)|(\[timeout)|(PRM\|1\|D)|(kpr)|(kdp))" /e /r /s</v>
      </c>
      <c r="AG192" s="1" t="str">
        <f t="shared" si="57"/>
        <v>NW</v>
      </c>
      <c r="AH192" s="100" t="str">
        <f t="shared" si="43"/>
        <v>"%USERPROFILE%\Documents\GitHub\eaglep3\Utilities\RefineRTDCRunTimes.py" --tripid 835-06 --locoid 4009 --swversion DE.1.0.7.0 --startMP 204:1034 --initTime 2016-09-06T17:46:46 --startdatetime 2016-09-06T17:51:17 --delay 1 --endMP 300:58935 --enddatetime 2016-09-06T18:05:07 --enforcementcount 0 &gt;&gt;C:\Users\stu\Documents\GitHub\eaglep3-reporting\EC\2016-09-06-refined-times.txt</v>
      </c>
      <c r="AI192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{"issue":{"subject":"","project_id":79,"tracker_id":40,"status_id":1,"priority_id":2,"assigned_to_id":23,"start_date":"2016-09-06","description":"","custom_fields":[{"id":1,"name":"Subdivision","value":"NW"},{"id":4,"name":"Milepost","value":"5.7901"},{"id":17,"name":"Train ID","value":"835-06"},{"id":16,"name":"Locomotive ID","value":"4009"},{"id":130,"name":"Impact","value":""},{"id":150,"name":"Time of Event (Mountain Time)","value":"18:05:07"},{"id":151,"name":"Denver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501</v>
      </c>
      <c r="B193" s="7">
        <v>4010</v>
      </c>
      <c r="C193" s="24" t="s">
        <v>112</v>
      </c>
      <c r="D193" s="24" t="s">
        <v>643</v>
      </c>
      <c r="E193" s="15">
        <v>42619.755520833336</v>
      </c>
      <c r="F193" s="15">
        <v>42619.757592592592</v>
      </c>
      <c r="G193" s="7">
        <v>1</v>
      </c>
      <c r="H193" s="15" t="s">
        <v>687</v>
      </c>
      <c r="I193" s="15">
        <v>42619.768194444441</v>
      </c>
      <c r="J193" s="7">
        <v>0</v>
      </c>
      <c r="K193" s="132" t="str">
        <f t="shared" si="45"/>
        <v>4009/4010</v>
      </c>
      <c r="L193" s="24" t="e">
        <f>VLOOKUP(A193,'Trips&amp;Operators'!$C$1:$E$10000,3,FALSE)</f>
        <v>#N/A</v>
      </c>
      <c r="M193" s="6">
        <f t="shared" si="46"/>
        <v>1.060185184906004E-2</v>
      </c>
      <c r="N193" s="7">
        <f t="shared" si="61"/>
        <v>15.266666662646458</v>
      </c>
      <c r="O193" s="7"/>
      <c r="P193" s="7"/>
      <c r="Q193" s="25"/>
      <c r="R193" s="25"/>
      <c r="S193" s="37">
        <f t="shared" si="47"/>
        <v>1</v>
      </c>
      <c r="T193" s="52" t="str">
        <f t="shared" si="48"/>
        <v>Southbound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17:07:57-0600',mode:absolute,to:'2016-09-06 19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93" s="54" t="str">
        <f t="shared" si="50"/>
        <v>N</v>
      </c>
      <c r="X193" s="120">
        <f t="shared" si="63"/>
        <v>1</v>
      </c>
      <c r="Y193" s="69">
        <f t="shared" si="51"/>
        <v>5.8616999999999999</v>
      </c>
      <c r="Z193" s="69">
        <f t="shared" si="52"/>
        <v>7.4300000000000005E-2</v>
      </c>
      <c r="AA193" s="69">
        <f t="shared" si="53"/>
        <v>5.7873999999999999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54"/>
        <v>0836-06</v>
      </c>
      <c r="AE193" s="99" t="str">
        <f t="shared" si="55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193" s="96" t="str">
        <f t="shared" si="56"/>
        <v>"C:\Program Files (x86)\AstroGrep\AstroGrep.exe" /spath="%USERPROFILE%\AppData\Local\Temp\OnboardLogs" /stypes="*4010*20160907*" /stext=" 00:.+((SYSTEM_STATE.+slice.+state.+changed )|(ment ac)|(system.+state.+changed )|(\|lc)|(penalty)|(\[timeout)|(PRM\|1\|D)|(kpr)|(kdp))" /e /r /s</v>
      </c>
      <c r="AG193" s="1" t="str">
        <f t="shared" si="57"/>
        <v>NW</v>
      </c>
      <c r="AH193" s="100" t="str">
        <f t="shared" si="43"/>
        <v>"%USERPROFILE%\Documents\GitHub\eaglep3\Utilities\RefineRTDCRunTimes.py" --tripid 836-06 --locoid 4010 --swversion DE.1.0.7.0 --startMP 300:58617 --initTime 2016-09-06T18:07:57 --startdatetime 2016-09-06T18:10:56 --delay 1 --endMP 204:743 --enddatetime 2016-09-06T18:26:12 --enforcementcount 0 &gt;&gt;C:\Users\stu\Documents\GitHub\eaglep3-reporting\EC\2016-09-06-refined-times.txt</v>
      </c>
      <c r="AI193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{"issue":{"subject":"","project_id":79,"tracker_id":40,"status_id":1,"priority_id":2,"assigned_to_id":23,"start_date":"2016-09-06","description":"","custom_fields":[{"id":1,"name":"Subdivision","value":"NW"},{"id":4,"name":"Milepost","value":"5.7874"},{"id":17,"name":"Train ID","value":"836-06"},{"id":16,"name":"Locomotive ID","value":"4010"},{"id":130,"name":"Impact","value":""},{"id":150,"name":"Time of Event (Mountain Time)","value":"18:26:12"},{"id":151,"name":"Denver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504</v>
      </c>
      <c r="B194" s="7">
        <v>4018</v>
      </c>
      <c r="C194" s="24" t="s">
        <v>112</v>
      </c>
      <c r="D194" s="24" t="s">
        <v>688</v>
      </c>
      <c r="E194" s="15">
        <v>42619.759525462963</v>
      </c>
      <c r="F194" s="15">
        <v>42619.764791666668</v>
      </c>
      <c r="G194" s="7">
        <v>1</v>
      </c>
      <c r="H194" s="15" t="s">
        <v>242</v>
      </c>
      <c r="I194" s="15">
        <v>42619.774525462963</v>
      </c>
      <c r="J194" s="7">
        <v>0</v>
      </c>
      <c r="K194" s="132" t="str">
        <f t="shared" si="45"/>
        <v>4017/4018</v>
      </c>
      <c r="L194" s="24" t="e">
        <f>VLOOKUP(A194,'Trips&amp;Operators'!$C$1:$E$10000,3,FALSE)</f>
        <v>#N/A</v>
      </c>
      <c r="M194" s="6">
        <f t="shared" si="46"/>
        <v>9.7337962943129241E-3</v>
      </c>
      <c r="N194" s="7">
        <f t="shared" ref="N194:N222" si="64">24*60*SUM($M194:$M194)</f>
        <v>14.016666663810611</v>
      </c>
      <c r="O194" s="7"/>
      <c r="P194" s="7"/>
      <c r="Q194" s="25"/>
      <c r="R194" s="25"/>
      <c r="S194" s="37">
        <f t="shared" si="47"/>
        <v>1</v>
      </c>
      <c r="T194" s="52" t="str">
        <f t="shared" si="48"/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17:13:43-0600',mode:absolute,to:'2016-09-06 19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4" s="54" t="str">
        <f t="shared" si="50"/>
        <v>N</v>
      </c>
      <c r="X194" s="120">
        <f t="shared" si="63"/>
        <v>1</v>
      </c>
      <c r="Y194" s="69">
        <f t="shared" si="51"/>
        <v>9.64E-2</v>
      </c>
      <c r="Z194" s="69">
        <f t="shared" si="52"/>
        <v>5.8929</v>
      </c>
      <c r="AA194" s="69">
        <f t="shared" si="53"/>
        <v>5.7965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54"/>
        <v>0837-06</v>
      </c>
      <c r="AE194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94" s="96" t="str">
        <f t="shared" si="56"/>
        <v>"C:\Program Files (x86)\AstroGrep\AstroGrep.exe" /spath="%USERPROFILE%\AppData\Local\Temp\OnboardLogs" /stypes="*4018*20160907*" /stext=" 00:.+((SYSTEM_STATE.+slice.+state.+changed )|(ment ac)|(system.+state.+changed )|(\|lc)|(penalty)|(\[timeout)|(PRM\|1\|D)|(kpr)|(kdp))" /e /r /s</v>
      </c>
      <c r="AG194" s="1" t="str">
        <f t="shared" si="57"/>
        <v>NW</v>
      </c>
      <c r="AH194" s="100" t="str">
        <f t="shared" si="43"/>
        <v>"%USERPROFILE%\Documents\GitHub\eaglep3\Utilities\RefineRTDCRunTimes.py" --tripid 837-06 --locoid 4018 --swversion DE.1.0.7.0 --startMP 204:964 --initTime 2016-09-06T18:13:43 --startdatetime 2016-09-06T18:21:18 --delay 1 --endMP 300:58929 --enddatetime 2016-09-06T18:35:19 --enforcementcount 0 &gt;&gt;C:\Users\stu\Documents\GitHub\eaglep3-reporting\EC\2016-09-06-refined-times.txt</v>
      </c>
      <c r="AI194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{"issue":{"subject":"","project_id":79,"tracker_id":40,"status_id":1,"priority_id":2,"assigned_to_id":23,"start_date":"2016-09-06","description":"","custom_fields":[{"id":1,"name":"Subdivision","value":"NW"},{"id":4,"name":"Milepost","value":"5.7965"},{"id":17,"name":"Train ID","value":"837-06"},{"id":16,"name":"Locomotive ID","value":"4018"},{"id":130,"name":"Impact","value":""},{"id":150,"name":"Time of Event (Mountain Time)","value":"18:35:19"},{"id":151,"name":"Denver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508</v>
      </c>
      <c r="B195" s="7">
        <v>4017</v>
      </c>
      <c r="C195" s="24" t="s">
        <v>112</v>
      </c>
      <c r="D195" s="24" t="s">
        <v>664</v>
      </c>
      <c r="E195" s="15">
        <v>42619.776064814818</v>
      </c>
      <c r="F195" s="15">
        <v>42619.777581018519</v>
      </c>
      <c r="G195" s="7">
        <v>1</v>
      </c>
      <c r="H195" s="15" t="s">
        <v>323</v>
      </c>
      <c r="I195" s="15">
        <v>42619.789351851854</v>
      </c>
      <c r="J195" s="7">
        <v>0</v>
      </c>
      <c r="K195" s="132" t="str">
        <f t="shared" si="45"/>
        <v>4017/4018</v>
      </c>
      <c r="L195" s="24" t="e">
        <f>VLOOKUP(A195,'Trips&amp;Operators'!$C$1:$E$10000,3,FALSE)</f>
        <v>#N/A</v>
      </c>
      <c r="M195" s="6">
        <f t="shared" si="46"/>
        <v>1.1770833334594499E-2</v>
      </c>
      <c r="N195" s="7">
        <f t="shared" si="64"/>
        <v>16.950000001816079</v>
      </c>
      <c r="O195" s="7"/>
      <c r="P195" s="7"/>
      <c r="Q195" s="25"/>
      <c r="R195" s="25"/>
      <c r="S195" s="37">
        <f t="shared" si="47"/>
        <v>1</v>
      </c>
      <c r="T195" s="52" t="str">
        <f t="shared" si="48"/>
        <v>Southbound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17:37:32-0600',mode:absolute,to:'2016-09-06 19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5" s="54" t="str">
        <f t="shared" si="50"/>
        <v>N</v>
      </c>
      <c r="X195" s="120">
        <f t="shared" si="63"/>
        <v>1</v>
      </c>
      <c r="Y195" s="69">
        <f t="shared" si="51"/>
        <v>5.8601999999999999</v>
      </c>
      <c r="Z195" s="69">
        <f t="shared" si="52"/>
        <v>6.7699999999999996E-2</v>
      </c>
      <c r="AA195" s="69">
        <f t="shared" si="53"/>
        <v>5.7924999999999995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54"/>
        <v>0838-06</v>
      </c>
      <c r="AE195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95" s="96" t="str">
        <f t="shared" si="56"/>
        <v>"C:\Program Files (x86)\AstroGrep\AstroGrep.exe" /spath="%USERPROFILE%\AppData\Local\Temp\OnboardLogs" /stypes="*4017*20160907*" /stext=" 00:.+((SYSTEM_STATE.+slice.+state.+changed )|(ment ac)|(system.+state.+changed )|(\|lc)|(penalty)|(\[timeout)|(PRM\|1\|D)|(kpr)|(kdp))" /e /r /s</v>
      </c>
      <c r="AG195" s="1" t="str">
        <f t="shared" si="57"/>
        <v>NW</v>
      </c>
      <c r="AH195" s="100" t="str">
        <f t="shared" si="43"/>
        <v>"%USERPROFILE%\Documents\GitHub\eaglep3\Utilities\RefineRTDCRunTimes.py" --tripid 838-06 --locoid 4017 --swversion DE.1.0.7.0 --startMP 300:58602 --initTime 2016-09-06T18:37:32 --startdatetime 2016-09-06T18:39:43 --delay 1 --endMP 204:677 --enddatetime 2016-09-06T18:56:40 --enforcementcount 0 &gt;&gt;C:\Users\stu\Documents\GitHub\eaglep3-reporting\EC\2016-09-06-refined-times.txt</v>
      </c>
      <c r="AI195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{"issue":{"subject":"","project_id":79,"tracker_id":40,"status_id":1,"priority_id":2,"assigned_to_id":23,"start_date":"2016-09-06","description":"","custom_fields":[{"id":1,"name":"Subdivision","value":"NW"},{"id":4,"name":"Milepost","value":"5.7925"},{"id":17,"name":"Train ID","value":"838-06"},{"id":16,"name":"Locomotive ID","value":"4017"},{"id":130,"name":"Impact","value":""},{"id":150,"name":"Time of Event (Mountain Time)","value":"18:56:40"},{"id":151,"name":"Denver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509</v>
      </c>
      <c r="B196" s="7">
        <v>4009</v>
      </c>
      <c r="C196" s="24" t="s">
        <v>112</v>
      </c>
      <c r="D196" s="24" t="s">
        <v>689</v>
      </c>
      <c r="E196" s="15">
        <v>42619.776064814818</v>
      </c>
      <c r="F196" s="15">
        <v>42619.785729166666</v>
      </c>
      <c r="G196" s="7">
        <v>1</v>
      </c>
      <c r="H196" s="15" t="s">
        <v>683</v>
      </c>
      <c r="I196" s="15">
        <v>42619.795949074076</v>
      </c>
      <c r="J196" s="7">
        <v>0</v>
      </c>
      <c r="K196" s="132" t="str">
        <f t="shared" si="45"/>
        <v>4009/4010</v>
      </c>
      <c r="L196" s="24" t="e">
        <f>VLOOKUP(A196,'Trips&amp;Operators'!$C$1:$E$10000,3,FALSE)</f>
        <v>#N/A</v>
      </c>
      <c r="M196" s="6">
        <f t="shared" si="46"/>
        <v>1.021990740991896E-2</v>
      </c>
      <c r="N196" s="7">
        <f t="shared" si="64"/>
        <v>14.716666670283303</v>
      </c>
      <c r="O196" s="7"/>
      <c r="P196" s="7"/>
      <c r="Q196" s="25"/>
      <c r="R196" s="25"/>
      <c r="S196" s="37">
        <f t="shared" si="47"/>
        <v>1</v>
      </c>
      <c r="T196" s="52" t="str">
        <f t="shared" si="48"/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17:37:32-0600',mode:absolute,to:'2016-09-06 20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96" s="54" t="str">
        <f t="shared" si="50"/>
        <v>N</v>
      </c>
      <c r="X196" s="120">
        <f t="shared" si="63"/>
        <v>1</v>
      </c>
      <c r="Y196" s="69">
        <f t="shared" si="51"/>
        <v>0.1028</v>
      </c>
      <c r="Z196" s="69">
        <f t="shared" si="52"/>
        <v>5.8954000000000004</v>
      </c>
      <c r="AA196" s="69">
        <f t="shared" si="53"/>
        <v>5.7926000000000002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54"/>
        <v>0839-06</v>
      </c>
      <c r="AE196" s="99" t="str">
        <f t="shared" si="55"/>
        <v>aws s3 cp s3://rtdc.mdm.uploadarchive/RTDC4009/2016-09-06/ "%USERPROFILE%\AppData\Local\Temp\OnboardLogs"\RTDC4009\2016-09-06 --recursive &amp; "%USERPROFILE%\Documents\GitHub\mrs-test-scripts\Headless Mode &amp; Sideloading\WalkAndUnGZ.bat" "%USERPROFILE%\AppData\Local\Temp\OnboardLogs"\RTDC4009\2016-09-06 &amp; aws s3 cp s3://rtdc.mdm.uploadarchive/RTDC4009/2016-09-07/ "%USERPROFILE%\AppData\Local\Temp\OnboardLogs"\RTDC4009\2016-09-07 --recursive &amp; "%USERPROFILE%\Documents\GitHub\mrs-test-scripts\Headless Mode &amp; Sideloading\WalkAndUnGZ.bat" "%USERPROFILE%\AppData\Local\Temp\OnboardLogs"\RTDC4009\2016-09-07</v>
      </c>
      <c r="AF196" s="96" t="str">
        <f t="shared" si="56"/>
        <v>"C:\Program Files (x86)\AstroGrep\AstroGrep.exe" /spath="%USERPROFILE%\AppData\Local\Temp\OnboardLogs" /stypes="*4009*20160907*" /stext=" 01:.+((SYSTEM_STATE.+slice.+state.+changed )|(ment ac)|(system.+state.+changed )|(\|lc)|(penalty)|(\[timeout)|(PRM\|1\|D)|(kpr)|(kdp))" /e /r /s</v>
      </c>
      <c r="AG196" s="1" t="str">
        <f t="shared" si="57"/>
        <v>NW</v>
      </c>
      <c r="AH196" s="100" t="str">
        <f t="shared" si="43"/>
        <v>"%USERPROFILE%\Documents\GitHub\eaglep3\Utilities\RefineRTDCRunTimes.py" --tripid 839-06 --locoid 4009 --swversion DE.1.0.7.0 --startMP 204:1028 --initTime 2016-09-06T18:37:32 --startdatetime 2016-09-06T18:51:27 --delay 1 --endMP 300:58954 --enddatetime 2016-09-06T19:06:10 --enforcementcount 0 &gt;&gt;C:\Users\stu\Documents\GitHub\eaglep3-reporting\EC\2016-09-06-refined-times.txt</v>
      </c>
      <c r="AI196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{"issue":{"subject":"","project_id":79,"tracker_id":40,"status_id":1,"priority_id":2,"assigned_to_id":23,"start_date":"2016-09-06","description":"","custom_fields":[{"id":1,"name":"Subdivision","value":"NW"},{"id":4,"name":"Milepost","value":"5.7926"},{"id":17,"name":"Train ID","value":"839-06"},{"id":16,"name":"Locomotive ID","value":"4009"},{"id":130,"name":"Impact","value":""},{"id":150,"name":"Time of Event (Mountain Time)","value":"19:06:10"},{"id":151,"name":"Denver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517</v>
      </c>
      <c r="B197" s="7">
        <v>4017</v>
      </c>
      <c r="C197" s="24" t="s">
        <v>112</v>
      </c>
      <c r="D197" s="24" t="s">
        <v>690</v>
      </c>
      <c r="E197" s="15">
        <v>42619.816967592589</v>
      </c>
      <c r="F197" s="15">
        <v>42619.818599537037</v>
      </c>
      <c r="G197" s="7">
        <v>1</v>
      </c>
      <c r="H197" s="15" t="s">
        <v>665</v>
      </c>
      <c r="I197" s="15">
        <v>42619.83053240741</v>
      </c>
      <c r="J197" s="7">
        <v>0</v>
      </c>
      <c r="K197" s="132" t="str">
        <f t="shared" si="45"/>
        <v>4017/4018</v>
      </c>
      <c r="L197" s="24" t="e">
        <f>VLOOKUP(A197,'Trips&amp;Operators'!$C$1:$E$10000,3,FALSE)</f>
        <v>#N/A</v>
      </c>
      <c r="M197" s="6">
        <f t="shared" si="46"/>
        <v>1.1932870373129845E-2</v>
      </c>
      <c r="N197" s="7">
        <f t="shared" si="64"/>
        <v>17.183333337306976</v>
      </c>
      <c r="O197" s="7"/>
      <c r="P197" s="7"/>
      <c r="Q197" s="25"/>
      <c r="R197" s="25"/>
      <c r="S197" s="37">
        <f t="shared" si="47"/>
        <v>1</v>
      </c>
      <c r="T197" s="52" t="str">
        <f t="shared" si="48"/>
        <v>Southbound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18:36:26-0600',mode:absolute,to:'2016-09-06 20:55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7" s="54" t="str">
        <f t="shared" si="50"/>
        <v>N</v>
      </c>
      <c r="X197" s="120">
        <f t="shared" si="63"/>
        <v>1</v>
      </c>
      <c r="Y197" s="69">
        <f t="shared" si="51"/>
        <v>5.8620999999999999</v>
      </c>
      <c r="Z197" s="69">
        <f t="shared" si="52"/>
        <v>6.9400000000000003E-2</v>
      </c>
      <c r="AA197" s="69">
        <f t="shared" si="53"/>
        <v>5.7927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54"/>
        <v>0840-06</v>
      </c>
      <c r="AE197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97" s="96" t="str">
        <f t="shared" si="56"/>
        <v>"C:\Program Files (x86)\AstroGrep\AstroGrep.exe" /spath="%USERPROFILE%\AppData\Local\Temp\OnboardLogs" /stypes="*4017*20160907*" /stext=" 01:.+((SYSTEM_STATE.+slice.+state.+changed )|(ment ac)|(system.+state.+changed )|(\|lc)|(penalty)|(\[timeout)|(PRM\|1\|D)|(kpr)|(kdp))" /e /r /s</v>
      </c>
      <c r="AG197" s="1" t="str">
        <f t="shared" si="57"/>
        <v>NW</v>
      </c>
      <c r="AH197" s="100" t="str">
        <f t="shared" si="43"/>
        <v>"%USERPROFILE%\Documents\GitHub\eaglep3\Utilities\RefineRTDCRunTimes.py" --tripid 840-06 --locoid 4017 --swversion DE.1.0.7.0 --startMP 300:58621 --initTime 2016-09-06T19:36:26 --startdatetime 2016-09-06T19:38:47 --delay 1 --endMP 204:694 --enddatetime 2016-09-06T19:55:58 --enforcementcount 0 &gt;&gt;C:\Users\stu\Documents\GitHub\eaglep3-reporting\EC\2016-09-06-refined-times.txt</v>
      </c>
      <c r="AI197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{"issue":{"subject":"","project_id":79,"tracker_id":40,"status_id":1,"priority_id":2,"assigned_to_id":23,"start_date":"2016-09-06","description":"","custom_fields":[{"id":1,"name":"Subdivision","value":"NW"},{"id":4,"name":"Milepost","value":"5.7927"},{"id":17,"name":"Train ID","value":"840-06"},{"id":16,"name":"Locomotive ID","value":"4017"},{"id":130,"name":"Impact","value":""},{"id":150,"name":"Time of Event (Mountain Time)","value":"19:55:58"},{"id":151,"name":"Denver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514</v>
      </c>
      <c r="B198" s="7">
        <v>4018</v>
      </c>
      <c r="C198" s="24" t="s">
        <v>112</v>
      </c>
      <c r="D198" s="24" t="s">
        <v>272</v>
      </c>
      <c r="E198" s="15">
        <v>42619.80190972222</v>
      </c>
      <c r="F198" s="15">
        <v>42619.806446759256</v>
      </c>
      <c r="G198" s="7">
        <v>1</v>
      </c>
      <c r="H198" s="15" t="s">
        <v>680</v>
      </c>
      <c r="I198" s="15">
        <v>42619.815300925926</v>
      </c>
      <c r="J198" s="7">
        <v>0</v>
      </c>
      <c r="K198" s="132" t="str">
        <f t="shared" si="45"/>
        <v>4017/4018</v>
      </c>
      <c r="L198" s="24" t="e">
        <f>VLOOKUP(A198,'Trips&amp;Operators'!$C$1:$E$10000,3,FALSE)</f>
        <v>#N/A</v>
      </c>
      <c r="M198" s="6">
        <f t="shared" si="46"/>
        <v>8.8541666700621136E-3</v>
      </c>
      <c r="N198" s="7">
        <f t="shared" si="64"/>
        <v>12.750000004889444</v>
      </c>
      <c r="O198" s="7"/>
      <c r="P198" s="7"/>
      <c r="Q198" s="25"/>
      <c r="R198" s="25"/>
      <c r="S198" s="37">
        <f t="shared" si="47"/>
        <v>1</v>
      </c>
      <c r="T198" s="52" t="str">
        <f t="shared" si="48"/>
        <v>NorthBound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18:14:45-0600',mode:absolute,to:'2016-09-06 20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8" s="54" t="str">
        <f t="shared" si="50"/>
        <v>N</v>
      </c>
      <c r="X198" s="120">
        <f t="shared" si="63"/>
        <v>1</v>
      </c>
      <c r="Y198" s="69">
        <f t="shared" si="51"/>
        <v>9.7199999999999995E-2</v>
      </c>
      <c r="Z198" s="69">
        <f t="shared" si="52"/>
        <v>5.8936999999999999</v>
      </c>
      <c r="AA198" s="69">
        <f t="shared" si="53"/>
        <v>5.7965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54"/>
        <v>0841-06</v>
      </c>
      <c r="AE198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198" s="96" t="str">
        <f t="shared" si="56"/>
        <v>"C:\Program Files (x86)\AstroGrep\AstroGrep.exe" /spath="%USERPROFILE%\AppData\Local\Temp\OnboardLogs" /stypes="*4018*20160907*" /stext=" 01:.+((SYSTEM_STATE.+slice.+state.+changed )|(ment ac)|(system.+state.+changed )|(\|lc)|(penalty)|(\[timeout)|(PRM\|1\|D)|(kpr)|(kdp))" /e /r /s</v>
      </c>
      <c r="AG198" s="1" t="str">
        <f t="shared" si="57"/>
        <v>NW</v>
      </c>
      <c r="AH198" s="100" t="str">
        <f t="shared" si="43"/>
        <v>"%USERPROFILE%\Documents\GitHub\eaglep3\Utilities\RefineRTDCRunTimes.py" --tripid 841-06 --locoid 4018 --swversion DE.1.0.7.0 --startMP 204:972 --initTime 2016-09-06T19:14:45 --startdatetime 2016-09-06T19:21:17 --delay 1 --endMP 300:58937 --enddatetime 2016-09-06T19:34:02 --enforcementcount 0 &gt;&gt;C:\Users\stu\Documents\GitHub\eaglep3-reporting\EC\2016-09-06-refined-times.txt</v>
      </c>
      <c r="AI198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{"issue":{"subject":"","project_id":79,"tracker_id":40,"status_id":1,"priority_id":2,"assigned_to_id":23,"start_date":"2016-09-06","description":"","custom_fields":[{"id":1,"name":"Subdivision","value":"NW"},{"id":4,"name":"Milepost","value":"5.7965"},{"id":17,"name":"Train ID","value":"841-06"},{"id":16,"name":"Locomotive ID","value":"4018"},{"id":130,"name":"Impact","value":""},{"id":150,"name":"Time of Event (Mountain Time)","value":"19:34:02"},{"id":151,"name":"Denver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523</v>
      </c>
      <c r="B199" s="7">
        <v>4017</v>
      </c>
      <c r="C199" s="24" t="s">
        <v>112</v>
      </c>
      <c r="D199" s="24" t="s">
        <v>316</v>
      </c>
      <c r="E199" s="15">
        <v>42619.857858796298</v>
      </c>
      <c r="F199" s="15">
        <v>42619.859444444446</v>
      </c>
      <c r="G199" s="7">
        <v>1</v>
      </c>
      <c r="H199" s="15" t="s">
        <v>691</v>
      </c>
      <c r="I199" s="15">
        <v>42619.871030092596</v>
      </c>
      <c r="J199" s="7">
        <v>0</v>
      </c>
      <c r="K199" s="132" t="str">
        <f t="shared" si="45"/>
        <v>4017/4018</v>
      </c>
      <c r="L199" s="24" t="e">
        <f>VLOOKUP(A199,'Trips&amp;Operators'!$C$1:$E$10000,3,FALSE)</f>
        <v>#N/A</v>
      </c>
      <c r="M199" s="6">
        <f t="shared" si="46"/>
        <v>1.1585648149775807E-2</v>
      </c>
      <c r="N199" s="7">
        <f t="shared" si="64"/>
        <v>16.683333335677162</v>
      </c>
      <c r="O199" s="7"/>
      <c r="P199" s="7"/>
      <c r="Q199" s="25"/>
      <c r="R199" s="25"/>
      <c r="S199" s="37">
        <f t="shared" si="47"/>
        <v>1</v>
      </c>
      <c r="T199" s="52" t="str">
        <f t="shared" si="48"/>
        <v>Southbound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19:35:19-0600',mode:absolute,to:'2016-09-06 21:54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99" s="54" t="str">
        <f t="shared" si="50"/>
        <v>N</v>
      </c>
      <c r="X199" s="120">
        <f t="shared" si="63"/>
        <v>1</v>
      </c>
      <c r="Y199" s="69">
        <f t="shared" si="51"/>
        <v>5.8611000000000004</v>
      </c>
      <c r="Z199" s="69">
        <f t="shared" si="52"/>
        <v>6.6100000000000006E-2</v>
      </c>
      <c r="AA199" s="69">
        <f t="shared" si="53"/>
        <v>5.7950000000000008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54"/>
        <v>0842-06</v>
      </c>
      <c r="AE199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199" s="96" t="str">
        <f t="shared" si="56"/>
        <v>"C:\Program Files (x86)\AstroGrep\AstroGrep.exe" /spath="%USERPROFILE%\AppData\Local\Temp\OnboardLogs" /stypes="*4017*20160907*" /stext=" 02:.+((SYSTEM_STATE.+slice.+state.+changed )|(ment ac)|(system.+state.+changed )|(\|lc)|(penalty)|(\[timeout)|(PRM\|1\|D)|(kpr)|(kdp))" /e /r /s</v>
      </c>
      <c r="AG199" s="1" t="str">
        <f t="shared" si="57"/>
        <v>NW</v>
      </c>
      <c r="AH199" s="100" t="str">
        <f t="shared" si="43"/>
        <v>"%USERPROFILE%\Documents\GitHub\eaglep3\Utilities\RefineRTDCRunTimes.py" --tripid 842-06 --locoid 4017 --swversion DE.1.0.7.0 --startMP 300:58611 --initTime 2016-09-06T20:35:19 --startdatetime 2016-09-06T20:37:36 --delay 1 --endMP 204:661 --enddatetime 2016-09-06T20:54:17 --enforcementcount 0 &gt;&gt;C:\Users\stu\Documents\GitHub\eaglep3-reporting\EC\2016-09-06-refined-times.txt</v>
      </c>
      <c r="AI199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{"issue":{"subject":"","project_id":79,"tracker_id":40,"status_id":1,"priority_id":2,"assigned_to_id":23,"start_date":"2016-09-06","description":"","custom_fields":[{"id":1,"name":"Subdivision","value":"NW"},{"id":4,"name":"Milepost","value":"5.795"},{"id":17,"name":"Train ID","value":"842-06"},{"id":16,"name":"Locomotive ID","value":"4017"},{"id":130,"name":"Impact","value":""},{"id":150,"name":"Time of Event (Mountain Time)","value":"20:54:17"},{"id":151,"name":"Denver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520</v>
      </c>
      <c r="B200" s="7">
        <v>4018</v>
      </c>
      <c r="C200" s="24" t="s">
        <v>112</v>
      </c>
      <c r="D200" s="24" t="s">
        <v>692</v>
      </c>
      <c r="E200" s="15">
        <v>42619.843391203707</v>
      </c>
      <c r="F200" s="15">
        <v>42619.848101851851</v>
      </c>
      <c r="G200" s="7">
        <v>1</v>
      </c>
      <c r="H200" s="15" t="s">
        <v>650</v>
      </c>
      <c r="I200" s="15">
        <v>42619.856828703705</v>
      </c>
      <c r="J200" s="7">
        <v>0</v>
      </c>
      <c r="K200" s="132" t="str">
        <f t="shared" si="45"/>
        <v>4017/4018</v>
      </c>
      <c r="L200" s="24" t="e">
        <f>VLOOKUP(A200,'Trips&amp;Operators'!$C$1:$E$10000,3,FALSE)</f>
        <v>#N/A</v>
      </c>
      <c r="M200" s="6">
        <f t="shared" si="46"/>
        <v>8.7268518545897678E-3</v>
      </c>
      <c r="N200" s="7">
        <f t="shared" si="64"/>
        <v>12.566666670609266</v>
      </c>
      <c r="O200" s="7"/>
      <c r="P200" s="7"/>
      <c r="Q200" s="25"/>
      <c r="R200" s="25"/>
      <c r="S200" s="37">
        <f t="shared" si="47"/>
        <v>1</v>
      </c>
      <c r="T200" s="52" t="str">
        <f t="shared" si="48"/>
        <v>NorthBound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19:14:29-0600',mode:absolute,to:'2016-09-06 21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00" s="54" t="str">
        <f t="shared" si="50"/>
        <v>N</v>
      </c>
      <c r="X200" s="120">
        <f t="shared" si="63"/>
        <v>1</v>
      </c>
      <c r="Y200" s="69">
        <f t="shared" si="51"/>
        <v>9.7799999999999998E-2</v>
      </c>
      <c r="Z200" s="69">
        <f t="shared" si="52"/>
        <v>5.8940999999999999</v>
      </c>
      <c r="AA200" s="69">
        <f t="shared" si="53"/>
        <v>5.7962999999999996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54"/>
        <v>0843-06</v>
      </c>
      <c r="AE200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200" s="96" t="str">
        <f t="shared" si="56"/>
        <v>"C:\Program Files (x86)\AstroGrep\AstroGrep.exe" /spath="%USERPROFILE%\AppData\Local\Temp\OnboardLogs" /stypes="*4018*20160907*" /stext=" 02:.+((SYSTEM_STATE.+slice.+state.+changed )|(ment ac)|(system.+state.+changed )|(\|lc)|(penalty)|(\[timeout)|(PRM\|1\|D)|(kpr)|(kdp))" /e /r /s</v>
      </c>
      <c r="AG200" s="1" t="str">
        <f t="shared" si="57"/>
        <v>NW</v>
      </c>
      <c r="AH200" s="100" t="str">
        <f t="shared" si="43"/>
        <v>"%USERPROFILE%\Documents\GitHub\eaglep3\Utilities\RefineRTDCRunTimes.py" --tripid 843-06 --locoid 4018 --swversion DE.1.0.7.0 --startMP 204:978 --initTime 2016-09-06T20:14:29 --startdatetime 2016-09-06T20:21:16 --delay 1 --endMP 300:58941 --enddatetime 2016-09-06T20:33:50 --enforcementcount 0 &gt;&gt;C:\Users\stu\Documents\GitHub\eaglep3-reporting\EC\2016-09-06-refined-times.txt</v>
      </c>
      <c r="AI200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{"issue":{"subject":"","project_id":79,"tracker_id":40,"status_id":1,"priority_id":2,"assigned_to_id":23,"start_date":"2016-09-06","description":"","custom_fields":[{"id":1,"name":"Subdivision","value":"NW"},{"id":4,"name":"Milepost","value":"5.7963"},{"id":17,"name":"Train ID","value":"843-06"},{"id":16,"name":"Locomotive ID","value":"4018"},{"id":130,"name":"Impact","value":""},{"id":150,"name":"Time of Event (Mountain Time)","value":"20:33:50"},{"id":151,"name":"Denver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529</v>
      </c>
      <c r="B201" s="7">
        <v>4017</v>
      </c>
      <c r="C201" s="24" t="s">
        <v>112</v>
      </c>
      <c r="D201" s="24" t="s">
        <v>270</v>
      </c>
      <c r="E201" s="15">
        <v>42619.900949074072</v>
      </c>
      <c r="F201" s="15">
        <v>42619.90283564815</v>
      </c>
      <c r="G201" s="7">
        <v>1</v>
      </c>
      <c r="H201" s="15" t="s">
        <v>282</v>
      </c>
      <c r="I201" s="15">
        <v>42619.919861111113</v>
      </c>
      <c r="J201" s="7">
        <v>0</v>
      </c>
      <c r="K201" s="132" t="str">
        <f t="shared" si="45"/>
        <v>4017/4018</v>
      </c>
      <c r="L201" s="24" t="e">
        <f>VLOOKUP(A201,'Trips&amp;Operators'!$C$1:$E$10000,3,FALSE)</f>
        <v>#N/A</v>
      </c>
      <c r="M201" s="6">
        <f t="shared" si="46"/>
        <v>1.7025462962919846E-2</v>
      </c>
      <c r="N201" s="7">
        <f t="shared" si="64"/>
        <v>24.516666666604578</v>
      </c>
      <c r="O201" s="7"/>
      <c r="P201" s="7"/>
      <c r="Q201" s="25"/>
      <c r="R201" s="25"/>
      <c r="S201" s="37">
        <f t="shared" si="47"/>
        <v>1</v>
      </c>
      <c r="T201" s="52" t="str">
        <f t="shared" si="48"/>
        <v>Southbound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20:37:22-0600',mode:absolute,to:'2016-09-06 23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201" s="54" t="str">
        <f t="shared" si="50"/>
        <v>N</v>
      </c>
      <c r="X201" s="120">
        <f t="shared" si="63"/>
        <v>1</v>
      </c>
      <c r="Y201" s="69">
        <f t="shared" si="51"/>
        <v>5.8613</v>
      </c>
      <c r="Z201" s="69">
        <f t="shared" si="52"/>
        <v>7.3400000000000007E-2</v>
      </c>
      <c r="AA201" s="69">
        <f t="shared" si="53"/>
        <v>5.7878999999999996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54"/>
        <v>0844-06</v>
      </c>
      <c r="AE201" s="99" t="str">
        <f t="shared" si="55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201" s="96" t="str">
        <f t="shared" si="56"/>
        <v>"C:\Program Files (x86)\AstroGrep\AstroGrep.exe" /spath="%USERPROFILE%\AppData\Local\Temp\OnboardLogs" /stypes="*4017*20160907*" /stext=" 04:.+((SYSTEM_STATE.+slice.+state.+changed )|(ment ac)|(system.+state.+changed )|(\|lc)|(penalty)|(\[timeout)|(PRM\|1\|D)|(kpr)|(kdp))" /e /r /s</v>
      </c>
      <c r="AG201" s="1" t="str">
        <f t="shared" si="57"/>
        <v>NW</v>
      </c>
      <c r="AH201" s="100" t="str">
        <f t="shared" si="43"/>
        <v>"%USERPROFILE%\Documents\GitHub\eaglep3\Utilities\RefineRTDCRunTimes.py" --tripid 844-06 --locoid 4017 --swversion DE.1.0.7.0 --startMP 300:58613 --initTime 2016-09-06T21:37:22 --startdatetime 2016-09-06T21:40:05 --delay 1 --endMP 204:734 --enddatetime 2016-09-06T22:04:36 --enforcementcount 0 &gt;&gt;C:\Users\stu\Documents\GitHub\eaglep3-reporting\EC\2016-09-06-refined-times.txt</v>
      </c>
      <c r="AI201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{"issue":{"subject":"","project_id":79,"tracker_id":40,"status_id":1,"priority_id":2,"assigned_to_id":23,"start_date":"2016-09-06","description":"","custom_fields":[{"id":1,"name":"Subdivision","value":"NW"},{"id":4,"name":"Milepost","value":"5.7879"},{"id":17,"name":"Train ID","value":"844-06"},{"id":16,"name":"Locomotive ID","value":"4017"},{"id":130,"name":"Impact","value":""},{"id":150,"name":"Time of Event (Mountain Time)","value":"22:04:36"},{"id":151,"name":"Denver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526</v>
      </c>
      <c r="B202" s="7">
        <v>4018</v>
      </c>
      <c r="C202" s="24" t="s">
        <v>112</v>
      </c>
      <c r="D202" s="24" t="s">
        <v>693</v>
      </c>
      <c r="E202" s="15">
        <v>42619.883090277777</v>
      </c>
      <c r="F202" s="15">
        <v>42619.889826388891</v>
      </c>
      <c r="G202" s="7">
        <v>1</v>
      </c>
      <c r="H202" s="15" t="s">
        <v>694</v>
      </c>
      <c r="I202" s="15">
        <v>42619.899745370371</v>
      </c>
      <c r="J202" s="7">
        <v>0</v>
      </c>
      <c r="K202" s="132" t="str">
        <f t="shared" si="45"/>
        <v>4017/4018</v>
      </c>
      <c r="L202" s="24" t="e">
        <f>VLOOKUP(A202,'Trips&amp;Operators'!$C$1:$E$10000,3,FALSE)</f>
        <v>#N/A</v>
      </c>
      <c r="M202" s="6">
        <f t="shared" si="46"/>
        <v>9.9189814791316167E-3</v>
      </c>
      <c r="N202" s="7">
        <f t="shared" si="64"/>
        <v>14.283333329949528</v>
      </c>
      <c r="O202" s="7"/>
      <c r="P202" s="7"/>
      <c r="Q202" s="25"/>
      <c r="R202" s="25"/>
      <c r="S202" s="37">
        <f t="shared" si="47"/>
        <v>1</v>
      </c>
      <c r="T202" s="52" t="str">
        <f t="shared" si="48"/>
        <v>NorthBound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20:11:39-0600',mode:absolute,to:'2016-09-06 22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02" s="54" t="str">
        <f t="shared" si="50"/>
        <v>N</v>
      </c>
      <c r="X202" s="120">
        <f t="shared" si="63"/>
        <v>1</v>
      </c>
      <c r="Y202" s="69">
        <f t="shared" si="51"/>
        <v>9.6500000000000002E-2</v>
      </c>
      <c r="Z202" s="69">
        <f t="shared" si="52"/>
        <v>5.8933</v>
      </c>
      <c r="AA202" s="69">
        <f t="shared" si="53"/>
        <v>5.7968000000000002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54"/>
        <v>0845-06</v>
      </c>
      <c r="AE202" s="99" t="str">
        <f t="shared" si="55"/>
        <v>aws s3 cp s3://rtdc.mdm.uploadarchive/RTDC4018/2016-09-06/ "%USERPROFILE%\AppData\Local\Temp\OnboardLogs"\RTDC4018\2016-09-06 --recursive &amp; "%USERPROFILE%\Documents\GitHub\mrs-test-scripts\Headless Mode &amp; Sideloading\WalkAndUnGZ.bat" "%USERPROFILE%\AppData\Local\Temp\OnboardLogs"\RTDC4018\2016-09-06 &amp; aws s3 cp s3://rtdc.mdm.uploadarchive/RTDC4018/2016-09-07/ "%USERPROFILE%\AppData\Local\Temp\OnboardLogs"\RTDC4018\2016-09-07 --recursive &amp; "%USERPROFILE%\Documents\GitHub\mrs-test-scripts\Headless Mode &amp; Sideloading\WalkAndUnGZ.bat" "%USERPROFILE%\AppData\Local\Temp\OnboardLogs"\RTDC4018\2016-09-07</v>
      </c>
      <c r="AF202" s="96" t="str">
        <f t="shared" si="56"/>
        <v>"C:\Program Files (x86)\AstroGrep\AstroGrep.exe" /spath="%USERPROFILE%\AppData\Local\Temp\OnboardLogs" /stypes="*4018*20160907*" /stext=" 03:.+((SYSTEM_STATE.+slice.+state.+changed )|(ment ac)|(system.+state.+changed )|(\|lc)|(penalty)|(\[timeout)|(PRM\|1\|D)|(kpr)|(kdp))" /e /r /s</v>
      </c>
      <c r="AG202" s="1" t="str">
        <f t="shared" si="57"/>
        <v>NW</v>
      </c>
      <c r="AH202" s="100" t="str">
        <f t="shared" si="43"/>
        <v>"%USERPROFILE%\Documents\GitHub\eaglep3\Utilities\RefineRTDCRunTimes.py" --tripid 845-06 --locoid 4018 --swversion DE.1.0.7.0 --startMP 204:965 --initTime 2016-09-06T21:11:39 --startdatetime 2016-09-06T21:21:21 --delay 1 --endMP 300:58933 --enddatetime 2016-09-06T21:35:38 --enforcementcount 0 &gt;&gt;C:\Users\stu\Documents\GitHub\eaglep3-reporting\EC\2016-09-06-refined-times.txt</v>
      </c>
      <c r="AI202" s="147" t="str">
        <f t="shared" si="44"/>
        <v>echo {"issue":{"subject":"","project_id":79,"tracker_id":40,"status_id":1,"priority_id":2,"assigned_to_id":23,"start_date":"2016-09-06","description":"","custom_fields":[{"id":1,"name":"Subdivision","value":"NW"},{"id":4,"name":"Milepost","value":"5.7968"},{"id":17,"name":"Train ID","value":"845-06"},{"id":16,"name":"Locomotive ID","value":"4018"},{"id":130,"name":"Impact","value":""},{"id":150,"name":"Time of Event (Mountain Time)","value":"21:35:38"},{"id":151,"name":"Denver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532</v>
      </c>
      <c r="B203" s="7">
        <v>4018</v>
      </c>
      <c r="C203" s="24" t="s">
        <v>112</v>
      </c>
      <c r="D203" s="24" t="s">
        <v>695</v>
      </c>
      <c r="E203" s="15">
        <v>42619.928541666668</v>
      </c>
      <c r="F203" s="15">
        <v>25568.958333333332</v>
      </c>
      <c r="G203" s="7">
        <v>1</v>
      </c>
      <c r="H203" s="15" t="s">
        <v>696</v>
      </c>
      <c r="I203" s="15">
        <v>25568.958333333332</v>
      </c>
      <c r="J203" s="7">
        <v>0</v>
      </c>
      <c r="K203" s="132" t="str">
        <f t="shared" si="45"/>
        <v>4017/4018</v>
      </c>
      <c r="L203" s="24" t="e">
        <f>VLOOKUP(A203,'Trips&amp;Operators'!$C$1:$E$10000,3,FALSE)</f>
        <v>#N/A</v>
      </c>
      <c r="M203" s="6">
        <f t="shared" si="46"/>
        <v>0</v>
      </c>
      <c r="N203" s="7">
        <f t="shared" si="64"/>
        <v>0</v>
      </c>
      <c r="O203" s="7"/>
      <c r="P203" s="7"/>
      <c r="Q203" s="25"/>
      <c r="R203" s="25"/>
      <c r="S203" s="37">
        <f t="shared" si="47"/>
        <v>1</v>
      </c>
      <c r="T203" s="52" t="str">
        <f t="shared" si="48"/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21:17:06-0600',mode:absolute,to:'1970-01-01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03" s="54" t="str">
        <f t="shared" si="50"/>
        <v>N</v>
      </c>
      <c r="X203" s="120">
        <f t="shared" si="63"/>
        <v>2</v>
      </c>
      <c r="Y203" s="69">
        <f t="shared" si="51"/>
        <v>0.10349999999999999</v>
      </c>
      <c r="Z203" s="69">
        <f t="shared" si="52"/>
        <v>5.8076999999999996</v>
      </c>
      <c r="AA203" s="69">
        <f t="shared" si="53"/>
        <v>5.7041999999999993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54"/>
        <v>0847-06</v>
      </c>
      <c r="AE203" s="99" t="str">
        <f t="shared" si="55"/>
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</c>
      <c r="AF203" s="96" t="str">
        <f t="shared" si="56"/>
        <v>"C:\Program Files (x86)\AstroGrep\AstroGrep.exe" /spath="%USERPROFILE%\AppData\Local\Temp\OnboardLogs" /stypes="*4018*19700101*" /stext=" 05:.+((SYSTEM_STATE.+slice.+state.+changed )|(ment ac)|(system.+state.+changed )|(\|lc)|(penalty)|(\[timeout)|(PRM\|1\|D)|(kpr)|(kdp))" /e /r /s</v>
      </c>
      <c r="AG203" s="1" t="str">
        <f t="shared" si="57"/>
        <v>NW</v>
      </c>
      <c r="AH203" s="100" t="str">
        <f t="shared" ref="AH203:AH222" si="65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847-06 --locoid 4018 --swversion DE.1.0.7.0 --startMP 204:1035 --initTime 2016-09-06T22:17:06 --startdatetime 1969-12-31T23:00:00 --delay 1 --endMP 300:58077 --enddatetime 1969-12-31T23:00:00 --enforcementcount 0 &gt;&gt;C:\Users\stu\Documents\GitHub\eaglep3-reporting\EC\2016-09-06-refined-times.txt</v>
      </c>
      <c r="AI203" s="147" t="str">
        <f t="shared" ref="AI203:AI222" si="66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AA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{"issue":{"subject":"","project_id":79,"tracker_id":40,"status_id":1,"priority_id":2,"assigned_to_id":23,"start_date":"1969-12-31","description":"","custom_fields":[{"id":1,"name":"Subdivision","value":"NW"},{"id":4,"name":"Milepost","value":"5.7042"},{"id":17,"name":"Train ID","value":"847-06"},{"id":16,"name":"Locomotive ID","value":"4018"},{"id":130,"name":"Impact","value":""},{"id":150,"name":"Time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544</v>
      </c>
      <c r="B204" s="7">
        <v>4038</v>
      </c>
      <c r="C204" s="24" t="s">
        <v>112</v>
      </c>
      <c r="D204" s="24" t="s">
        <v>209</v>
      </c>
      <c r="E204" s="15">
        <v>42620.032175925924</v>
      </c>
      <c r="F204" s="15">
        <v>42620.034259259257</v>
      </c>
      <c r="G204" s="7">
        <v>1</v>
      </c>
      <c r="H204" s="15" t="s">
        <v>279</v>
      </c>
      <c r="I204" s="15">
        <v>42620.041203703702</v>
      </c>
      <c r="J204" s="7">
        <v>0</v>
      </c>
      <c r="K204" s="132" t="str">
        <f t="shared" si="45"/>
        <v>4037/4038</v>
      </c>
      <c r="L204" s="24" t="e">
        <f>VLOOKUP(A204,'Trips&amp;Operators'!$C$1:$E$10000,3,FALSE)</f>
        <v>#N/A</v>
      </c>
      <c r="M204" s="6">
        <f t="shared" si="46"/>
        <v>6.9444444452528842E-3</v>
      </c>
      <c r="N204" s="7">
        <f t="shared" si="64"/>
        <v>10.000000001164153</v>
      </c>
      <c r="O204" s="7"/>
      <c r="P204" s="7"/>
      <c r="Q204" s="25"/>
      <c r="R204" s="25"/>
      <c r="S204" s="37">
        <f t="shared" si="47"/>
        <v>1</v>
      </c>
      <c r="T204" s="52" t="str">
        <f t="shared" si="48"/>
        <v>NorthBound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49"/>
        <v>https://search-rtdc-monitor-bjffxe2xuh6vdkpspy63sjmuny.us-east-1.es.amazonaws.com/_plugin/kibana/#/discover/Steve-Slow-Train-Analysis-(2080s-and-2083s)?_g=(refreshInterval:(display:Off,section:0,value:0),time:(from:'2016-09-06 23:46:20-0600',mode:absolute,to:'2016-09-07 01:59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04" s="54" t="str">
        <f t="shared" si="50"/>
        <v>Y</v>
      </c>
      <c r="X204" s="120">
        <f t="shared" si="63"/>
        <v>-538</v>
      </c>
      <c r="Y204" s="69">
        <f t="shared" si="51"/>
        <v>4.6600000000000003E-2</v>
      </c>
      <c r="Z204" s="69">
        <f t="shared" si="52"/>
        <v>2.2856000000000001</v>
      </c>
      <c r="AA204" s="69">
        <f t="shared" si="53"/>
        <v>2.2389999999999999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54"/>
        <v>0309-06</v>
      </c>
      <c r="AE204" s="99" t="str">
        <f t="shared" si="55"/>
        <v>aws s3 cp s3://rtdc.mdm.uploadarchive/RTDC4038/2016-09-07/ "%USERPROFILE%\AppData\Local\Temp\OnboardLogs"\RTDC4038\2016-09-07 --recursive &amp; "%USERPROFILE%\Documents\GitHub\mrs-test-scripts\Headless Mode &amp; Sideloading\WalkAndUnGZ.bat" "%USERPROFILE%\AppData\Local\Temp\OnboardLogs"\RTDC4038\2016-09-07 &amp; aws s3 cp s3://rtdc.mdm.uploadarchive/RTDC4038/2016-09-08/ "%USERPROFILE%\AppData\Local\Temp\OnboardLogs"\RTDC4038\2016-09-08 --recursive &amp; "%USERPROFILE%\Documents\GitHub\mrs-test-scripts\Headless Mode &amp; Sideloading\WalkAndUnGZ.bat" "%USERPROFILE%\AppData\Local\Temp\OnboardLogs"\RTDC4038\2016-09-08</v>
      </c>
      <c r="AF204" s="96" t="str">
        <f t="shared" si="56"/>
        <v>"C:\Program Files (x86)\AstroGrep\AstroGrep.exe" /spath="%USERPROFILE%\AppData\Local\Temp\OnboardLogs" /stypes="*4038*20160907*" /stext=" 06:.+((SYSTEM_STATE.+slice.+state.+changed )|(ment ac)|(system.+state.+changed )|(\|lc)|(penalty)|(\[timeout)|(PRM\|1\|D)|(kpr)|(kdp))" /e /r /s</v>
      </c>
      <c r="AG204" s="1" t="str">
        <f t="shared" si="57"/>
        <v>Other</v>
      </c>
      <c r="AH204" s="100" t="str">
        <f t="shared" si="65"/>
        <v>"%USERPROFILE%\Documents\GitHub\eaglep3\Utilities\RefineRTDCRunTimes.py" --tripid 309-06 --locoid 4038 --swversion DE.1.0.7.0 --startMP 204:466 --initTime 2016-09-07T00:46:20 --startdatetime 2016-09-07T00:49:20 --delay 1 --endMP 300:22856 --enddatetime 2016-09-07T00:59:20 --enforcementcount 0 &gt;&gt;C:\Users\stu\Documents\GitHub\eaglep3-reporting\EC\2016-09-06-refined-times.txt</v>
      </c>
      <c r="AI204" s="147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{"issue":{"subject":"","project_id":79,"tracker_id":40,"status_id":1,"priority_id":2,"assigned_to_id":23,"start_date":"2016-09-07","description":"","custom_fields":[{"id":1,"name":"Subdivision","value":"Other"},{"id":4,"name":"Milepost","value":"2.239"},{"id":17,"name":"Train ID","value":"309-06"},{"id":16,"name":"Locomotive ID","value":"4038"},{"id":130,"name":"Impact","value":""},{"id":150,"name":"Time of Event (Mountain Time)","value":"00:59:20"},{"id":151,"name":"Denver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547</v>
      </c>
      <c r="B205" s="7">
        <v>4029</v>
      </c>
      <c r="C205" s="24" t="s">
        <v>112</v>
      </c>
      <c r="D205" s="24" t="s">
        <v>593</v>
      </c>
      <c r="E205" s="15">
        <v>42620.046365740738</v>
      </c>
      <c r="F205" s="15">
        <v>25568.958333333332</v>
      </c>
      <c r="G205" s="7">
        <v>2</v>
      </c>
      <c r="H205" s="15" t="s">
        <v>624</v>
      </c>
      <c r="I205" s="15">
        <v>25568.958333333332</v>
      </c>
      <c r="J205" s="7">
        <v>0</v>
      </c>
      <c r="K205" s="132" t="str">
        <f t="shared" ref="K205:K222" si="67">IF(ISEVEN(B205),(B205-1)&amp;"/"&amp;B205,B205&amp;"/"&amp;(B205+1))</f>
        <v>4029/4030</v>
      </c>
      <c r="L205" s="24" t="e">
        <f>VLOOKUP(A205,'Trips&amp;Operators'!$C$1:$E$10000,3,FALSE)</f>
        <v>#N/A</v>
      </c>
      <c r="M205" s="6">
        <f t="shared" ref="M205:M222" si="68">I205-F205</f>
        <v>0</v>
      </c>
      <c r="N205" s="7">
        <f t="shared" si="64"/>
        <v>0</v>
      </c>
      <c r="O205" s="7"/>
      <c r="P205" s="7"/>
      <c r="Q205" s="25"/>
      <c r="R205" s="25"/>
      <c r="S205" s="37">
        <f t="shared" ref="S205:S222" si="69">SUM(U205:U205)/IF(AG205="EC",12,1)</f>
        <v>1</v>
      </c>
      <c r="T205" s="52" t="str">
        <f t="shared" ref="T205:T222" si="70">IF(ISEVEN(LEFT(AD205,4)),"Southbound","NorthBound")</f>
        <v>NorthBound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22" si="71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https://search-rtdc-monitor-bjffxe2xuh6vdkpspy63sjmuny.us-east-1.es.amazonaws.com/_plugin/kibana/#/discover/Steve-Slow-Train-Analysis-(2080s-and-2083s)?_g=(refreshInterval:(display:Off,section:0,value:0),time:(from:'2016-09-07 00:06:46-0600',mode:absolute,to:'1970-01-01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05" s="54" t="str">
        <f t="shared" ref="W205:W222" si="72">IF(AA205&lt;IF(AG205="EC",23,5.65),"Y","N")</f>
        <v>Y</v>
      </c>
      <c r="X205" s="120">
        <f t="shared" si="63"/>
        <v>2</v>
      </c>
      <c r="Y205" s="69">
        <f t="shared" ref="Y205:Y222" si="73">RIGHT(D205,LEN(D205)-4)/10000</f>
        <v>4.7500000000000001E-2</v>
      </c>
      <c r="Z205" s="69">
        <f t="shared" ref="Z205:Z222" si="74">RIGHT(H205,LEN(H205)-4)/10000</f>
        <v>2.3311999999999999</v>
      </c>
      <c r="AA205" s="69">
        <f t="shared" ref="AA205:AA222" si="75">ABS(Z205-Y205)</f>
        <v>2.2837000000000001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ref="AD205:AD222" si="76">IF(LEN(A205)=6,"0"&amp;A205,A205)</f>
        <v>0311-06</v>
      </c>
      <c r="AE205" s="99" t="str">
        <f t="shared" ref="AE205:AE222" si="77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s3://rtdc.mdm.uploadarchive/RTDC4029/1969-12-31/ "%USERPROFILE%\AppData\Local\Temp\OnboardLogs"\RTDC4029\1969-12-31 --recursive &amp; "%USERPROFILE%\Documents\GitHub\mrs-test-scripts\Headless Mode &amp; Sideloading\WalkAndUnGZ.bat" "%USERPROFILE%\AppData\Local\Temp\OnboardLogs"\RTDC4029\1969-12-31 &amp; aws s3 cp s3://rtdc.mdm.uploadarchive/RTDC4029/1970-01-01/ "%USERPROFILE%\AppData\Local\Temp\OnboardLogs"\RTDC4029\1970-01-01 --recursive &amp; "%USERPROFILE%\Documents\GitHub\mrs-test-scripts\Headless Mode &amp; Sideloading\WalkAndUnGZ.bat" "%USERPROFILE%\AppData\Local\Temp\OnboardLogs"\RTDC4029\1970-01-01</v>
      </c>
      <c r="AF205" s="96" t="str">
        <f t="shared" ref="AF205:AF222" si="78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/stypes="*4029*19700101*" /stext=" 05:.+((SYSTEM_STATE.+slice.+state.+changed )|(ment ac)|(system.+state.+changed )|(\|lc)|(penalty)|(\[timeout)|(PRM\|1\|D)|(kpr)|(kdp))" /e /r /s</v>
      </c>
      <c r="AG205" s="1" t="str">
        <f t="shared" ref="AG205:AG222" si="79">IFERROR(IF(VALUE(LEFT(AD205,2))&lt;=2,"EC",IF(OR(VALUE(LEFT(AD205,2))=8,VALUE(LEFT(AD205,2))=18),"NW","Other")),"Other")</f>
        <v>Other</v>
      </c>
      <c r="AH205" s="100" t="str">
        <f t="shared" si="65"/>
        <v>"%USERPROFILE%\Documents\GitHub\eaglep3\Utilities\RefineRTDCRunTimes.py" --tripid 311-06 --locoid 4029 --swversion DE.1.0.7.0 --startMP 204:475 --initTime 2016-09-07T01:06:46 --startdatetime 1969-12-31T23:00:00 --delay 2 --endMP 300:23312 --enddatetime 1969-12-31T23:00:00 --enforcementcount 0 &gt;&gt;C:\Users\stu\Documents\GitHub\eaglep3-reporting\EC\2016-09-06-refined-times.txt</v>
      </c>
      <c r="AI205" s="147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{"issue":{"subject":"","project_id":79,"tracker_id":40,"status_id":1,"priority_id":2,"assigned_to_id":23,"start_date":"1969-12-31","description":"","custom_fields":[{"id":1,"name":"Subdivision","value":"Other"},{"id":4,"name":"Milepost","value":"2.2837"},{"id":17,"name":"Train ID","value":"311-06"},{"id":16,"name":"Locomotive ID","value":"4029"},{"id":130,"name":"Impact","value":""},{"id":150,"name":"Time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550</v>
      </c>
      <c r="B206" s="7">
        <v>4002</v>
      </c>
      <c r="C206" s="24" t="s">
        <v>112</v>
      </c>
      <c r="D206" s="24" t="s">
        <v>625</v>
      </c>
      <c r="E206" s="15">
        <v>42620.066145833334</v>
      </c>
      <c r="F206" s="15">
        <v>25568.958333333332</v>
      </c>
      <c r="G206" s="7">
        <v>1</v>
      </c>
      <c r="H206" s="15" t="s">
        <v>626</v>
      </c>
      <c r="I206" s="15">
        <v>25568.958333333332</v>
      </c>
      <c r="J206" s="7">
        <v>0</v>
      </c>
      <c r="K206" s="132" t="str">
        <f t="shared" si="67"/>
        <v>4001/4002</v>
      </c>
      <c r="L206" s="24" t="e">
        <f>VLOOKUP(A206,'Trips&amp;Operators'!$C$1:$E$10000,3,FALSE)</f>
        <v>#N/A</v>
      </c>
      <c r="M206" s="6">
        <f t="shared" si="68"/>
        <v>0</v>
      </c>
      <c r="N206" s="7">
        <f t="shared" si="64"/>
        <v>0</v>
      </c>
      <c r="O206" s="7"/>
      <c r="P206" s="7"/>
      <c r="Q206" s="25"/>
      <c r="R206" s="25"/>
      <c r="S206" s="37">
        <f t="shared" si="69"/>
        <v>1</v>
      </c>
      <c r="T206" s="52" t="str">
        <f t="shared" si="70"/>
        <v>NorthBound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00:35:15-0600',mode:absolute,to:'1970-01-01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06" s="54" t="str">
        <f t="shared" si="72"/>
        <v>Y</v>
      </c>
      <c r="X206" s="120">
        <f t="shared" si="63"/>
        <v>2</v>
      </c>
      <c r="Y206" s="69">
        <f t="shared" si="73"/>
        <v>5.0599999999999999E-2</v>
      </c>
      <c r="Z206" s="69">
        <f t="shared" si="74"/>
        <v>2.3132000000000001</v>
      </c>
      <c r="AA206" s="69">
        <f t="shared" si="75"/>
        <v>2.2625999999999999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76"/>
        <v>0313-06</v>
      </c>
      <c r="AE206" s="99" t="str">
        <f t="shared" si="77"/>
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</c>
      <c r="AF206" s="96" t="str">
        <f t="shared" si="78"/>
        <v>"C:\Program Files (x86)\AstroGrep\AstroGrep.exe" /spath="%USERPROFILE%\AppData\Local\Temp\OnboardLogs" /stypes="*4002*19700101*" /stext=" 05:.+((SYSTEM_STATE.+slice.+state.+changed )|(ment ac)|(system.+state.+changed )|(\|lc)|(penalty)|(\[timeout)|(PRM\|1\|D)|(kpr)|(kdp))" /e /r /s</v>
      </c>
      <c r="AG206" s="1" t="str">
        <f t="shared" si="79"/>
        <v>Other</v>
      </c>
      <c r="AH206" s="100" t="str">
        <f t="shared" si="65"/>
        <v>"%USERPROFILE%\Documents\GitHub\eaglep3\Utilities\RefineRTDCRunTimes.py" --tripid 313-06 --locoid 4002 --swversion DE.1.0.7.0 --startMP 204:506 --initTime 2016-09-07T01:35:15 --startdatetime 1969-12-31T23:00:00 --delay 1 --endMP 300:23132 --enddatetime 1969-12-31T23:00:00 --enforcementcount 0 &gt;&gt;C:\Users\stu\Documents\GitHub\eaglep3-reporting\EC\2016-09-06-refined-times.txt</v>
      </c>
      <c r="AI206" s="147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{"issue":{"subject":"","project_id":79,"tracker_id":40,"status_id":1,"priority_id":2,"assigned_to_id":23,"start_date":"1969-12-31","description":"","custom_fields":[{"id":1,"name":"Subdivision","value":"Other"},{"id":4,"name":"Milepost","value":"2.2626"},{"id":17,"name":"Train ID","value":"313-06"},{"id":16,"name":"Locomotive ID","value":"4002"},{"id":130,"name":"Impact","value":""},{"id":150,"name":"Time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304</v>
      </c>
      <c r="B207" s="7">
        <v>4044</v>
      </c>
      <c r="C207" s="24" t="s">
        <v>112</v>
      </c>
      <c r="D207" s="24" t="s">
        <v>160</v>
      </c>
      <c r="E207" s="15">
        <v>42619.087800925925</v>
      </c>
      <c r="F207" s="15">
        <v>25568.958333333332</v>
      </c>
      <c r="G207" s="7">
        <v>1</v>
      </c>
      <c r="H207" s="15" t="s">
        <v>305</v>
      </c>
      <c r="I207" s="15">
        <v>25568.958333333332</v>
      </c>
      <c r="J207" s="7">
        <v>0</v>
      </c>
      <c r="K207" s="132" t="str">
        <f t="shared" si="67"/>
        <v>4043/4044</v>
      </c>
      <c r="L207" s="24" t="str">
        <f>VLOOKUP(A207,'Trips&amp;Operators'!$C$1:$E$10000,3,FALSE)</f>
        <v>YANAI</v>
      </c>
      <c r="M207" s="6">
        <f t="shared" si="68"/>
        <v>0</v>
      </c>
      <c r="N207" s="7">
        <f t="shared" si="64"/>
        <v>0</v>
      </c>
      <c r="O207" s="7"/>
      <c r="P207" s="7"/>
      <c r="Q207" s="25"/>
      <c r="R207" s="25"/>
      <c r="S207" s="37">
        <f t="shared" si="69"/>
        <v>1</v>
      </c>
      <c r="T207" s="52" t="str">
        <f t="shared" si="70"/>
        <v>NorthBound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01:06:26-0600',mode:absolute,to:'1970-01-01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07" s="54" t="str">
        <f t="shared" si="72"/>
        <v>Y</v>
      </c>
      <c r="X207" s="120">
        <f t="shared" si="63"/>
        <v>2</v>
      </c>
      <c r="Y207" s="69">
        <f t="shared" si="73"/>
        <v>4.5999999999999999E-2</v>
      </c>
      <c r="Z207" s="69">
        <f t="shared" si="74"/>
        <v>2.2254999999999998</v>
      </c>
      <c r="AA207" s="69">
        <f t="shared" si="75"/>
        <v>2.1795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76"/>
        <v>0315-05</v>
      </c>
      <c r="AE207" s="99" t="str">
        <f t="shared" si="77"/>
        <v>aws s3 cp s3://rtdc.mdm.uploadarchive/RTDC4044/1969-12-31/ "%USERPROFILE%\AppData\Local\Temp\OnboardLogs"\RTDC4044\1969-12-31 --recursive &amp; "%USERPROFILE%\Documents\GitHub\mrs-test-scripts\Headless Mode &amp; Sideloading\WalkAndUnGZ.bat" "%USERPROFILE%\AppData\Local\Temp\OnboardLogs"\RTDC4044\1969-12-31 &amp; aws s3 cp s3://rtdc.mdm.uploadarchive/RTDC4044/1970-01-01/ "%USERPROFILE%\AppData\Local\Temp\OnboardLogs"\RTDC4044\1970-01-01 --recursive &amp; "%USERPROFILE%\Documents\GitHub\mrs-test-scripts\Headless Mode &amp; Sideloading\WalkAndUnGZ.bat" "%USERPROFILE%\AppData\Local\Temp\OnboardLogs"\RTDC4044\1970-01-01</v>
      </c>
      <c r="AF207" s="96" t="str">
        <f t="shared" si="78"/>
        <v>"C:\Program Files (x86)\AstroGrep\AstroGrep.exe" /spath="%USERPROFILE%\AppData\Local\Temp\OnboardLogs" /stypes="*4044*19700101*" /stext=" 05:.+((SYSTEM_STATE.+slice.+state.+changed )|(ment ac)|(system.+state.+changed )|(\|lc)|(penalty)|(\[timeout)|(PRM\|1\|D)|(kpr)|(kdp))" /e /r /s</v>
      </c>
      <c r="AG207" s="1" t="str">
        <f t="shared" si="79"/>
        <v>Other</v>
      </c>
      <c r="AH207" s="100" t="str">
        <f t="shared" si="65"/>
        <v>"%USERPROFILE%\Documents\GitHub\eaglep3\Utilities\RefineRTDCRunTimes.py" --tripid 315-05 --locoid 4044 --swversion DE.1.0.7.0 --startMP 204:460 --initTime 2016-09-06T02:06:26 --startdatetime 1969-12-31T23:00:00 --delay 1 --endMP 300:22255 --enddatetime 1969-12-31T23:00:00 --enforcementcount 0 &gt;&gt;C:\Users\stu\Documents\GitHub\eaglep3-reporting\EC\2016-09-06-refined-times.txt</v>
      </c>
      <c r="AI207" s="147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{"issue":{"subject":"","project_id":79,"tracker_id":40,"status_id":1,"priority_id":2,"assigned_to_id":23,"start_date":"1969-12-31","description":"","custom_fields":[{"id":1,"name":"Subdivision","value":"Other"},{"id":4,"name":"Milepost","value":"2.1795"},{"id":17,"name":"Train ID","value":"315-05"},{"id":16,"name":"Locomotive ID","value":"4044"},{"id":130,"name":"Impact","value":""},{"id":150,"name":"Time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551</v>
      </c>
      <c r="B208" s="7">
        <v>4042</v>
      </c>
      <c r="C208" s="24" t="s">
        <v>112</v>
      </c>
      <c r="D208" s="24" t="s">
        <v>132</v>
      </c>
      <c r="E208" s="15">
        <v>42620.091539351852</v>
      </c>
      <c r="F208" s="15">
        <v>42620.093124999999</v>
      </c>
      <c r="G208" s="7">
        <v>1</v>
      </c>
      <c r="H208" s="15" t="s">
        <v>627</v>
      </c>
      <c r="I208" s="15">
        <v>42620.10087962963</v>
      </c>
      <c r="J208" s="7">
        <v>0</v>
      </c>
      <c r="K208" s="132" t="str">
        <f t="shared" si="67"/>
        <v>4041/4042</v>
      </c>
      <c r="L208" s="24" t="e">
        <f>VLOOKUP(A208,'Trips&amp;Operators'!$C$1:$E$10000,3,FALSE)</f>
        <v>#N/A</v>
      </c>
      <c r="M208" s="6">
        <f t="shared" si="68"/>
        <v>7.7546296306536533E-3</v>
      </c>
      <c r="N208" s="7">
        <f t="shared" si="64"/>
        <v>11.166666668141261</v>
      </c>
      <c r="O208" s="7"/>
      <c r="P208" s="7"/>
      <c r="Q208" s="25"/>
      <c r="R208" s="25"/>
      <c r="S208" s="37">
        <f t="shared" si="69"/>
        <v>1</v>
      </c>
      <c r="T208" s="52" t="str">
        <f t="shared" si="70"/>
        <v>NorthBound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01:11:49-0600',mode:absolute,to:'2016-09-07 03:25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8" s="54" t="str">
        <f t="shared" si="72"/>
        <v>Y</v>
      </c>
      <c r="X208" s="120">
        <f t="shared" si="63"/>
        <v>0</v>
      </c>
      <c r="Y208" s="69">
        <f t="shared" si="73"/>
        <v>4.53E-2</v>
      </c>
      <c r="Z208" s="69">
        <f t="shared" si="74"/>
        <v>2.2829000000000002</v>
      </c>
      <c r="AA208" s="69">
        <f t="shared" si="75"/>
        <v>2.2376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76"/>
        <v>0315-06</v>
      </c>
      <c r="AE208" s="99" t="str">
        <f t="shared" si="77"/>
        <v>aws s3 cp s3://rtdc.mdm.uploadarchive/RTDC4042/2016-09-07/ "%USERPROFILE%\AppData\Local\Temp\OnboardLogs"\RTDC4042\2016-09-07 --recursive &amp; "%USERPROFILE%\Documents\GitHub\mrs-test-scripts\Headless Mode &amp; Sideloading\WalkAndUnGZ.bat" "%USERPROFILE%\AppData\Local\Temp\OnboardLogs"\RTDC4042\2016-09-07 &amp; aws s3 cp s3://rtdc.mdm.uploadarchive/RTDC4042/2016-09-08/ "%USERPROFILE%\AppData\Local\Temp\OnboardLogs"\RTDC4042\2016-09-08 --recursive &amp; "%USERPROFILE%\Documents\GitHub\mrs-test-scripts\Headless Mode &amp; Sideloading\WalkAndUnGZ.bat" "%USERPROFILE%\AppData\Local\Temp\OnboardLogs"\RTDC4042\2016-09-08</v>
      </c>
      <c r="AF208" s="96" t="str">
        <f t="shared" si="78"/>
        <v>"C:\Program Files (x86)\AstroGrep\AstroGrep.exe" /spath="%USERPROFILE%\AppData\Local\Temp\OnboardLogs" /stypes="*4042*20160907*" /stext=" 08:.+((SYSTEM_STATE.+slice.+state.+changed )|(ment ac)|(system.+state.+changed )|(\|lc)|(penalty)|(\[timeout)|(PRM\|1\|D)|(kpr)|(kdp))" /e /r /s</v>
      </c>
      <c r="AG208" s="1" t="str">
        <f t="shared" si="79"/>
        <v>Other</v>
      </c>
      <c r="AH208" s="100" t="str">
        <f t="shared" si="65"/>
        <v>"%USERPROFILE%\Documents\GitHub\eaglep3\Utilities\RefineRTDCRunTimes.py" --tripid 315-06 --locoid 4042 --swversion DE.1.0.7.0 --startMP 204:453 --initTime 2016-09-07T02:11:49 --startdatetime 2016-09-07T02:14:06 --delay 1 --endMP 300:22829 --enddatetime 2016-09-07T02:25:16 --enforcementcount 0 &gt;&gt;C:\Users\stu\Documents\GitHub\eaglep3-reporting\EC\2016-09-06-refined-times.txt</v>
      </c>
      <c r="AI208" s="147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{"issue":{"subject":"","project_id":79,"tracker_id":40,"status_id":1,"priority_id":2,"assigned_to_id":23,"start_date":"2016-09-07","description":"","custom_fields":[{"id":1,"name":"Subdivision","value":"Other"},{"id":4,"name":"Milepost","value":"2.2376"},{"id":17,"name":"Train ID","value":"315-06"},{"id":16,"name":"Locomotive ID","value":"4042"},{"id":130,"name":"Impact","value":""},{"id":150,"name":"Time of Event (Mountain Time)","value":"02:25:16"},{"id":151,"name":"Denver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461</v>
      </c>
      <c r="B209" s="7">
        <v>4010</v>
      </c>
      <c r="C209" s="24" t="s">
        <v>112</v>
      </c>
      <c r="D209" s="24" t="s">
        <v>697</v>
      </c>
      <c r="E209" s="15">
        <v>42619.639618055553</v>
      </c>
      <c r="F209" s="15">
        <v>42619.642256944448</v>
      </c>
      <c r="G209" s="7">
        <v>3</v>
      </c>
      <c r="H209" s="15" t="s">
        <v>657</v>
      </c>
      <c r="I209" s="15">
        <v>42619.649189814816</v>
      </c>
      <c r="J209" s="7">
        <v>0</v>
      </c>
      <c r="K209" s="132" t="str">
        <f t="shared" si="67"/>
        <v>4009/4010</v>
      </c>
      <c r="L209" s="24" t="e">
        <f>VLOOKUP(A209,'Trips&amp;Operators'!$C$1:$E$10000,3,FALSE)</f>
        <v>#N/A</v>
      </c>
      <c r="M209" s="6">
        <f t="shared" si="68"/>
        <v>6.9328703684732318E-3</v>
      </c>
      <c r="N209" s="7">
        <f t="shared" si="64"/>
        <v>9.9833333306014538</v>
      </c>
      <c r="O209" s="7"/>
      <c r="P209" s="7"/>
      <c r="Q209" s="25"/>
      <c r="R209" s="25"/>
      <c r="S209" s="37">
        <f t="shared" si="69"/>
        <v>1</v>
      </c>
      <c r="T209" s="52" t="str">
        <f t="shared" si="70"/>
        <v>Southbound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14:21:03-0600',mode:absolute,to:'2016-09-06 16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09" s="54" t="str">
        <f t="shared" si="72"/>
        <v>Y</v>
      </c>
      <c r="X209" s="120">
        <f t="shared" si="63"/>
        <v>589</v>
      </c>
      <c r="Y209" s="69">
        <f t="shared" si="73"/>
        <v>2.3412999999999999</v>
      </c>
      <c r="Z209" s="69">
        <f t="shared" si="74"/>
        <v>7.0599999999999996E-2</v>
      </c>
      <c r="AA209" s="69">
        <f t="shared" si="75"/>
        <v>2.2706999999999997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76"/>
        <v>0904-06</v>
      </c>
      <c r="AE209" s="99" t="str">
        <f t="shared" si="77"/>
        <v>aws s3 cp s3://rtdc.mdm.uploadarchive/RTDC4010/2016-09-06/ "%USERPROFILE%\AppData\Local\Temp\OnboardLogs"\RTDC4010\2016-09-06 --recursive &amp; "%USERPROFILE%\Documents\GitHub\mrs-test-scripts\Headless Mode &amp; Sideloading\WalkAndUnGZ.bat" "%USERPROFILE%\AppData\Local\Temp\OnboardLogs"\RTDC4010\2016-09-06 &amp; aws s3 cp s3://rtdc.mdm.uploadarchive/RTDC4010/2016-09-07/ "%USERPROFILE%\AppData\Local\Temp\OnboardLogs"\RTDC4010\2016-09-07 --recursive &amp; "%USERPROFILE%\Documents\GitHub\mrs-test-scripts\Headless Mode &amp; Sideloading\WalkAndUnGZ.bat" "%USERPROFILE%\AppData\Local\Temp\OnboardLogs"\RTDC4010\2016-09-07</v>
      </c>
      <c r="AF209" s="96" t="str">
        <f t="shared" si="78"/>
        <v>"C:\Program Files (x86)\AstroGrep\AstroGrep.exe" /spath="%USERPROFILE%\AppData\Local\Temp\OnboardLogs" /stypes="*4010*20160906*" /stext=" 21:.+((SYSTEM_STATE.+slice.+state.+changed )|(ment ac)|(system.+state.+changed )|(\|lc)|(penalty)|(\[timeout)|(PRM\|1\|D)|(kpr)|(kdp))" /e /r /s</v>
      </c>
      <c r="AG209" s="1" t="str">
        <f t="shared" si="79"/>
        <v>Other</v>
      </c>
      <c r="AH209" s="100" t="str">
        <f t="shared" si="65"/>
        <v>"%USERPROFILE%\Documents\GitHub\eaglep3\Utilities\RefineRTDCRunTimes.py" --tripid 904-06 --locoid 4010 --swversion DE.1.0.7.0 --startMP 300:23413 --initTime 2016-09-06T15:21:03 --startdatetime 2016-09-06T15:24:51 --delay 3 --endMP 204:706 --enddatetime 2016-09-06T15:34:50 --enforcementcount 0 &gt;&gt;C:\Users\stu\Documents\GitHub\eaglep3-reporting\EC\2016-09-06-refined-times.txt</v>
      </c>
      <c r="AI209" s="147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{"issue":{"subject":"","project_id":79,"tracker_id":40,"status_id":1,"priority_id":2,"assigned_to_id":23,"start_date":"2016-09-06","description":"","custom_fields":[{"id":1,"name":"Subdivision","value":"Other"},{"id":4,"name":"Milepost","value":"2.2707"},{"id":17,"name":"Train ID","value":"904-06"},{"id":16,"name":"Locomotive ID","value":"4010"},{"id":130,"name":"Impact","value":""},{"id":150,"name":"Time of Event (Mountain Time)","value":"15:34:50"},{"id":151,"name":"Denver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513</v>
      </c>
      <c r="B210" s="7">
        <v>4010</v>
      </c>
      <c r="C210" s="24" t="s">
        <v>112</v>
      </c>
      <c r="D210" s="24" t="s">
        <v>698</v>
      </c>
      <c r="E210" s="15">
        <v>42619.797222222223</v>
      </c>
      <c r="F210" s="15">
        <v>25568.958333333332</v>
      </c>
      <c r="G210" s="7">
        <v>1</v>
      </c>
      <c r="H210" s="15" t="s">
        <v>699</v>
      </c>
      <c r="I210" s="15">
        <v>25568.958333333332</v>
      </c>
      <c r="J210" s="7">
        <v>0</v>
      </c>
      <c r="K210" s="132" t="str">
        <f t="shared" si="67"/>
        <v>4009/4010</v>
      </c>
      <c r="L210" s="24" t="e">
        <f>VLOOKUP(A210,'Trips&amp;Operators'!$C$1:$E$10000,3,FALSE)</f>
        <v>#N/A</v>
      </c>
      <c r="M210" s="6">
        <f t="shared" si="68"/>
        <v>0</v>
      </c>
      <c r="N210" s="7">
        <f t="shared" si="64"/>
        <v>0</v>
      </c>
      <c r="O210" s="7"/>
      <c r="P210" s="7"/>
      <c r="Q210" s="25"/>
      <c r="R210" s="25"/>
      <c r="S210" s="37">
        <f t="shared" si="69"/>
        <v>0</v>
      </c>
      <c r="T210" s="52" t="str">
        <f t="shared" si="70"/>
        <v>Southbound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18:08:00-0600',mode:absolute,to:'1970-01-01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10" s="54" t="str">
        <f t="shared" si="72"/>
        <v>Y</v>
      </c>
      <c r="X210" s="120">
        <f t="shared" si="63"/>
        <v>2</v>
      </c>
      <c r="Y210" s="69">
        <f t="shared" si="73"/>
        <v>5.8638000000000003</v>
      </c>
      <c r="Z210" s="69">
        <f t="shared" si="74"/>
        <v>2.8784000000000001</v>
      </c>
      <c r="AA210" s="69">
        <f t="shared" si="75"/>
        <v>2.9854000000000003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76"/>
        <v>0906-06</v>
      </c>
      <c r="AE210" s="99" t="str">
        <f t="shared" si="77"/>
        <v>aws s3 cp s3://rtdc.mdm.uploadarchive/RTDC4010/1969-12-31/ "%USERPROFILE%\AppData\Local\Temp\OnboardLogs"\RTDC4010\1969-12-31 --recursive &amp; "%USERPROFILE%\Documents\GitHub\mrs-test-scripts\Headless Mode &amp; Sideloading\WalkAndUnGZ.bat" "%USERPROFILE%\AppData\Local\Temp\OnboardLogs"\RTDC4010\1969-12-31 &amp; aws s3 cp s3://rtdc.mdm.uploadarchive/RTDC4010/1970-01-01/ "%USERPROFILE%\AppData\Local\Temp\OnboardLogs"\RTDC4010\1970-01-01 --recursive &amp; "%USERPROFILE%\Documents\GitHub\mrs-test-scripts\Headless Mode &amp; Sideloading\WalkAndUnGZ.bat" "%USERPROFILE%\AppData\Local\Temp\OnboardLogs"\RTDC4010\1970-01-01</v>
      </c>
      <c r="AF210" s="96" t="str">
        <f t="shared" si="78"/>
        <v>"C:\Program Files (x86)\AstroGrep\AstroGrep.exe" /spath="%USERPROFILE%\AppData\Local\Temp\OnboardLogs" /stypes="*4010*19700101*" /stext=" 05:.+((SYSTEM_STATE.+slice.+state.+changed )|(ment ac)|(system.+state.+changed )|(\|lc)|(penalty)|(\[timeout)|(PRM\|1\|D)|(kpr)|(kdp))" /e /r /s</v>
      </c>
      <c r="AG210" s="1" t="str">
        <f t="shared" si="79"/>
        <v>Other</v>
      </c>
      <c r="AH210" s="100" t="str">
        <f t="shared" si="65"/>
        <v>"%USERPROFILE%\Documents\GitHub\eaglep3\Utilities\RefineRTDCRunTimes.py" --tripid 906-06 --locoid 4010 --swversion DE.1.0.7.0 --startMP 300:58638 --initTime 2016-09-06T19:08:00 --startdatetime 1969-12-31T23:00:00 --delay 1 --endMP 300:28784 --enddatetime 1969-12-31T23:00:00 --enforcementcount 0 &gt;&gt;C:\Users\stu\Documents\GitHub\eaglep3-reporting\EC\2016-09-06-refined-times.txt</v>
      </c>
      <c r="AI210" s="147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{"issue":{"subject":"","project_id":79,"tracker_id":40,"status_id":1,"priority_id":2,"assigned_to_id":23,"start_date":"1969-12-31","description":"","custom_fields":[{"id":1,"name":"Subdivision","value":"Other"},{"id":4,"name":"Milepost","value":"2.9854"},{"id":17,"name":"Train ID","value":"906-06"},{"id":16,"name":"Locomotive ID","value":"4010"},{"id":130,"name":"Impact","value":""},{"id":150,"name":"Time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535</v>
      </c>
      <c r="B211" s="7">
        <v>4017</v>
      </c>
      <c r="C211" s="24" t="s">
        <v>112</v>
      </c>
      <c r="D211" s="24" t="s">
        <v>700</v>
      </c>
      <c r="E211" s="15">
        <v>42619.943078703705</v>
      </c>
      <c r="F211" s="15">
        <v>42619.944710648146</v>
      </c>
      <c r="G211" s="7">
        <v>1</v>
      </c>
      <c r="H211" s="15" t="s">
        <v>701</v>
      </c>
      <c r="I211" s="15">
        <v>42619.950011574074</v>
      </c>
      <c r="J211" s="7">
        <v>0</v>
      </c>
      <c r="K211" s="132" t="str">
        <f t="shared" si="67"/>
        <v>4017/4018</v>
      </c>
      <c r="L211" s="24" t="e">
        <f>VLOOKUP(A211,'Trips&amp;Operators'!$C$1:$E$10000,3,FALSE)</f>
        <v>#N/A</v>
      </c>
      <c r="M211" s="6">
        <f t="shared" si="68"/>
        <v>5.3009259281679988E-3</v>
      </c>
      <c r="N211" s="7">
        <f t="shared" si="64"/>
        <v>7.6333333365619183</v>
      </c>
      <c r="O211" s="7"/>
      <c r="P211" s="7"/>
      <c r="Q211" s="25"/>
      <c r="R211" s="25"/>
      <c r="S211" s="37">
        <f t="shared" si="69"/>
        <v>0</v>
      </c>
      <c r="T211" s="52" t="str">
        <f t="shared" si="70"/>
        <v>Southbound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21:38:02-0600',mode:absolute,to:'2016-09-06 23:48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211" s="54" t="str">
        <f t="shared" si="72"/>
        <v>Y</v>
      </c>
      <c r="X211" s="120">
        <f t="shared" si="63"/>
        <v>2</v>
      </c>
      <c r="Y211" s="69">
        <f t="shared" si="73"/>
        <v>5.8630000000000004</v>
      </c>
      <c r="Z211" s="69">
        <f t="shared" si="74"/>
        <v>2.1749999999999998</v>
      </c>
      <c r="AA211" s="69">
        <f t="shared" si="75"/>
        <v>3.6880000000000006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76"/>
        <v>0908-06</v>
      </c>
      <c r="AE211" s="99" t="str">
        <f t="shared" si="77"/>
        <v>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 &amp; aws s3 cp s3://rtdc.mdm.uploadarchive/RTDC4017/2016-09-07/ "%USERPROFILE%\AppData\Local\Temp\OnboardLogs"\RTDC4017\2016-09-07 --recursive &amp; "%USERPROFILE%\Documents\GitHub\mrs-test-scripts\Headless Mode &amp; Sideloading\WalkAndUnGZ.bat" "%USERPROFILE%\AppData\Local\Temp\OnboardLogs"\RTDC4017\2016-09-07</v>
      </c>
      <c r="AF211" s="96" t="str">
        <f t="shared" si="78"/>
        <v>"C:\Program Files (x86)\AstroGrep\AstroGrep.exe" /spath="%USERPROFILE%\AppData\Local\Temp\OnboardLogs" /stypes="*4017*20160907*" /stext=" 04:.+((SYSTEM_STATE.+slice.+state.+changed )|(ment ac)|(system.+state.+changed )|(\|lc)|(penalty)|(\[timeout)|(PRM\|1\|D)|(kpr)|(kdp))" /e /r /s</v>
      </c>
      <c r="AG211" s="1" t="str">
        <f t="shared" si="79"/>
        <v>Other</v>
      </c>
      <c r="AH211" s="100" t="str">
        <f t="shared" si="65"/>
        <v>"%USERPROFILE%\Documents\GitHub\eaglep3\Utilities\RefineRTDCRunTimes.py" --tripid 908-06 --locoid 4017 --swversion DE.1.0.7.0 --startMP 300:58630 --initTime 2016-09-06T22:38:02 --startdatetime 2016-09-06T22:40:23 --delay 1 --endMP 300:21750 --enddatetime 2016-09-06T22:48:01 --enforcementcount 0 &gt;&gt;C:\Users\stu\Documents\GitHub\eaglep3-reporting\EC\2016-09-06-refined-times.txt</v>
      </c>
      <c r="AI211" s="147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{"issue":{"subject":"","project_id":79,"tracker_id":40,"status_id":1,"priority_id":2,"assigned_to_id":23,"start_date":"2016-09-06","description":"","custom_fields":[{"id":1,"name":"Subdivision","value":"Other"},{"id":4,"name":"Milepost","value":"3.688"},{"id":17,"name":"Train ID","value":"908-06"},{"id":16,"name":"Locomotive ID","value":"4017"},{"id":130,"name":"Impact","value":""},{"id":150,"name":"Time of Event (Mountain Time)","value":"22:48:01"},{"id":151,"name":"Denver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498</v>
      </c>
      <c r="B212" s="7">
        <v>4014</v>
      </c>
      <c r="C212" s="24" t="s">
        <v>112</v>
      </c>
      <c r="D212" s="24" t="s">
        <v>628</v>
      </c>
      <c r="E212" s="15">
        <v>42619.747662037036</v>
      </c>
      <c r="F212" s="15">
        <v>25568.958333333332</v>
      </c>
      <c r="G212" s="7">
        <v>1</v>
      </c>
      <c r="H212" s="15" t="s">
        <v>584</v>
      </c>
      <c r="I212" s="15">
        <v>25568.958333333332</v>
      </c>
      <c r="J212" s="7">
        <v>0</v>
      </c>
      <c r="K212" s="132" t="str">
        <f t="shared" si="67"/>
        <v>4013/4014</v>
      </c>
      <c r="L212" s="24" t="e">
        <f>VLOOKUP(A212,'Trips&amp;Operators'!$C$1:$E$10000,3,FALSE)</f>
        <v>#N/A</v>
      </c>
      <c r="M212" s="6">
        <f t="shared" si="68"/>
        <v>0</v>
      </c>
      <c r="N212" s="7">
        <f t="shared" si="64"/>
        <v>0</v>
      </c>
      <c r="O212" s="7"/>
      <c r="P212" s="7"/>
      <c r="Q212" s="25"/>
      <c r="R212" s="25"/>
      <c r="S212" s="37">
        <f t="shared" si="69"/>
        <v>0</v>
      </c>
      <c r="T212" s="52" t="e">
        <f t="shared" si="70"/>
        <v>#VALUE!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16:56:38-0600',mode:absolute,to:'1970-01-01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12" s="54" t="str">
        <f t="shared" si="72"/>
        <v>Y</v>
      </c>
      <c r="X212" s="120" t="e">
        <f t="shared" si="63"/>
        <v>#VALUE!</v>
      </c>
      <c r="Y212" s="69">
        <f t="shared" si="73"/>
        <v>0.16009999999999999</v>
      </c>
      <c r="Z212" s="69">
        <f t="shared" si="74"/>
        <v>2.3306</v>
      </c>
      <c r="AA212" s="69">
        <f t="shared" si="75"/>
        <v>2.1705000000000001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76"/>
        <v>63-06</v>
      </c>
      <c r="AE212" s="99" t="str">
        <f t="shared" si="77"/>
        <v>aws s3 cp s3://rtdc.mdm.uploadarchive/RTDC4014/1969-12-31/ "%USERPROFILE%\AppData\Local\Temp\OnboardLogs"\RTDC4014\1969-12-31 --recursive &amp; "%USERPROFILE%\Documents\GitHub\mrs-test-scripts\Headless Mode &amp; Sideloading\WalkAndUnGZ.bat" "%USERPROFILE%\AppData\Local\Temp\OnboardLogs"\RTDC4014\1969-12-31 &amp; aws s3 cp s3://rtdc.mdm.uploadarchive/RTDC4014/1970-01-01/ "%USERPROFILE%\AppData\Local\Temp\OnboardLogs"\RTDC4014\1970-01-01 --recursive &amp; "%USERPROFILE%\Documents\GitHub\mrs-test-scripts\Headless Mode &amp; Sideloading\WalkAndUnGZ.bat" "%USERPROFILE%\AppData\Local\Temp\OnboardLogs"\RTDC4014\1970-01-01</v>
      </c>
      <c r="AF212" s="96" t="str">
        <f t="shared" si="78"/>
        <v>"C:\Program Files (x86)\AstroGrep\AstroGrep.exe" /spath="%USERPROFILE%\AppData\Local\Temp\OnboardLogs" /stypes="*4014*19700101*" /stext=" 05:.+((SYSTEM_STATE.+slice.+state.+changed )|(ment ac)|(system.+state.+changed )|(\|lc)|(penalty)|(\[timeout)|(PRM\|1\|D)|(kpr)|(kdp))" /e /r /s</v>
      </c>
      <c r="AG212" s="1" t="str">
        <f t="shared" si="79"/>
        <v>Other</v>
      </c>
      <c r="AH212" s="100" t="str">
        <f t="shared" si="65"/>
        <v>"%USERPROFILE%\Documents\GitHub\eaglep3\Utilities\RefineRTDCRunTimes.py" --tripid 63-06 --locoid 4014 --swversion DE.1.0.7.0 --startMP 204:1601 --initTime 2016-09-06T17:56:38 --startdatetime 1969-12-31T23:00:00 --delay 1 --endMP 300:23306 --enddatetime 1969-12-31T23:00:00 --enforcementcount 0 &gt;&gt;C:\Users\stu\Documents\GitHub\eaglep3-reporting\EC\2016-09-06-refined-times.txt</v>
      </c>
      <c r="AI212" s="147" t="str">
        <f t="shared" si="66"/>
        <v>echo {"issue":{"subject":"","project_id":79,"tracker_id":40,"status_id":1,"priority_id":2,"assigned_to_id":23,"start_date":"1969-12-31","description":"","custom_fields":[{"id":1,"name":"Subdivision","value":"Other"},{"id":4,"name":"Milepost","value":"2.1705"},{"id":17,"name":"Train ID","value":"63-06"},{"id":16,"name":"Locomotive ID","value":"4014"},{"id":130,"name":"Impact","value":""},{"id":150,"name":"Time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306</v>
      </c>
      <c r="B213" s="7">
        <v>4052</v>
      </c>
      <c r="C213" s="24" t="s">
        <v>307</v>
      </c>
      <c r="D213" s="24" t="s">
        <v>308</v>
      </c>
      <c r="E213" s="15">
        <v>42619.092152777775</v>
      </c>
      <c r="F213" s="15">
        <v>42619.128981481481</v>
      </c>
      <c r="G213" s="7">
        <v>2</v>
      </c>
      <c r="H213" s="15" t="s">
        <v>309</v>
      </c>
      <c r="I213" s="15">
        <v>42619.142731481479</v>
      </c>
      <c r="J213" s="7">
        <v>0</v>
      </c>
      <c r="K213" s="132" t="str">
        <f t="shared" si="67"/>
        <v>4051/4052</v>
      </c>
      <c r="L213" s="24" t="b">
        <f>VLOOKUP(A213,'Trips&amp;Operators'!$C$1:$E$10000,3,FALSE)</f>
        <v>1</v>
      </c>
      <c r="M213" s="6">
        <f t="shared" si="68"/>
        <v>1.374999999825377E-2</v>
      </c>
      <c r="N213" s="7">
        <f t="shared" si="64"/>
        <v>19.799999997485429</v>
      </c>
      <c r="O213" s="7"/>
      <c r="P213" s="7"/>
      <c r="Q213" s="25"/>
      <c r="R213" s="25"/>
      <c r="S213" s="37">
        <f t="shared" si="69"/>
        <v>0</v>
      </c>
      <c r="T213" s="52" t="e">
        <f t="shared" si="70"/>
        <v>#VALUE!</v>
      </c>
      <c r="U213" s="12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01:12:42-0600',mode:absolute,to:'2016-09-06 04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13" s="54" t="str">
        <f t="shared" si="72"/>
        <v>N</v>
      </c>
      <c r="X213" s="120" t="e">
        <f t="shared" si="63"/>
        <v>#VALUE!</v>
      </c>
      <c r="Y213" s="69">
        <f t="shared" si="73"/>
        <v>12.7813</v>
      </c>
      <c r="Z213" s="69">
        <f t="shared" si="74"/>
        <v>1.0347</v>
      </c>
      <c r="AA213" s="69">
        <f t="shared" si="75"/>
        <v>11.746600000000001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76"/>
        <v>64-05</v>
      </c>
      <c r="AE213" s="99" t="str">
        <f t="shared" si="77"/>
        <v>aws s3 cp s3://rtdc.mdm.uploadarchive/RTDC4052/2016-09-06/ "%USERPROFILE%\AppData\Local\Temp\OnboardLogs"\RTDC4052\2016-09-06 --recursive &amp; "%USERPROFILE%\Documents\GitHub\mrs-test-scripts\Headless Mode &amp; Sideloading\WalkAndUnGZ.bat" "%USERPROFILE%\AppData\Local\Temp\OnboardLogs"\RTDC4052\2016-09-06 &amp; 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</v>
      </c>
      <c r="AF213" s="96" t="str">
        <f t="shared" si="78"/>
        <v>"C:\Program Files (x86)\AstroGrep\AstroGrep.exe" /spath="%USERPROFILE%\AppData\Local\Temp\OnboardLogs" /stypes="*4052*20160906*" /stext=" 09:.+((SYSTEM_STATE.+slice.+state.+changed )|(ment ac)|(system.+state.+changed )|(\|lc)|(penalty)|(\[timeout)|(PRM\|1\|D)|(kpr)|(kdp))" /e /r /s</v>
      </c>
      <c r="AG213" s="1" t="str">
        <f t="shared" si="79"/>
        <v>Other</v>
      </c>
      <c r="AH213" s="100" t="str">
        <f t="shared" si="65"/>
        <v>"%USERPROFILE%\Documents\GitHub\eaglep3\Utilities\RefineRTDCRunTimes.py" --tripid 64-05 --locoid 4052 --swversion DE.1.0.8.0.ENG1 --startMP 204:127813 --initTime 2016-09-06T02:12:42 --startdatetime 2016-09-06T03:05:44 --delay 2 --endMP 204:10347 --enddatetime 2016-09-06T03:25:32 --enforcementcount 0 &gt;&gt;C:\Users\stu\Documents\GitHub\eaglep3-reporting\EC\2016-09-06-refined-times.txt</v>
      </c>
      <c r="AI213" s="147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{"issue":{"subject":"","project_id":79,"tracker_id":40,"status_id":1,"priority_id":2,"assigned_to_id":23,"start_date":"2016-09-06","description":"","custom_fields":[{"id":1,"name":"Subdivision","value":"Other"},{"id":4,"name":"Milepost","value":"11.7466"},{"id":17,"name":"Train ID","value":"64-05"},{"id":16,"name":"Locomotive ID","value":"4052"},{"id":130,"name":"Impact","value":""},{"id":150,"name":"Time of Event (Mountain Time)","value":"03:25:32"},{"id":151,"name":"Denver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306</v>
      </c>
      <c r="B214" s="7">
        <v>4052</v>
      </c>
      <c r="C214" s="24" t="s">
        <v>307</v>
      </c>
      <c r="D214" s="24" t="s">
        <v>629</v>
      </c>
      <c r="E214" s="15">
        <v>42619.127442129633</v>
      </c>
      <c r="F214" s="15">
        <v>42619.128981481481</v>
      </c>
      <c r="G214" s="7">
        <v>0</v>
      </c>
      <c r="H214" s="15" t="s">
        <v>630</v>
      </c>
      <c r="I214" s="15">
        <v>42619.142731481479</v>
      </c>
      <c r="J214" s="7">
        <v>0</v>
      </c>
      <c r="K214" s="132" t="str">
        <f t="shared" si="67"/>
        <v>4051/4052</v>
      </c>
      <c r="L214" s="24" t="b">
        <f>VLOOKUP(A214,'Trips&amp;Operators'!$C$1:$E$10000,3,FALSE)</f>
        <v>1</v>
      </c>
      <c r="M214" s="6">
        <f t="shared" si="68"/>
        <v>1.374999999825377E-2</v>
      </c>
      <c r="N214" s="7">
        <f t="shared" si="64"/>
        <v>19.799999997485429</v>
      </c>
      <c r="O214" s="7"/>
      <c r="P214" s="7"/>
      <c r="Q214" s="25"/>
      <c r="R214" s="25"/>
      <c r="S214" s="37">
        <f t="shared" si="69"/>
        <v>0</v>
      </c>
      <c r="T214" s="52" t="e">
        <f t="shared" si="70"/>
        <v>#VALUE!</v>
      </c>
      <c r="U214" s="12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02:03:31-0600',mode:absolute,to:'2016-09-06 04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14" s="54" t="str">
        <f t="shared" si="72"/>
        <v>N</v>
      </c>
      <c r="X214" s="120" t="e">
        <f t="shared" si="63"/>
        <v>#VALUE!</v>
      </c>
      <c r="Y214" s="69">
        <f t="shared" si="73"/>
        <v>12.786099999999999</v>
      </c>
      <c r="Z214" s="69">
        <f t="shared" si="74"/>
        <v>0.96460000000000001</v>
      </c>
      <c r="AA214" s="69">
        <f t="shared" si="75"/>
        <v>11.821499999999999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76"/>
        <v>64-05</v>
      </c>
      <c r="AE214" s="99" t="str">
        <f t="shared" si="77"/>
        <v>aws s3 cp s3://rtdc.mdm.uploadarchive/RTDC4052/2016-09-06/ "%USERPROFILE%\AppData\Local\Temp\OnboardLogs"\RTDC4052\2016-09-06 --recursive &amp; "%USERPROFILE%\Documents\GitHub\mrs-test-scripts\Headless Mode &amp; Sideloading\WalkAndUnGZ.bat" "%USERPROFILE%\AppData\Local\Temp\OnboardLogs"\RTDC4052\2016-09-06 &amp; 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</v>
      </c>
      <c r="AF214" s="96" t="str">
        <f t="shared" si="78"/>
        <v>"C:\Program Files (x86)\AstroGrep\AstroGrep.exe" /spath="%USERPROFILE%\AppData\Local\Temp\OnboardLogs" /stypes="*4052*20160906*" /stext=" 09:.+((SYSTEM_STATE.+slice.+state.+changed )|(ment ac)|(system.+state.+changed )|(\|lc)|(penalty)|(\[timeout)|(PRM\|1\|D)|(kpr)|(kdp))" /e /r /s</v>
      </c>
      <c r="AG214" s="1" t="str">
        <f t="shared" si="79"/>
        <v>Other</v>
      </c>
      <c r="AH214" s="100" t="str">
        <f t="shared" si="65"/>
        <v>"%USERPROFILE%\Documents\GitHub\eaglep3\Utilities\RefineRTDCRunTimes.py" --tripid 64-05 --locoid 4052 --swversion DE.1.0.8.0.ENG1 --startMP 204:127861 --initTime 2016-09-06T03:03:31 --startdatetime 2016-09-06T03:05:44 --delay 0 --endMP 204:9646 --enddatetime 2016-09-06T03:25:32 --enforcementcount 0 &gt;&gt;C:\Users\stu\Documents\GitHub\eaglep3-reporting\EC\2016-09-06-refined-times.txt</v>
      </c>
      <c r="AI214" s="147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{"issue":{"subject":"","project_id":79,"tracker_id":40,"status_id":1,"priority_id":2,"assigned_to_id":23,"start_date":"2016-09-06","description":"","custom_fields":[{"id":1,"name":"Subdivision","value":"Other"},{"id":4,"name":"Milepost","value":"11.8215"},{"id":17,"name":"Train ID","value":"64-05"},{"id":16,"name":"Locomotive ID","value":"4052"},{"id":130,"name":"Impact","value":""},{"id":150,"name":"Time of Event (Mountain Time)","value":"03:25:32"},{"id":151,"name":"Denver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488</v>
      </c>
      <c r="B215" s="7">
        <v>4019</v>
      </c>
      <c r="C215" s="24" t="s">
        <v>112</v>
      </c>
      <c r="D215" s="24" t="s">
        <v>631</v>
      </c>
      <c r="E215" s="15">
        <v>42619.729305555556</v>
      </c>
      <c r="F215" s="15">
        <v>42619.734178240738</v>
      </c>
      <c r="G215" s="7">
        <v>6</v>
      </c>
      <c r="H215" s="15" t="s">
        <v>632</v>
      </c>
      <c r="I215" s="15">
        <v>42619.740590277775</v>
      </c>
      <c r="J215" s="7">
        <v>0</v>
      </c>
      <c r="K215" s="132" t="str">
        <f t="shared" si="67"/>
        <v>4019/4020</v>
      </c>
      <c r="L215" s="24" t="e">
        <f>VLOOKUP(A215,'Trips&amp;Operators'!$C$1:$E$10000,3,FALSE)</f>
        <v>#N/A</v>
      </c>
      <c r="M215" s="6">
        <f t="shared" si="68"/>
        <v>6.4120370370801538E-3</v>
      </c>
      <c r="N215" s="7">
        <f t="shared" si="64"/>
        <v>9.2333333333954215</v>
      </c>
      <c r="O215" s="7"/>
      <c r="P215" s="7"/>
      <c r="Q215" s="25"/>
      <c r="R215" s="25"/>
      <c r="S215" s="37">
        <f t="shared" si="69"/>
        <v>0</v>
      </c>
      <c r="T215" s="52" t="e">
        <f t="shared" si="70"/>
        <v>#VALUE!</v>
      </c>
      <c r="U215" s="12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16:30:12-0600',mode:absolute,to:'2016-09-06 18:46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15" s="54" t="str">
        <f t="shared" si="72"/>
        <v>Y</v>
      </c>
      <c r="X215" s="120" t="e">
        <f t="shared" si="63"/>
        <v>#VALUE!</v>
      </c>
      <c r="Y215" s="69">
        <f t="shared" si="73"/>
        <v>2.3342000000000001</v>
      </c>
      <c r="Z215" s="69">
        <f t="shared" si="74"/>
        <v>9.0800000000000006E-2</v>
      </c>
      <c r="AA215" s="69">
        <f t="shared" si="75"/>
        <v>2.2433999999999998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76"/>
        <v>64-06</v>
      </c>
      <c r="AE215" s="99" t="str">
        <f t="shared" si="77"/>
        <v>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 &amp; aws s3 cp s3://rtdc.mdm.uploadarchive/RTDC4019/2016-09-07/ "%USERPROFILE%\AppData\Local\Temp\OnboardLogs"\RTDC4019\2016-09-07 --recursive &amp; "%USERPROFILE%\Documents\GitHub\mrs-test-scripts\Headless Mode &amp; Sideloading\WalkAndUnGZ.bat" "%USERPROFILE%\AppData\Local\Temp\OnboardLogs"\RTDC4019\2016-09-07</v>
      </c>
      <c r="AF215" s="96" t="str">
        <f t="shared" si="78"/>
        <v>"C:\Program Files (x86)\AstroGrep\AstroGrep.exe" /spath="%USERPROFILE%\AppData\Local\Temp\OnboardLogs" /stypes="*4019*20160906*" /stext=" 23:.+((SYSTEM_STATE.+slice.+state.+changed )|(ment ac)|(system.+state.+changed )|(\|lc)|(penalty)|(\[timeout)|(PRM\|1\|D)|(kpr)|(kdp))" /e /r /s</v>
      </c>
      <c r="AG215" s="1" t="str">
        <f t="shared" si="79"/>
        <v>Other</v>
      </c>
      <c r="AH215" s="100" t="str">
        <f t="shared" si="65"/>
        <v>"%USERPROFILE%\Documents\GitHub\eaglep3\Utilities\RefineRTDCRunTimes.py" --tripid 64-06 --locoid 4019 --swversion DE.1.0.7.0 --startMP 300:23342 --initTime 2016-09-06T17:30:12 --startdatetime 2016-09-06T17:37:13 --delay 6 --endMP 204:908 --enddatetime 2016-09-06T17:46:27 --enforcementcount 0 &gt;&gt;C:\Users\stu\Documents\GitHub\eaglep3-reporting\EC\2016-09-06-refined-times.txt</v>
      </c>
      <c r="AI215" s="147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{"issue":{"subject":"","project_id":79,"tracker_id":40,"status_id":1,"priority_id":2,"assigned_to_id":23,"start_date":"2016-09-06","description":"","custom_fields":[{"id":1,"name":"Subdivision","value":"Other"},{"id":4,"name":"Milepost","value":"2.2434"},{"id":17,"name":"Train ID","value":"64-06"},{"id":16,"name":"Locomotive ID","value":"4019"},{"id":130,"name":"Impact","value":""},{"id":150,"name":"Time of Event (Mountain Time)","value":"17:46:27"},{"id":151,"name":"Denver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310</v>
      </c>
      <c r="B216" s="7">
        <v>4051</v>
      </c>
      <c r="C216" s="24" t="s">
        <v>307</v>
      </c>
      <c r="D216" s="24" t="s">
        <v>311</v>
      </c>
      <c r="E216" s="15">
        <v>42619.073425925926</v>
      </c>
      <c r="F216" s="15">
        <v>42619.113078703704</v>
      </c>
      <c r="G216" s="7">
        <v>1</v>
      </c>
      <c r="H216" s="15" t="s">
        <v>312</v>
      </c>
      <c r="I216" s="15">
        <v>42619.126493055555</v>
      </c>
      <c r="J216" s="7">
        <v>0</v>
      </c>
      <c r="K216" s="132" t="str">
        <f t="shared" si="67"/>
        <v>4051/4052</v>
      </c>
      <c r="L216" s="24" t="b">
        <f>VLOOKUP(A216,'Trips&amp;Operators'!$C$1:$E$10000,3,FALSE)</f>
        <v>1</v>
      </c>
      <c r="M216" s="6">
        <f t="shared" si="68"/>
        <v>1.3414351851679385E-2</v>
      </c>
      <c r="N216" s="7">
        <f t="shared" si="64"/>
        <v>19.316666666418314</v>
      </c>
      <c r="O216" s="7"/>
      <c r="P216" s="7"/>
      <c r="Q216" s="25"/>
      <c r="R216" s="25"/>
      <c r="S216" s="37">
        <f t="shared" si="69"/>
        <v>0</v>
      </c>
      <c r="T216" s="52" t="e">
        <f t="shared" si="70"/>
        <v>#VALUE!</v>
      </c>
      <c r="U216" s="12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00:45:44-0600',mode:absolute,to:'2016-09-06 04:02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6" s="54" t="str">
        <f t="shared" si="72"/>
        <v>N</v>
      </c>
      <c r="X216" s="120" t="e">
        <f t="shared" si="63"/>
        <v>#VALUE!</v>
      </c>
      <c r="Y216" s="69">
        <f t="shared" si="73"/>
        <v>1.0515000000000001</v>
      </c>
      <c r="Z216" s="69">
        <f t="shared" si="74"/>
        <v>12.8079</v>
      </c>
      <c r="AA216" s="69">
        <f t="shared" si="75"/>
        <v>11.756399999999999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76"/>
        <v>65-05</v>
      </c>
      <c r="AE216" s="99" t="str">
        <f t="shared" si="77"/>
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</c>
      <c r="AF216" s="96" t="str">
        <f t="shared" si="78"/>
        <v>"C:\Program Files (x86)\AstroGrep\AstroGrep.exe" /spath="%USERPROFILE%\AppData\Local\Temp\OnboardLogs" /stypes="*4051*20160906*" /stext=" 09:.+((SYSTEM_STATE.+slice.+state.+changed )|(ment ac)|(system.+state.+changed )|(\|lc)|(penalty)|(\[timeout)|(PRM\|1\|D)|(kpr)|(kdp))" /e /r /s</v>
      </c>
      <c r="AG216" s="1" t="str">
        <f t="shared" si="79"/>
        <v>Other</v>
      </c>
      <c r="AH216" s="100" t="str">
        <f t="shared" si="65"/>
        <v>"%USERPROFILE%\Documents\GitHub\eaglep3\Utilities\RefineRTDCRunTimes.py" --tripid 65-05 --locoid 4051 --swversion DE.1.0.8.0.ENG1 --startMP 204:10515 --initTime 2016-09-06T01:45:44 --startdatetime 2016-09-06T02:42:50 --delay 1 --endMP 204:128079 --enddatetime 2016-09-06T03:02:09 --enforcementcount 0 &gt;&gt;C:\Users\stu\Documents\GitHub\eaglep3-reporting\EC\2016-09-06-refined-times.txt</v>
      </c>
      <c r="AI216" s="147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{"issue":{"subject":"","project_id":79,"tracker_id":40,"status_id":1,"priority_id":2,"assigned_to_id":23,"start_date":"2016-09-06","description":"","custom_fields":[{"id":1,"name":"Subdivision","value":"Other"},{"id":4,"name":"Milepost","value":"11.7564"},{"id":17,"name":"Train ID","value":"65-05"},{"id":16,"name":"Locomotive ID","value":"4051"},{"id":130,"name":"Impact","value":""},{"id":150,"name":"Time of Event (Mountain Time)","value":"03:02:09"},{"id":151,"name":"Denver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310</v>
      </c>
      <c r="B217" s="7">
        <v>4051</v>
      </c>
      <c r="C217" s="24" t="s">
        <v>307</v>
      </c>
      <c r="D217" s="24" t="s">
        <v>313</v>
      </c>
      <c r="E217" s="15">
        <v>42619.110497685186</v>
      </c>
      <c r="F217" s="15">
        <v>42619.113078703704</v>
      </c>
      <c r="G217" s="7">
        <v>0</v>
      </c>
      <c r="H217" s="15" t="s">
        <v>314</v>
      </c>
      <c r="I217" s="15">
        <v>42619.126493055555</v>
      </c>
      <c r="J217" s="7">
        <v>0</v>
      </c>
      <c r="K217" s="132" t="str">
        <f t="shared" si="67"/>
        <v>4051/4052</v>
      </c>
      <c r="L217" s="24" t="b">
        <f>VLOOKUP(A217,'Trips&amp;Operators'!$C$1:$E$10000,3,FALSE)</f>
        <v>1</v>
      </c>
      <c r="M217" s="6">
        <f t="shared" si="68"/>
        <v>1.3414351851679385E-2</v>
      </c>
      <c r="N217" s="7">
        <f t="shared" si="64"/>
        <v>19.316666666418314</v>
      </c>
      <c r="O217" s="7"/>
      <c r="P217" s="7"/>
      <c r="Q217" s="25"/>
      <c r="R217" s="25"/>
      <c r="S217" s="37">
        <f t="shared" si="69"/>
        <v>0</v>
      </c>
      <c r="T217" s="52" t="e">
        <f t="shared" si="70"/>
        <v>#VALUE!</v>
      </c>
      <c r="U217" s="12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01:39:07-0600',mode:absolute,to:'2016-09-06 04:02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7" s="54" t="str">
        <f t="shared" si="72"/>
        <v>N</v>
      </c>
      <c r="X217" s="120" t="e">
        <f t="shared" si="63"/>
        <v>#VALUE!</v>
      </c>
      <c r="Y217" s="69">
        <f t="shared" si="73"/>
        <v>1.0583</v>
      </c>
      <c r="Z217" s="69">
        <f t="shared" si="74"/>
        <v>12.8131</v>
      </c>
      <c r="AA217" s="69">
        <f t="shared" si="75"/>
        <v>11.754799999999999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76"/>
        <v>65-05</v>
      </c>
      <c r="AE217" s="99" t="str">
        <f t="shared" si="77"/>
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</c>
      <c r="AF217" s="96" t="str">
        <f t="shared" si="78"/>
        <v>"C:\Program Files (x86)\AstroGrep\AstroGrep.exe" /spath="%USERPROFILE%\AppData\Local\Temp\OnboardLogs" /stypes="*4051*20160906*" /stext=" 09:.+((SYSTEM_STATE.+slice.+state.+changed )|(ment ac)|(system.+state.+changed )|(\|lc)|(penalty)|(\[timeout)|(PRM\|1\|D)|(kpr)|(kdp))" /e /r /s</v>
      </c>
      <c r="AG217" s="1" t="str">
        <f t="shared" si="79"/>
        <v>Other</v>
      </c>
      <c r="AH217" s="100" t="str">
        <f t="shared" si="65"/>
        <v>"%USERPROFILE%\Documents\GitHub\eaglep3\Utilities\RefineRTDCRunTimes.py" --tripid 65-05 --locoid 4051 --swversion DE.1.0.8.0.ENG1 --startMP 204:10583 --initTime 2016-09-06T02:39:07 --startdatetime 2016-09-06T02:42:50 --delay 0 --endMP 204:128131 --enddatetime 2016-09-06T03:02:09 --enforcementcount 0 &gt;&gt;C:\Users\stu\Documents\GitHub\eaglep3-reporting\EC\2016-09-06-refined-times.txt</v>
      </c>
      <c r="AI217" s="147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{"issue":{"subject":"","project_id":79,"tracker_id":40,"status_id":1,"priority_id":2,"assigned_to_id":23,"start_date":"2016-09-06","description":"","custom_fields":[{"id":1,"name":"Subdivision","value":"Other"},{"id":4,"name":"Milepost","value":"11.7548"},{"id":17,"name":"Train ID","value":"65-05"},{"id":16,"name":"Locomotive ID","value":"4051"},{"id":130,"name":"Impact","value":""},{"id":150,"name":"Time of Event (Mountain Time)","value":"03:02:09"},{"id":151,"name":"Denver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492</v>
      </c>
      <c r="B218" s="7">
        <v>4022</v>
      </c>
      <c r="C218" s="24" t="s">
        <v>112</v>
      </c>
      <c r="D218" s="24" t="s">
        <v>633</v>
      </c>
      <c r="E218" s="15">
        <v>42619.733657407407</v>
      </c>
      <c r="F218" s="15">
        <v>42619.746828703705</v>
      </c>
      <c r="G218" s="7">
        <v>3</v>
      </c>
      <c r="H218" s="15" t="s">
        <v>634</v>
      </c>
      <c r="I218" s="15">
        <v>42619.755173611113</v>
      </c>
      <c r="J218" s="7">
        <v>0</v>
      </c>
      <c r="K218" s="132" t="str">
        <f t="shared" si="67"/>
        <v>4021/4022</v>
      </c>
      <c r="L218" s="24" t="e">
        <f>VLOOKUP(A218,'Trips&amp;Operators'!$C$1:$E$10000,3,FALSE)</f>
        <v>#N/A</v>
      </c>
      <c r="M218" s="6">
        <f t="shared" si="68"/>
        <v>8.3449074081727304E-3</v>
      </c>
      <c r="N218" s="7">
        <f t="shared" si="64"/>
        <v>12.016666667768732</v>
      </c>
      <c r="O218" s="7"/>
      <c r="P218" s="7"/>
      <c r="Q218" s="25"/>
      <c r="R218" s="25"/>
      <c r="S218" s="37">
        <f t="shared" si="69"/>
        <v>0</v>
      </c>
      <c r="T218" s="52" t="e">
        <f t="shared" si="70"/>
        <v>#VALUE!</v>
      </c>
      <c r="U218" s="12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16:36:28-0600',mode:absolute,to:'2016-09-06 19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18" s="54" t="str">
        <f t="shared" si="72"/>
        <v>Y</v>
      </c>
      <c r="X218" s="120" t="e">
        <f t="shared" si="63"/>
        <v>#VALUE!</v>
      </c>
      <c r="Y218" s="69">
        <f t="shared" si="73"/>
        <v>3.6999999999999998E-2</v>
      </c>
      <c r="Z218" s="69">
        <f t="shared" si="74"/>
        <v>2.4207999999999998</v>
      </c>
      <c r="AA218" s="69">
        <f t="shared" si="75"/>
        <v>2.3837999999999999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76"/>
        <v>66-06</v>
      </c>
      <c r="AE218" s="99" t="str">
        <f t="shared" si="77"/>
        <v>aws s3 cp s3://rtdc.mdm.uploadarchive/RTDC4022/2016-09-06/ "%USERPROFILE%\AppData\Local\Temp\OnboardLogs"\RTDC4022\2016-09-06 --recursive &amp; "%USERPROFILE%\Documents\GitHub\mrs-test-scripts\Headless Mode &amp; Sideloading\WalkAndUnGZ.bat" "%USERPROFILE%\AppData\Local\Temp\OnboardLogs"\RTDC4022\2016-09-06 &amp; aws s3 cp s3://rtdc.mdm.uploadarchive/RTDC4022/2016-09-07/ "%USERPROFILE%\AppData\Local\Temp\OnboardLogs"\RTDC4022\2016-09-07 --recursive &amp; "%USERPROFILE%\Documents\GitHub\mrs-test-scripts\Headless Mode &amp; Sideloading\WalkAndUnGZ.bat" "%USERPROFILE%\AppData\Local\Temp\OnboardLogs"\RTDC4022\2016-09-07</v>
      </c>
      <c r="AF218" s="96" t="str">
        <f t="shared" si="78"/>
        <v>"C:\Program Files (x86)\AstroGrep\AstroGrep.exe" /spath="%USERPROFILE%\AppData\Local\Temp\OnboardLogs" /stypes="*4022*20160907*" /stext=" 00:.+((SYSTEM_STATE.+slice.+state.+changed )|(ment ac)|(system.+state.+changed )|(\|lc)|(penalty)|(\[timeout)|(PRM\|1\|D)|(kpr)|(kdp))" /e /r /s</v>
      </c>
      <c r="AG218" s="1" t="str">
        <f t="shared" si="79"/>
        <v>Other</v>
      </c>
      <c r="AH218" s="100" t="str">
        <f t="shared" si="65"/>
        <v>"%USERPROFILE%\Documents\GitHub\eaglep3\Utilities\RefineRTDCRunTimes.py" --tripid 66-06 --locoid 4022 --swversion DE.1.0.7.0 --startMP 204:370 --initTime 2016-09-06T17:36:28 --startdatetime 2016-09-06T17:55:26 --delay 3 --endMP 300:24208 --enddatetime 2016-09-06T18:07:27 --enforcementcount 0 &gt;&gt;C:\Users\stu\Documents\GitHub\eaglep3-reporting\EC\2016-09-06-refined-times.txt</v>
      </c>
      <c r="AI218" s="147" t="str">
        <f t="shared" si="66"/>
        <v>echo {"issue":{"subject":"","project_id":79,"tracker_id":40,"status_id":1,"priority_id":2,"assigned_to_id":23,"start_date":"2016-09-06","description":"","custom_fields":[{"id":1,"name":"Subdivision","value":"Other"},{"id":4,"name":"Milepost","value":"2.3838"},{"id":17,"name":"Train ID","value":"66-06"},{"id":16,"name":"Locomotive ID","value":"4022"},{"id":130,"name":"Impact","value":""},{"id":150,"name":"Time of Event (Mountain Time)","value":"18:07:27"},{"id":151,"name":"Denver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546</v>
      </c>
      <c r="B219" s="7">
        <v>4051</v>
      </c>
      <c r="C219" s="24" t="s">
        <v>307</v>
      </c>
      <c r="D219" s="24" t="s">
        <v>635</v>
      </c>
      <c r="E219" s="15">
        <v>42620.0780787037</v>
      </c>
      <c r="F219" s="15">
        <v>42620.122847222221</v>
      </c>
      <c r="G219" s="7">
        <v>0</v>
      </c>
      <c r="H219" s="15" t="s">
        <v>636</v>
      </c>
      <c r="I219" s="15">
        <v>42620.136423611111</v>
      </c>
      <c r="J219" s="7">
        <v>0</v>
      </c>
      <c r="K219" s="132" t="str">
        <f t="shared" si="67"/>
        <v>4051/4052</v>
      </c>
      <c r="L219" s="24" t="e">
        <f>VLOOKUP(A219,'Trips&amp;Operators'!$C$1:$E$10000,3,FALSE)</f>
        <v>#N/A</v>
      </c>
      <c r="M219" s="6">
        <f t="shared" si="68"/>
        <v>1.357638889021473E-2</v>
      </c>
      <c r="N219" s="7">
        <f t="shared" si="64"/>
        <v>19.550000001909211</v>
      </c>
      <c r="O219" s="7"/>
      <c r="P219" s="7"/>
      <c r="Q219" s="25"/>
      <c r="R219" s="25"/>
      <c r="S219" s="37">
        <f t="shared" si="69"/>
        <v>0</v>
      </c>
      <c r="T219" s="52" t="e">
        <f t="shared" si="70"/>
        <v>#VALUE!</v>
      </c>
      <c r="U219" s="12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00:52:26-0600',mode:absolute,to:'2016-09-07 04:16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19" s="54" t="str">
        <f t="shared" si="72"/>
        <v>N</v>
      </c>
      <c r="X219" s="120" t="e">
        <f t="shared" si="63"/>
        <v>#VALUE!</v>
      </c>
      <c r="Y219" s="69">
        <f t="shared" si="73"/>
        <v>1.0561</v>
      </c>
      <c r="Z219" s="69">
        <f t="shared" si="74"/>
        <v>12.8118</v>
      </c>
      <c r="AA219" s="69">
        <f t="shared" si="75"/>
        <v>11.755699999999999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76"/>
        <v>67-06</v>
      </c>
      <c r="AE219" s="99" t="str">
        <f t="shared" si="77"/>
        <v>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 &amp; 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</v>
      </c>
      <c r="AF219" s="96" t="str">
        <f t="shared" si="78"/>
        <v>"C:\Program Files (x86)\AstroGrep\AstroGrep.exe" /spath="%USERPROFILE%\AppData\Local\Temp\OnboardLogs" /stypes="*4051*20160907*" /stext=" 09:.+((SYSTEM_STATE.+slice.+state.+changed )|(ment ac)|(system.+state.+changed )|(\|lc)|(penalty)|(\[timeout)|(PRM\|1\|D)|(kpr)|(kdp))" /e /r /s</v>
      </c>
      <c r="AG219" s="1" t="str">
        <f t="shared" si="79"/>
        <v>Other</v>
      </c>
      <c r="AH219" s="100" t="str">
        <f t="shared" si="65"/>
        <v>"%USERPROFILE%\Documents\GitHub\eaglep3\Utilities\RefineRTDCRunTimes.py" --tripid 67-06 --locoid 4051 --swversion DE.1.0.8.0.ENG1 --startMP 204:10561 --initTime 2016-09-07T01:52:26 --startdatetime 2016-09-07T02:56:54 --delay 0 --endMP 204:128118 --enddatetime 2016-09-07T03:16:27 --enforcementcount 0 &gt;&gt;C:\Users\stu\Documents\GitHub\eaglep3-reporting\EC\2016-09-06-refined-times.txt</v>
      </c>
      <c r="AI219" s="147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{"issue":{"subject":"","project_id":79,"tracker_id":40,"status_id":1,"priority_id":2,"assigned_to_id":23,"start_date":"2016-09-07","description":"","custom_fields":[{"id":1,"name":"Subdivision","value":"Other"},{"id":4,"name":"Milepost","value":"11.7557"},{"id":17,"name":"Train ID","value":"67-06"},{"id":16,"name":"Locomotive ID","value":"4051"},{"id":130,"name":"Impact","value":""},{"id":150,"name":"Time of Event (Mountain Time)","value":"03:16:27"},{"id":151,"name":"Denver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546</v>
      </c>
      <c r="B220" s="7">
        <v>4051</v>
      </c>
      <c r="C220" s="24" t="s">
        <v>307</v>
      </c>
      <c r="D220" s="24" t="s">
        <v>637</v>
      </c>
      <c r="E220" s="15">
        <v>42620.034745370373</v>
      </c>
      <c r="F220" s="15">
        <v>42620.062199074076</v>
      </c>
      <c r="G220" s="7">
        <v>4</v>
      </c>
      <c r="H220" s="15" t="s">
        <v>638</v>
      </c>
      <c r="I220" s="15">
        <v>42620.07603009259</v>
      </c>
      <c r="J220" s="7">
        <v>0</v>
      </c>
      <c r="K220" s="132" t="str">
        <f t="shared" si="67"/>
        <v>4051/4052</v>
      </c>
      <c r="L220" s="24" t="e">
        <f>VLOOKUP(A220,'Trips&amp;Operators'!$C$1:$E$10000,3,FALSE)</f>
        <v>#N/A</v>
      </c>
      <c r="M220" s="6">
        <f t="shared" si="68"/>
        <v>1.3831018513883464E-2</v>
      </c>
      <c r="N220" s="7">
        <f t="shared" si="64"/>
        <v>19.916666659992188</v>
      </c>
      <c r="O220" s="7"/>
      <c r="P220" s="7"/>
      <c r="Q220" s="25"/>
      <c r="R220" s="25"/>
      <c r="S220" s="37">
        <f t="shared" si="69"/>
        <v>0</v>
      </c>
      <c r="T220" s="52" t="e">
        <f t="shared" si="70"/>
        <v>#VALUE!</v>
      </c>
      <c r="U220" s="12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https://search-rtdc-monitor-bjffxe2xuh6vdkpspy63sjmuny.us-east-1.es.amazonaws.com/_plugin/kibana/#/discover/Steve-Slow-Train-Analysis-(2080s-and-2083s)?_g=(refreshInterval:(display:Off,section:0,value:0),time:(from:'2016-09-06 23:50:02-0600',mode:absolute,to:'2016-09-07 02:49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W220" s="54" t="str">
        <f t="shared" si="72"/>
        <v>N</v>
      </c>
      <c r="X220" s="120" t="e">
        <f t="shared" si="63"/>
        <v>#VALUE!</v>
      </c>
      <c r="Y220" s="69">
        <f t="shared" si="73"/>
        <v>1.0624</v>
      </c>
      <c r="Z220" s="69">
        <f t="shared" si="74"/>
        <v>12.8093</v>
      </c>
      <c r="AA220" s="69">
        <f t="shared" si="75"/>
        <v>11.7469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76"/>
        <v>67-06</v>
      </c>
      <c r="AE220" s="99" t="str">
        <f t="shared" si="77"/>
        <v>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 &amp; aws s3 cp s3://rtdc.mdm.uploadarchive/RTDC4051/2016-09-08/ "%USERPROFILE%\AppData\Local\Temp\OnboardLogs"\RTDC4051\2016-09-08 --recursive &amp; "%USERPROFILE%\Documents\GitHub\mrs-test-scripts\Headless Mode &amp; Sideloading\WalkAndUnGZ.bat" "%USERPROFILE%\AppData\Local\Temp\OnboardLogs"\RTDC4051\2016-09-08</v>
      </c>
      <c r="AF220" s="96" t="str">
        <f t="shared" si="78"/>
        <v>"C:\Program Files (x86)\AstroGrep\AstroGrep.exe" /spath="%USERPROFILE%\AppData\Local\Temp\OnboardLogs" /stypes="*4051*20160907*" /stext=" 07:.+((SYSTEM_STATE.+slice.+state.+changed )|(ment ac)|(system.+state.+changed )|(\|lc)|(penalty)|(\[timeout)|(PRM\|1\|D)|(kpr)|(kdp))" /e /r /s</v>
      </c>
      <c r="AG220" s="1" t="str">
        <f t="shared" si="79"/>
        <v>Other</v>
      </c>
      <c r="AH220" s="100" t="str">
        <f t="shared" si="65"/>
        <v>"%USERPROFILE%\Documents\GitHub\eaglep3\Utilities\RefineRTDCRunTimes.py" --tripid 67-06 --locoid 4051 --swversion DE.1.0.8.0.ENG1 --startMP 204:10624 --initTime 2016-09-07T00:50:02 --startdatetime 2016-09-07T01:29:34 --delay 4 --endMP 204:128093 --enddatetime 2016-09-07T01:49:29 --enforcementcount 0 &gt;&gt;C:\Users\stu\Documents\GitHub\eaglep3-reporting\EC\2016-09-06-refined-times.txt</v>
      </c>
      <c r="AI220" s="147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{"issue":{"subject":"","project_id":79,"tracker_id":40,"status_id":1,"priority_id":2,"assigned_to_id":23,"start_date":"2016-09-07","description":"","custom_fields":[{"id":1,"name":"Subdivision","value":"Other"},{"id":4,"name":"Milepost","value":"11.7469"},{"id":17,"name":"Train ID","value":"67-06"},{"id":16,"name":"Locomotive ID","value":"4051"},{"id":130,"name":"Impact","value":""},{"id":150,"name":"Time of Event (Mountain Time)","value":"01:49:29"},{"id":151,"name":"Denver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548</v>
      </c>
      <c r="B221" s="7">
        <v>4052</v>
      </c>
      <c r="C221" s="24" t="s">
        <v>307</v>
      </c>
      <c r="D221" s="24" t="s">
        <v>639</v>
      </c>
      <c r="E221" s="15">
        <v>42620.05982638889</v>
      </c>
      <c r="F221" s="15">
        <v>42620.062199074076</v>
      </c>
      <c r="G221" s="7">
        <v>1</v>
      </c>
      <c r="H221" s="15" t="s">
        <v>640</v>
      </c>
      <c r="I221" s="15">
        <v>42620.07603009259</v>
      </c>
      <c r="J221" s="7">
        <v>0</v>
      </c>
      <c r="K221" s="132" t="str">
        <f t="shared" si="67"/>
        <v>4051/4052</v>
      </c>
      <c r="L221" s="24" t="e">
        <f>VLOOKUP(A221,'Trips&amp;Operators'!$C$1:$E$10000,3,FALSE)</f>
        <v>#N/A</v>
      </c>
      <c r="M221" s="6">
        <f t="shared" si="68"/>
        <v>1.3831018513883464E-2</v>
      </c>
      <c r="N221" s="7">
        <f t="shared" si="64"/>
        <v>19.916666659992188</v>
      </c>
      <c r="O221" s="7"/>
      <c r="P221" s="7"/>
      <c r="Q221" s="25"/>
      <c r="R221" s="25"/>
      <c r="S221" s="37">
        <f t="shared" si="69"/>
        <v>0</v>
      </c>
      <c r="T221" s="52" t="e">
        <f t="shared" si="70"/>
        <v>#VALUE!</v>
      </c>
      <c r="U221" s="12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00:26:09-0600',mode:absolute,to:'2016-09-07 02:49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21" s="54" t="str">
        <f t="shared" si="72"/>
        <v>N</v>
      </c>
      <c r="X221" s="120" t="e">
        <f t="shared" si="63"/>
        <v>#VALUE!</v>
      </c>
      <c r="Y221" s="69">
        <f t="shared" si="73"/>
        <v>12.782500000000001</v>
      </c>
      <c r="Z221" s="69">
        <f t="shared" si="74"/>
        <v>1.0326</v>
      </c>
      <c r="AA221" s="69">
        <f t="shared" si="75"/>
        <v>11.7499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76"/>
        <v>69-06</v>
      </c>
      <c r="AE221" s="99" t="str">
        <f t="shared" si="77"/>
        <v>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 &amp; 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</v>
      </c>
      <c r="AF221" s="96" t="str">
        <f t="shared" si="78"/>
        <v>"C:\Program Files (x86)\AstroGrep\AstroGrep.exe" /spath="%USERPROFILE%\AppData\Local\Temp\OnboardLogs" /stypes="*4052*20160907*" /stext=" 07:.+((SYSTEM_STATE.+slice.+state.+changed )|(ment ac)|(system.+state.+changed )|(\|lc)|(penalty)|(\[timeout)|(PRM\|1\|D)|(kpr)|(kdp))" /e /r /s</v>
      </c>
      <c r="AG221" s="1" t="str">
        <f t="shared" si="79"/>
        <v>Other</v>
      </c>
      <c r="AH221" s="100" t="str">
        <f t="shared" si="65"/>
        <v>"%USERPROFILE%\Documents\GitHub\eaglep3\Utilities\RefineRTDCRunTimes.py" --tripid 69-06 --locoid 4052 --swversion DE.1.0.8.0.ENG1 --startMP 204:127825 --initTime 2016-09-07T01:26:09 --startdatetime 2016-09-07T01:29:34 --delay 1 --endMP 204:10326 --enddatetime 2016-09-07T01:49:29 --enforcementcount 0 &gt;&gt;C:\Users\stu\Documents\GitHub\eaglep3-reporting\EC\2016-09-06-refined-times.txt</v>
      </c>
      <c r="AI221" s="147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{"issue":{"subject":"","project_id":79,"tracker_id":40,"status_id":1,"priority_id":2,"assigned_to_id":23,"start_date":"2016-09-07","description":"","custom_fields":[{"id":1,"name":"Subdivision","value":"Other"},{"id":4,"name":"Milepost","value":"11.7499"},{"id":17,"name":"Train ID","value":"69-06"},{"id":16,"name":"Locomotive ID","value":"4052"},{"id":130,"name":"Impact","value":""},{"id":150,"name":"Time of Event (Mountain Time)","value":"01:49:29"},{"id":151,"name":"Denver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548</v>
      </c>
      <c r="B222" s="7">
        <v>4052</v>
      </c>
      <c r="C222" s="24" t="s">
        <v>307</v>
      </c>
      <c r="D222" s="24" t="s">
        <v>641</v>
      </c>
      <c r="E222" s="15">
        <v>42620.102962962963</v>
      </c>
      <c r="F222" s="15">
        <v>42620.140104166669</v>
      </c>
      <c r="G222" s="7">
        <v>1</v>
      </c>
      <c r="H222" s="15" t="s">
        <v>642</v>
      </c>
      <c r="I222" s="15">
        <v>42620.154317129629</v>
      </c>
      <c r="J222" s="7">
        <v>0</v>
      </c>
      <c r="K222" s="132" t="str">
        <f t="shared" si="67"/>
        <v>4051/4052</v>
      </c>
      <c r="L222" s="24" t="e">
        <f>VLOOKUP(A222,'Trips&amp;Operators'!$C$1:$E$10000,3,FALSE)</f>
        <v>#N/A</v>
      </c>
      <c r="M222" s="6">
        <f t="shared" si="68"/>
        <v>1.4212962960300501E-2</v>
      </c>
      <c r="N222" s="7">
        <f t="shared" si="64"/>
        <v>20.466666662832722</v>
      </c>
      <c r="O222" s="7"/>
      <c r="P222" s="7"/>
      <c r="Q222" s="25"/>
      <c r="R222" s="25"/>
      <c r="S222" s="37">
        <f t="shared" si="69"/>
        <v>0</v>
      </c>
      <c r="T222" s="52" t="e">
        <f t="shared" si="70"/>
        <v>#VALUE!</v>
      </c>
      <c r="U222" s="12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 t="shared" si="71"/>
        <v>https://search-rtdc-monitor-bjffxe2xuh6vdkpspy63sjmuny.us-east-1.es.amazonaws.com/_plugin/kibana/#/discover/Steve-Slow-Train-Analysis-(2080s-and-2083s)?_g=(refreshInterval:(display:Off,section:0,value:0),time:(from:'2016-09-07 01:28:16-0600',mode:absolute,to:'2016-09-07 04:42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4052%22')),sort:!(Time,asc))</v>
      </c>
      <c r="W222" s="54" t="str">
        <f t="shared" si="72"/>
        <v>N</v>
      </c>
      <c r="X222" s="120" t="e">
        <f t="shared" si="63"/>
        <v>#VALUE!</v>
      </c>
      <c r="Y222" s="69">
        <f t="shared" si="73"/>
        <v>12.7845</v>
      </c>
      <c r="Z222" s="69">
        <f t="shared" si="74"/>
        <v>1.0325</v>
      </c>
      <c r="AA222" s="69">
        <f t="shared" si="75"/>
        <v>11.751999999999999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 t="shared" si="76"/>
        <v>69-06</v>
      </c>
      <c r="AE222" s="99" t="str">
        <f t="shared" si="77"/>
        <v>aws s3 cp s3://rtdc.mdm.uploadarchive/RTDC4052/2016-09-07/ "%USERPROFILE%\AppData\Local\Temp\OnboardLogs"\RTDC4052\2016-09-07 --recursive &amp; "%USERPROFILE%\Documents\GitHub\mrs-test-scripts\Headless Mode &amp; Sideloading\WalkAndUnGZ.bat" "%USERPROFILE%\AppData\Local\Temp\OnboardLogs"\RTDC4052\2016-09-07 &amp; aws s3 cp s3://rtdc.mdm.uploadarchive/RTDC4052/2016-09-08/ "%USERPROFILE%\AppData\Local\Temp\OnboardLogs"\RTDC4052\2016-09-08 --recursive &amp; "%USERPROFILE%\Documents\GitHub\mrs-test-scripts\Headless Mode &amp; Sideloading\WalkAndUnGZ.bat" "%USERPROFILE%\AppData\Local\Temp\OnboardLogs"\RTDC4052\2016-09-08</v>
      </c>
      <c r="AF222" s="96" t="str">
        <f t="shared" si="78"/>
        <v>"C:\Program Files (x86)\AstroGrep\AstroGrep.exe" /spath="%USERPROFILE%\AppData\Local\Temp\OnboardLogs" /stypes="*4052*20160907*" /stext=" 09:.+((SYSTEM_STATE.+slice.+state.+changed )|(ment ac)|(system.+state.+changed )|(\|lc)|(penalty)|(\[timeout)|(PRM\|1\|D)|(kpr)|(kdp))" /e /r /s</v>
      </c>
      <c r="AG222" s="1" t="str">
        <f t="shared" si="79"/>
        <v>Other</v>
      </c>
      <c r="AH222" s="100" t="str">
        <f t="shared" si="65"/>
        <v>"%USERPROFILE%\Documents\GitHub\eaglep3\Utilities\RefineRTDCRunTimes.py" --tripid 69-06 --locoid 4052 --swversion DE.1.0.8.0.ENG1 --startMP 204:127845 --initTime 2016-09-07T02:28:16 --startdatetime 2016-09-07T03:21:45 --delay 1 --endMP 204:10325 --enddatetime 2016-09-07T03:42:13 --enforcementcount 0 &gt;&gt;C:\Users\stu\Documents\GitHub\eaglep3-reporting\EC\2016-09-06-refined-times.txt</v>
      </c>
      <c r="AI222" s="147" t="str">
        <f t="shared" si="66"/>
        <v>echo {"issue":{"subject":"","project_id":79,"tracker_id":40,"status_id":1,"priority_id":2,"assigned_to_id":23,"start_date":"2016-09-07","description":"","custom_fields":[{"id":1,"name":"Subdivision","value":"Other"},{"id":4,"name":"Milepost","value":"11.752"},{"id":17,"name":"Train ID","value":"69-06"},{"id":16,"name":"Locomotive ID","value":"4052"},{"id":130,"name":"Impact","value":""},{"id":150,"name":"Time of Event (Mountain Time)","value":"03:42:13"},{"id":151,"name":"Denver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32"/>
      <c r="L223" s="24"/>
      <c r="M223" s="6"/>
      <c r="N223" s="7"/>
      <c r="O223" s="7"/>
      <c r="P223" s="7"/>
      <c r="Q223" s="25"/>
      <c r="R223" s="25"/>
      <c r="S223" s="37"/>
      <c r="T223" s="52"/>
      <c r="U223" s="126"/>
      <c r="V223" s="106"/>
      <c r="W223" s="54"/>
      <c r="X223" s="120"/>
      <c r="Y223" s="69"/>
      <c r="Z223" s="69"/>
      <c r="AA223" s="69"/>
      <c r="AB223" s="66"/>
      <c r="AC223" s="62"/>
      <c r="AD223" s="63"/>
      <c r="AE223" s="99"/>
      <c r="AF223" s="96"/>
      <c r="AG223" s="1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32"/>
      <c r="L224" s="24"/>
      <c r="M224" s="6"/>
      <c r="N224" s="7"/>
      <c r="O224" s="7"/>
      <c r="P224" s="7"/>
      <c r="Q224" s="25"/>
      <c r="R224" s="25"/>
      <c r="S224" s="37"/>
      <c r="T224" s="52"/>
      <c r="U224" s="126"/>
      <c r="V224" s="106"/>
      <c r="W224" s="54"/>
      <c r="X224" s="120"/>
      <c r="Y224" s="69"/>
      <c r="Z224" s="69"/>
      <c r="AA224" s="69"/>
      <c r="AB224" s="66"/>
      <c r="AC224" s="62"/>
      <c r="AD224" s="63"/>
      <c r="AE224" s="99"/>
      <c r="AF224" s="96"/>
      <c r="AG224" s="1"/>
    </row>
  </sheetData>
  <autoFilter ref="A12:AG224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0" priority="259" operator="equal">
      <formula>"Y"</formula>
    </cfRule>
  </conditionalFormatting>
  <conditionalFormatting sqref="X13:X1048576">
    <cfRule type="cellIs" dxfId="79" priority="242" operator="greaterThan">
      <formula>1</formula>
    </cfRule>
  </conditionalFormatting>
  <conditionalFormatting sqref="X12:X1048576">
    <cfRule type="cellIs" dxfId="78" priority="239" operator="equal">
      <formula>0</formula>
    </cfRule>
  </conditionalFormatting>
  <conditionalFormatting sqref="A13:S224">
    <cfRule type="expression" dxfId="77" priority="235">
      <formula>$O13&gt;0</formula>
    </cfRule>
  </conditionalFormatting>
  <conditionalFormatting sqref="A13:S224">
    <cfRule type="expression" dxfId="76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4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Values'!$C$2:$C$13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>
    <tabColor theme="1"/>
  </sheetPr>
  <dimension ref="A1:AD64"/>
  <sheetViews>
    <sheetView tabSelected="1" topLeftCell="A2" workbookViewId="0">
      <selection activeCell="E20" sqref="E20"/>
    </sheetView>
  </sheetViews>
  <sheetFormatPr defaultRowHeight="15" x14ac:dyDescent="0.25"/>
  <cols>
    <col min="1" max="1" width="17.7109375" style="8" customWidth="1"/>
    <col min="2" max="2" width="17" bestFit="1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14" hidden="1" customWidth="1"/>
    <col min="16" max="16" width="13.28515625" customWidth="1"/>
    <col min="17" max="17" width="5" hidden="1" customWidth="1"/>
    <col min="18" max="18" width="5.5703125" style="97" hidden="1" customWidth="1"/>
    <col min="19" max="19" width="4.42578125" style="109" hidden="1" customWidth="1"/>
    <col min="20" max="20" width="6" style="94" hidden="1" customWidth="1"/>
    <col min="21" max="21" width="3.7109375" hidden="1" customWidth="1"/>
    <col min="22" max="22" width="18.28515625" style="50" hidden="1" customWidth="1"/>
    <col min="23" max="23" width="5.28515625" hidden="1" customWidth="1"/>
    <col min="24" max="24" width="6.7109375" hidden="1" customWidth="1"/>
    <col min="25" max="29" width="0" hidden="1" customWidth="1"/>
    <col min="30" max="30" width="24.5703125" bestFit="1" customWidth="1"/>
  </cols>
  <sheetData>
    <row r="1" spans="1:30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14"/>
      <c r="R1" s="97"/>
      <c r="S1" s="109"/>
      <c r="T1" s="94"/>
      <c r="V1" s="50"/>
    </row>
    <row r="2" spans="1:30" s="23" customFormat="1" x14ac:dyDescent="0.25">
      <c r="A2" s="8"/>
      <c r="F2" s="2"/>
      <c r="G2" s="2"/>
      <c r="H2" s="2"/>
      <c r="I2" s="2"/>
      <c r="K2" s="2"/>
      <c r="L2" s="161" t="s">
        <v>87</v>
      </c>
      <c r="M2" s="165"/>
      <c r="N2" s="133"/>
      <c r="O2" s="134">
        <f>COUNTIF($O$7:$O$393,"=Y")</f>
        <v>0</v>
      </c>
      <c r="P2" s="135"/>
      <c r="R2" s="97"/>
      <c r="S2" s="109"/>
      <c r="T2" s="94"/>
      <c r="V2" s="50"/>
    </row>
    <row r="3" spans="1:30" s="23" customFormat="1" ht="15.75" thickBot="1" x14ac:dyDescent="0.3">
      <c r="A3" s="8"/>
      <c r="F3" s="2"/>
      <c r="G3" s="2"/>
      <c r="H3" s="2"/>
      <c r="I3" s="2"/>
      <c r="K3" s="2"/>
      <c r="L3" s="162" t="s">
        <v>88</v>
      </c>
      <c r="M3" s="166"/>
      <c r="N3" s="136"/>
      <c r="O3" s="137">
        <f>COUNTA($O$7:$O$393)-O2</f>
        <v>41</v>
      </c>
      <c r="P3" s="135"/>
      <c r="R3" s="97"/>
      <c r="S3" s="109"/>
      <c r="T3" s="94"/>
      <c r="V3" s="50"/>
    </row>
    <row r="4" spans="1:30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14"/>
      <c r="R4" s="97"/>
      <c r="S4" s="109"/>
      <c r="T4" s="94"/>
      <c r="V4" s="50"/>
    </row>
    <row r="5" spans="1:30" s="11" customFormat="1" ht="15" customHeight="1" x14ac:dyDescent="0.25">
      <c r="A5" s="198" t="str">
        <f>"Eagle P3 Braking Events - "&amp;TEXT(Variables!$A$2,"YYYY-mm-dd")</f>
        <v>Eagle P3 Braking Events - 2016-09-06</v>
      </c>
      <c r="B5" s="198"/>
      <c r="C5" s="198"/>
      <c r="D5" s="198"/>
      <c r="E5" s="198"/>
      <c r="F5" s="198"/>
      <c r="G5" s="198"/>
      <c r="H5" s="198"/>
      <c r="I5" s="198"/>
      <c r="J5" s="198"/>
      <c r="K5" s="198"/>
      <c r="L5" s="198"/>
      <c r="M5" s="198"/>
      <c r="N5" s="198"/>
      <c r="O5" s="198"/>
      <c r="P5" s="12"/>
      <c r="R5" s="107"/>
      <c r="S5" s="110"/>
      <c r="T5" s="112"/>
      <c r="V5" s="51"/>
    </row>
    <row r="6" spans="1:30" s="159" customFormat="1" ht="69.75" customHeight="1" x14ac:dyDescent="0.2">
      <c r="A6" s="148" t="s">
        <v>38</v>
      </c>
      <c r="B6" s="149" t="s">
        <v>37</v>
      </c>
      <c r="C6" s="149" t="s">
        <v>36</v>
      </c>
      <c r="D6" s="149" t="s">
        <v>35</v>
      </c>
      <c r="E6" s="149" t="s">
        <v>34</v>
      </c>
      <c r="F6" s="150" t="s">
        <v>33</v>
      </c>
      <c r="G6" s="150" t="s">
        <v>32</v>
      </c>
      <c r="H6" s="150" t="s">
        <v>31</v>
      </c>
      <c r="I6" s="150" t="s">
        <v>705</v>
      </c>
      <c r="J6" s="206" t="s">
        <v>30</v>
      </c>
      <c r="K6" s="150" t="s">
        <v>29</v>
      </c>
      <c r="L6" s="163" t="s">
        <v>28</v>
      </c>
      <c r="M6" s="150" t="s">
        <v>751</v>
      </c>
      <c r="N6" s="151" t="s">
        <v>47</v>
      </c>
      <c r="O6" s="208" t="s">
        <v>27</v>
      </c>
      <c r="P6" s="149" t="s">
        <v>24</v>
      </c>
      <c r="Q6" s="210"/>
      <c r="R6" s="153" t="s">
        <v>101</v>
      </c>
      <c r="S6" s="154" t="s">
        <v>61</v>
      </c>
      <c r="T6" s="155" t="s">
        <v>100</v>
      </c>
      <c r="U6" s="149" t="s">
        <v>95</v>
      </c>
      <c r="V6" s="156" t="s">
        <v>96</v>
      </c>
      <c r="W6" s="152" t="s">
        <v>108</v>
      </c>
      <c r="X6" s="152" t="s">
        <v>109</v>
      </c>
      <c r="Y6" s="157" t="s">
        <v>194</v>
      </c>
      <c r="Z6" s="158" t="s">
        <v>195</v>
      </c>
      <c r="AA6" s="158" t="s">
        <v>167</v>
      </c>
      <c r="AB6" s="158" t="s">
        <v>196</v>
      </c>
      <c r="AD6" s="149" t="s">
        <v>1959</v>
      </c>
    </row>
    <row r="7" spans="1:30" s="1" customFormat="1" x14ac:dyDescent="0.25">
      <c r="A7" s="38">
        <v>42613.24832175926</v>
      </c>
      <c r="B7" s="33" t="s">
        <v>90</v>
      </c>
      <c r="C7" s="33" t="s">
        <v>722</v>
      </c>
      <c r="D7" s="33" t="s">
        <v>229</v>
      </c>
      <c r="E7" s="33" t="s">
        <v>206</v>
      </c>
      <c r="F7" s="49">
        <v>0</v>
      </c>
      <c r="G7" s="49">
        <v>87</v>
      </c>
      <c r="H7" s="49">
        <v>27256</v>
      </c>
      <c r="I7" s="49">
        <v>27233</v>
      </c>
      <c r="J7" s="207" t="s">
        <v>205</v>
      </c>
      <c r="K7" s="49">
        <v>27350</v>
      </c>
      <c r="L7" s="164" t="s">
        <v>53</v>
      </c>
      <c r="M7" s="49">
        <f>CONVERT((I7-K7)/10000,"mi","ft")*IF(L7="Increasing Mileposts (1)",-1,1)</f>
        <v>-61.776000000000003</v>
      </c>
      <c r="N7" s="233" t="str">
        <f>VLOOKUP(C7,'Trips&amp;Operators'!$C$1:$E$99999,3,FALSE)</f>
        <v>SPECTOR</v>
      </c>
      <c r="O7" s="209" t="s">
        <v>86</v>
      </c>
      <c r="P7" s="10" t="str">
        <f>VLOOKUP(A7,Enforcements_imported!$A$2:$N$286,14,FALSE)</f>
        <v>Early arrival</v>
      </c>
      <c r="Q7" s="211"/>
      <c r="R7" s="108" t="e">
        <f>VLOOKUP(C7,'Train Runs'!$A$13:$AE$9999,31,0)</f>
        <v>#N/A</v>
      </c>
      <c r="S7" s="111" t="e">
        <f>VLOOKUP(C7,'Train Runs'!$A$13:$AE$9999,22,0)</f>
        <v>#N/A</v>
      </c>
      <c r="T7" s="113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/stypes="*4013*201608311*" /stext=" 11:.+((SYSTEM_STATE.+slice.+state.+changed )|(ment ac)|(system.+state.+changed )|(\|lc)|(penalty)|(\[timeout)|(PRM\|1\|D)|(kpr)|(kdp))" /e /r /s</v>
      </c>
      <c r="U7" s="9" t="str">
        <f>MID(B7,13,4)</f>
        <v>4013</v>
      </c>
      <c r="V7" s="38">
        <f>A7+6/24</f>
        <v>42613.49832175926</v>
      </c>
      <c r="W7" s="52" t="str">
        <f>IF(VALUE(LEFT(IF(LEN(C7)=6,"0"&amp;C7,C7),2))&lt;=2,"EC",IF(OR(VALUE(LEFT(IF(LEN(C7)=6,"0"&amp;C7,C7),2))=8,VALUE(LEFT(IF(LEN(C7)=6,"0"&amp;C7,C7),2))=18),"NW","Other"))</f>
        <v>EC</v>
      </c>
      <c r="X7" s="52" t="str">
        <f>IF(AND(E7="TRACK WARRANT AUTHORITY",G7&lt;10),"OMIT","KEEP")</f>
        <v>KEEP</v>
      </c>
      <c r="Y7" s="147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arrival","project_id":79,"tracker_id":40,"status_id":1,"priority_id":2,"assigned_to_id":23,"start_date":"2016-08-31","description":"","custom_fields":[{"id":1,"name":"Subdivision","value":"EC"},{"id":4,"name":"Milepost","value":"2.735"},{"id":17,"name":"Train ID","value":"108-31"},{"id":16,"name":"Locomotive ID","value":"4013"},{"id":130,"name":"Impact","value":""},{"id":150,"name":"Time of Event (Mountain Time)","value":"05:57:35"},{"id":151,"name":"Denver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55"/>
      <c r="AD7" s="52" t="str">
        <f>UPPER(VLOOKUP(K7/10000,XING!$A$2:$B$9999,2,FALSE))</f>
        <v>YORK &amp; JOSEPHINE STREET</v>
      </c>
    </row>
    <row r="8" spans="1:30" s="1" customFormat="1" x14ac:dyDescent="0.25">
      <c r="A8" s="38">
        <v>42613.565648148149</v>
      </c>
      <c r="B8" s="33" t="s">
        <v>111</v>
      </c>
      <c r="C8" s="33" t="s">
        <v>731</v>
      </c>
      <c r="D8" s="33" t="s">
        <v>110</v>
      </c>
      <c r="E8" s="33" t="s">
        <v>206</v>
      </c>
      <c r="F8" s="49">
        <v>0</v>
      </c>
      <c r="G8" s="49">
        <v>322</v>
      </c>
      <c r="H8" s="49">
        <v>33156</v>
      </c>
      <c r="I8" s="49">
        <v>33595</v>
      </c>
      <c r="J8" s="207" t="s">
        <v>205</v>
      </c>
      <c r="K8" s="49">
        <v>33137</v>
      </c>
      <c r="L8" s="164" t="s">
        <v>52</v>
      </c>
      <c r="M8" s="49">
        <f>CONVERT((I8-K8)/10000,"mi","ft")*IF(L8="Increasing Mileposts (1)",-1,1)</f>
        <v>-241.82400000000001</v>
      </c>
      <c r="N8" s="233" t="str">
        <f>VLOOKUP(C8,'Trips&amp;Operators'!$C$1:$E$99999,3,FALSE)</f>
        <v>MAHAN</v>
      </c>
      <c r="O8" s="209" t="s">
        <v>86</v>
      </c>
      <c r="P8" s="10" t="str">
        <f>VLOOKUP(A8,Enforcements_imported!$A$2:$N$286,14,FALSE)</f>
        <v>Early arrival</v>
      </c>
      <c r="Q8" s="211"/>
      <c r="R8" s="108" t="e">
        <f>VLOOKUP(C8,'Train Runs'!$A$13:$AE$9999,31,0)</f>
        <v>#N/A</v>
      </c>
      <c r="S8" s="111" t="e">
        <f>VLOOKUP(C8,'Train Runs'!$A$13:$AE$9999,22,0)</f>
        <v>#N/A</v>
      </c>
      <c r="T8" s="113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/stypes="*4014*201608311*" /stext=" 19:.+((SYSTEM_STATE.+slice.+state.+changed )|(ment ac)|(system.+state.+changed )|(\|lc)|(penalty)|(\[timeout)|(PRM\|1\|D)|(kpr)|(kdp))" /e /r /s</v>
      </c>
      <c r="U8" s="9" t="str">
        <f>MID(B8,13,4)</f>
        <v>4014</v>
      </c>
      <c r="V8" s="38">
        <f>A8+6/24</f>
        <v>42613.815648148149</v>
      </c>
      <c r="W8" s="52" t="str">
        <f>IF(VALUE(LEFT(IF(LEN(C8)=6,"0"&amp;C8,C8),2))&lt;=2,"EC",IF(OR(VALUE(LEFT(IF(LEN(C8)=6,"0"&amp;C8,C8),2))=8,VALUE(LEFT(IF(LEN(C8)=6,"0"&amp;C8,C8),2))=18),"NW","Other"))</f>
        <v>EC</v>
      </c>
      <c r="X8" s="52" t="str">
        <f>IF(AND(E8="TRACK WARRANT AUTHORITY",G8&lt;10),"OMIT","KEEP")</f>
        <v>KEEP</v>
      </c>
      <c r="Y8" s="147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arrival","project_id":79,"tracker_id":40,"status_id":1,"priority_id":2,"assigned_to_id":23,"start_date":"2016-08-31","description":"","custom_fields":[{"id":1,"name":"Subdivision","value":"EC"},{"id":4,"name":"Milepost","value":"3.3137"},{"id":17,"name":"Train ID","value":"177-31"},{"id":16,"name":"Locomotive ID","value":"4014"},{"id":130,"name":"Impact","value":""},{"id":150,"name":"Time of Event (Mountain Time)","value":"13:34:32"},{"id":151,"name":"Denver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55"/>
      <c r="AD8" s="52" t="str">
        <f>UPPER(VLOOKUP(K8/10000,XING!$A$2:$B$9999,2,FALSE))</f>
        <v>STEELE ST</v>
      </c>
    </row>
    <row r="9" spans="1:30" s="1" customFormat="1" hidden="1" x14ac:dyDescent="0.25">
      <c r="A9" s="219">
        <v>42615.749884259261</v>
      </c>
      <c r="B9" s="220" t="s">
        <v>351</v>
      </c>
      <c r="C9" s="220" t="s">
        <v>736</v>
      </c>
      <c r="D9" s="220" t="s">
        <v>49</v>
      </c>
      <c r="E9" s="220" t="s">
        <v>206</v>
      </c>
      <c r="F9" s="221">
        <v>0</v>
      </c>
      <c r="G9" s="221">
        <v>118</v>
      </c>
      <c r="H9" s="221">
        <v>43558</v>
      </c>
      <c r="I9" s="221">
        <v>43306</v>
      </c>
      <c r="J9" s="33" t="s">
        <v>205</v>
      </c>
      <c r="K9" s="221">
        <v>42961</v>
      </c>
      <c r="L9" s="222" t="s">
        <v>53</v>
      </c>
      <c r="M9" s="223">
        <f>CONVERT((I9-K9)/10000,"mi","ft")*IF(L9="Increasing Mileposts (1)",-1,1)</f>
        <v>182.16</v>
      </c>
      <c r="N9" s="224" t="str">
        <f>VLOOKUP(C9,'Trips&amp;Operators'!$C$1:$E$99999,3,FALSE)</f>
        <v>CLARK</v>
      </c>
      <c r="O9" s="131" t="s">
        <v>86</v>
      </c>
      <c r="P9" s="225" t="str">
        <f>VLOOKUP(A9,Enforcements_imported!$A$2:$N$286,14,FALSE)</f>
        <v>Form C</v>
      </c>
      <c r="Q9" s="33"/>
      <c r="R9" s="108" t="e">
        <f>VLOOKUP(C9,'Train Runs'!$A$13:$AE$9999,31,0)</f>
        <v>#N/A</v>
      </c>
      <c r="S9" s="111" t="e">
        <f>VLOOKUP(C9,'Train Runs'!$A$13:$AE$9999,22,0)</f>
        <v>#N/A</v>
      </c>
      <c r="T9" s="113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/stypes="*4010*201609022*" /stext=" 23:.+((SYSTEM_STATE.+slice.+state.+changed )|(ment ac)|(system.+state.+changed )|(\|lc)|(penalty)|(\[timeout)|(PRM\|1\|D)|(kpr)|(kdp))" /e /r /s</v>
      </c>
      <c r="U9" s="9" t="str">
        <f>MID(B9,13,4)</f>
        <v>4010</v>
      </c>
      <c r="V9" s="38">
        <f>A9+6/24</f>
        <v>42615.999884259261</v>
      </c>
      <c r="W9" s="52" t="str">
        <f>IF(VALUE(LEFT(IF(LEN(C9)=6,"0"&amp;C9,C9),2))&lt;=2,"EC",IF(OR(VALUE(LEFT(IF(LEN(C9)=6,"0"&amp;C9,C9),2))=8,VALUE(LEFT(IF(LEN(C9)=6,"0"&amp;C9,C9),2))=18),"NW","Other"))</f>
        <v>EC</v>
      </c>
      <c r="X9" s="52" t="str">
        <f>IF(AND(E9="TRACK WARRANT AUTHORITY",G9&lt;10),"OMIT","KEEP")</f>
        <v>KEEP</v>
      </c>
      <c r="Y9" s="147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C","project_id":79,"tracker_id":40,"status_id":1,"priority_id":2,"assigned_to_id":23,"start_date":"2016-09-02","description":"","custom_fields":[{"id":1,"name":"Subdivision","value":"EC"},{"id":4,"name":"Milepost","value":"4.2961"},{"id":17,"name":"Train ID","value":"204-02"},{"id":16,"name":"Locomotive ID","value":"4010"},{"id":130,"name":"Impact","value":""},{"id":150,"name":"Time of Event (Mountain Time)","value":"17:59:50"},{"id":151,"name":"Denver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55"/>
    </row>
    <row r="10" spans="1:30" s="1" customFormat="1" hidden="1" x14ac:dyDescent="0.25">
      <c r="A10" s="38">
        <v>42618.683946759258</v>
      </c>
      <c r="B10" s="33" t="s">
        <v>226</v>
      </c>
      <c r="C10" s="33" t="s">
        <v>738</v>
      </c>
      <c r="D10" s="33" t="s">
        <v>49</v>
      </c>
      <c r="E10" s="33" t="s">
        <v>206</v>
      </c>
      <c r="F10" s="49">
        <v>0</v>
      </c>
      <c r="G10" s="49">
        <v>58</v>
      </c>
      <c r="H10" s="49">
        <v>53370</v>
      </c>
      <c r="I10" s="49">
        <v>53304</v>
      </c>
      <c r="J10" s="33" t="s">
        <v>205</v>
      </c>
      <c r="K10" s="49">
        <v>53277</v>
      </c>
      <c r="L10" s="164" t="s">
        <v>53</v>
      </c>
      <c r="M10" s="167">
        <f>CONVERT((I10-K10)/10000,"mi","ft")*IF(L10="Increasing Mileposts (1)",-1,1)</f>
        <v>14.256</v>
      </c>
      <c r="N10" s="92" t="str">
        <f>VLOOKUP(C10,'Trips&amp;Operators'!$C$1:$E$99999,3,FALSE)</f>
        <v>BONDS</v>
      </c>
      <c r="O10" s="131" t="s">
        <v>86</v>
      </c>
      <c r="P10" s="10" t="str">
        <f>VLOOKUP(A10,Enforcements_imported!$A$2:$N$286,14,FALSE)</f>
        <v>Form C</v>
      </c>
      <c r="Q10" s="33"/>
      <c r="R10" s="108" t="e">
        <f>VLOOKUP(C10,'Train Runs'!$A$13:$AE$9999,31,0)</f>
        <v>#N/A</v>
      </c>
      <c r="S10" s="111" t="e">
        <f>VLOOKUP(C10,'Train Runs'!$A$13:$AE$9999,22,0)</f>
        <v>#N/A</v>
      </c>
      <c r="T10" s="113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/stypes="*4043*201609052*" /stext=" 22:.+((SYSTEM_STATE.+slice.+state.+changed )|(ment ac)|(system.+state.+changed )|(\|lc)|(penalty)|(\[timeout)|(PRM\|1\|D)|(kpr)|(kdp))" /e /r /s</v>
      </c>
      <c r="U10" s="9" t="str">
        <f>MID(B10,13,4)</f>
        <v>4043</v>
      </c>
      <c r="V10" s="38">
        <f>A10+6/24</f>
        <v>42618.933946759258</v>
      </c>
      <c r="W10" s="52" t="str">
        <f>IF(VALUE(LEFT(IF(LEN(C10)=6,"0"&amp;C10,C10),2))&lt;=2,"EC",IF(OR(VALUE(LEFT(IF(LEN(C10)=6,"0"&amp;C10,C10),2))=8,VALUE(LEFT(IF(LEN(C10)=6,"0"&amp;C10,C10),2))=18),"NW","Other"))</f>
        <v>EC</v>
      </c>
      <c r="X10" s="52" t="str">
        <f>IF(AND(E10="TRACK WARRANT AUTHORITY",G10&lt;10),"OMIT","KEEP")</f>
        <v>KEEP</v>
      </c>
      <c r="Y10" s="147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ID","value":"192-05"},{"id":16,"name":"Locomotive ID","value":"4043"},{"id":130,"name":"Impact","value":""},{"id":150,"name":"Time of Event (Mountain Time)","value":"16:24:53"},{"id":151,"name":"Denver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55"/>
    </row>
    <row r="11" spans="1:30" s="1" customFormat="1" hidden="1" x14ac:dyDescent="0.25">
      <c r="A11" s="38">
        <v>42618.506921296299</v>
      </c>
      <c r="B11" s="33" t="s">
        <v>325</v>
      </c>
      <c r="C11" s="33" t="s">
        <v>739</v>
      </c>
      <c r="D11" s="33" t="s">
        <v>49</v>
      </c>
      <c r="E11" s="33" t="s">
        <v>206</v>
      </c>
      <c r="F11" s="49">
        <v>0</v>
      </c>
      <c r="G11" s="49">
        <v>38</v>
      </c>
      <c r="H11" s="49">
        <v>53384</v>
      </c>
      <c r="I11" s="49">
        <v>53351</v>
      </c>
      <c r="J11" s="33" t="s">
        <v>205</v>
      </c>
      <c r="K11" s="49">
        <v>53277</v>
      </c>
      <c r="L11" s="164" t="s">
        <v>53</v>
      </c>
      <c r="M11" s="167">
        <f>CONVERT((I11-K11)/10000,"mi","ft")*IF(L11="Increasing Mileposts (1)",-1,1)</f>
        <v>39.072000000000003</v>
      </c>
      <c r="N11" s="92" t="str">
        <f>VLOOKUP(C11,'Trips&amp;Operators'!$C$1:$E$99999,3,FALSE)</f>
        <v>MALAVE</v>
      </c>
      <c r="O11" s="131" t="s">
        <v>86</v>
      </c>
      <c r="P11" s="10" t="str">
        <f>VLOOKUP(A11,Enforcements_imported!$A$2:$N$286,14,FALSE)</f>
        <v>Form C</v>
      </c>
      <c r="Q11" s="33"/>
      <c r="R11" s="108" t="e">
        <f>VLOOKUP(C11,'Train Runs'!$A$13:$AE$9999,31,0)</f>
        <v>#N/A</v>
      </c>
      <c r="S11" s="111" t="e">
        <f>VLOOKUP(C11,'Train Runs'!$A$13:$AE$9999,22,0)</f>
        <v>#N/A</v>
      </c>
      <c r="T11" s="113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/stypes="*4012*201609051*" /stext=" 18:.+((SYSTEM_STATE.+slice.+state.+changed )|(ment ac)|(system.+state.+changed )|(\|lc)|(penalty)|(\[timeout)|(PRM\|1\|D)|(kpr)|(kdp))" /e /r /s</v>
      </c>
      <c r="U11" s="9" t="str">
        <f>MID(B11,13,4)</f>
        <v>4012</v>
      </c>
      <c r="V11" s="38">
        <f>A11+6/24</f>
        <v>42618.756921296299</v>
      </c>
      <c r="W11" s="52" t="str">
        <f>IF(VALUE(LEFT(IF(LEN(C11)=6,"0"&amp;C11,C11),2))&lt;=2,"EC",IF(OR(VALUE(LEFT(IF(LEN(C11)=6,"0"&amp;C11,C11),2))=8,VALUE(LEFT(IF(LEN(C11)=6,"0"&amp;C11,C11),2))=18),"NW","Other"))</f>
        <v>EC</v>
      </c>
      <c r="X11" s="52" t="str">
        <f>IF(AND(E11="TRACK WARRANT AUTHORITY",G11&lt;10),"OMIT","KEEP")</f>
        <v>KEEP</v>
      </c>
      <c r="Y11" s="147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ID","value":"158-05"},{"id":16,"name":"Locomotive ID","value":"4012"},{"id":130,"name":"Impact","value":""},{"id":150,"name":"Time of Event (Mountain Time)","value":"12:09:58"},{"id":151,"name":"Denver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55"/>
    </row>
    <row r="12" spans="1:30" s="1" customFormat="1" hidden="1" x14ac:dyDescent="0.25">
      <c r="A12" s="38">
        <v>42618.757719907408</v>
      </c>
      <c r="B12" s="33" t="s">
        <v>226</v>
      </c>
      <c r="C12" s="33" t="s">
        <v>740</v>
      </c>
      <c r="D12" s="33" t="s">
        <v>49</v>
      </c>
      <c r="E12" s="33" t="s">
        <v>206</v>
      </c>
      <c r="F12" s="49">
        <v>0</v>
      </c>
      <c r="G12" s="49">
        <v>30</v>
      </c>
      <c r="H12" s="49">
        <v>53370</v>
      </c>
      <c r="I12" s="49">
        <v>53357</v>
      </c>
      <c r="J12" s="33" t="s">
        <v>205</v>
      </c>
      <c r="K12" s="49">
        <v>53277</v>
      </c>
      <c r="L12" s="164" t="s">
        <v>53</v>
      </c>
      <c r="M12" s="167">
        <f>CONVERT((I12-K12)/10000,"mi","ft")*IF(L12="Increasing Mileposts (1)",-1,1)</f>
        <v>42.24</v>
      </c>
      <c r="N12" s="92" t="str">
        <f>VLOOKUP(C12,'Trips&amp;Operators'!$C$1:$E$99999,3,FALSE)</f>
        <v>BONDS</v>
      </c>
      <c r="O12" s="131" t="s">
        <v>86</v>
      </c>
      <c r="P12" s="10" t="str">
        <f>VLOOKUP(A12,Enforcements_imported!$A$2:$N$286,14,FALSE)</f>
        <v>Form C</v>
      </c>
      <c r="Q12" s="33"/>
      <c r="R12" s="108" t="e">
        <f>VLOOKUP(C12,'Train Runs'!$A$13:$AE$9999,31,0)</f>
        <v>#N/A</v>
      </c>
      <c r="S12" s="111" t="e">
        <f>VLOOKUP(C12,'Train Runs'!$A$13:$AE$9999,22,0)</f>
        <v>#N/A</v>
      </c>
      <c r="T12" s="113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/stypes="*4043*201609060*" /stext=" 00:.+((SYSTEM_STATE.+slice.+state.+changed )|(ment ac)|(system.+state.+changed )|(\|lc)|(penalty)|(\[timeout)|(PRM\|1\|D)|(kpr)|(kdp))" /e /r /s</v>
      </c>
      <c r="U12" s="9" t="str">
        <f>MID(B12,13,4)</f>
        <v>4043</v>
      </c>
      <c r="V12" s="38">
        <f>A12+6/24</f>
        <v>42619.007719907408</v>
      </c>
      <c r="W12" s="52" t="str">
        <f>IF(VALUE(LEFT(IF(LEN(C12)=6,"0"&amp;C12,C12),2))&lt;=2,"EC",IF(OR(VALUE(LEFT(IF(LEN(C12)=6,"0"&amp;C12,C12),2))=8,VALUE(LEFT(IF(LEN(C12)=6,"0"&amp;C12,C12),2))=18),"NW","Other"))</f>
        <v>EC</v>
      </c>
      <c r="X12" s="52" t="str">
        <f>IF(AND(E12="TRACK WARRANT AUTHORITY",G12&lt;10),"OMIT","KEEP")</f>
        <v>KEEP</v>
      </c>
      <c r="Y12" s="147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ID","value":"206-05"},{"id":16,"name":"Locomotive ID","value":"4043"},{"id":130,"name":"Impact","value":""},{"id":150,"name":"Time of Event (Mountain Time)","value":"18:11:07"},{"id":151,"name":"Denver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55"/>
    </row>
    <row r="13" spans="1:30" s="1" customFormat="1" hidden="1" x14ac:dyDescent="0.25">
      <c r="A13" s="38">
        <v>42618.489560185182</v>
      </c>
      <c r="B13" s="33" t="s">
        <v>90</v>
      </c>
      <c r="C13" s="33" t="s">
        <v>710</v>
      </c>
      <c r="D13" s="33" t="s">
        <v>49</v>
      </c>
      <c r="E13" s="33" t="s">
        <v>206</v>
      </c>
      <c r="F13" s="49">
        <v>0</v>
      </c>
      <c r="G13" s="49">
        <v>37</v>
      </c>
      <c r="H13" s="49">
        <v>53405</v>
      </c>
      <c r="I13" s="49">
        <v>53359</v>
      </c>
      <c r="J13" s="33" t="s">
        <v>205</v>
      </c>
      <c r="K13" s="49">
        <v>53277</v>
      </c>
      <c r="L13" s="164" t="s">
        <v>53</v>
      </c>
      <c r="M13" s="167">
        <f>CONVERT((I13-K13)/10000,"mi","ft")*IF(L13="Increasing Mileposts (1)",-1,1)</f>
        <v>43.296000000000006</v>
      </c>
      <c r="N13" s="92" t="str">
        <f>VLOOKUP(C13,'Trips&amp;Operators'!$C$1:$E$99999,3,FALSE)</f>
        <v>STARKS</v>
      </c>
      <c r="O13" s="131" t="s">
        <v>86</v>
      </c>
      <c r="P13" s="10" t="str">
        <f>VLOOKUP(A13,Enforcements_imported!$A$2:$N$286,14,FALSE)</f>
        <v>Form C</v>
      </c>
      <c r="Q13" s="33"/>
      <c r="R13" s="108" t="e">
        <f>VLOOKUP(C13,'Train Runs'!$A$13:$AE$9999,31,0)</f>
        <v>#N/A</v>
      </c>
      <c r="S13" s="111" t="e">
        <f>VLOOKUP(C13,'Train Runs'!$A$13:$AE$9999,22,0)</f>
        <v>#N/A</v>
      </c>
      <c r="T13" s="113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/stypes="*4013*201609051*" /stext=" 17:.+((SYSTEM_STATE.+slice.+state.+changed )|(ment ac)|(system.+state.+changed )|(\|lc)|(penalty)|(\[timeout)|(PRM\|1\|D)|(kpr)|(kdp))" /e /r /s</v>
      </c>
      <c r="U13" s="9" t="str">
        <f>MID(B13,13,4)</f>
        <v>4013</v>
      </c>
      <c r="V13" s="38">
        <f>A13+6/24</f>
        <v>42618.739560185182</v>
      </c>
      <c r="W13" s="52" t="str">
        <f>IF(VALUE(LEFT(IF(LEN(C13)=6,"0"&amp;C13,C13),2))&lt;=2,"EC",IF(OR(VALUE(LEFT(IF(LEN(C13)=6,"0"&amp;C13,C13),2))=8,VALUE(LEFT(IF(LEN(C13)=6,"0"&amp;C13,C13),2))=18),"NW","Other"))</f>
        <v>EC</v>
      </c>
      <c r="X13" s="52" t="str">
        <f>IF(AND(E13="TRACK WARRANT AUTHORITY",G13&lt;10),"OMIT","KEEP")</f>
        <v>KEEP</v>
      </c>
      <c r="Y13" s="147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ID","value":"154-05"},{"id":16,"name":"Locomotive ID","value":"4013"},{"id":130,"name":"Impact","value":""},{"id":150,"name":"Time of Event (Mountain Time)","value":"11:44:58"},{"id":151,"name":"Denver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55"/>
    </row>
    <row r="14" spans="1:30" s="1" customFormat="1" hidden="1" x14ac:dyDescent="0.25">
      <c r="A14" s="212">
        <v>42618.488483796296</v>
      </c>
      <c r="B14" s="213" t="s">
        <v>90</v>
      </c>
      <c r="C14" s="213" t="s">
        <v>710</v>
      </c>
      <c r="D14" s="213" t="s">
        <v>49</v>
      </c>
      <c r="E14" s="213" t="s">
        <v>206</v>
      </c>
      <c r="F14" s="214">
        <v>0</v>
      </c>
      <c r="G14" s="214">
        <v>49</v>
      </c>
      <c r="H14" s="214">
        <v>53490</v>
      </c>
      <c r="I14" s="214">
        <v>53424</v>
      </c>
      <c r="J14" s="33" t="s">
        <v>205</v>
      </c>
      <c r="K14" s="214">
        <v>53277</v>
      </c>
      <c r="L14" s="215" t="s">
        <v>53</v>
      </c>
      <c r="M14" s="216">
        <f>CONVERT((I14-K14)/10000,"mi","ft")*IF(L14="Increasing Mileposts (1)",-1,1)</f>
        <v>77.616</v>
      </c>
      <c r="N14" s="217" t="str">
        <f>VLOOKUP(C14,'Trips&amp;Operators'!$C$1:$E$99999,3,FALSE)</f>
        <v>STARKS</v>
      </c>
      <c r="O14" s="131" t="s">
        <v>86</v>
      </c>
      <c r="P14" s="218" t="str">
        <f>VLOOKUP(A14,Enforcements_imported!$A$2:$N$286,14,FALSE)</f>
        <v>Form C</v>
      </c>
      <c r="Q14" s="33"/>
      <c r="R14" s="108" t="e">
        <f>VLOOKUP(C14,'Train Runs'!$A$13:$AE$9999,31,0)</f>
        <v>#N/A</v>
      </c>
      <c r="S14" s="111" t="e">
        <f>VLOOKUP(C14,'Train Runs'!$A$13:$AE$9999,22,0)</f>
        <v>#N/A</v>
      </c>
      <c r="T14" s="113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/stypes="*4013*201609051*" /stext=" 17:.+((SYSTEM_STATE.+slice.+state.+changed )|(ment ac)|(system.+state.+changed )|(\|lc)|(penalty)|(\[timeout)|(PRM\|1\|D)|(kpr)|(kdp))" /e /r /s</v>
      </c>
      <c r="U14" s="9" t="str">
        <f>MID(B14,13,4)</f>
        <v>4013</v>
      </c>
      <c r="V14" s="38">
        <f>A14+6/24</f>
        <v>42618.738483796296</v>
      </c>
      <c r="W14" s="52" t="str">
        <f>IF(VALUE(LEFT(IF(LEN(C14)=6,"0"&amp;C14,C14),2))&lt;=2,"EC",IF(OR(VALUE(LEFT(IF(LEN(C14)=6,"0"&amp;C14,C14),2))=8,VALUE(LEFT(IF(LEN(C14)=6,"0"&amp;C14,C14),2))=18),"NW","Other"))</f>
        <v>EC</v>
      </c>
      <c r="X14" s="52" t="str">
        <f>IF(AND(E14="TRACK WARRANT AUTHORITY",G14&lt;10),"OMIT","KEEP")</f>
        <v>KEEP</v>
      </c>
      <c r="Y14" s="147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ID","value":"154-05"},{"id":16,"name":"Locomotive ID","value":"4013"},{"id":130,"name":"Impact","value":""},{"id":150,"name":"Time of Event (Mountain Time)","value":"11:43:25"},{"id":151,"name":"Denver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55"/>
    </row>
    <row r="15" spans="1:30" s="1" customFormat="1" x14ac:dyDescent="0.25">
      <c r="A15" s="38">
        <v>42613.61546296296</v>
      </c>
      <c r="B15" s="33" t="s">
        <v>90</v>
      </c>
      <c r="C15" s="33" t="s">
        <v>743</v>
      </c>
      <c r="D15" s="33" t="s">
        <v>110</v>
      </c>
      <c r="E15" s="33" t="s">
        <v>206</v>
      </c>
      <c r="F15" s="49">
        <v>0</v>
      </c>
      <c r="G15" s="49">
        <v>240</v>
      </c>
      <c r="H15" s="49">
        <v>58276</v>
      </c>
      <c r="I15" s="49">
        <v>58042</v>
      </c>
      <c r="J15" s="207" t="s">
        <v>205</v>
      </c>
      <c r="K15" s="49">
        <v>58301</v>
      </c>
      <c r="L15" s="164" t="s">
        <v>53</v>
      </c>
      <c r="M15" s="49">
        <f>CONVERT((I15-K15)/10000,"mi","ft")*IF(L15="Increasing Mileposts (1)",-1,1)</f>
        <v>-136.75200000000001</v>
      </c>
      <c r="N15" s="233" t="str">
        <f>VLOOKUP(C15,'Trips&amp;Operators'!$C$1:$E$99999,3,FALSE)</f>
        <v>MAHAN</v>
      </c>
      <c r="O15" s="209" t="s">
        <v>86</v>
      </c>
      <c r="P15" s="10" t="str">
        <f>VLOOKUP(A15,Enforcements_imported!$A$2:$N$286,14,FALSE)</f>
        <v>Early arrival</v>
      </c>
      <c r="Q15" s="211"/>
      <c r="R15" s="108" t="e">
        <f>VLOOKUP(C15,'Train Runs'!$A$13:$AE$9999,31,0)</f>
        <v>#N/A</v>
      </c>
      <c r="S15" s="111" t="e">
        <f>VLOOKUP(C15,'Train Runs'!$A$13:$AE$9999,22,0)</f>
        <v>#N/A</v>
      </c>
      <c r="T15" s="113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/stypes="*4013*201608312*" /stext=" 20:.+((SYSTEM_STATE.+slice.+state.+changed )|(ment ac)|(system.+state.+changed )|(\|lc)|(penalty)|(\[timeout)|(PRM\|1\|D)|(kpr)|(kdp))" /e /r /s</v>
      </c>
      <c r="U15" s="9" t="str">
        <f>MID(B15,13,4)</f>
        <v>4013</v>
      </c>
      <c r="V15" s="38">
        <f>A15+6/24</f>
        <v>42613.86546296296</v>
      </c>
      <c r="W15" s="52" t="str">
        <f>IF(VALUE(LEFT(IF(LEN(C15)=6,"0"&amp;C15,C15),2))&lt;=2,"EC",IF(OR(VALUE(LEFT(IF(LEN(C15)=6,"0"&amp;C15,C15),2))=8,VALUE(LEFT(IF(LEN(C15)=6,"0"&amp;C15,C15),2))=18),"NW","Other"))</f>
        <v>EC</v>
      </c>
      <c r="X15" s="52" t="str">
        <f>IF(AND(E15="TRACK WARRANT AUTHORITY",G15&lt;10),"OMIT","KEEP")</f>
        <v>KEEP</v>
      </c>
      <c r="Y15" s="147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arrival","project_id":79,"tracker_id":40,"status_id":1,"priority_id":2,"assigned_to_id":23,"start_date":"2016-08-31","description":"","custom_fields":[{"id":1,"name":"Subdivision","value":"EC"},{"id":4,"name":"Milepost","value":"5.8301"},{"id":17,"name":"Train ID","value":"178-31"},{"id":16,"name":"Locomotive ID","value":"4013"},{"id":130,"name":"Impact","value":""},{"id":150,"name":"Time of Event (Mountain Time)","value":"14:46:16"},{"id":151,"name":"Denver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55"/>
      <c r="AD15" s="52" t="str">
        <f>UPPER(VLOOKUP(K15/10000,XING!$A$2:$B$9999,2,FALSE))</f>
        <v>SB QUEBEC PARKWAY</v>
      </c>
    </row>
    <row r="16" spans="1:30" s="1" customFormat="1" x14ac:dyDescent="0.25">
      <c r="A16" s="38">
        <v>42613.86210648148</v>
      </c>
      <c r="B16" s="33" t="s">
        <v>724</v>
      </c>
      <c r="C16" s="33" t="s">
        <v>735</v>
      </c>
      <c r="D16" s="33" t="s">
        <v>229</v>
      </c>
      <c r="E16" s="33" t="s">
        <v>206</v>
      </c>
      <c r="F16" s="49">
        <v>0</v>
      </c>
      <c r="G16" s="49">
        <v>272</v>
      </c>
      <c r="H16" s="49">
        <v>42824</v>
      </c>
      <c r="I16" s="49">
        <v>43224</v>
      </c>
      <c r="J16" s="207" t="s">
        <v>205</v>
      </c>
      <c r="K16" s="49">
        <v>42779</v>
      </c>
      <c r="L16" s="164" t="s">
        <v>52</v>
      </c>
      <c r="M16" s="49">
        <f>CONVERT((I16-K16)/10000,"mi","ft")*IF(L16="Increasing Mileposts (1)",-1,1)</f>
        <v>-234.96</v>
      </c>
      <c r="N16" s="233" t="str">
        <f>VLOOKUP(C16,'Trips&amp;Operators'!$C$1:$E$99999,3,FALSE)</f>
        <v>COOLAHAN</v>
      </c>
      <c r="O16" s="209" t="s">
        <v>86</v>
      </c>
      <c r="P16" s="10" t="str">
        <f>VLOOKUP(A16,Enforcements_imported!$A$2:$N$286,14,FALSE)</f>
        <v>Early arrival</v>
      </c>
      <c r="Q16" s="211"/>
      <c r="R16" s="108" t="e">
        <f>VLOOKUP(C16,'Train Runs'!$A$13:$AE$9999,31,0)</f>
        <v>#N/A</v>
      </c>
      <c r="S16" s="111" t="e">
        <f>VLOOKUP(C16,'Train Runs'!$A$13:$AE$9999,22,0)</f>
        <v>#N/A</v>
      </c>
      <c r="T16" s="113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/stypes="*4016*201609010*" /stext=" 02:.+((SYSTEM_STATE.+slice.+state.+changed )|(ment ac)|(system.+state.+changed )|(\|lc)|(penalty)|(\[timeout)|(PRM\|1\|D)|(kpr)|(kdp))" /e /r /s</v>
      </c>
      <c r="U16" s="9" t="str">
        <f>MID(B16,13,4)</f>
        <v>4016</v>
      </c>
      <c r="V16" s="38">
        <f>A16+6/24</f>
        <v>42614.11210648148</v>
      </c>
      <c r="W16" s="52" t="str">
        <f>IF(VALUE(LEFT(IF(LEN(C16)=6,"0"&amp;C16,C16),2))&lt;=2,"EC",IF(OR(VALUE(LEFT(IF(LEN(C16)=6,"0"&amp;C16,C16),2))=8,VALUE(LEFT(IF(LEN(C16)=6,"0"&amp;C16,C16),2))=18),"NW","Other"))</f>
        <v>EC</v>
      </c>
      <c r="X16" s="52" t="str">
        <f>IF(AND(E16="TRACK WARRANT AUTHORITY",G16&lt;10),"OMIT","KEEP")</f>
        <v>KEEP</v>
      </c>
      <c r="Y16" s="147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arrival","project_id":79,"tracker_id":40,"status_id":1,"priority_id":2,"assigned_to_id":23,"start_date":"2016-08-31","description":"","custom_fields":[{"id":1,"name":"Subdivision","value":"EC"},{"id":4,"name":"Milepost","value":"4.2779"},{"id":17,"name":"Train ID","value":"227-31"},{"id":16,"name":"Locomotive ID","value":"4016"},{"id":130,"name":"Impact","value":""},{"id":150,"name":"Time of Event (Mountain Time)","value":"20:41:26"},{"id":151,"name":"Denver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55"/>
      <c r="AD16" s="52" t="str">
        <f>UPPER(VLOOKUP(K16/10000,XING!$A$2:$B$9999,2,FALSE))</f>
        <v>DAHLIA STREET</v>
      </c>
    </row>
    <row r="17" spans="1:30" s="1" customFormat="1" hidden="1" x14ac:dyDescent="0.25">
      <c r="A17" s="226">
        <v>42613.503391203703</v>
      </c>
      <c r="B17" s="227" t="s">
        <v>226</v>
      </c>
      <c r="C17" s="227" t="s">
        <v>714</v>
      </c>
      <c r="D17" s="227" t="s">
        <v>49</v>
      </c>
      <c r="E17" s="227" t="s">
        <v>206</v>
      </c>
      <c r="F17" s="228">
        <v>0</v>
      </c>
      <c r="G17" s="228">
        <v>300</v>
      </c>
      <c r="H17" s="228">
        <v>110526</v>
      </c>
      <c r="I17" s="228">
        <v>110045</v>
      </c>
      <c r="J17" s="33" t="s">
        <v>205</v>
      </c>
      <c r="K17" s="228">
        <v>109135</v>
      </c>
      <c r="L17" s="229" t="s">
        <v>53</v>
      </c>
      <c r="M17" s="230">
        <f>CONVERT((I17-K17)/10000,"mi","ft")*IF(L17="Increasing Mileposts (1)",-1,1)</f>
        <v>480.48</v>
      </c>
      <c r="N17" s="231" t="str">
        <f>VLOOKUP(C17,'Trips&amp;Operators'!$C$1:$E$99999,3,FALSE)</f>
        <v>SMITH</v>
      </c>
      <c r="O17" s="131" t="s">
        <v>86</v>
      </c>
      <c r="P17" s="232" t="str">
        <f>VLOOKUP(A17,Enforcements_imported!$A$2:$N$286,14,FALSE)</f>
        <v>Form C</v>
      </c>
      <c r="Q17" s="33"/>
      <c r="R17" s="108" t="e">
        <f>VLOOKUP(C17,'Train Runs'!$A$13:$AE$9999,31,0)</f>
        <v>#N/A</v>
      </c>
      <c r="S17" s="111" t="e">
        <f>VLOOKUP(C17,'Train Runs'!$A$13:$AE$9999,22,0)</f>
        <v>#N/A</v>
      </c>
      <c r="T17" s="113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/stypes="*4043*201608311*" /stext=" 18:.+((SYSTEM_STATE.+slice.+state.+changed )|(ment ac)|(system.+state.+changed )|(\|lc)|(penalty)|(\[timeout)|(PRM\|1\|D)|(kpr)|(kdp))" /e /r /s</v>
      </c>
      <c r="U17" s="9" t="str">
        <f>MID(B17,13,4)</f>
        <v>4043</v>
      </c>
      <c r="V17" s="38">
        <f>A17+6/24</f>
        <v>42613.753391203703</v>
      </c>
      <c r="W17" s="52" t="str">
        <f>IF(VALUE(LEFT(IF(LEN(C17)=6,"0"&amp;C17,C17),2))&lt;=2,"EC",IF(OR(VALUE(LEFT(IF(LEN(C17)=6,"0"&amp;C17,C17),2))=8,VALUE(LEFT(IF(LEN(C17)=6,"0"&amp;C17,C17),2))=18),"NW","Other"))</f>
        <v>EC</v>
      </c>
      <c r="X17" s="52" t="str">
        <f>IF(AND(E17="TRACK WARRANT AUTHORITY",G17&lt;10),"OMIT","KEEP")</f>
        <v>KEEP</v>
      </c>
      <c r="Y17" s="147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C","project_id":79,"tracker_id":40,"status_id":1,"priority_id":2,"assigned_to_id":23,"start_date":"2016-08-31","description":"","custom_fields":[{"id":1,"name":"Subdivision","value":"EC"},{"id":4,"name":"Milepost","value":"10.9135"},{"id":17,"name":"Train ID","value":"158-31"},{"id":16,"name":"Locomotive ID","value":"4043"},{"id":130,"name":"Impact","value":""},{"id":150,"name":"Time of Event (Mountain Time)","value":"12:04:53"},{"id":151,"name":"Denver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55"/>
    </row>
    <row r="18" spans="1:30" s="1" customFormat="1" x14ac:dyDescent="0.25">
      <c r="A18" s="38">
        <v>42613.91065972222</v>
      </c>
      <c r="B18" s="33" t="s">
        <v>746</v>
      </c>
      <c r="C18" s="33" t="s">
        <v>747</v>
      </c>
      <c r="D18" s="33" t="s">
        <v>229</v>
      </c>
      <c r="E18" s="33" t="s">
        <v>206</v>
      </c>
      <c r="F18" s="49">
        <v>0</v>
      </c>
      <c r="G18" s="49">
        <v>127</v>
      </c>
      <c r="H18" s="49">
        <v>63232</v>
      </c>
      <c r="I18" s="49">
        <v>63114</v>
      </c>
      <c r="J18" s="207" t="s">
        <v>205</v>
      </c>
      <c r="K18" s="49">
        <v>63309</v>
      </c>
      <c r="L18" s="164" t="s">
        <v>53</v>
      </c>
      <c r="M18" s="49">
        <f>CONVERT((I18-K18)/10000,"mi","ft")*IF(L18="Increasing Mileposts (1)",-1,1)</f>
        <v>-102.96</v>
      </c>
      <c r="N18" s="233" t="str">
        <f>VLOOKUP(C18,'Trips&amp;Operators'!$C$1:$E$99999,3,FALSE)</f>
        <v>COOLAHAN</v>
      </c>
      <c r="O18" s="209" t="s">
        <v>86</v>
      </c>
      <c r="P18" s="10" t="str">
        <f>VLOOKUP(A18,Enforcements_imported!$A$2:$N$286,14,FALSE)</f>
        <v>Early arrival</v>
      </c>
      <c r="Q18" s="211"/>
      <c r="R18" s="108" t="e">
        <f>VLOOKUP(C18,'Train Runs'!$A$13:$AE$9999,31,0)</f>
        <v>#N/A</v>
      </c>
      <c r="S18" s="111" t="e">
        <f>VLOOKUP(C18,'Train Runs'!$A$13:$AE$9999,22,0)</f>
        <v>#N/A</v>
      </c>
      <c r="T18" s="113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/stypes="*4015*201609010*" /stext=" 03:.+((SYSTEM_STATE.+slice.+state.+changed )|(ment ac)|(system.+state.+changed )|(\|lc)|(penalty)|(\[timeout)|(PRM\|1\|D)|(kpr)|(kdp))" /e /r /s</v>
      </c>
      <c r="U18" s="9" t="str">
        <f>MID(B18,13,4)</f>
        <v>4015</v>
      </c>
      <c r="V18" s="38">
        <f>A18+6/24</f>
        <v>42614.16065972222</v>
      </c>
      <c r="W18" s="52" t="str">
        <f>IF(VALUE(LEFT(IF(LEN(C18)=6,"0"&amp;C18,C18),2))&lt;=2,"EC",IF(OR(VALUE(LEFT(IF(LEN(C18)=6,"0"&amp;C18,C18),2))=8,VALUE(LEFT(IF(LEN(C18)=6,"0"&amp;C18,C18),2))=18),"NW","Other"))</f>
        <v>EC</v>
      </c>
      <c r="X18" s="52" t="str">
        <f>IF(AND(E18="TRACK WARRANT AUTHORITY",G18&lt;10),"OMIT","KEEP")</f>
        <v>KEEP</v>
      </c>
      <c r="Y18" s="147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arrival","project_id":79,"tracker_id":40,"status_id":1,"priority_id":2,"assigned_to_id":23,"start_date":"2016-08-31","description":"","custom_fields":[{"id":1,"name":"Subdivision","value":"EC"},{"id":4,"name":"Milepost","value":"6.3309"},{"id":17,"name":"Train ID","value":"228-31"},{"id":16,"name":"Locomotive ID","value":"4015"},{"id":130,"name":"Impact","value":""},{"id":150,"name":"Time of Event (Mountain Time)","value":"21:51:21"},{"id":151,"name":"Denver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55"/>
      <c r="AD18" s="52" t="str">
        <f>UPPER(VLOOKUP(K18/10000,XING!$A$2:$B$9999,2,FALSE))</f>
        <v>ULSTER STREET</v>
      </c>
    </row>
    <row r="19" spans="1:30" s="1" customFormat="1" x14ac:dyDescent="0.25">
      <c r="A19" s="38">
        <v>42614.270509259259</v>
      </c>
      <c r="B19" s="33" t="s">
        <v>144</v>
      </c>
      <c r="C19" s="33" t="s">
        <v>745</v>
      </c>
      <c r="D19" s="33" t="s">
        <v>49</v>
      </c>
      <c r="E19" s="33" t="s">
        <v>206</v>
      </c>
      <c r="F19" s="49">
        <v>350</v>
      </c>
      <c r="G19" s="49">
        <v>551</v>
      </c>
      <c r="H19" s="49">
        <v>60735</v>
      </c>
      <c r="I19" s="49">
        <v>62634</v>
      </c>
      <c r="J19" s="207" t="s">
        <v>205</v>
      </c>
      <c r="K19" s="49">
        <v>63069</v>
      </c>
      <c r="L19" s="164" t="s">
        <v>52</v>
      </c>
      <c r="M19" s="49">
        <f>CONVERT((I19-K19)/10000,"mi","ft")*IF(L19="Increasing Mileposts (1)",-1,1)</f>
        <v>229.68</v>
      </c>
      <c r="N19" s="233" t="str">
        <f>VLOOKUP(C19,'Trips&amp;Operators'!$C$1:$E$99999,3,FALSE)</f>
        <v>STRICKLAND</v>
      </c>
      <c r="O19" s="209" t="s">
        <v>86</v>
      </c>
      <c r="P19" s="10" t="str">
        <f>VLOOKUP(A19,Enforcements_imported!$A$2:$N$286,14,FALSE)</f>
        <v>Early arrival</v>
      </c>
      <c r="Q19" s="211"/>
      <c r="R19" s="108" t="e">
        <f>VLOOKUP(C19,'Train Runs'!$A$13:$AE$9999,31,0)</f>
        <v>#N/A</v>
      </c>
      <c r="S19" s="111" t="e">
        <f>VLOOKUP(C19,'Train Runs'!$A$13:$AE$9999,22,0)</f>
        <v>#N/A</v>
      </c>
      <c r="T19" s="113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/stypes="*4038*201609011*" /stext=" 12:.+((SYSTEM_STATE.+slice.+state.+changed )|(ment ac)|(system.+state.+changed )|(\|lc)|(penalty)|(\[timeout)|(PRM\|1\|D)|(kpr)|(kdp))" /e /r /s</v>
      </c>
      <c r="U19" s="9" t="str">
        <f>MID(B19,13,4)</f>
        <v>4038</v>
      </c>
      <c r="V19" s="38">
        <f>A19+6/24</f>
        <v>42614.520509259259</v>
      </c>
      <c r="W19" s="52" t="str">
        <f>IF(VALUE(LEFT(IF(LEN(C19)=6,"0"&amp;C19,C19),2))&lt;=2,"EC",IF(OR(VALUE(LEFT(IF(LEN(C19)=6,"0"&amp;C19,C19),2))=8,VALUE(LEFT(IF(LEN(C19)=6,"0"&amp;C19,C19),2))=18),"NW","Other"))</f>
        <v>EC</v>
      </c>
      <c r="X19" s="52" t="str">
        <f>IF(AND(E19="TRACK WARRANT AUTHORITY",G19&lt;10),"OMIT","KEEP")</f>
        <v>KEEP</v>
      </c>
      <c r="Y19" s="147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arrival","project_id":79,"tracker_id":40,"status_id":1,"priority_id":2,"assigned_to_id":23,"start_date":"2016-09-01","description":"","custom_fields":[{"id":1,"name":"Subdivision","value":"EC"},{"id":4,"name":"Milepost","value":"6.3069"},{"id":17,"name":"Train ID","value":"121-01"},{"id":16,"name":"Locomotive ID","value":"4038"},{"id":130,"name":"Impact","value":""},{"id":150,"name":"Time of Event (Mountain Time)","value":"06:29:32"},{"id":151,"name":"Denver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55"/>
      <c r="AD19" s="52" t="str">
        <f>UPPER(VLOOKUP(K19/10000,XING!$A$2:$B$9999,2,FALSE))</f>
        <v>ULSTER STREET</v>
      </c>
    </row>
    <row r="20" spans="1:30" s="1" customFormat="1" x14ac:dyDescent="0.25">
      <c r="A20" s="38">
        <v>42614.271053240744</v>
      </c>
      <c r="B20" s="33" t="s">
        <v>144</v>
      </c>
      <c r="C20" s="33" t="s">
        <v>745</v>
      </c>
      <c r="D20" s="33" t="s">
        <v>49</v>
      </c>
      <c r="E20" s="33" t="s">
        <v>206</v>
      </c>
      <c r="F20" s="49">
        <v>70</v>
      </c>
      <c r="G20" s="49">
        <v>121</v>
      </c>
      <c r="H20" s="49">
        <v>62905</v>
      </c>
      <c r="I20" s="49">
        <v>63019</v>
      </c>
      <c r="J20" s="207" t="s">
        <v>205</v>
      </c>
      <c r="K20" s="49">
        <v>63069</v>
      </c>
      <c r="L20" s="164" t="s">
        <v>52</v>
      </c>
      <c r="M20" s="49">
        <f>CONVERT((I20-K20)/10000,"mi","ft")*IF(L20="Increasing Mileposts (1)",-1,1)</f>
        <v>26.4</v>
      </c>
      <c r="N20" s="233" t="str">
        <f>VLOOKUP(C20,'Trips&amp;Operators'!$C$1:$E$99999,3,FALSE)</f>
        <v>STRICKLAND</v>
      </c>
      <c r="O20" s="209" t="s">
        <v>86</v>
      </c>
      <c r="P20" s="10" t="str">
        <f>VLOOKUP(A20,Enforcements_imported!$A$2:$N$286,14,FALSE)</f>
        <v>Early arrival</v>
      </c>
      <c r="Q20" s="211"/>
      <c r="R20" s="108" t="e">
        <f>VLOOKUP(C20,'Train Runs'!$A$13:$AE$9999,31,0)</f>
        <v>#N/A</v>
      </c>
      <c r="S20" s="111" t="e">
        <f>VLOOKUP(C20,'Train Runs'!$A$13:$AE$9999,22,0)</f>
        <v>#N/A</v>
      </c>
      <c r="T20" s="113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/stypes="*4038*201609011*" /stext=" 12:.+((SYSTEM_STATE.+slice.+state.+changed )|(ment ac)|(system.+state.+changed )|(\|lc)|(penalty)|(\[timeout)|(PRM\|1\|D)|(kpr)|(kdp))" /e /r /s</v>
      </c>
      <c r="U20" s="9" t="str">
        <f>MID(B20,13,4)</f>
        <v>4038</v>
      </c>
      <c r="V20" s="38">
        <f>A20+6/24</f>
        <v>42614.521053240744</v>
      </c>
      <c r="W20" s="52" t="str">
        <f>IF(VALUE(LEFT(IF(LEN(C20)=6,"0"&amp;C20,C20),2))&lt;=2,"EC",IF(OR(VALUE(LEFT(IF(LEN(C20)=6,"0"&amp;C20,C20),2))=8,VALUE(LEFT(IF(LEN(C20)=6,"0"&amp;C20,C20),2))=18),"NW","Other"))</f>
        <v>EC</v>
      </c>
      <c r="X20" s="52" t="str">
        <f>IF(AND(E20="TRACK WARRANT AUTHORITY",G20&lt;10),"OMIT","KEEP")</f>
        <v>KEEP</v>
      </c>
      <c r="Y20" s="147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arrival","project_id":79,"tracker_id":40,"status_id":1,"priority_id":2,"assigned_to_id":23,"start_date":"2016-09-01","description":"","custom_fields":[{"id":1,"name":"Subdivision","value":"EC"},{"id":4,"name":"Milepost","value":"6.3069"},{"id":17,"name":"Train ID","value":"121-01"},{"id":16,"name":"Locomotive ID","value":"4038"},{"id":130,"name":"Impact","value":""},{"id":150,"name":"Time of Event (Mountain Time)","value":"06:30:19"},{"id":151,"name":"Denver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55"/>
      <c r="AD20" s="52" t="str">
        <f>UPPER(VLOOKUP(K20/10000,XING!$A$2:$B$9999,2,FALSE))</f>
        <v>ULSTER STREET</v>
      </c>
    </row>
    <row r="21" spans="1:30" s="1" customFormat="1" x14ac:dyDescent="0.25">
      <c r="A21" s="38">
        <v>42614.347905092596</v>
      </c>
      <c r="B21" s="33" t="s">
        <v>351</v>
      </c>
      <c r="C21" s="33" t="s">
        <v>715</v>
      </c>
      <c r="D21" s="33" t="s">
        <v>49</v>
      </c>
      <c r="E21" s="33" t="s">
        <v>206</v>
      </c>
      <c r="F21" s="49">
        <v>280</v>
      </c>
      <c r="G21" s="49">
        <v>480</v>
      </c>
      <c r="H21" s="49">
        <v>17160</v>
      </c>
      <c r="I21" s="49">
        <v>15357</v>
      </c>
      <c r="J21" s="207" t="s">
        <v>205</v>
      </c>
      <c r="K21" s="49">
        <v>15777</v>
      </c>
      <c r="L21" s="164" t="s">
        <v>53</v>
      </c>
      <c r="M21" s="49">
        <f>CONVERT((I21-K21)/10000,"mi","ft")*IF(L21="Increasing Mileposts (1)",-1,1)</f>
        <v>-221.76</v>
      </c>
      <c r="N21" s="233" t="str">
        <f>VLOOKUP(C21,'Trips&amp;Operators'!$C$1:$E$99999,3,FALSE)</f>
        <v>YORK</v>
      </c>
      <c r="O21" s="209" t="s">
        <v>86</v>
      </c>
      <c r="P21" s="10" t="str">
        <f>VLOOKUP(A21,Enforcements_imported!$A$2:$N$286,14,FALSE)</f>
        <v>Early arrival</v>
      </c>
      <c r="Q21" s="211"/>
      <c r="R21" s="108" t="e">
        <f>VLOOKUP(C21,'Train Runs'!$A$13:$AE$9999,31,0)</f>
        <v>#N/A</v>
      </c>
      <c r="S21" s="111" t="e">
        <f>VLOOKUP(C21,'Train Runs'!$A$13:$AE$9999,22,0)</f>
        <v>#N/A</v>
      </c>
      <c r="T21" s="113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/stypes="*4010*201609011*" /stext=" 14:.+((SYSTEM_STATE.+slice.+state.+changed )|(ment ac)|(system.+state.+changed )|(\|lc)|(penalty)|(\[timeout)|(PRM\|1\|D)|(kpr)|(kdp))" /e /r /s</v>
      </c>
      <c r="U21" s="9" t="str">
        <f>MID(B21,13,4)</f>
        <v>4010</v>
      </c>
      <c r="V21" s="38">
        <f>A21+6/24</f>
        <v>42614.597905092596</v>
      </c>
      <c r="W21" s="52" t="str">
        <f>IF(VALUE(LEFT(IF(LEN(C21)=6,"0"&amp;C21,C21),2))&lt;=2,"EC",IF(OR(VALUE(LEFT(IF(LEN(C21)=6,"0"&amp;C21,C21),2))=8,VALUE(LEFT(IF(LEN(C21)=6,"0"&amp;C21,C21),2))=18),"NW","Other"))</f>
        <v>NW</v>
      </c>
      <c r="X21" s="52" t="str">
        <f>IF(AND(E21="TRACK WARRANT AUTHORITY",G21&lt;10),"OMIT","KEEP")</f>
        <v>KEEP</v>
      </c>
      <c r="Y21" s="147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arrival","project_id":79,"tracker_id":40,"status_id":1,"priority_id":2,"assigned_to_id":23,"start_date":"2016-09-01","description":"","custom_fields":[{"id":1,"name":"Subdivision","value":"NW"},{"id":4,"name":"Milepost","value":"1.5777"},{"id":17,"name":"Train ID","value":"810-01"},{"id":16,"name":"Locomotive ID","value":"4010"},{"id":130,"name":"Impact","value":""},{"id":150,"name":"Time of Event (Mountain Time)","value":"08:20:59"},{"id":151,"name":"Denver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55"/>
      <c r="AD21" s="52" t="str">
        <f>UPPER(VLOOKUP(K21/10000,XING!$A$2:$B$9999,2,FALSE))</f>
        <v>41ST AVE STATION</v>
      </c>
    </row>
    <row r="22" spans="1:30" x14ac:dyDescent="0.25">
      <c r="A22" s="38">
        <v>42614.388310185182</v>
      </c>
      <c r="B22" s="33" t="s">
        <v>139</v>
      </c>
      <c r="C22" s="33" t="s">
        <v>750</v>
      </c>
      <c r="D22" s="33" t="s">
        <v>110</v>
      </c>
      <c r="E22" s="33" t="s">
        <v>206</v>
      </c>
      <c r="F22" s="49">
        <v>400</v>
      </c>
      <c r="G22" s="49">
        <v>455</v>
      </c>
      <c r="H22" s="49">
        <v>78383</v>
      </c>
      <c r="I22" s="49">
        <v>76654</v>
      </c>
      <c r="J22" s="207" t="s">
        <v>205</v>
      </c>
      <c r="K22" s="49">
        <v>78469</v>
      </c>
      <c r="L22" s="164" t="s">
        <v>53</v>
      </c>
      <c r="M22" s="49">
        <f>CONVERT((I22-K22)/10000,"mi","ft")*IF(L22="Increasing Mileposts (1)",-1,1)</f>
        <v>-958.32</v>
      </c>
      <c r="N22" s="233" t="str">
        <f>VLOOKUP(C22,'Trips&amp;Operators'!$C$1:$E$99999,3,FALSE)</f>
        <v>STRICKLAND</v>
      </c>
      <c r="O22" s="209" t="s">
        <v>86</v>
      </c>
      <c r="P22" s="10" t="str">
        <f>VLOOKUP(A22,Enforcements_imported!$A$2:$N$286,14,FALSE)</f>
        <v>Early arrival</v>
      </c>
      <c r="Q22" s="211"/>
      <c r="R22" s="108" t="e">
        <f>VLOOKUP(C22,'Train Runs'!$A$13:$AE$9999,31,0)</f>
        <v>#N/A</v>
      </c>
      <c r="S22" s="111" t="e">
        <f>VLOOKUP(C22,'Train Runs'!$A$13:$AE$9999,22,0)</f>
        <v>#N/A</v>
      </c>
      <c r="T22" s="113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/stypes="*4037*201609011*" /stext=" 15:.+((SYSTEM_STATE.+slice.+state.+changed )|(ment ac)|(system.+state.+changed )|(\|lc)|(penalty)|(\[timeout)|(PRM\|1\|D)|(kpr)|(kdp))" /e /r /s</v>
      </c>
      <c r="U22" s="9" t="str">
        <f>MID(B22,13,4)</f>
        <v>4037</v>
      </c>
      <c r="V22" s="38">
        <f>A22+6/24</f>
        <v>42614.638310185182</v>
      </c>
      <c r="W22" s="52" t="str">
        <f>IF(VALUE(LEFT(IF(LEN(C22)=6,"0"&amp;C22,C22),2))&lt;=2,"EC",IF(OR(VALUE(LEFT(IF(LEN(C22)=6,"0"&amp;C22,C22),2))=8,VALUE(LEFT(IF(LEN(C22)=6,"0"&amp;C22,C22),2))=18),"NW","Other"))</f>
        <v>EC</v>
      </c>
      <c r="X22" s="52" t="str">
        <f>IF(AND(E22="TRACK WARRANT AUTHORITY",G22&lt;10),"OMIT","KEEP")</f>
        <v>KEEP</v>
      </c>
      <c r="Y22" s="147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arrival","project_id":79,"tracker_id":40,"status_id":1,"priority_id":2,"assigned_to_id":23,"start_date":"2016-09-01","description":"","custom_fields":[{"id":1,"name":"Subdivision","value":"EC"},{"id":4,"name":"Milepost","value":"7.8469"},{"id":17,"name":"Train ID","value":"136-01"},{"id":16,"name":"Locomotive ID","value":"4037"},{"id":130,"name":"Impact","value":""},{"id":150,"name":"Time of Event (Mountain Time)","value":"09:19:10"},{"id":151,"name":"Denver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55"/>
      <c r="AD22" s="52" t="str">
        <f>UPPER(VLOOKUP(K22/10000,XING!$A$2:$B$9999,2,FALSE))</f>
        <v>HAVANA STREET</v>
      </c>
    </row>
    <row r="23" spans="1:30" x14ac:dyDescent="0.25">
      <c r="A23" s="38">
        <v>42614.405578703707</v>
      </c>
      <c r="B23" s="33" t="s">
        <v>720</v>
      </c>
      <c r="C23" s="33" t="s">
        <v>721</v>
      </c>
      <c r="D23" s="33" t="s">
        <v>229</v>
      </c>
      <c r="E23" s="33" t="s">
        <v>206</v>
      </c>
      <c r="F23" s="49">
        <v>0</v>
      </c>
      <c r="G23" s="49">
        <v>131</v>
      </c>
      <c r="H23" s="49">
        <v>27211</v>
      </c>
      <c r="I23" s="49">
        <v>27131</v>
      </c>
      <c r="J23" s="207" t="s">
        <v>205</v>
      </c>
      <c r="K23" s="49">
        <v>27350</v>
      </c>
      <c r="L23" s="164" t="s">
        <v>53</v>
      </c>
      <c r="M23" s="49">
        <f>CONVERT((I23-K23)/10000,"mi","ft")*IF(L23="Increasing Mileposts (1)",-1,1)</f>
        <v>-115.63200000000001</v>
      </c>
      <c r="N23" s="233" t="str">
        <f>VLOOKUP(C23,'Trips&amp;Operators'!$C$1:$E$99999,3,FALSE)</f>
        <v>ARVIDSON</v>
      </c>
      <c r="O23" s="209" t="s">
        <v>86</v>
      </c>
      <c r="P23" s="10" t="str">
        <f>VLOOKUP(A23,Enforcements_imported!$A$2:$N$286,14,FALSE)</f>
        <v>Early arrival</v>
      </c>
      <c r="Q23" s="211"/>
      <c r="R23" s="108" t="e">
        <f>VLOOKUP(C23,'Train Runs'!$A$13:$AE$9999,31,0)</f>
        <v>#N/A</v>
      </c>
      <c r="S23" s="111" t="e">
        <f>VLOOKUP(C23,'Train Runs'!$A$13:$AE$9999,22,0)</f>
        <v>#N/A</v>
      </c>
      <c r="T23" s="113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/stypes="*4008*201609011*" /stext=" 15:.+((SYSTEM_STATE.+slice.+state.+changed )|(ment ac)|(system.+state.+changed )|(\|lc)|(penalty)|(\[timeout)|(PRM\|1\|D)|(kpr)|(kdp))" /e /r /s</v>
      </c>
      <c r="U23" s="9" t="str">
        <f>MID(B23,13,4)</f>
        <v>4008</v>
      </c>
      <c r="V23" s="38">
        <f>A23+6/24</f>
        <v>42614.655578703707</v>
      </c>
      <c r="W23" s="52" t="str">
        <f>IF(VALUE(LEFT(IF(LEN(C23)=6,"0"&amp;C23,C23),2))&lt;=2,"EC",IF(OR(VALUE(LEFT(IF(LEN(C23)=6,"0"&amp;C23,C23),2))=8,VALUE(LEFT(IF(LEN(C23)=6,"0"&amp;C23,C23),2))=18),"NW","Other"))</f>
        <v>EC</v>
      </c>
      <c r="X23" s="52" t="str">
        <f>IF(AND(E23="TRACK WARRANT AUTHORITY",G23&lt;10),"OMIT","KEEP")</f>
        <v>KEEP</v>
      </c>
      <c r="Y23" s="147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arrival","project_id":79,"tracker_id":40,"status_id":1,"priority_id":2,"assigned_to_id":23,"start_date":"2016-09-01","description":"","custom_fields":[{"id":1,"name":"Subdivision","value":"EC"},{"id":4,"name":"Milepost","value":"2.735"},{"id":17,"name":"Train ID","value":"138-01"},{"id":16,"name":"Locomotive ID","value":"4008"},{"id":130,"name":"Impact","value":""},{"id":150,"name":"Time of Event (Mountain Time)","value":"09:44:02"},{"id":151,"name":"Denver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55"/>
      <c r="AD23" s="52" t="str">
        <f>UPPER(VLOOKUP(K23/10000,XING!$A$2:$B$9999,2,FALSE))</f>
        <v>YORK &amp; JOSEPHINE STREET</v>
      </c>
    </row>
    <row r="24" spans="1:30" x14ac:dyDescent="0.25">
      <c r="A24" s="38">
        <v>42614.456944444442</v>
      </c>
      <c r="B24" s="33" t="s">
        <v>245</v>
      </c>
      <c r="C24" s="33" t="s">
        <v>732</v>
      </c>
      <c r="D24" s="33" t="s">
        <v>49</v>
      </c>
      <c r="E24" s="33" t="s">
        <v>206</v>
      </c>
      <c r="F24" s="49">
        <v>320</v>
      </c>
      <c r="G24" s="49">
        <v>401</v>
      </c>
      <c r="H24" s="49">
        <v>34866</v>
      </c>
      <c r="I24" s="49">
        <v>33715</v>
      </c>
      <c r="J24" s="207" t="s">
        <v>205</v>
      </c>
      <c r="K24" s="49">
        <v>33257</v>
      </c>
      <c r="L24" s="164" t="s">
        <v>53</v>
      </c>
      <c r="M24" s="49">
        <f>CONVERT((I24-K24)/10000,"mi","ft")*IF(L24="Increasing Mileposts (1)",-1,1)</f>
        <v>241.82400000000001</v>
      </c>
      <c r="N24" s="233" t="str">
        <f>VLOOKUP(C24,'Trips&amp;Operators'!$C$1:$E$99999,3,FALSE)</f>
        <v>MALAVE</v>
      </c>
      <c r="O24" s="209" t="s">
        <v>86</v>
      </c>
      <c r="P24" s="10" t="str">
        <f>VLOOKUP(A24,Enforcements_imported!$A$2:$N$286,14,FALSE)</f>
        <v>Early arrival</v>
      </c>
      <c r="Q24" s="211"/>
      <c r="R24" s="108" t="e">
        <f>VLOOKUP(C24,'Train Runs'!$A$13:$AE$9999,31,0)</f>
        <v>#N/A</v>
      </c>
      <c r="S24" s="111" t="e">
        <f>VLOOKUP(C24,'Train Runs'!$A$13:$AE$9999,22,0)</f>
        <v>#N/A</v>
      </c>
      <c r="T24" s="113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/stypes="*4017*201609011*" /stext=" 16:.+((SYSTEM_STATE.+slice.+state.+changed )|(ment ac)|(system.+state.+changed )|(\|lc)|(penalty)|(\[timeout)|(PRM\|1\|D)|(kpr)|(kdp))" /e /r /s</v>
      </c>
      <c r="U24" s="9" t="str">
        <f>MID(B24,13,4)</f>
        <v>4017</v>
      </c>
      <c r="V24" s="38">
        <f>A24+6/24</f>
        <v>42614.706944444442</v>
      </c>
      <c r="W24" s="52" t="str">
        <f>IF(VALUE(LEFT(IF(LEN(C24)=6,"0"&amp;C24,C24),2))&lt;=2,"EC",IF(OR(VALUE(LEFT(IF(LEN(C24)=6,"0"&amp;C24,C24),2))=8,VALUE(LEFT(IF(LEN(C24)=6,"0"&amp;C24,C24),2))=18),"NW","Other"))</f>
        <v>EC</v>
      </c>
      <c r="X24" s="52" t="str">
        <f>IF(AND(E24="TRACK WARRANT AUTHORITY",G24&lt;10),"OMIT","KEEP")</f>
        <v>KEEP</v>
      </c>
      <c r="Y24" s="147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arrival","project_id":79,"tracker_id":40,"status_id":1,"priority_id":2,"assigned_to_id":23,"start_date":"2016-09-01","description":"","custom_fields":[{"id":1,"name":"Subdivision","value":"EC"},{"id":4,"name":"Milepost","value":"3.3257"},{"id":17,"name":"Train ID","value":"148-01"},{"id":16,"name":"Locomotive ID","value":"4017"},{"id":130,"name":"Impact","value":""},{"id":150,"name":"Time of Event (Mountain Time)","value":"10:58:00"},{"id":151,"name":"Denver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55"/>
      <c r="AD24" s="52" t="str">
        <f>UPPER(VLOOKUP(K24/10000,XING!$A$2:$B$9999,2,FALSE))</f>
        <v>STEELE ST</v>
      </c>
    </row>
    <row r="25" spans="1:30" ht="15" customHeight="1" x14ac:dyDescent="0.25">
      <c r="A25" s="38">
        <v>42614.578622685185</v>
      </c>
      <c r="B25" s="33" t="s">
        <v>200</v>
      </c>
      <c r="C25" s="33" t="s">
        <v>734</v>
      </c>
      <c r="D25" s="33" t="s">
        <v>49</v>
      </c>
      <c r="E25" s="33" t="s">
        <v>206</v>
      </c>
      <c r="F25" s="49">
        <v>0</v>
      </c>
      <c r="G25" s="49">
        <v>560</v>
      </c>
      <c r="H25" s="49">
        <v>44771</v>
      </c>
      <c r="I25" s="49">
        <v>43118</v>
      </c>
      <c r="J25" s="207" t="s">
        <v>205</v>
      </c>
      <c r="K25" s="49">
        <v>42961</v>
      </c>
      <c r="L25" s="164" t="s">
        <v>53</v>
      </c>
      <c r="M25" s="49">
        <f>CONVERT((I25-K25)/10000,"mi","ft")*IF(L25="Increasing Mileposts (1)",-1,1)</f>
        <v>82.895999999999987</v>
      </c>
      <c r="N25" s="233" t="str">
        <f>VLOOKUP(C25,'Trips&amp;Operators'!$C$1:$E$99999,3,FALSE)</f>
        <v>SUR</v>
      </c>
      <c r="O25" s="209" t="s">
        <v>86</v>
      </c>
      <c r="P25" s="10" t="str">
        <f>VLOOKUP(A25,Enforcements_imported!$A$2:$N$286,14,FALSE)</f>
        <v>Early arrival</v>
      </c>
      <c r="Q25" s="211"/>
      <c r="R25" s="108" t="e">
        <f>VLOOKUP(C25,'Train Runs'!$A$13:$AE$9999,31,0)</f>
        <v>#N/A</v>
      </c>
      <c r="S25" s="111" t="e">
        <f>VLOOKUP(C25,'Train Runs'!$A$13:$AE$9999,22,0)</f>
        <v>#N/A</v>
      </c>
      <c r="T25" s="113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/stypes="*4019*201609011*" /stext=" 19:.+((SYSTEM_STATE.+slice.+state.+changed )|(ment ac)|(system.+state.+changed )|(\|lc)|(penalty)|(\[timeout)|(PRM\|1\|D)|(kpr)|(kdp))" /e /r /s</v>
      </c>
      <c r="U25" s="9" t="str">
        <f>MID(B25,13,4)</f>
        <v>4019</v>
      </c>
      <c r="V25" s="38">
        <f>A25+6/24</f>
        <v>42614.828622685185</v>
      </c>
      <c r="W25" s="52" t="str">
        <f>IF(VALUE(LEFT(IF(LEN(C25)=6,"0"&amp;C25,C25),2))&lt;=2,"EC",IF(OR(VALUE(LEFT(IF(LEN(C25)=6,"0"&amp;C25,C25),2))=8,VALUE(LEFT(IF(LEN(C25)=6,"0"&amp;C25,C25),2))=18),"NW","Other"))</f>
        <v>EC</v>
      </c>
      <c r="X25" s="52" t="str">
        <f>IF(AND(E25="TRACK WARRANT AUTHORITY",G25&lt;10),"OMIT","KEEP")</f>
        <v>KEEP</v>
      </c>
      <c r="Y25" s="147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arrival","project_id":79,"tracker_id":40,"status_id":1,"priority_id":2,"assigned_to_id":23,"start_date":"2016-09-01","description":"","custom_fields":[{"id":1,"name":"Subdivision","value":"EC"},{"id":4,"name":"Milepost","value":"4.2961"},{"id":17,"name":"Train ID","value":"172-01"},{"id":16,"name":"Locomotive ID","value":"4019"},{"id":130,"name":"Impact","value":""},{"id":150,"name":"Time of Event (Mountain Time)","value":"13:53:13"},{"id":151,"name":"Denver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55"/>
      <c r="AD25" s="52" t="str">
        <f>UPPER(VLOOKUP(K25/10000,XING!$A$2:$B$9999,2,FALSE))</f>
        <v>DAHLIA STREET</v>
      </c>
    </row>
    <row r="26" spans="1:30" x14ac:dyDescent="0.25">
      <c r="A26" s="38">
        <v>42614.597569444442</v>
      </c>
      <c r="B26" s="33" t="s">
        <v>245</v>
      </c>
      <c r="C26" s="33" t="s">
        <v>749</v>
      </c>
      <c r="D26" s="33" t="s">
        <v>49</v>
      </c>
      <c r="E26" s="33" t="s">
        <v>206</v>
      </c>
      <c r="F26" s="49">
        <v>250</v>
      </c>
      <c r="G26" s="49">
        <v>768</v>
      </c>
      <c r="H26" s="49">
        <v>68728</v>
      </c>
      <c r="I26" s="49">
        <v>65314</v>
      </c>
      <c r="J26" s="207" t="s">
        <v>205</v>
      </c>
      <c r="K26" s="49">
        <v>63309</v>
      </c>
      <c r="L26" s="164" t="s">
        <v>53</v>
      </c>
      <c r="M26" s="49">
        <f>CONVERT((I26-K26)/10000,"mi","ft")*IF(L26="Increasing Mileposts (1)",-1,1)</f>
        <v>1058.6400000000001</v>
      </c>
      <c r="N26" s="233" t="str">
        <f>VLOOKUP(C26,'Trips&amp;Operators'!$C$1:$E$99999,3,FALSE)</f>
        <v>SHOOK</v>
      </c>
      <c r="O26" s="209" t="s">
        <v>86</v>
      </c>
      <c r="P26" s="10" t="str">
        <f>VLOOKUP(A26,Enforcements_imported!$A$2:$N$286,14,FALSE)</f>
        <v>Early arrival</v>
      </c>
      <c r="Q26" s="211"/>
      <c r="R26" s="108" t="e">
        <f>VLOOKUP(C26,'Train Runs'!$A$13:$AE$9999,31,0)</f>
        <v>#N/A</v>
      </c>
      <c r="S26" s="111" t="e">
        <f>VLOOKUP(C26,'Train Runs'!$A$13:$AE$9999,22,0)</f>
        <v>#N/A</v>
      </c>
      <c r="T26" s="113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/stypes="*4017*201609012*" /stext=" 20:.+((SYSTEM_STATE.+slice.+state.+changed )|(ment ac)|(system.+state.+changed )|(\|lc)|(penalty)|(\[timeout)|(PRM\|1\|D)|(kpr)|(kdp))" /e /r /s</v>
      </c>
      <c r="U26" s="9" t="str">
        <f>MID(B26,13,4)</f>
        <v>4017</v>
      </c>
      <c r="V26" s="38">
        <f>A26+6/24</f>
        <v>42614.847569444442</v>
      </c>
      <c r="W26" s="52" t="str">
        <f>IF(VALUE(LEFT(IF(LEN(C26)=6,"0"&amp;C26,C26),2))&lt;=2,"EC",IF(OR(VALUE(LEFT(IF(LEN(C26)=6,"0"&amp;C26,C26),2))=8,VALUE(LEFT(IF(LEN(C26)=6,"0"&amp;C26,C26),2))=18),"NW","Other"))</f>
        <v>EC</v>
      </c>
      <c r="X26" s="52" t="str">
        <f>IF(AND(E26="TRACK WARRANT AUTHORITY",G26&lt;10),"OMIT","KEEP")</f>
        <v>KEEP</v>
      </c>
      <c r="Y26" s="147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arrival","project_id":79,"tracker_id":40,"status_id":1,"priority_id":2,"assigned_to_id":23,"start_date":"2016-09-01","description":"","custom_fields":[{"id":1,"name":"Subdivision","value":"EC"},{"id":4,"name":"Milepost","value":"6.3309"},{"id":17,"name":"Train ID","value":"176-01"},{"id":16,"name":"Locomotive ID","value":"4017"},{"id":130,"name":"Impact","value":""},{"id":150,"name":"Time of Event (Mountain Time)","value":"14:20:30"},{"id":151,"name":"Denver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55"/>
      <c r="AD26" s="52" t="str">
        <f>UPPER(VLOOKUP(K26/10000,XING!$A$2:$B$9999,2,FALSE))</f>
        <v>ULSTER STREET</v>
      </c>
    </row>
    <row r="27" spans="1:30" x14ac:dyDescent="0.25">
      <c r="A27" s="38">
        <v>42614.601342592592</v>
      </c>
      <c r="B27" s="33" t="s">
        <v>201</v>
      </c>
      <c r="C27" s="33" t="s">
        <v>737</v>
      </c>
      <c r="D27" s="33" t="s">
        <v>110</v>
      </c>
      <c r="E27" s="33" t="s">
        <v>206</v>
      </c>
      <c r="F27" s="49">
        <v>350</v>
      </c>
      <c r="G27" s="49">
        <v>401</v>
      </c>
      <c r="H27" s="49">
        <v>42914</v>
      </c>
      <c r="I27" s="49">
        <v>44193</v>
      </c>
      <c r="J27" s="207" t="s">
        <v>205</v>
      </c>
      <c r="K27" s="49">
        <v>42779</v>
      </c>
      <c r="L27" s="164" t="s">
        <v>52</v>
      </c>
      <c r="M27" s="49">
        <f>CONVERT((I27-K27)/10000,"mi","ft")*IF(L27="Increasing Mileposts (1)",-1,1)</f>
        <v>-746.59199999999998</v>
      </c>
      <c r="N27" s="233" t="str">
        <f>VLOOKUP(C27,'Trips&amp;Operators'!$C$1:$E$99999,3,FALSE)</f>
        <v>SUR</v>
      </c>
      <c r="O27" s="209" t="s">
        <v>86</v>
      </c>
      <c r="P27" s="10" t="str">
        <f>VLOOKUP(A27,Enforcements_imported!$A$2:$N$286,14,FALSE)</f>
        <v>Early arrival</v>
      </c>
      <c r="Q27" s="211"/>
      <c r="R27" s="108" t="e">
        <f>VLOOKUP(C27,'Train Runs'!$A$13:$AE$9999,31,0)</f>
        <v>#N/A</v>
      </c>
      <c r="S27" s="111" t="e">
        <f>VLOOKUP(C27,'Train Runs'!$A$13:$AE$9999,22,0)</f>
        <v>#N/A</v>
      </c>
      <c r="T27" s="113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/stypes="*4020*201609012*" /stext=" 20:.+((SYSTEM_STATE.+slice.+state.+changed )|(ment ac)|(system.+state.+changed )|(\|lc)|(penalty)|(\[timeout)|(PRM\|1\|D)|(kpr)|(kdp))" /e /r /s</v>
      </c>
      <c r="U27" s="9" t="str">
        <f>MID(B27,13,4)</f>
        <v>4020</v>
      </c>
      <c r="V27" s="38">
        <f>A27+6/24</f>
        <v>42614.851342592592</v>
      </c>
      <c r="W27" s="52" t="str">
        <f>IF(VALUE(LEFT(IF(LEN(C27)=6,"0"&amp;C27,C27),2))&lt;=2,"EC",IF(OR(VALUE(LEFT(IF(LEN(C27)=6,"0"&amp;C27,C27),2))=8,VALUE(LEFT(IF(LEN(C27)=6,"0"&amp;C27,C27),2))=18),"NW","Other"))</f>
        <v>EC</v>
      </c>
      <c r="X27" s="52" t="str">
        <f>IF(AND(E27="TRACK WARRANT AUTHORITY",G27&lt;10),"OMIT","KEEP")</f>
        <v>KEEP</v>
      </c>
      <c r="Y27" s="147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arrival","project_id":79,"tracker_id":40,"status_id":1,"priority_id":2,"assigned_to_id":23,"start_date":"2016-09-01","description":"","custom_fields":[{"id":1,"name":"Subdivision","value":"EC"},{"id":4,"name":"Milepost","value":"4.2779"},{"id":17,"name":"Train ID","value":"185-01"},{"id":16,"name":"Locomotive ID","value":"4020"},{"id":130,"name":"Impact","value":""},{"id":150,"name":"Time of Event (Mountain Time)","value":"14:25:56"},{"id":151,"name":"Denver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55"/>
      <c r="AD27" s="52" t="str">
        <f>UPPER(VLOOKUP(K27/10000,XING!$A$2:$B$9999,2,FALSE))</f>
        <v>DAHLIA STREET</v>
      </c>
    </row>
    <row r="28" spans="1:30" x14ac:dyDescent="0.25">
      <c r="A28" s="38">
        <v>42614.75141203704</v>
      </c>
      <c r="B28" s="33" t="s">
        <v>200</v>
      </c>
      <c r="C28" s="33" t="s">
        <v>711</v>
      </c>
      <c r="D28" s="33" t="s">
        <v>110</v>
      </c>
      <c r="E28" s="33" t="s">
        <v>206</v>
      </c>
      <c r="F28" s="49">
        <v>0</v>
      </c>
      <c r="G28" s="49">
        <v>273</v>
      </c>
      <c r="H28" s="49">
        <v>109117</v>
      </c>
      <c r="I28" s="49">
        <v>108966</v>
      </c>
      <c r="J28" s="207" t="s">
        <v>205</v>
      </c>
      <c r="K28" s="49">
        <v>109135</v>
      </c>
      <c r="L28" s="164" t="s">
        <v>53</v>
      </c>
      <c r="M28" s="49">
        <f>CONVERT((I28-K28)/10000,"mi","ft")*IF(L28="Increasing Mileposts (1)",-1,1)</f>
        <v>-89.231999999999985</v>
      </c>
      <c r="N28" s="233" t="str">
        <f>VLOOKUP(C28,'Trips&amp;Operators'!$C$1:$E$99999,3,FALSE)</f>
        <v>SUR</v>
      </c>
      <c r="O28" s="209" t="s">
        <v>86</v>
      </c>
      <c r="P28" s="10" t="str">
        <f>VLOOKUP(A28,Enforcements_imported!$A$2:$N$286,14,FALSE)</f>
        <v>Early arrival</v>
      </c>
      <c r="Q28" s="211"/>
      <c r="R28" s="108" t="e">
        <f>VLOOKUP(C28,'Train Runs'!$A$13:$AE$9999,31,0)</f>
        <v>#N/A</v>
      </c>
      <c r="S28" s="111" t="e">
        <f>VLOOKUP(C28,'Train Runs'!$A$13:$AE$9999,22,0)</f>
        <v>#N/A</v>
      </c>
      <c r="T28" s="113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/stypes="*4019*201609020*" /stext=" 00:.+((SYSTEM_STATE.+slice.+state.+changed )|(ment ac)|(system.+state.+changed )|(\|lc)|(penalty)|(\[timeout)|(PRM\|1\|D)|(kpr)|(kdp))" /e /r /s</v>
      </c>
      <c r="U28" s="9" t="str">
        <f>MID(B28,13,4)</f>
        <v>4019</v>
      </c>
      <c r="V28" s="38">
        <f>A28+6/24</f>
        <v>42615.00141203704</v>
      </c>
      <c r="W28" s="52" t="str">
        <f>IF(VALUE(LEFT(IF(LEN(C28)=6,"0"&amp;C28,C28),2))&lt;=2,"EC",IF(OR(VALUE(LEFT(IF(LEN(C28)=6,"0"&amp;C28,C28),2))=8,VALUE(LEFT(IF(LEN(C28)=6,"0"&amp;C28,C28),2))=18),"NW","Other"))</f>
        <v>EC</v>
      </c>
      <c r="X28" s="52" t="str">
        <f>IF(AND(E28="TRACK WARRANT AUTHORITY",G28&lt;10),"OMIT","KEEP")</f>
        <v>KEEP</v>
      </c>
      <c r="Y28" s="147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arrival","project_id":79,"tracker_id":40,"status_id":1,"priority_id":2,"assigned_to_id":23,"start_date":"2016-09-01","description":"","custom_fields":[{"id":1,"name":"Subdivision","value":"EC"},{"id":4,"name":"Milepost","value":"10.9135"},{"id":17,"name":"Train ID","value":"206-01"},{"id":16,"name":"Locomotive ID","value":"4019"},{"id":130,"name":"Impact","value":""},{"id":150,"name":"Time of Event (Mountain Time)","value":"18:02:02"},{"id":151,"name":"Denver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55"/>
      <c r="AD28" s="52" t="str">
        <f>UPPER(VLOOKUP(K28/10000,XING!$A$2:$B$9999,2,FALSE))</f>
        <v>CHAMBERS ROAD</v>
      </c>
    </row>
    <row r="29" spans="1:30" x14ac:dyDescent="0.25">
      <c r="A29" s="38">
        <v>42615.014189814814</v>
      </c>
      <c r="B29" s="33" t="s">
        <v>245</v>
      </c>
      <c r="C29" s="33" t="s">
        <v>748</v>
      </c>
      <c r="D29" s="33" t="s">
        <v>229</v>
      </c>
      <c r="E29" s="33" t="s">
        <v>206</v>
      </c>
      <c r="F29" s="49">
        <v>0</v>
      </c>
      <c r="G29" s="49">
        <v>109</v>
      </c>
      <c r="H29" s="49">
        <v>63205</v>
      </c>
      <c r="I29" s="49">
        <v>63168</v>
      </c>
      <c r="J29" s="207" t="s">
        <v>205</v>
      </c>
      <c r="K29" s="49">
        <v>63309</v>
      </c>
      <c r="L29" s="164" t="s">
        <v>53</v>
      </c>
      <c r="M29" s="49">
        <f>CONVERT((I29-K29)/10000,"mi","ft")*IF(L29="Increasing Mileposts (1)",-1,1)</f>
        <v>-74.447999999999993</v>
      </c>
      <c r="N29" s="233" t="str">
        <f>VLOOKUP(C29,'Trips&amp;Operators'!$C$1:$E$99999,3,FALSE)</f>
        <v>HILLS</v>
      </c>
      <c r="O29" s="209" t="s">
        <v>86</v>
      </c>
      <c r="P29" s="10" t="str">
        <f>VLOOKUP(A29,Enforcements_imported!$A$2:$N$286,14,FALSE)</f>
        <v>Early arrival</v>
      </c>
      <c r="Q29" s="211"/>
      <c r="R29" s="108" t="e">
        <f>VLOOKUP(C29,'Train Runs'!$A$13:$AE$9999,31,0)</f>
        <v>#N/A</v>
      </c>
      <c r="S29" s="111" t="e">
        <f>VLOOKUP(C29,'Train Runs'!$A$13:$AE$9999,22,0)</f>
        <v>#N/A</v>
      </c>
      <c r="T29" s="113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/stypes="*4017*201609020*" /stext=" 06:.+((SYSTEM_STATE.+slice.+state.+changed )|(ment ac)|(system.+state.+changed )|(\|lc)|(penalty)|(\[timeout)|(PRM\|1\|D)|(kpr)|(kdp))" /e /r /s</v>
      </c>
      <c r="U29" s="9" t="str">
        <f>MID(B29,13,4)</f>
        <v>4017</v>
      </c>
      <c r="V29" s="38">
        <f>A29+6/24</f>
        <v>42615.264189814814</v>
      </c>
      <c r="W29" s="52" t="str">
        <f>IF(VALUE(LEFT(IF(LEN(C29)=6,"0"&amp;C29,C29),2))&lt;=2,"EC",IF(OR(VALUE(LEFT(IF(LEN(C29)=6,"0"&amp;C29,C29),2))=8,VALUE(LEFT(IF(LEN(C29)=6,"0"&amp;C29,C29),2))=18),"NW","Other"))</f>
        <v>EC</v>
      </c>
      <c r="X29" s="52" t="str">
        <f>IF(AND(E29="TRACK WARRANT AUTHORITY",G29&lt;10),"OMIT","KEEP")</f>
        <v>KEEP</v>
      </c>
      <c r="Y29" s="147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arrival","project_id":79,"tracker_id":40,"status_id":1,"priority_id":2,"assigned_to_id":23,"start_date":"2016-09-02","description":"","custom_fields":[{"id":1,"name":"Subdivision","value":"EC"},{"id":4,"name":"Milepost","value":"6.3309"},{"id":17,"name":"Train ID","value":"238-01"},{"id":16,"name":"Locomotive ID","value":"4017"},{"id":130,"name":"Impact","value":""},{"id":150,"name":"Time of Event (Mountain Time)","value":"00:20:26"},{"id":151,"name":"Denver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55"/>
      <c r="AD29" s="52" t="str">
        <f>UPPER(VLOOKUP(K29/10000,XING!$A$2:$B$9999,2,FALSE))</f>
        <v>ULSTER STREET</v>
      </c>
    </row>
    <row r="30" spans="1:30" x14ac:dyDescent="0.25">
      <c r="A30" s="38">
        <v>42615.276643518519</v>
      </c>
      <c r="B30" s="33" t="s">
        <v>113</v>
      </c>
      <c r="C30" s="33" t="s">
        <v>730</v>
      </c>
      <c r="D30" s="33" t="s">
        <v>229</v>
      </c>
      <c r="E30" s="33" t="s">
        <v>206</v>
      </c>
      <c r="F30" s="49">
        <v>0</v>
      </c>
      <c r="G30" s="49">
        <v>284</v>
      </c>
      <c r="H30" s="49">
        <v>33189</v>
      </c>
      <c r="I30" s="49">
        <v>33563</v>
      </c>
      <c r="J30" s="207" t="s">
        <v>205</v>
      </c>
      <c r="K30" s="49">
        <v>33137</v>
      </c>
      <c r="L30" s="164" t="s">
        <v>52</v>
      </c>
      <c r="M30" s="49">
        <f>CONVERT((I30-K30)/10000,"mi","ft")*IF(L30="Increasing Mileposts (1)",-1,1)</f>
        <v>-224.928</v>
      </c>
      <c r="N30" s="233" t="str">
        <f>VLOOKUP(C30,'Trips&amp;Operators'!$C$1:$E$99999,3,FALSE)</f>
        <v>GEBRETEKLE</v>
      </c>
      <c r="O30" s="209" t="s">
        <v>86</v>
      </c>
      <c r="P30" s="10" t="str">
        <f>VLOOKUP(A30,Enforcements_imported!$A$2:$N$286,14,FALSE)</f>
        <v>Early arrival</v>
      </c>
      <c r="Q30" s="211"/>
      <c r="R30" s="108" t="e">
        <f>VLOOKUP(C30,'Train Runs'!$A$13:$AE$9999,31,0)</f>
        <v>#N/A</v>
      </c>
      <c r="S30" s="111" t="e">
        <f>VLOOKUP(C30,'Train Runs'!$A$13:$AE$9999,22,0)</f>
        <v>#N/A</v>
      </c>
      <c r="T30" s="113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/stypes="*4031*201609021*" /stext=" 12:.+((SYSTEM_STATE.+slice.+state.+changed )|(ment ac)|(system.+state.+changed )|(\|lc)|(penalty)|(\[timeout)|(PRM\|1\|D)|(kpr)|(kdp))" /e /r /s</v>
      </c>
      <c r="U30" s="9" t="str">
        <f>MID(B30,13,4)</f>
        <v>4031</v>
      </c>
      <c r="V30" s="38">
        <f>A30+6/24</f>
        <v>42615.526643518519</v>
      </c>
      <c r="W30" s="52" t="str">
        <f>IF(VALUE(LEFT(IF(LEN(C30)=6,"0"&amp;C30,C30),2))&lt;=2,"EC",IF(OR(VALUE(LEFT(IF(LEN(C30)=6,"0"&amp;C30,C30),2))=8,VALUE(LEFT(IF(LEN(C30)=6,"0"&amp;C30,C30),2))=18),"NW","Other"))</f>
        <v>EC</v>
      </c>
      <c r="X30" s="52" t="str">
        <f>IF(AND(E30="TRACK WARRANT AUTHORITY",G30&lt;10),"OMIT","KEEP")</f>
        <v>KEEP</v>
      </c>
      <c r="Y30" s="147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arrival","project_id":79,"tracker_id":40,"status_id":1,"priority_id":2,"assigned_to_id":23,"start_date":"2016-09-02","description":"","custom_fields":[{"id":1,"name":"Subdivision","value":"EC"},{"id":4,"name":"Milepost","value":"3.3137"},{"id":17,"name":"Train ID","value":"123-02"},{"id":16,"name":"Locomotive ID","value":"4031"},{"id":130,"name":"Impact","value":""},{"id":150,"name":"Time of Event (Mountain Time)","value":"06:38:22"},{"id":151,"name":"Denver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55"/>
      <c r="AD30" s="52" t="str">
        <f>UPPER(VLOOKUP(K30/10000,XING!$A$2:$B$9999,2,FALSE))</f>
        <v>STEELE ST</v>
      </c>
    </row>
    <row r="31" spans="1:30" x14ac:dyDescent="0.25">
      <c r="A31" s="38">
        <v>42615.332754629628</v>
      </c>
      <c r="B31" s="33" t="s">
        <v>712</v>
      </c>
      <c r="C31" s="33" t="s">
        <v>713</v>
      </c>
      <c r="D31" s="33" t="s">
        <v>49</v>
      </c>
      <c r="E31" s="33" t="s">
        <v>206</v>
      </c>
      <c r="F31" s="49">
        <v>0</v>
      </c>
      <c r="G31" s="49">
        <v>313</v>
      </c>
      <c r="H31" s="49">
        <v>109199</v>
      </c>
      <c r="I31" s="49">
        <v>108986</v>
      </c>
      <c r="J31" s="207" t="s">
        <v>205</v>
      </c>
      <c r="K31" s="49">
        <v>109135</v>
      </c>
      <c r="L31" s="164" t="s">
        <v>53</v>
      </c>
      <c r="M31" s="49">
        <f>CONVERT((I31-K31)/10000,"mi","ft")*IF(L31="Increasing Mileposts (1)",-1,1)</f>
        <v>-78.671999999999997</v>
      </c>
      <c r="N31" s="233" t="str">
        <f>VLOOKUP(C31,'Trips&amp;Operators'!$C$1:$E$99999,3,FALSE)</f>
        <v>SPECTOR</v>
      </c>
      <c r="O31" s="209" t="s">
        <v>86</v>
      </c>
      <c r="P31" s="10" t="str">
        <f>VLOOKUP(A31,Enforcements_imported!$A$2:$N$286,14,FALSE)</f>
        <v>Early arrival</v>
      </c>
      <c r="Q31" s="211"/>
      <c r="R31" s="108" t="e">
        <f>VLOOKUP(C31,'Train Runs'!$A$13:$AE$9999,31,0)</f>
        <v>#N/A</v>
      </c>
      <c r="S31" s="111" t="e">
        <f>VLOOKUP(C31,'Train Runs'!$A$13:$AE$9999,22,0)</f>
        <v>#N/A</v>
      </c>
      <c r="T31" s="113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/stypes="*4054*201609021*" /stext=" 13:.+((SYSTEM_STATE.+slice.+state.+changed )|(ment ac)|(system.+state.+changed )|(\|lc)|(penalty)|(\[timeout)|(PRM\|1\|D)|(kpr)|(kdp))" /e /r /s</v>
      </c>
      <c r="U31" s="9" t="str">
        <f>MID(B31,13,4)</f>
        <v>4054</v>
      </c>
      <c r="V31" s="38">
        <f>A31+6/24</f>
        <v>42615.582754629628</v>
      </c>
      <c r="W31" s="52" t="str">
        <f>IF(VALUE(LEFT(IF(LEN(C31)=6,"0"&amp;C31,C31),2))&lt;=2,"EC",IF(OR(VALUE(LEFT(IF(LEN(C31)=6,"0"&amp;C31,C31),2))=8,VALUE(LEFT(IF(LEN(C31)=6,"0"&amp;C31,C31),2))=18),"NW","Other"))</f>
        <v>EC</v>
      </c>
      <c r="X31" s="52" t="str">
        <f>IF(AND(E31="TRACK WARRANT AUTHORITY",G31&lt;10),"OMIT","KEEP")</f>
        <v>KEEP</v>
      </c>
      <c r="Y31" s="147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arrival","project_id":79,"tracker_id":40,"status_id":1,"priority_id":2,"assigned_to_id":23,"start_date":"2016-09-02","description":"","custom_fields":[{"id":1,"name":"Subdivision","value":"EC"},{"id":4,"name":"Milepost","value":"10.9135"},{"id":17,"name":"Train ID","value":"126-02"},{"id":16,"name":"Locomotive ID","value":"4054"},{"id":130,"name":"Impact","value":""},{"id":150,"name":"Time of Event (Mountain Time)","value":"07:59:10"},{"id":151,"name":"Denver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55"/>
      <c r="AD31" s="52" t="str">
        <f>UPPER(VLOOKUP(K31/10000,XING!$A$2:$B$9999,2,FALSE))</f>
        <v>CHAMBERS ROAD</v>
      </c>
    </row>
    <row r="32" spans="1:30" ht="15" customHeight="1" x14ac:dyDescent="0.25">
      <c r="A32" s="38">
        <v>42616.094155092593</v>
      </c>
      <c r="B32" s="33" t="s">
        <v>114</v>
      </c>
      <c r="C32" s="33" t="s">
        <v>708</v>
      </c>
      <c r="D32" s="33" t="s">
        <v>229</v>
      </c>
      <c r="E32" s="33" t="s">
        <v>206</v>
      </c>
      <c r="F32" s="49">
        <v>0</v>
      </c>
      <c r="G32" s="49">
        <v>419</v>
      </c>
      <c r="H32" s="49">
        <v>109054</v>
      </c>
      <c r="I32" s="49">
        <v>108178</v>
      </c>
      <c r="J32" s="207" t="s">
        <v>205</v>
      </c>
      <c r="K32" s="49">
        <v>109135</v>
      </c>
      <c r="L32" s="164" t="s">
        <v>53</v>
      </c>
      <c r="M32" s="49">
        <f>CONVERT((I32-K32)/10000,"mi","ft")*IF(L32="Increasing Mileposts (1)",-1,1)</f>
        <v>-505.29599999999999</v>
      </c>
      <c r="N32" s="233" t="str">
        <f>VLOOKUP(C32,'Trips&amp;Operators'!$C$1:$E$99999,3,FALSE)</f>
        <v>HAITHCOX</v>
      </c>
      <c r="O32" s="209" t="s">
        <v>86</v>
      </c>
      <c r="P32" s="10" t="s">
        <v>336</v>
      </c>
      <c r="Q32" s="211"/>
      <c r="R32" s="108" t="e">
        <f>VLOOKUP(C32,'Train Runs'!$A$13:$AE$9999,31,0)</f>
        <v>#N/A</v>
      </c>
      <c r="S32" s="111" t="e">
        <f>VLOOKUP(C32,'Train Runs'!$A$13:$AE$9999,22,0)</f>
        <v>#N/A</v>
      </c>
      <c r="T32" s="113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/stypes="*4032*201609030*" /stext=" 08:.+((SYSTEM_STATE.+slice.+state.+changed )|(ment ac)|(system.+state.+changed )|(\|lc)|(penalty)|(\[timeout)|(PRM\|1\|D)|(kpr)|(kdp))" /e /r /s</v>
      </c>
      <c r="U32" s="9" t="str">
        <f>MID(B32,13,4)</f>
        <v>4032</v>
      </c>
      <c r="V32" s="38">
        <f>A32+6/24</f>
        <v>42616.344155092593</v>
      </c>
      <c r="W32" s="52" t="str">
        <f>IF(VALUE(LEFT(IF(LEN(C32)=6,"0"&amp;C32,C32),2))&lt;=2,"EC",IF(OR(VALUE(LEFT(IF(LEN(C32)=6,"0"&amp;C32,C32),2))=8,VALUE(LEFT(IF(LEN(C32)=6,"0"&amp;C32,C32),2))=18),"NW","Other"))</f>
        <v>EC</v>
      </c>
      <c r="X32" s="52" t="str">
        <f>IF(AND(E32="TRACK WARRANT AUTHORITY",G32&lt;10),"OMIT","KEEP")</f>
        <v>KEEP</v>
      </c>
      <c r="Y32" s="147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arrival","project_id":79,"tracker_id":40,"status_id":1,"priority_id":2,"assigned_to_id":23,"start_date":"2016-09-03","description":"","custom_fields":[{"id":1,"name":"Subdivision","value":"EC"},{"id":4,"name":"Milepost","value":"10.9135"},{"id":17,"name":"Train ID","value":"246-02"},{"id":16,"name":"Locomotive ID","value":"4032"},{"id":130,"name":"Impact","value":""},{"id":150,"name":"Time of Event (Mountain Time)","value":"02:15:35"},{"id":151,"name":"Denver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55"/>
      <c r="AD32" s="52" t="str">
        <f>UPPER(VLOOKUP(K32/10000,XING!$A$2:$B$9999,2,FALSE))</f>
        <v>CHAMBERS ROAD</v>
      </c>
    </row>
    <row r="33" spans="1:30" x14ac:dyDescent="0.25">
      <c r="A33" s="38">
        <v>42616.216805555552</v>
      </c>
      <c r="B33" s="33" t="s">
        <v>227</v>
      </c>
      <c r="C33" s="33" t="s">
        <v>718</v>
      </c>
      <c r="D33" s="33" t="s">
        <v>49</v>
      </c>
      <c r="E33" s="33" t="s">
        <v>206</v>
      </c>
      <c r="F33" s="49">
        <v>310</v>
      </c>
      <c r="G33" s="49">
        <v>388</v>
      </c>
      <c r="H33" s="49">
        <v>35103</v>
      </c>
      <c r="I33" s="49">
        <v>34000</v>
      </c>
      <c r="J33" s="207" t="s">
        <v>205</v>
      </c>
      <c r="K33" s="49">
        <v>33257</v>
      </c>
      <c r="L33" s="164" t="s">
        <v>53</v>
      </c>
      <c r="M33" s="49">
        <f>CONVERT((I33-K33)/10000,"mi","ft")*IF(L33="Increasing Mileposts (1)",-1,1)</f>
        <v>392.30399999999997</v>
      </c>
      <c r="N33" s="233" t="str">
        <f>VLOOKUP(C33,'Trips&amp;Operators'!$C$1:$E$99999,3,FALSE)</f>
        <v>MALAVE</v>
      </c>
      <c r="O33" s="209" t="s">
        <v>86</v>
      </c>
      <c r="P33" s="10" t="str">
        <f>VLOOKUP(A33,Enforcements_imported!$A$2:$N$286,14,FALSE)</f>
        <v>Early arrival</v>
      </c>
      <c r="Q33" s="211"/>
      <c r="R33" s="108" t="e">
        <f>VLOOKUP(C33,'Train Runs'!$A$13:$AE$9999,31,0)</f>
        <v>#N/A</v>
      </c>
      <c r="S33" s="111" t="e">
        <f>VLOOKUP(C33,'Train Runs'!$A$13:$AE$9999,22,0)</f>
        <v>#N/A</v>
      </c>
      <c r="T33" s="113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/stypes="*4001*201609031*" /stext=" 11:.+((SYSTEM_STATE.+slice.+state.+changed )|(ment ac)|(system.+state.+changed )|(\|lc)|(penalty)|(\[timeout)|(PRM\|1\|D)|(kpr)|(kdp))" /e /r /s</v>
      </c>
      <c r="U33" s="9" t="str">
        <f>MID(B33,13,4)</f>
        <v>4001</v>
      </c>
      <c r="V33" s="38">
        <f>A33+6/24</f>
        <v>42616.466805555552</v>
      </c>
      <c r="W33" s="52" t="str">
        <f>IF(VALUE(LEFT(IF(LEN(C33)=6,"0"&amp;C33,C33),2))&lt;=2,"EC",IF(OR(VALUE(LEFT(IF(LEN(C33)=6,"0"&amp;C33,C33),2))=8,VALUE(LEFT(IF(LEN(C33)=6,"0"&amp;C33,C33),2))=18),"NW","Other"))</f>
        <v>EC</v>
      </c>
      <c r="X33" s="52" t="str">
        <f>IF(AND(E33="TRACK WARRANT AUTHORITY",G33&lt;10),"OMIT","KEEP")</f>
        <v>KEEP</v>
      </c>
      <c r="Y33" s="147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arrival","project_id":79,"tracker_id":40,"status_id":1,"priority_id":2,"assigned_to_id":23,"start_date":"2016-09-03","description":"","custom_fields":[{"id":1,"name":"Subdivision","value":"EC"},{"id":4,"name":"Milepost","value":"3.3257"},{"id":17,"name":"Train ID","value":"104-03"},{"id":16,"name":"Locomotive ID","value":"4001"},{"id":130,"name":"Impact","value":""},{"id":150,"name":"Time of Event (Mountain Time)","value":"05:12:12"},{"id":151,"name":"Denver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55"/>
      <c r="AD33" s="52" t="str">
        <f>UPPER(VLOOKUP(K33/10000,XING!$A$2:$B$9999,2,FALSE))</f>
        <v>STEELE ST</v>
      </c>
    </row>
    <row r="34" spans="1:30" ht="15" customHeight="1" x14ac:dyDescent="0.25">
      <c r="A34" s="38">
        <v>42616.219293981485</v>
      </c>
      <c r="B34" s="33" t="s">
        <v>227</v>
      </c>
      <c r="C34" s="33" t="s">
        <v>718</v>
      </c>
      <c r="D34" s="33" t="s">
        <v>229</v>
      </c>
      <c r="E34" s="33" t="s">
        <v>206</v>
      </c>
      <c r="F34" s="49">
        <v>40</v>
      </c>
      <c r="G34" s="49">
        <v>164</v>
      </c>
      <c r="H34" s="49">
        <v>27124</v>
      </c>
      <c r="I34" s="49">
        <v>26633</v>
      </c>
      <c r="J34" s="207" t="s">
        <v>205</v>
      </c>
      <c r="K34" s="49">
        <v>27350</v>
      </c>
      <c r="L34" s="164" t="s">
        <v>53</v>
      </c>
      <c r="M34" s="49">
        <f>CONVERT((I34-K34)/10000,"mi","ft")*IF(L34="Increasing Mileposts (1)",-1,1)</f>
        <v>-378.57600000000002</v>
      </c>
      <c r="N34" s="233" t="str">
        <f>VLOOKUP(C34,'Trips&amp;Operators'!$C$1:$E$99999,3,FALSE)</f>
        <v>MALAVE</v>
      </c>
      <c r="O34" s="209" t="s">
        <v>86</v>
      </c>
      <c r="P34" s="10" t="str">
        <f>VLOOKUP(A34,Enforcements_imported!$A$2:$N$286,14,FALSE)</f>
        <v>Early arrival</v>
      </c>
      <c r="Q34" s="211"/>
      <c r="R34" s="108" t="e">
        <f>VLOOKUP(C34,'Train Runs'!$A$13:$AE$9999,31,0)</f>
        <v>#N/A</v>
      </c>
      <c r="S34" s="111" t="e">
        <f>VLOOKUP(C34,'Train Runs'!$A$13:$AE$9999,22,0)</f>
        <v>#N/A</v>
      </c>
      <c r="T34" s="113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/stypes="*4001*201609031*" /stext=" 11:.+((SYSTEM_STATE.+slice.+state.+changed )|(ment ac)|(system.+state.+changed )|(\|lc)|(penalty)|(\[timeout)|(PRM\|1\|D)|(kpr)|(kdp))" /e /r /s</v>
      </c>
      <c r="U34" s="9" t="str">
        <f>MID(B34,13,4)</f>
        <v>4001</v>
      </c>
      <c r="V34" s="38">
        <f>A34+6/24</f>
        <v>42616.469293981485</v>
      </c>
      <c r="W34" s="52" t="str">
        <f>IF(VALUE(LEFT(IF(LEN(C34)=6,"0"&amp;C34,C34),2))&lt;=2,"EC",IF(OR(VALUE(LEFT(IF(LEN(C34)=6,"0"&amp;C34,C34),2))=8,VALUE(LEFT(IF(LEN(C34)=6,"0"&amp;C34,C34),2))=18),"NW","Other"))</f>
        <v>EC</v>
      </c>
      <c r="X34" s="52" t="str">
        <f>IF(AND(E34="TRACK WARRANT AUTHORITY",G34&lt;10),"OMIT","KEEP")</f>
        <v>KEEP</v>
      </c>
      <c r="Y34" s="147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arrival","project_id":79,"tracker_id":40,"status_id":1,"priority_id":2,"assigned_to_id":23,"start_date":"2016-09-03","description":"","custom_fields":[{"id":1,"name":"Subdivision","value":"EC"},{"id":4,"name":"Milepost","value":"2.735"},{"id":17,"name":"Train ID","value":"104-03"},{"id":16,"name":"Locomotive ID","value":"4001"},{"id":130,"name":"Impact","value":""},{"id":150,"name":"Time of Event (Mountain Time)","value":"05:15:47"},{"id":151,"name":"Denver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55"/>
      <c r="AD34" s="52" t="str">
        <f>UPPER(VLOOKUP(K34/10000,XING!$A$2:$B$9999,2,FALSE))</f>
        <v>YORK &amp; JOSEPHINE STREET</v>
      </c>
    </row>
    <row r="35" spans="1:30" x14ac:dyDescent="0.25">
      <c r="A35" s="38">
        <v>42616.385312500002</v>
      </c>
      <c r="B35" s="33" t="s">
        <v>111</v>
      </c>
      <c r="C35" s="33" t="s">
        <v>744</v>
      </c>
      <c r="D35" s="33" t="s">
        <v>49</v>
      </c>
      <c r="E35" s="33" t="s">
        <v>206</v>
      </c>
      <c r="F35" s="49">
        <v>320</v>
      </c>
      <c r="G35" s="49">
        <v>478</v>
      </c>
      <c r="H35" s="49">
        <v>60921</v>
      </c>
      <c r="I35" s="49">
        <v>62361</v>
      </c>
      <c r="J35" s="207" t="s">
        <v>205</v>
      </c>
      <c r="K35" s="49">
        <v>63069</v>
      </c>
      <c r="L35" s="164" t="s">
        <v>52</v>
      </c>
      <c r="M35" s="49">
        <f>CONVERT((I35-K35)/10000,"mi","ft")*IF(L35="Increasing Mileposts (1)",-1,1)</f>
        <v>373.82400000000001</v>
      </c>
      <c r="N35" s="233" t="str">
        <f>VLOOKUP(C35,'Trips&amp;Operators'!$C$1:$E$99999,3,FALSE)</f>
        <v>STRICKLAND</v>
      </c>
      <c r="O35" s="209" t="s">
        <v>86</v>
      </c>
      <c r="P35" s="10" t="str">
        <f>VLOOKUP(A35,Enforcements_imported!$A$2:$N$286,14,FALSE)</f>
        <v>Early arrival</v>
      </c>
      <c r="Q35" s="211"/>
      <c r="R35" s="108" t="e">
        <f>VLOOKUP(C35,'Train Runs'!$A$13:$AE$9999,31,0)</f>
        <v>#N/A</v>
      </c>
      <c r="S35" s="111" t="e">
        <f>VLOOKUP(C35,'Train Runs'!$A$13:$AE$9999,22,0)</f>
        <v>#N/A</v>
      </c>
      <c r="T35" s="113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/stypes="*4014*201609031*" /stext=" 15:.+((SYSTEM_STATE.+slice.+state.+changed )|(ment ac)|(system.+state.+changed )|(\|lc)|(penalty)|(\[timeout)|(PRM\|1\|D)|(kpr)|(kdp))" /e /r /s</v>
      </c>
      <c r="U35" s="9" t="str">
        <f>MID(B35,13,4)</f>
        <v>4014</v>
      </c>
      <c r="V35" s="38">
        <f>A35+6/24</f>
        <v>42616.635312500002</v>
      </c>
      <c r="W35" s="52" t="str">
        <f>IF(VALUE(LEFT(IF(LEN(C35)=6,"0"&amp;C35,C35),2))&lt;=2,"EC",IF(OR(VALUE(LEFT(IF(LEN(C35)=6,"0"&amp;C35,C35),2))=8,VALUE(LEFT(IF(LEN(C35)=6,"0"&amp;C35,C35),2))=18),"NW","Other"))</f>
        <v>EC</v>
      </c>
      <c r="X35" s="52" t="str">
        <f>IF(AND(E35="TRACK WARRANT AUTHORITY",G35&lt;10),"OMIT","KEEP")</f>
        <v>KEEP</v>
      </c>
      <c r="Y35" s="147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arrival","project_id":79,"tracker_id":40,"status_id":1,"priority_id":2,"assigned_to_id":23,"start_date":"2016-09-03","description":"","custom_fields":[{"id":1,"name":"Subdivision","value":"EC"},{"id":4,"name":"Milepost","value":"6.3069"},{"id":17,"name":"Train ID","value":"143-03"},{"id":16,"name":"Locomotive ID","value":"4014"},{"id":130,"name":"Impact","value":""},{"id":150,"name":"Time of Event (Mountain Time)","value":"09:14:51"},{"id":151,"name":"Denver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55"/>
      <c r="AD35" s="52" t="str">
        <f>UPPER(VLOOKUP(K35/10000,XING!$A$2:$B$9999,2,FALSE))</f>
        <v>ULSTER STREET</v>
      </c>
    </row>
    <row r="36" spans="1:30" x14ac:dyDescent="0.25">
      <c r="A36" s="38">
        <v>42616.385787037034</v>
      </c>
      <c r="B36" s="33" t="s">
        <v>111</v>
      </c>
      <c r="C36" s="33" t="s">
        <v>744</v>
      </c>
      <c r="D36" s="33" t="s">
        <v>49</v>
      </c>
      <c r="E36" s="33" t="s">
        <v>206</v>
      </c>
      <c r="F36" s="49">
        <v>70</v>
      </c>
      <c r="G36" s="49">
        <v>145</v>
      </c>
      <c r="H36" s="49">
        <v>62665</v>
      </c>
      <c r="I36" s="49">
        <v>62866</v>
      </c>
      <c r="J36" s="207" t="s">
        <v>205</v>
      </c>
      <c r="K36" s="49">
        <v>63069</v>
      </c>
      <c r="L36" s="164" t="s">
        <v>52</v>
      </c>
      <c r="M36" s="49">
        <f>CONVERT((I36-K36)/10000,"mi","ft")*IF(L36="Increasing Mileposts (1)",-1,1)</f>
        <v>107.184</v>
      </c>
      <c r="N36" s="233" t="str">
        <f>VLOOKUP(C36,'Trips&amp;Operators'!$C$1:$E$99999,3,FALSE)</f>
        <v>STRICKLAND</v>
      </c>
      <c r="O36" s="209" t="s">
        <v>86</v>
      </c>
      <c r="P36" s="10" t="str">
        <f>VLOOKUP(A36,Enforcements_imported!$A$2:$N$286,14,FALSE)</f>
        <v>Early arrival</v>
      </c>
      <c r="Q36" s="211"/>
      <c r="R36" s="108" t="e">
        <f>VLOOKUP(C36,'Train Runs'!$A$13:$AE$9999,31,0)</f>
        <v>#N/A</v>
      </c>
      <c r="S36" s="111" t="e">
        <f>VLOOKUP(C36,'Train Runs'!$A$13:$AE$9999,22,0)</f>
        <v>#N/A</v>
      </c>
      <c r="T36" s="113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/stypes="*4014*201609031*" /stext=" 15:.+((SYSTEM_STATE.+slice.+state.+changed )|(ment ac)|(system.+state.+changed )|(\|lc)|(penalty)|(\[timeout)|(PRM\|1\|D)|(kpr)|(kdp))" /e /r /s</v>
      </c>
      <c r="U36" s="9" t="str">
        <f>MID(B36,13,4)</f>
        <v>4014</v>
      </c>
      <c r="V36" s="38">
        <f>A36+6/24</f>
        <v>42616.635787037034</v>
      </c>
      <c r="W36" s="52" t="str">
        <f>IF(VALUE(LEFT(IF(LEN(C36)=6,"0"&amp;C36,C36),2))&lt;=2,"EC",IF(OR(VALUE(LEFT(IF(LEN(C36)=6,"0"&amp;C36,C36),2))=8,VALUE(LEFT(IF(LEN(C36)=6,"0"&amp;C36,C36),2))=18),"NW","Other"))</f>
        <v>EC</v>
      </c>
      <c r="X36" s="52" t="str">
        <f>IF(AND(E36="TRACK WARRANT AUTHORITY",G36&lt;10),"OMIT","KEEP")</f>
        <v>KEEP</v>
      </c>
      <c r="Y36" s="147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arrival","project_id":79,"tracker_id":40,"status_id":1,"priority_id":2,"assigned_to_id":23,"start_date":"2016-09-03","description":"","custom_fields":[{"id":1,"name":"Subdivision","value":"EC"},{"id":4,"name":"Milepost","value":"6.3069"},{"id":17,"name":"Train ID","value":"143-03"},{"id":16,"name":"Locomotive ID","value":"4014"},{"id":130,"name":"Impact","value":""},{"id":150,"name":"Time of Event (Mountain Time)","value":"09:15:32"},{"id":151,"name":"Denver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55"/>
      <c r="AD36" s="52" t="str">
        <f>UPPER(VLOOKUP(K36/10000,XING!$A$2:$B$9999,2,FALSE))</f>
        <v>ULSTER STREET</v>
      </c>
    </row>
    <row r="37" spans="1:30" ht="15" customHeight="1" x14ac:dyDescent="0.25">
      <c r="A37" s="38">
        <v>42616.623414351852</v>
      </c>
      <c r="B37" s="33" t="s">
        <v>726</v>
      </c>
      <c r="C37" s="33" t="s">
        <v>733</v>
      </c>
      <c r="D37" s="33" t="s">
        <v>229</v>
      </c>
      <c r="E37" s="33" t="s">
        <v>206</v>
      </c>
      <c r="F37" s="49">
        <v>0</v>
      </c>
      <c r="G37" s="49">
        <v>211</v>
      </c>
      <c r="H37" s="49">
        <v>42825</v>
      </c>
      <c r="I37" s="49">
        <v>42950</v>
      </c>
      <c r="J37" s="207" t="s">
        <v>205</v>
      </c>
      <c r="K37" s="49">
        <v>42779</v>
      </c>
      <c r="L37" s="164" t="s">
        <v>52</v>
      </c>
      <c r="M37" s="49">
        <f>CONVERT((I37-K37)/10000,"mi","ft")*IF(L37="Increasing Mileposts (1)",-1,1)</f>
        <v>-90.287999999999997</v>
      </c>
      <c r="N37" s="233" t="str">
        <f>VLOOKUP(C37,'Trips&amp;Operators'!$C$1:$E$99999,3,FALSE)</f>
        <v>STAMBAUGH</v>
      </c>
      <c r="O37" s="209" t="s">
        <v>86</v>
      </c>
      <c r="P37" s="10" t="str">
        <f>VLOOKUP(A37,Enforcements_imported!$A$2:$N$286,14,FALSE)</f>
        <v>Early arrival</v>
      </c>
      <c r="Q37" s="211"/>
      <c r="R37" s="108" t="e">
        <f>VLOOKUP(C37,'Train Runs'!$A$13:$AE$9999,31,0)</f>
        <v>#N/A</v>
      </c>
      <c r="S37" s="111" t="e">
        <f>VLOOKUP(C37,'Train Runs'!$A$13:$AE$9999,22,0)</f>
        <v>#N/A</v>
      </c>
      <c r="T37" s="113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/stypes="*4040*201609032*" /stext=" 20:.+((SYSTEM_STATE.+slice.+state.+changed )|(ment ac)|(system.+state.+changed )|(\|lc)|(penalty)|(\[timeout)|(PRM\|1\|D)|(kpr)|(kdp))" /e /r /s</v>
      </c>
      <c r="U37" s="9" t="str">
        <f>MID(B37,13,4)</f>
        <v>4040</v>
      </c>
      <c r="V37" s="38">
        <f>A37+6/24</f>
        <v>42616.873414351852</v>
      </c>
      <c r="W37" s="52" t="str">
        <f>IF(VALUE(LEFT(IF(LEN(C37)=6,"0"&amp;C37,C37),2))&lt;=2,"EC",IF(OR(VALUE(LEFT(IF(LEN(C37)=6,"0"&amp;C37,C37),2))=8,VALUE(LEFT(IF(LEN(C37)=6,"0"&amp;C37,C37),2))=18),"NW","Other"))</f>
        <v>EC</v>
      </c>
      <c r="X37" s="52" t="str">
        <f>IF(AND(E37="TRACK WARRANT AUTHORITY",G37&lt;10),"OMIT","KEEP")</f>
        <v>KEEP</v>
      </c>
      <c r="Y37" s="147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arrival","project_id":79,"tracker_id":40,"status_id":1,"priority_id":2,"assigned_to_id":23,"start_date":"2016-09-03","description":"","custom_fields":[{"id":1,"name":"Subdivision","value":"EC"},{"id":4,"name":"Milepost","value":"4.2779"},{"id":17,"name":"Train ID","value":"189-03"},{"id":16,"name":"Locomotive ID","value":"4040"},{"id":130,"name":"Impact","value":""},{"id":150,"name":"Time of Event (Mountain Time)","value":"14:57:43"},{"id":151,"name":"Denver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55"/>
      <c r="AD37" s="52" t="str">
        <f>UPPER(VLOOKUP(K37/10000,XING!$A$2:$B$9999,2,FALSE))</f>
        <v>DAHLIA STREET</v>
      </c>
    </row>
    <row r="38" spans="1:30" x14ac:dyDescent="0.25">
      <c r="A38" s="38">
        <v>42617.204155092593</v>
      </c>
      <c r="B38" s="33" t="s">
        <v>154</v>
      </c>
      <c r="C38" s="33" t="s">
        <v>728</v>
      </c>
      <c r="D38" s="33" t="s">
        <v>49</v>
      </c>
      <c r="E38" s="33" t="s">
        <v>206</v>
      </c>
      <c r="F38" s="49">
        <v>0</v>
      </c>
      <c r="G38" s="49">
        <v>282</v>
      </c>
      <c r="H38" s="49">
        <v>33073</v>
      </c>
      <c r="I38" s="49">
        <v>33239</v>
      </c>
      <c r="J38" s="207" t="s">
        <v>205</v>
      </c>
      <c r="K38" s="49">
        <v>33137</v>
      </c>
      <c r="L38" s="164" t="s">
        <v>52</v>
      </c>
      <c r="M38" s="49">
        <f>CONVERT((I38-K38)/10000,"mi","ft")*IF(L38="Increasing Mileposts (1)",-1,1)</f>
        <v>-53.856000000000002</v>
      </c>
      <c r="N38" s="233" t="str">
        <f>VLOOKUP(C38,'Trips&amp;Operators'!$C$1:$E$99999,3,FALSE)</f>
        <v>MALAVE</v>
      </c>
      <c r="O38" s="209" t="s">
        <v>86</v>
      </c>
      <c r="P38" s="10" t="str">
        <f>VLOOKUP(A38,Enforcements_imported!$A$2:$N$286,14,FALSE)</f>
        <v>Early arrival</v>
      </c>
      <c r="Q38" s="211"/>
      <c r="R38" s="108" t="e">
        <f>VLOOKUP(C38,'Train Runs'!$A$13:$AE$9999,31,0)</f>
        <v>#N/A</v>
      </c>
      <c r="S38" s="111" t="e">
        <f>VLOOKUP(C38,'Train Runs'!$A$13:$AE$9999,22,0)</f>
        <v>#N/A</v>
      </c>
      <c r="T38" s="113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/stypes="*4002*201609041*" /stext=" 10:.+((SYSTEM_STATE.+slice.+state.+changed )|(ment ac)|(system.+state.+changed )|(\|lc)|(penalty)|(\[timeout)|(PRM\|1\|D)|(kpr)|(kdp))" /e /r /s</v>
      </c>
      <c r="U38" s="9" t="str">
        <f>MID(B38,13,4)</f>
        <v>4002</v>
      </c>
      <c r="V38" s="38">
        <f>A38+6/24</f>
        <v>42617.454155092593</v>
      </c>
      <c r="W38" s="52" t="str">
        <f>IF(VALUE(LEFT(IF(LEN(C38)=6,"0"&amp;C38,C38),2))&lt;=2,"EC",IF(OR(VALUE(LEFT(IF(LEN(C38)=6,"0"&amp;C38,C38),2))=8,VALUE(LEFT(IF(LEN(C38)=6,"0"&amp;C38,C38),2))=18),"NW","Other"))</f>
        <v>EC</v>
      </c>
      <c r="X38" s="52" t="str">
        <f>IF(AND(E38="TRACK WARRANT AUTHORITY",G38&lt;10),"OMIT","KEEP")</f>
        <v>KEEP</v>
      </c>
      <c r="Y38" s="147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arrival","project_id":79,"tracker_id":40,"status_id":1,"priority_id":2,"assigned_to_id":23,"start_date":"2016-09-04","description":"","custom_fields":[{"id":1,"name":"Subdivision","value":"EC"},{"id":4,"name":"Milepost","value":"3.3137"},{"id":17,"name":"Train ID","value":"109-04"},{"id":16,"name":"Locomotive ID","value":"4002"},{"id":130,"name":"Impact","value":""},{"id":150,"name":"Time of Event (Mountain Time)","value":"04:53:59"},{"id":151,"name":"Denver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55"/>
      <c r="AD38" s="52" t="str">
        <f>UPPER(VLOOKUP(K38/10000,XING!$A$2:$B$9999,2,FALSE))</f>
        <v>STEELE ST</v>
      </c>
    </row>
    <row r="39" spans="1:30" x14ac:dyDescent="0.25">
      <c r="A39" s="38">
        <v>42617.2497337963</v>
      </c>
      <c r="B39" s="33" t="s">
        <v>227</v>
      </c>
      <c r="C39" s="33" t="s">
        <v>709</v>
      </c>
      <c r="D39" s="33" t="s">
        <v>110</v>
      </c>
      <c r="E39" s="33" t="s">
        <v>206</v>
      </c>
      <c r="F39" s="49">
        <v>0</v>
      </c>
      <c r="G39" s="49">
        <v>432</v>
      </c>
      <c r="H39" s="49">
        <v>109102</v>
      </c>
      <c r="I39" s="49">
        <v>108353</v>
      </c>
      <c r="J39" s="207" t="s">
        <v>205</v>
      </c>
      <c r="K39" s="49">
        <v>109135</v>
      </c>
      <c r="L39" s="164" t="s">
        <v>53</v>
      </c>
      <c r="M39" s="49">
        <f>CONVERT((I39-K39)/10000,"mi","ft")*IF(L39="Increasing Mileposts (1)",-1,1)</f>
        <v>-412.89600000000002</v>
      </c>
      <c r="N39" s="233" t="str">
        <f>VLOOKUP(C39,'Trips&amp;Operators'!$C$1:$E$99999,3,FALSE)</f>
        <v>MALAVE</v>
      </c>
      <c r="O39" s="209" t="s">
        <v>86</v>
      </c>
      <c r="P39" s="10" t="str">
        <f>VLOOKUP(A39,Enforcements_imported!$A$2:$N$286,14,FALSE)</f>
        <v>Early arrival</v>
      </c>
      <c r="Q39" s="211"/>
      <c r="R39" s="108" t="e">
        <f>VLOOKUP(C39,'Train Runs'!$A$13:$AE$9999,31,0)</f>
        <v>#N/A</v>
      </c>
      <c r="S39" s="111" t="e">
        <f>VLOOKUP(C39,'Train Runs'!$A$13:$AE$9999,22,0)</f>
        <v>#N/A</v>
      </c>
      <c r="T39" s="113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/stypes="*4001*201609041*" /stext=" 11:.+((SYSTEM_STATE.+slice.+state.+changed )|(ment ac)|(system.+state.+changed )|(\|lc)|(penalty)|(\[timeout)|(PRM\|1\|D)|(kpr)|(kdp))" /e /r /s</v>
      </c>
      <c r="U39" s="9" t="str">
        <f>MID(B39,13,4)</f>
        <v>4001</v>
      </c>
      <c r="V39" s="38">
        <f>A39+6/24</f>
        <v>42617.4997337963</v>
      </c>
      <c r="W39" s="52" t="str">
        <f>IF(VALUE(LEFT(IF(LEN(C39)=6,"0"&amp;C39,C39),2))&lt;=2,"EC",IF(OR(VALUE(LEFT(IF(LEN(C39)=6,"0"&amp;C39,C39),2))=8,VALUE(LEFT(IF(LEN(C39)=6,"0"&amp;C39,C39),2))=18),"NW","Other"))</f>
        <v>EC</v>
      </c>
      <c r="X39" s="52" t="str">
        <f>IF(AND(E39="TRACK WARRANT AUTHORITY",G39&lt;10),"OMIT","KEEP")</f>
        <v>KEEP</v>
      </c>
      <c r="Y39" s="147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arrival","project_id":79,"tracker_id":40,"status_id":1,"priority_id":2,"assigned_to_id":23,"start_date":"2016-09-04","description":"","custom_fields":[{"id":1,"name":"Subdivision","value":"EC"},{"id":4,"name":"Milepost","value":"10.9135"},{"id":17,"name":"Train ID","value":"110-04"},{"id":16,"name":"Locomotive ID","value":"4001"},{"id":130,"name":"Impact","value":""},{"id":150,"name":"Time of Event (Mountain Time)","value":"05:59:37"},{"id":151,"name":"Denver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55"/>
      <c r="AD39" s="52" t="str">
        <f>UPPER(VLOOKUP(K39/10000,XING!$A$2:$B$9999,2,FALSE))</f>
        <v>CHAMBERS ROAD</v>
      </c>
    </row>
    <row r="40" spans="1:30" x14ac:dyDescent="0.25">
      <c r="A40" s="38">
        <v>42617.269652777781</v>
      </c>
      <c r="B40" s="33" t="s">
        <v>260</v>
      </c>
      <c r="C40" s="33" t="s">
        <v>719</v>
      </c>
      <c r="D40" s="33" t="s">
        <v>229</v>
      </c>
      <c r="E40" s="33" t="s">
        <v>206</v>
      </c>
      <c r="F40" s="49">
        <v>200</v>
      </c>
      <c r="G40" s="49">
        <v>260</v>
      </c>
      <c r="H40" s="49">
        <v>27213</v>
      </c>
      <c r="I40" s="49">
        <v>26835</v>
      </c>
      <c r="J40" s="207" t="s">
        <v>205</v>
      </c>
      <c r="K40" s="49">
        <v>27350</v>
      </c>
      <c r="L40" s="164" t="s">
        <v>53</v>
      </c>
      <c r="M40" s="49">
        <f>CONVERT((I40-K40)/10000,"mi","ft")*IF(L40="Increasing Mileposts (1)",-1,1)</f>
        <v>-271.92</v>
      </c>
      <c r="N40" s="233" t="str">
        <f>VLOOKUP(C40,'Trips&amp;Operators'!$C$1:$E$99999,3,FALSE)</f>
        <v>STRICKLAND</v>
      </c>
      <c r="O40" s="209" t="s">
        <v>86</v>
      </c>
      <c r="P40" s="10" t="str">
        <f>VLOOKUP(A40,Enforcements_imported!$A$2:$N$286,14,FALSE)</f>
        <v>Early arrival</v>
      </c>
      <c r="Q40" s="211"/>
      <c r="R40" s="108" t="e">
        <f>VLOOKUP(C40,'Train Runs'!$A$13:$AE$9999,31,0)</f>
        <v>#N/A</v>
      </c>
      <c r="S40" s="111" t="e">
        <f>VLOOKUP(C40,'Train Runs'!$A$13:$AE$9999,22,0)</f>
        <v>#N/A</v>
      </c>
      <c r="T40" s="113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/stypes="*4026*201609041*" /stext=" 12:.+((SYSTEM_STATE.+slice.+state.+changed )|(ment ac)|(system.+state.+changed )|(\|lc)|(penalty)|(\[timeout)|(PRM\|1\|D)|(kpr)|(kdp))" /e /r /s</v>
      </c>
      <c r="U40" s="9" t="str">
        <f>MID(B40,13,4)</f>
        <v>4026</v>
      </c>
      <c r="V40" s="38">
        <f>A40+6/24</f>
        <v>42617.519652777781</v>
      </c>
      <c r="W40" s="52" t="str">
        <f>IF(VALUE(LEFT(IF(LEN(C40)=6,"0"&amp;C40,C40),2))&lt;=2,"EC",IF(OR(VALUE(LEFT(IF(LEN(C40)=6,"0"&amp;C40,C40),2))=8,VALUE(LEFT(IF(LEN(C40)=6,"0"&amp;C40,C40),2))=18),"NW","Other"))</f>
        <v>EC</v>
      </c>
      <c r="X40" s="52" t="str">
        <f>IF(AND(E40="TRACK WARRANT AUTHORITY",G40&lt;10),"OMIT","KEEP")</f>
        <v>KEEP</v>
      </c>
      <c r="Y40" s="147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arrival","project_id":79,"tracker_id":40,"status_id":1,"priority_id":2,"assigned_to_id":23,"start_date":"2016-09-04","description":"","custom_fields":[{"id":1,"name":"Subdivision","value":"EC"},{"id":4,"name":"Milepost","value":"2.735"},{"id":17,"name":"Train ID","value":"112-04"},{"id":16,"name":"Locomotive ID","value":"4026"},{"id":130,"name":"Impact","value":""},{"id":150,"name":"Time of Event (Mountain Time)","value":"06:28:18"},{"id":151,"name":"Denver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55"/>
      <c r="AD40" s="52" t="str">
        <f>UPPER(VLOOKUP(K40/10000,XING!$A$2:$B$9999,2,FALSE))</f>
        <v>YORK &amp; JOSEPHINE STREET</v>
      </c>
    </row>
    <row r="41" spans="1:30" x14ac:dyDescent="0.25">
      <c r="A41" s="38">
        <v>42617.385752314818</v>
      </c>
      <c r="B41" s="33" t="s">
        <v>139</v>
      </c>
      <c r="C41" s="33" t="s">
        <v>707</v>
      </c>
      <c r="D41" s="33" t="s">
        <v>110</v>
      </c>
      <c r="E41" s="33" t="s">
        <v>206</v>
      </c>
      <c r="F41" s="49">
        <v>0</v>
      </c>
      <c r="G41" s="49">
        <v>464</v>
      </c>
      <c r="H41" s="49">
        <v>103780</v>
      </c>
      <c r="I41" s="49">
        <v>102605</v>
      </c>
      <c r="J41" s="207" t="s">
        <v>205</v>
      </c>
      <c r="K41" s="49">
        <v>103800</v>
      </c>
      <c r="L41" s="164" t="s">
        <v>53</v>
      </c>
      <c r="M41" s="49">
        <f>CONVERT((I41-K41)/10000,"mi","ft")*IF(L41="Increasing Mileposts (1)",-1,1)</f>
        <v>-630.96</v>
      </c>
      <c r="N41" s="233" t="str">
        <f>VLOOKUP(C41,'Trips&amp;Operators'!$C$1:$E$99999,3,FALSE)</f>
        <v>DAVIS</v>
      </c>
      <c r="O41" s="209" t="s">
        <v>86</v>
      </c>
      <c r="P41" s="10" t="str">
        <f>VLOOKUP(A41,Enforcements_imported!$A$2:$N$286,14,FALSE)</f>
        <v>Early arrival</v>
      </c>
      <c r="Q41" s="211"/>
      <c r="R41" s="108" t="e">
        <f>VLOOKUP(C41,'Train Runs'!$A$13:$AE$9999,31,0)</f>
        <v>#N/A</v>
      </c>
      <c r="S41" s="111" t="e">
        <f>VLOOKUP(C41,'Train Runs'!$A$13:$AE$9999,22,0)</f>
        <v>#N/A</v>
      </c>
      <c r="T41" s="113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/stypes="*4037*201609041*" /stext=" 15:.+((SYSTEM_STATE.+slice.+state.+changed )|(ment ac)|(system.+state.+changed )|(\|lc)|(penalty)|(\[timeout)|(PRM\|1\|D)|(kpr)|(kdp))" /e /r /s</v>
      </c>
      <c r="U41" s="9" t="str">
        <f>MID(B41,13,4)</f>
        <v>4037</v>
      </c>
      <c r="V41" s="38">
        <f>A41+6/24</f>
        <v>42617.635752314818</v>
      </c>
      <c r="W41" s="52" t="str">
        <f>IF(VALUE(LEFT(IF(LEN(C41)=6,"0"&amp;C41,C41),2))&lt;=2,"EC",IF(OR(VALUE(LEFT(IF(LEN(C41)=6,"0"&amp;C41,C41),2))=8,VALUE(LEFT(IF(LEN(C41)=6,"0"&amp;C41,C41),2))=18),"NW","Other"))</f>
        <v>EC</v>
      </c>
      <c r="X41" s="52" t="str">
        <f>IF(AND(E41="TRACK WARRANT AUTHORITY",G41&lt;10),"OMIT","KEEP")</f>
        <v>KEEP</v>
      </c>
      <c r="Y41" s="147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arrival","project_id":79,"tracker_id":40,"status_id":1,"priority_id":2,"assigned_to_id":23,"start_date":"2016-09-04","description":"","custom_fields":[{"id":1,"name":"Subdivision","value":"EC"},{"id":4,"name":"Milepost","value":"10.38"},{"id":17,"name":"Train ID","value":"136-04"},{"id":16,"name":"Locomotive ID","value":"4037"},{"id":130,"name":"Impact","value":""},{"id":150,"name":"Time of Event (Mountain Time)","value":"09:15:29"},{"id":151,"name":"Denver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55"/>
      <c r="AD41" s="52" t="str">
        <f>UPPER(VLOOKUP(K41/10000,XING!$A$2:$B$9999,2,FALSE))</f>
        <v>SABLE BOULEVARD</v>
      </c>
    </row>
    <row r="42" spans="1:30" x14ac:dyDescent="0.25">
      <c r="A42" s="38">
        <v>42617.485231481478</v>
      </c>
      <c r="B42" s="33" t="s">
        <v>741</v>
      </c>
      <c r="C42" s="33" t="s">
        <v>742</v>
      </c>
      <c r="D42" s="33" t="s">
        <v>49</v>
      </c>
      <c r="E42" s="33" t="s">
        <v>206</v>
      </c>
      <c r="F42" s="49">
        <v>0</v>
      </c>
      <c r="G42" s="49">
        <v>404</v>
      </c>
      <c r="H42" s="49">
        <v>58441</v>
      </c>
      <c r="I42" s="49">
        <v>57466</v>
      </c>
      <c r="J42" s="207" t="s">
        <v>205</v>
      </c>
      <c r="K42" s="49">
        <v>58301</v>
      </c>
      <c r="L42" s="164" t="s">
        <v>53</v>
      </c>
      <c r="M42" s="49">
        <f>CONVERT((I42-K42)/10000,"mi","ft")*IF(L42="Increasing Mileposts (1)",-1,1)</f>
        <v>-440.88</v>
      </c>
      <c r="N42" s="233" t="str">
        <f>VLOOKUP(C42,'Trips&amp;Operators'!$C$1:$E$99999,3,FALSE)</f>
        <v>STRICKLAND</v>
      </c>
      <c r="O42" s="209" t="s">
        <v>86</v>
      </c>
      <c r="P42" s="10" t="str">
        <f>VLOOKUP(A42,Enforcements_imported!$A$2:$N$286,14,FALSE)</f>
        <v>Early arrival</v>
      </c>
      <c r="Q42" s="211"/>
      <c r="R42" s="108" t="e">
        <f>VLOOKUP(C42,'Train Runs'!$A$13:$AE$9999,31,0)</f>
        <v>#N/A</v>
      </c>
      <c r="S42" s="111" t="e">
        <f>VLOOKUP(C42,'Train Runs'!$A$13:$AE$9999,22,0)</f>
        <v>#N/A</v>
      </c>
      <c r="T42" s="113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/stypes="*4045*201609041*" /stext=" 17:.+((SYSTEM_STATE.+slice.+state.+changed )|(ment ac)|(system.+state.+changed )|(\|lc)|(penalty)|(\[timeout)|(PRM\|1\|D)|(kpr)|(kdp))" /e /r /s</v>
      </c>
      <c r="U42" s="9" t="str">
        <f>MID(B42,13,4)</f>
        <v>4045</v>
      </c>
      <c r="V42" s="38">
        <f>A42+6/24</f>
        <v>42617.735231481478</v>
      </c>
      <c r="W42" s="52" t="str">
        <f>IF(VALUE(LEFT(IF(LEN(C42)=6,"0"&amp;C42,C42),2))&lt;=2,"EC",IF(OR(VALUE(LEFT(IF(LEN(C42)=6,"0"&amp;C42,C42),2))=8,VALUE(LEFT(IF(LEN(C42)=6,"0"&amp;C42,C42),2))=18),"NW","Other"))</f>
        <v>EC</v>
      </c>
      <c r="X42" s="52" t="str">
        <f>IF(AND(E42="TRACK WARRANT AUTHORITY",G42&lt;10),"OMIT","KEEP")</f>
        <v>KEEP</v>
      </c>
      <c r="Y42" s="147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arrival","project_id":79,"tracker_id":40,"status_id":1,"priority_id":2,"assigned_to_id":23,"start_date":"2016-09-04","description":"","custom_fields":[{"id":1,"name":"Subdivision","value":"EC"},{"id":4,"name":"Milepost","value":"5.8301"},{"id":17,"name":"Train ID","value":"154-04"},{"id":16,"name":"Locomotive ID","value":"4045"},{"id":130,"name":"Impact","value":""},{"id":150,"name":"Time of Event (Mountain Time)","value":"11:38:44"},{"id":151,"name":"Denver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55"/>
      <c r="AD42" s="52" t="str">
        <f>UPPER(VLOOKUP(K42/10000,XING!$A$2:$B$9999,2,FALSE))</f>
        <v>SB QUEBEC PARKWAY</v>
      </c>
    </row>
    <row r="43" spans="1:30" x14ac:dyDescent="0.25">
      <c r="A43" s="38">
        <v>42617.527326388888</v>
      </c>
      <c r="B43" s="33" t="s">
        <v>724</v>
      </c>
      <c r="C43" s="33" t="s">
        <v>725</v>
      </c>
      <c r="D43" s="33" t="s">
        <v>229</v>
      </c>
      <c r="E43" s="33" t="s">
        <v>206</v>
      </c>
      <c r="F43" s="49">
        <v>0</v>
      </c>
      <c r="G43" s="49">
        <v>160</v>
      </c>
      <c r="H43" s="49">
        <v>30872</v>
      </c>
      <c r="I43" s="49">
        <v>30986</v>
      </c>
      <c r="J43" s="207" t="s">
        <v>205</v>
      </c>
      <c r="K43" s="49">
        <v>30830</v>
      </c>
      <c r="L43" s="164" t="s">
        <v>52</v>
      </c>
      <c r="M43" s="49">
        <f>CONVERT((I43-K43)/10000,"mi","ft")*IF(L43="Increasing Mileposts (1)",-1,1)</f>
        <v>-82.367999999999995</v>
      </c>
      <c r="N43" s="233" t="str">
        <f>VLOOKUP(C43,'Trips&amp;Operators'!$C$1:$E$99999,3,FALSE)</f>
        <v>SHOOK</v>
      </c>
      <c r="O43" s="209" t="s">
        <v>86</v>
      </c>
      <c r="P43" s="10" t="str">
        <f>VLOOKUP(A43,Enforcements_imported!$A$2:$N$286,14,FALSE)</f>
        <v>Early arrival</v>
      </c>
      <c r="Q43" s="211"/>
      <c r="R43" s="108" t="e">
        <f>VLOOKUP(C43,'Train Runs'!$A$13:$AE$9999,31,0)</f>
        <v>#N/A</v>
      </c>
      <c r="S43" s="111" t="e">
        <f>VLOOKUP(C43,'Train Runs'!$A$13:$AE$9999,22,0)</f>
        <v>#N/A</v>
      </c>
      <c r="T43" s="113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/stypes="*4016*201609041*" /stext=" 18:.+((SYSTEM_STATE.+slice.+state.+changed )|(ment ac)|(system.+state.+changed )|(\|lc)|(penalty)|(\[timeout)|(PRM\|1\|D)|(kpr)|(kdp))" /e /r /s</v>
      </c>
      <c r="U43" s="9" t="str">
        <f>MID(B43,13,4)</f>
        <v>4016</v>
      </c>
      <c r="V43" s="38">
        <f>A43+6/24</f>
        <v>42617.777326388888</v>
      </c>
      <c r="W43" s="52" t="str">
        <f>IF(VALUE(LEFT(IF(LEN(C43)=6,"0"&amp;C43,C43),2))&lt;=2,"EC",IF(OR(VALUE(LEFT(IF(LEN(C43)=6,"0"&amp;C43,C43),2))=8,VALUE(LEFT(IF(LEN(C43)=6,"0"&amp;C43,C43),2))=18),"NW","Other"))</f>
        <v>EC</v>
      </c>
      <c r="X43" s="52" t="str">
        <f>IF(AND(E43="TRACK WARRANT AUTHORITY",G43&lt;10),"OMIT","KEEP")</f>
        <v>KEEP</v>
      </c>
      <c r="Y43" s="147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arrival","project_id":79,"tracker_id":40,"status_id":1,"priority_id":2,"assigned_to_id":23,"start_date":"2016-09-04","description":"","custom_fields":[{"id":1,"name":"Subdivision","value":"EC"},{"id":4,"name":"Milepost","value":"3.083"},{"id":17,"name":"Train ID","value":"171-04"},{"id":16,"name":"Locomotive ID","value":"4016"},{"id":130,"name":"Impact","value":""},{"id":150,"name":"Time of Event (Mountain Time)","value":"12:39:21"},{"id":151,"name":"Denver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55"/>
      <c r="AD43" s="52" t="str">
        <f>UPPER(VLOOKUP(K43/10000,XING!$A$2:$B$9999,2,FALSE))</f>
        <v>CLAYTON STREET</v>
      </c>
    </row>
    <row r="44" spans="1:30" x14ac:dyDescent="0.25">
      <c r="A44" s="38">
        <v>42618.24863425926</v>
      </c>
      <c r="B44" s="33" t="s">
        <v>226</v>
      </c>
      <c r="C44" s="33" t="s">
        <v>727</v>
      </c>
      <c r="D44" s="33" t="s">
        <v>229</v>
      </c>
      <c r="E44" s="33" t="s">
        <v>206</v>
      </c>
      <c r="F44" s="49">
        <v>0</v>
      </c>
      <c r="G44" s="49">
        <v>189</v>
      </c>
      <c r="H44" s="49">
        <v>33208</v>
      </c>
      <c r="I44" s="49">
        <v>33132</v>
      </c>
      <c r="J44" s="207" t="s">
        <v>205</v>
      </c>
      <c r="K44" s="49">
        <v>33257</v>
      </c>
      <c r="L44" s="164" t="s">
        <v>53</v>
      </c>
      <c r="M44" s="49">
        <f>CONVERT((I44-K44)/10000,"mi","ft")*IF(L44="Increasing Mileposts (1)",-1,1)</f>
        <v>-66</v>
      </c>
      <c r="N44" s="233" t="str">
        <f>VLOOKUP(C44,'Trips&amp;Operators'!$C$1:$E$99999,3,FALSE)</f>
        <v>SPECTOR</v>
      </c>
      <c r="O44" s="209" t="s">
        <v>86</v>
      </c>
      <c r="P44" s="10" t="str">
        <f>VLOOKUP(A44,Enforcements_imported!$A$2:$N$286,14,FALSE)</f>
        <v>Early arrival</v>
      </c>
      <c r="Q44" s="211"/>
      <c r="R44" s="108" t="e">
        <f>VLOOKUP(C44,'Train Runs'!$A$13:$AE$9999,31,0)</f>
        <v>#N/A</v>
      </c>
      <c r="S44" s="111" t="e">
        <f>VLOOKUP(C44,'Train Runs'!$A$13:$AE$9999,22,0)</f>
        <v>#N/A</v>
      </c>
      <c r="T44" s="113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/stypes="*4043*201609051*" /stext=" 11:.+((SYSTEM_STATE.+slice.+state.+changed )|(ment ac)|(system.+state.+changed )|(\|lc)|(penalty)|(\[timeout)|(PRM\|1\|D)|(kpr)|(kdp))" /e /r /s</v>
      </c>
      <c r="U44" s="9" t="str">
        <f>MID(B44,13,4)</f>
        <v>4043</v>
      </c>
      <c r="V44" s="38">
        <f>A44+6/24</f>
        <v>42618.49863425926</v>
      </c>
      <c r="W44" s="52" t="str">
        <f>IF(VALUE(LEFT(IF(LEN(C44)=6,"0"&amp;C44,C44),2))&lt;=2,"EC",IF(OR(VALUE(LEFT(IF(LEN(C44)=6,"0"&amp;C44,C44),2))=8,VALUE(LEFT(IF(LEN(C44)=6,"0"&amp;C44,C44),2))=18),"NW","Other"))</f>
        <v>EC</v>
      </c>
      <c r="X44" s="52" t="str">
        <f>IF(AND(E44="TRACK WARRANT AUTHORITY",G44&lt;10),"OMIT","KEEP")</f>
        <v>KEEP</v>
      </c>
      <c r="Y44" s="147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arrival","project_id":79,"tracker_id":40,"status_id":1,"priority_id":2,"assigned_to_id":23,"start_date":"2016-09-05","description":"","custom_fields":[{"id":1,"name":"Subdivision","value":"EC"},{"id":4,"name":"Milepost","value":"3.3257"},{"id":17,"name":"Train ID","value":"108-05"},{"id":16,"name":"Locomotive ID","value":"4043"},{"id":130,"name":"Impact","value":""},{"id":150,"name":"Time of Event (Mountain Time)","value":"05:58:02"},{"id":151,"name":"Denver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55"/>
      <c r="AD44" s="52" t="str">
        <f>UPPER(VLOOKUP(K44/10000,XING!$A$2:$B$9999,2,FALSE))</f>
        <v>STEELE ST</v>
      </c>
    </row>
    <row r="45" spans="1:30" x14ac:dyDescent="0.25">
      <c r="A45" s="38">
        <v>42618.381145833337</v>
      </c>
      <c r="B45" s="33" t="s">
        <v>213</v>
      </c>
      <c r="C45" s="33" t="s">
        <v>729</v>
      </c>
      <c r="D45" s="33" t="s">
        <v>229</v>
      </c>
      <c r="E45" s="33" t="s">
        <v>206</v>
      </c>
      <c r="F45" s="49">
        <v>0</v>
      </c>
      <c r="G45" s="49">
        <v>187</v>
      </c>
      <c r="H45" s="49">
        <v>33178</v>
      </c>
      <c r="I45" s="49">
        <v>33247</v>
      </c>
      <c r="J45" s="207" t="s">
        <v>205</v>
      </c>
      <c r="K45" s="49">
        <v>33137</v>
      </c>
      <c r="L45" s="164" t="s">
        <v>52</v>
      </c>
      <c r="M45" s="49">
        <f>CONVERT((I45-K45)/10000,"mi","ft")*IF(L45="Increasing Mileposts (1)",-1,1)</f>
        <v>-58.08</v>
      </c>
      <c r="N45" s="233" t="str">
        <f>VLOOKUP(C45,'Trips&amp;Operators'!$C$1:$E$99999,3,FALSE)</f>
        <v>MALAVE</v>
      </c>
      <c r="O45" s="209" t="s">
        <v>86</v>
      </c>
      <c r="P45" s="10" t="str">
        <f>VLOOKUP(A45,Enforcements_imported!$A$2:$N$286,14,FALSE)</f>
        <v>Early arrival</v>
      </c>
      <c r="Q45" s="211"/>
      <c r="R45" s="108" t="e">
        <f>VLOOKUP(C45,'Train Runs'!$A$13:$AE$9999,31,0)</f>
        <v>#N/A</v>
      </c>
      <c r="S45" s="111" t="e">
        <f>VLOOKUP(C45,'Train Runs'!$A$13:$AE$9999,22,0)</f>
        <v>#N/A</v>
      </c>
      <c r="T45" s="113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/stypes="*4011*201609051*" /stext=" 15:.+((SYSTEM_STATE.+slice.+state.+changed )|(ment ac)|(system.+state.+changed )|(\|lc)|(penalty)|(\[timeout)|(PRM\|1\|D)|(kpr)|(kdp))" /e /r /s</v>
      </c>
      <c r="U45" s="9" t="str">
        <f>MID(B45,13,4)</f>
        <v>4011</v>
      </c>
      <c r="V45" s="38">
        <f>A45+6/24</f>
        <v>42618.631145833337</v>
      </c>
      <c r="W45" s="52" t="str">
        <f>IF(VALUE(LEFT(IF(LEN(C45)=6,"0"&amp;C45,C45),2))&lt;=2,"EC",IF(OR(VALUE(LEFT(IF(LEN(C45)=6,"0"&amp;C45,C45),2))=8,VALUE(LEFT(IF(LEN(C45)=6,"0"&amp;C45,C45),2))=18),"NW","Other"))</f>
        <v>EC</v>
      </c>
      <c r="X45" s="52" t="str">
        <f>IF(AND(E45="TRACK WARRANT AUTHORITY",G45&lt;10),"OMIT","KEEP")</f>
        <v>KEEP</v>
      </c>
      <c r="Y45" s="147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arrival","project_id":79,"tracker_id":40,"status_id":1,"priority_id":2,"assigned_to_id":23,"start_date":"2016-09-05","description":"","custom_fields":[{"id":1,"name":"Subdivision","value":"EC"},{"id":4,"name":"Milepost","value":"3.3137"},{"id":17,"name":"Train ID","value":"143-05"},{"id":16,"name":"Locomotive ID","value":"4011"},{"id":130,"name":"Impact","value":""},{"id":150,"name":"Time of Event (Mountain Time)","value":"09:08:51"},{"id":151,"name":"Denver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55"/>
      <c r="AD45" s="52" t="str">
        <f>UPPER(VLOOKUP(K45/10000,XING!$A$2:$B$9999,2,FALSE))</f>
        <v>STEELE ST</v>
      </c>
    </row>
    <row r="46" spans="1:30" x14ac:dyDescent="0.25">
      <c r="A46" s="38">
        <v>42618.415416666663</v>
      </c>
      <c r="B46" s="33" t="s">
        <v>90</v>
      </c>
      <c r="C46" s="33" t="s">
        <v>723</v>
      </c>
      <c r="D46" s="33" t="s">
        <v>229</v>
      </c>
      <c r="E46" s="33" t="s">
        <v>206</v>
      </c>
      <c r="F46" s="49">
        <v>0</v>
      </c>
      <c r="G46" s="49">
        <v>91</v>
      </c>
      <c r="H46" s="49">
        <v>27301</v>
      </c>
      <c r="I46" s="49">
        <v>27262</v>
      </c>
      <c r="J46" s="207" t="s">
        <v>205</v>
      </c>
      <c r="K46" s="49">
        <v>27350</v>
      </c>
      <c r="L46" s="164" t="s">
        <v>53</v>
      </c>
      <c r="M46" s="49">
        <f>CONVERT((I46-K46)/10000,"mi","ft")*IF(L46="Increasing Mileposts (1)",-1,1)</f>
        <v>-46.463999999999999</v>
      </c>
      <c r="N46" s="233" t="str">
        <f>VLOOKUP(C46,'Trips&amp;Operators'!$C$1:$E$99999,3,FALSE)</f>
        <v>STARKS</v>
      </c>
      <c r="O46" s="209" t="s">
        <v>86</v>
      </c>
      <c r="P46" s="10" t="str">
        <f>VLOOKUP(A46,Enforcements_imported!$A$2:$N$286,14,FALSE)</f>
        <v>Early arrival</v>
      </c>
      <c r="Q46" s="211"/>
      <c r="R46" s="108" t="e">
        <f>VLOOKUP(C46,'Train Runs'!$A$13:$AE$9999,31,0)</f>
        <v>#N/A</v>
      </c>
      <c r="S46" s="111" t="e">
        <f>VLOOKUP(C46,'Train Runs'!$A$13:$AE$9999,22,0)</f>
        <v>#N/A</v>
      </c>
      <c r="T46" s="113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/stypes="*4013*201609051*" /stext=" 15:.+((SYSTEM_STATE.+slice.+state.+changed )|(ment ac)|(system.+state.+changed )|(\|lc)|(penalty)|(\[timeout)|(PRM\|1\|D)|(kpr)|(kdp))" /e /r /s</v>
      </c>
      <c r="U46" s="9" t="str">
        <f>MID(B46,13,4)</f>
        <v>4013</v>
      </c>
      <c r="V46" s="38">
        <f>A46+6/24</f>
        <v>42618.665416666663</v>
      </c>
      <c r="W46" s="52" t="str">
        <f>IF(VALUE(LEFT(IF(LEN(C46)=6,"0"&amp;C46,C46),2))&lt;=2,"EC",IF(OR(VALUE(LEFT(IF(LEN(C46)=6,"0"&amp;C46,C46),2))=8,VALUE(LEFT(IF(LEN(C46)=6,"0"&amp;C46,C46),2))=18),"NW","Other"))</f>
        <v>EC</v>
      </c>
      <c r="X46" s="52" t="str">
        <f>IF(AND(E46="TRACK WARRANT AUTHORITY",G46&lt;10),"OMIT","KEEP")</f>
        <v>KEEP</v>
      </c>
      <c r="Y46" s="147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arrival","project_id":79,"tracker_id":40,"status_id":1,"priority_id":2,"assigned_to_id":23,"start_date":"2016-09-05","description":"","custom_fields":[{"id":1,"name":"Subdivision","value":"EC"},{"id":4,"name":"Milepost","value":"2.735"},{"id":17,"name":"Train ID","value":"140-05"},{"id":16,"name":"Locomotive ID","value":"4013"},{"id":130,"name":"Impact","value":""},{"id":150,"name":"Time of Event (Mountain Time)","value":"09:58:12"},{"id":151,"name":"Denver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55"/>
      <c r="AD46" s="52" t="str">
        <f>UPPER(VLOOKUP(K46/10000,XING!$A$2:$B$9999,2,FALSE))</f>
        <v>YORK &amp; JOSEPHINE STREET</v>
      </c>
    </row>
    <row r="47" spans="1:30" x14ac:dyDescent="0.25">
      <c r="A47" s="38">
        <v>42618.480162037034</v>
      </c>
      <c r="B47" s="33" t="s">
        <v>90</v>
      </c>
      <c r="C47" s="33" t="s">
        <v>710</v>
      </c>
      <c r="D47" s="33" t="s">
        <v>229</v>
      </c>
      <c r="E47" s="33" t="s">
        <v>206</v>
      </c>
      <c r="F47" s="49">
        <v>0</v>
      </c>
      <c r="G47" s="49">
        <v>227</v>
      </c>
      <c r="H47" s="49">
        <v>109042</v>
      </c>
      <c r="I47" s="49">
        <v>108929</v>
      </c>
      <c r="J47" s="207" t="s">
        <v>205</v>
      </c>
      <c r="K47" s="49">
        <v>109135</v>
      </c>
      <c r="L47" s="164" t="s">
        <v>53</v>
      </c>
      <c r="M47" s="49">
        <f>CONVERT((I47-K47)/10000,"mi","ft")*IF(L47="Increasing Mileposts (1)",-1,1)</f>
        <v>-108.768</v>
      </c>
      <c r="N47" s="233" t="str">
        <f>VLOOKUP(C47,'Trips&amp;Operators'!$C$1:$E$99999,3,FALSE)</f>
        <v>STARKS</v>
      </c>
      <c r="O47" s="209" t="s">
        <v>86</v>
      </c>
      <c r="P47" s="10" t="str">
        <f>VLOOKUP(A47,Enforcements_imported!$A$2:$N$286,14,FALSE)</f>
        <v>Early arrival</v>
      </c>
      <c r="Q47" s="211"/>
      <c r="R47" s="108" t="e">
        <f>VLOOKUP(C47,'Train Runs'!$A$13:$AE$9999,31,0)</f>
        <v>#N/A</v>
      </c>
      <c r="S47" s="111" t="e">
        <f>VLOOKUP(C47,'Train Runs'!$A$13:$AE$9999,22,0)</f>
        <v>#N/A</v>
      </c>
      <c r="T47" s="113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/stypes="*4013*201609051*" /stext=" 17:.+((SYSTEM_STATE.+slice.+state.+changed )|(ment ac)|(system.+state.+changed )|(\|lc)|(penalty)|(\[timeout)|(PRM\|1\|D)|(kpr)|(kdp))" /e /r /s</v>
      </c>
      <c r="U47" s="9" t="str">
        <f>MID(B47,13,4)</f>
        <v>4013</v>
      </c>
      <c r="V47" s="38">
        <f>A47+6/24</f>
        <v>42618.730162037034</v>
      </c>
      <c r="W47" s="52" t="str">
        <f>IF(VALUE(LEFT(IF(LEN(C47)=6,"0"&amp;C47,C47),2))&lt;=2,"EC",IF(OR(VALUE(LEFT(IF(LEN(C47)=6,"0"&amp;C47,C47),2))=8,VALUE(LEFT(IF(LEN(C47)=6,"0"&amp;C47,C47),2))=18),"NW","Other"))</f>
        <v>EC</v>
      </c>
      <c r="X47" s="52" t="str">
        <f>IF(AND(E47="TRACK WARRANT AUTHORITY",G47&lt;10),"OMIT","KEEP")</f>
        <v>KEEP</v>
      </c>
      <c r="Y47" s="147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arrival","project_id":79,"tracker_id":40,"status_id":1,"priority_id":2,"assigned_to_id":23,"start_date":"2016-09-05","description":"","custom_fields":[{"id":1,"name":"Subdivision","value":"EC"},{"id":4,"name":"Milepost","value":"10.9135"},{"id":17,"name":"Train ID","value":"154-05"},{"id":16,"name":"Locomotive ID","value":"4013"},{"id":130,"name":"Impact","value":""},{"id":150,"name":"Time of Event (Mountain Time)","value":"11:31:26"},{"id":151,"name":"Denver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55"/>
      <c r="AD47" s="52" t="str">
        <f>UPPER(VLOOKUP(K47/10000,XING!$A$2:$B$9999,2,FALSE))</f>
        <v>CHAMBERS ROAD</v>
      </c>
    </row>
    <row r="48" spans="1:30" x14ac:dyDescent="0.25">
      <c r="A48" s="219"/>
      <c r="B48" s="220"/>
      <c r="C48" s="220"/>
      <c r="D48" s="220"/>
      <c r="E48" s="220"/>
      <c r="F48" s="221"/>
      <c r="G48" s="221"/>
      <c r="H48" s="221"/>
      <c r="I48" s="221"/>
      <c r="J48" s="33"/>
      <c r="K48" s="221"/>
      <c r="L48" s="222"/>
      <c r="M48" s="223"/>
      <c r="N48" s="224"/>
      <c r="O48" s="131"/>
      <c r="P48" s="225"/>
      <c r="Q48" s="33"/>
      <c r="R48" s="108"/>
      <c r="S48" s="111"/>
      <c r="T48" s="113"/>
      <c r="U48" s="9"/>
      <c r="V48" s="38"/>
      <c r="W48" s="52"/>
      <c r="X48" s="52"/>
      <c r="Y48" s="147"/>
      <c r="Z48" s="55"/>
      <c r="AA48" s="55"/>
      <c r="AB48" s="55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64"/>
      <c r="M49" s="167"/>
      <c r="N49" s="92"/>
      <c r="O49" s="131"/>
      <c r="P49" s="10"/>
      <c r="Q49" s="33"/>
      <c r="R49" s="108"/>
      <c r="S49" s="111"/>
      <c r="T49" s="113"/>
      <c r="U49" s="9"/>
      <c r="V49" s="38"/>
      <c r="W49" s="52"/>
      <c r="X49" s="52"/>
      <c r="Y49" s="147"/>
      <c r="Z49" s="55"/>
      <c r="AA49" s="55"/>
      <c r="AB49" s="55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64"/>
      <c r="M50" s="167"/>
      <c r="N50" s="92"/>
      <c r="O50" s="131"/>
      <c r="P50" s="10"/>
      <c r="Q50" s="33"/>
      <c r="R50" s="108"/>
      <c r="S50" s="111"/>
      <c r="T50" s="113"/>
      <c r="U50" s="9"/>
      <c r="V50" s="38"/>
      <c r="W50" s="52"/>
      <c r="X50" s="52"/>
      <c r="Y50" s="147"/>
      <c r="Z50" s="55"/>
      <c r="AA50" s="55"/>
      <c r="AB50" s="55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64"/>
      <c r="M51" s="167"/>
      <c r="N51" s="92"/>
      <c r="O51" s="131"/>
      <c r="P51" s="10"/>
      <c r="Q51" s="33"/>
      <c r="R51" s="108"/>
      <c r="S51" s="111"/>
      <c r="T51" s="113"/>
      <c r="U51" s="9"/>
      <c r="V51" s="38"/>
      <c r="W51" s="52"/>
      <c r="X51" s="52"/>
      <c r="Y51" s="147"/>
      <c r="Z51" s="55"/>
      <c r="AA51" s="55"/>
      <c r="AB51" s="55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64"/>
      <c r="M52" s="167"/>
      <c r="N52" s="92"/>
      <c r="O52" s="131"/>
      <c r="P52" s="10"/>
      <c r="Q52" s="33"/>
      <c r="R52" s="108"/>
      <c r="S52" s="111"/>
      <c r="T52" s="113"/>
      <c r="U52" s="9"/>
      <c r="V52" s="38"/>
      <c r="W52" s="52"/>
      <c r="X52" s="52"/>
      <c r="Y52" s="147"/>
      <c r="Z52" s="55"/>
      <c r="AA52" s="55"/>
      <c r="AB52" s="55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64"/>
      <c r="M53" s="167"/>
      <c r="N53" s="92"/>
      <c r="O53" s="131"/>
      <c r="P53" s="10"/>
      <c r="Q53" s="33"/>
      <c r="R53" s="108"/>
      <c r="S53" s="111"/>
      <c r="T53" s="113"/>
      <c r="U53" s="9"/>
      <c r="V53" s="38"/>
      <c r="W53" s="52"/>
      <c r="X53" s="52"/>
      <c r="Y53" s="147"/>
      <c r="Z53" s="55"/>
      <c r="AA53" s="55"/>
      <c r="AB53" s="55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64"/>
      <c r="M54" s="167"/>
      <c r="N54" s="92"/>
      <c r="O54" s="131"/>
      <c r="P54" s="10"/>
      <c r="Q54" s="33"/>
      <c r="R54" s="108"/>
      <c r="S54" s="111"/>
      <c r="T54" s="113"/>
      <c r="U54" s="9"/>
      <c r="V54" s="38"/>
      <c r="W54" s="52"/>
      <c r="X54" s="52"/>
      <c r="Y54" s="147"/>
      <c r="Z54" s="55"/>
      <c r="AA54" s="55"/>
      <c r="AB54" s="55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64"/>
      <c r="M55" s="167"/>
      <c r="N55" s="92"/>
      <c r="O55" s="131"/>
      <c r="P55" s="10"/>
      <c r="Q55" s="33"/>
      <c r="R55" s="108"/>
      <c r="S55" s="111"/>
      <c r="T55" s="113"/>
      <c r="U55" s="9"/>
      <c r="V55" s="38"/>
      <c r="W55" s="52"/>
      <c r="X55" s="52"/>
      <c r="Y55" s="147"/>
      <c r="Z55" s="55"/>
      <c r="AA55" s="55"/>
      <c r="AB55" s="55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64"/>
      <c r="M56" s="167"/>
      <c r="N56" s="92"/>
      <c r="O56" s="131"/>
      <c r="P56" s="10"/>
      <c r="Q56" s="33"/>
      <c r="R56" s="108"/>
      <c r="S56" s="111"/>
      <c r="T56" s="113"/>
      <c r="U56" s="9"/>
      <c r="V56" s="38"/>
      <c r="W56" s="52"/>
      <c r="X56" s="52"/>
      <c r="Y56" s="147"/>
      <c r="Z56" s="55"/>
      <c r="AA56" s="55"/>
      <c r="AB56" s="55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64"/>
      <c r="M57" s="167"/>
      <c r="N57" s="92"/>
      <c r="O57" s="131"/>
      <c r="P57" s="10"/>
      <c r="Q57" s="33"/>
      <c r="R57" s="108"/>
      <c r="S57" s="111"/>
      <c r="T57" s="113"/>
      <c r="U57" s="9"/>
      <c r="V57" s="38"/>
      <c r="W57" s="52"/>
      <c r="X57" s="52"/>
      <c r="Y57" s="147"/>
      <c r="Z57" s="55"/>
      <c r="AA57" s="55"/>
      <c r="AB57" s="55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64"/>
      <c r="M58" s="167"/>
      <c r="N58" s="92"/>
      <c r="O58" s="131"/>
      <c r="P58" s="10"/>
      <c r="Q58" s="33"/>
      <c r="R58" s="108"/>
      <c r="S58" s="111"/>
      <c r="T58" s="113"/>
      <c r="U58" s="9"/>
      <c r="V58" s="38"/>
      <c r="W58" s="52"/>
      <c r="X58" s="52"/>
      <c r="Y58" s="147"/>
      <c r="Z58" s="55"/>
      <c r="AA58" s="55"/>
      <c r="AB58" s="55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64"/>
      <c r="M59" s="167"/>
      <c r="N59" s="92"/>
      <c r="O59" s="131"/>
      <c r="P59" s="10"/>
      <c r="Q59" s="33"/>
      <c r="R59" s="108"/>
      <c r="S59" s="111"/>
      <c r="T59" s="113"/>
      <c r="U59" s="9"/>
      <c r="V59" s="38"/>
      <c r="W59" s="52"/>
      <c r="X59" s="52"/>
      <c r="Y59" s="147"/>
      <c r="Z59" s="55"/>
      <c r="AA59" s="55"/>
      <c r="AB59" s="55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64"/>
      <c r="M60" s="167"/>
      <c r="N60" s="92"/>
      <c r="O60" s="131"/>
      <c r="P60" s="10"/>
      <c r="Q60" s="33"/>
      <c r="R60" s="108"/>
      <c r="S60" s="111"/>
      <c r="T60" s="113"/>
      <c r="U60" s="9"/>
      <c r="V60" s="38"/>
      <c r="W60" s="52"/>
      <c r="X60" s="52"/>
      <c r="Y60" s="147"/>
      <c r="Z60" s="55"/>
      <c r="AA60" s="55"/>
      <c r="AB60" s="55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64"/>
      <c r="M61" s="167"/>
      <c r="N61" s="92"/>
      <c r="O61" s="131"/>
      <c r="P61" s="10"/>
      <c r="Q61" s="33"/>
      <c r="R61" s="108"/>
      <c r="S61" s="111"/>
      <c r="T61" s="113"/>
      <c r="U61" s="9"/>
      <c r="V61" s="38"/>
      <c r="W61" s="52"/>
      <c r="X61" s="52"/>
      <c r="Y61" s="147"/>
      <c r="Z61" s="55"/>
      <c r="AA61" s="55"/>
      <c r="AB61" s="55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64"/>
      <c r="M62" s="167"/>
      <c r="N62" s="92"/>
      <c r="O62" s="131"/>
      <c r="P62" s="10"/>
      <c r="Q62" s="33"/>
      <c r="R62" s="108"/>
      <c r="S62" s="111"/>
      <c r="T62" s="113"/>
      <c r="U62" s="9"/>
      <c r="V62" s="38"/>
      <c r="W62" s="52"/>
      <c r="X62" s="52"/>
      <c r="Y62" s="147"/>
      <c r="Z62" s="55"/>
      <c r="AA62" s="55"/>
      <c r="AB62" s="55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64"/>
      <c r="M63" s="167"/>
      <c r="N63" s="92"/>
      <c r="O63" s="131"/>
      <c r="P63" s="10"/>
      <c r="Q63" s="33"/>
      <c r="R63" s="108"/>
      <c r="S63" s="111"/>
      <c r="T63" s="113"/>
      <c r="U63" s="9"/>
      <c r="V63" s="38"/>
      <c r="W63" s="52"/>
      <c r="X63" s="52"/>
      <c r="Y63" s="147"/>
      <c r="Z63" s="55"/>
      <c r="AA63" s="55"/>
      <c r="AB63" s="55"/>
    </row>
    <row r="64" spans="1:28" x14ac:dyDescent="0.25">
      <c r="B64" s="23"/>
      <c r="C64" s="23"/>
      <c r="D64" s="23"/>
      <c r="E64" s="23"/>
      <c r="J64" s="23"/>
    </row>
  </sheetData>
  <autoFilter ref="A6:AB59">
    <filterColumn colId="15">
      <filters>
        <filter val="Early arrival"/>
      </filters>
    </filterColumn>
    <sortState ref="A7:AB59">
      <sortCondition ref="A6:A59"/>
    </sortState>
  </autoFilter>
  <sortState ref="A7:X83">
    <sortCondition ref="W7:W83"/>
    <sortCondition ref="E7:E83"/>
    <sortCondition ref="K7:K83"/>
    <sortCondition ref="C7:C83"/>
    <sortCondition ref="F7:F83"/>
  </sortState>
  <mergeCells count="1">
    <mergeCell ref="A5:O5"/>
  </mergeCells>
  <conditionalFormatting sqref="R6 O7:O1048576">
    <cfRule type="cellIs" dxfId="74" priority="15" operator="equal">
      <formula>"Y"</formula>
    </cfRule>
  </conditionalFormatting>
  <conditionalFormatting sqref="A7:P63">
    <cfRule type="expression" dxfId="73" priority="8">
      <formula>$O7="Y"</formula>
    </cfRule>
  </conditionalFormatting>
  <conditionalFormatting sqref="O2:O3">
    <cfRule type="cellIs" dxfId="72" priority="6" operator="equal">
      <formula>"Y"</formula>
    </cfRule>
  </conditionalFormatting>
  <conditionalFormatting sqref="A7:P47">
    <cfRule type="expression" dxfId="71" priority="1">
      <formula>$M7&lt;0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4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AB7:AB45</xm:sqref>
        </x14:dataValidation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60"/>
  <sheetViews>
    <sheetView topLeftCell="A124" workbookViewId="0">
      <selection activeCell="B160" sqref="B160"/>
    </sheetView>
  </sheetViews>
  <sheetFormatPr defaultRowHeight="15" x14ac:dyDescent="0.25"/>
  <cols>
    <col min="1" max="1" width="9.140625" style="72"/>
  </cols>
  <sheetData>
    <row r="1" spans="1:14" x14ac:dyDescent="0.25">
      <c r="A1" s="203" t="s">
        <v>72</v>
      </c>
      <c r="B1" s="200" t="s">
        <v>1960</v>
      </c>
      <c r="C1" s="200" t="s">
        <v>1961</v>
      </c>
      <c r="D1" s="200" t="s">
        <v>1962</v>
      </c>
      <c r="E1" s="200" t="s">
        <v>1963</v>
      </c>
      <c r="F1" s="200" t="s">
        <v>1964</v>
      </c>
      <c r="G1" s="200" t="s">
        <v>1965</v>
      </c>
      <c r="H1" s="200" t="s">
        <v>1966</v>
      </c>
      <c r="I1" s="200" t="s">
        <v>1967</v>
      </c>
      <c r="J1" s="200" t="s">
        <v>1968</v>
      </c>
      <c r="K1" s="200" t="s">
        <v>1969</v>
      </c>
      <c r="L1" s="200" t="s">
        <v>1970</v>
      </c>
      <c r="M1" s="200" t="s">
        <v>1971</v>
      </c>
      <c r="N1" s="200" t="s">
        <v>1972</v>
      </c>
    </row>
    <row r="2" spans="1:14" x14ac:dyDescent="0.25">
      <c r="A2" s="204">
        <v>1.0713999999999999</v>
      </c>
      <c r="B2" s="201" t="s">
        <v>119</v>
      </c>
      <c r="C2" s="201" t="s">
        <v>2039</v>
      </c>
      <c r="D2" s="202">
        <v>50</v>
      </c>
      <c r="E2" s="202">
        <v>0</v>
      </c>
      <c r="F2" s="202">
        <v>50</v>
      </c>
      <c r="G2" s="202">
        <v>6</v>
      </c>
      <c r="H2" s="202">
        <v>0</v>
      </c>
      <c r="I2" s="202">
        <v>57</v>
      </c>
      <c r="J2" s="202">
        <v>2</v>
      </c>
      <c r="K2" s="202">
        <v>60</v>
      </c>
      <c r="L2" s="201" t="s">
        <v>1978</v>
      </c>
      <c r="M2" s="201" t="s">
        <v>1999</v>
      </c>
      <c r="N2" s="201" t="s">
        <v>2038</v>
      </c>
    </row>
    <row r="3" spans="1:14" x14ac:dyDescent="0.25">
      <c r="A3" s="204">
        <v>1.0713999999999999</v>
      </c>
      <c r="B3" s="201" t="s">
        <v>119</v>
      </c>
      <c r="C3" s="201" t="s">
        <v>2039</v>
      </c>
      <c r="D3" s="202">
        <v>47</v>
      </c>
      <c r="E3" s="202">
        <v>0</v>
      </c>
      <c r="F3" s="202">
        <v>47</v>
      </c>
      <c r="G3" s="202">
        <v>6</v>
      </c>
      <c r="H3" s="202">
        <v>0</v>
      </c>
      <c r="I3" s="202">
        <v>57</v>
      </c>
      <c r="J3" s="202">
        <v>2</v>
      </c>
      <c r="K3" s="202">
        <v>60</v>
      </c>
      <c r="L3" s="201" t="s">
        <v>1975</v>
      </c>
      <c r="M3" s="201" t="s">
        <v>1999</v>
      </c>
      <c r="N3" s="201" t="s">
        <v>2040</v>
      </c>
    </row>
    <row r="4" spans="1:14" x14ac:dyDescent="0.25">
      <c r="A4" s="204">
        <v>1.0713999999999999</v>
      </c>
      <c r="B4" s="201" t="s">
        <v>119</v>
      </c>
      <c r="C4" s="201" t="s">
        <v>2039</v>
      </c>
      <c r="D4" s="202">
        <v>60</v>
      </c>
      <c r="E4" s="202">
        <v>0</v>
      </c>
      <c r="F4" s="202">
        <v>60</v>
      </c>
      <c r="G4" s="202">
        <v>6</v>
      </c>
      <c r="H4" s="202">
        <v>0</v>
      </c>
      <c r="I4" s="202">
        <v>57</v>
      </c>
      <c r="J4" s="202">
        <v>2</v>
      </c>
      <c r="K4" s="202">
        <v>60</v>
      </c>
      <c r="L4" s="201" t="s">
        <v>1978</v>
      </c>
      <c r="M4" s="201" t="s">
        <v>1999</v>
      </c>
      <c r="N4" s="201" t="s">
        <v>2041</v>
      </c>
    </row>
    <row r="5" spans="1:14" x14ac:dyDescent="0.25">
      <c r="A5" s="204">
        <v>1.0713999999999999</v>
      </c>
      <c r="B5" s="201" t="s">
        <v>119</v>
      </c>
      <c r="C5" s="201" t="s">
        <v>2039</v>
      </c>
      <c r="D5" s="202">
        <v>47</v>
      </c>
      <c r="E5" s="202">
        <v>0</v>
      </c>
      <c r="F5" s="202">
        <v>47</v>
      </c>
      <c r="G5" s="202">
        <v>6</v>
      </c>
      <c r="H5" s="202">
        <v>0</v>
      </c>
      <c r="I5" s="202">
        <v>57</v>
      </c>
      <c r="J5" s="202">
        <v>2</v>
      </c>
      <c r="K5" s="202">
        <v>60</v>
      </c>
      <c r="L5" s="201" t="s">
        <v>1975</v>
      </c>
      <c r="M5" s="201" t="s">
        <v>1999</v>
      </c>
      <c r="N5" s="201" t="s">
        <v>2042</v>
      </c>
    </row>
    <row r="6" spans="1:14" x14ac:dyDescent="0.25">
      <c r="A6" s="204">
        <v>1.0988</v>
      </c>
      <c r="B6" s="201" t="s">
        <v>119</v>
      </c>
      <c r="C6" s="201" t="s">
        <v>2039</v>
      </c>
      <c r="D6" s="202">
        <v>50</v>
      </c>
      <c r="E6" s="202">
        <v>0</v>
      </c>
      <c r="F6" s="202">
        <v>50</v>
      </c>
      <c r="G6" s="202">
        <v>6</v>
      </c>
      <c r="H6" s="202">
        <v>0</v>
      </c>
      <c r="I6" s="202">
        <v>57</v>
      </c>
      <c r="J6" s="202">
        <v>2</v>
      </c>
      <c r="K6" s="202">
        <v>60</v>
      </c>
      <c r="L6" s="201" t="s">
        <v>1978</v>
      </c>
      <c r="M6" s="201" t="s">
        <v>1999</v>
      </c>
      <c r="N6" s="201" t="s">
        <v>2038</v>
      </c>
    </row>
    <row r="7" spans="1:14" x14ac:dyDescent="0.25">
      <c r="A7" s="204">
        <v>1.0988</v>
      </c>
      <c r="B7" s="201" t="s">
        <v>119</v>
      </c>
      <c r="C7" s="201" t="s">
        <v>2039</v>
      </c>
      <c r="D7" s="202">
        <v>47</v>
      </c>
      <c r="E7" s="202">
        <v>0</v>
      </c>
      <c r="F7" s="202">
        <v>47</v>
      </c>
      <c r="G7" s="202">
        <v>6</v>
      </c>
      <c r="H7" s="202">
        <v>0</v>
      </c>
      <c r="I7" s="202">
        <v>57</v>
      </c>
      <c r="J7" s="202">
        <v>2</v>
      </c>
      <c r="K7" s="202">
        <v>60</v>
      </c>
      <c r="L7" s="201" t="s">
        <v>1975</v>
      </c>
      <c r="M7" s="201" t="s">
        <v>1999</v>
      </c>
      <c r="N7" s="201" t="s">
        <v>2040</v>
      </c>
    </row>
    <row r="8" spans="1:14" x14ac:dyDescent="0.25">
      <c r="A8" s="204">
        <v>1.0988</v>
      </c>
      <c r="B8" s="201" t="s">
        <v>119</v>
      </c>
      <c r="C8" s="201" t="s">
        <v>2039</v>
      </c>
      <c r="D8" s="202">
        <v>60</v>
      </c>
      <c r="E8" s="202">
        <v>0</v>
      </c>
      <c r="F8" s="202">
        <v>60</v>
      </c>
      <c r="G8" s="202">
        <v>6</v>
      </c>
      <c r="H8" s="202">
        <v>0</v>
      </c>
      <c r="I8" s="202">
        <v>57</v>
      </c>
      <c r="J8" s="202">
        <v>2</v>
      </c>
      <c r="K8" s="202">
        <v>60</v>
      </c>
      <c r="L8" s="201" t="s">
        <v>1978</v>
      </c>
      <c r="M8" s="201" t="s">
        <v>1999</v>
      </c>
      <c r="N8" s="201" t="s">
        <v>2041</v>
      </c>
    </row>
    <row r="9" spans="1:14" x14ac:dyDescent="0.25">
      <c r="A9" s="204">
        <v>1.0988</v>
      </c>
      <c r="B9" s="201" t="s">
        <v>119</v>
      </c>
      <c r="C9" s="201" t="s">
        <v>2039</v>
      </c>
      <c r="D9" s="202">
        <v>47</v>
      </c>
      <c r="E9" s="202">
        <v>0</v>
      </c>
      <c r="F9" s="202">
        <v>47</v>
      </c>
      <c r="G9" s="202">
        <v>6</v>
      </c>
      <c r="H9" s="202">
        <v>0</v>
      </c>
      <c r="I9" s="202">
        <v>57</v>
      </c>
      <c r="J9" s="202">
        <v>2</v>
      </c>
      <c r="K9" s="202">
        <v>60</v>
      </c>
      <c r="L9" s="201" t="s">
        <v>1975</v>
      </c>
      <c r="M9" s="201" t="s">
        <v>1999</v>
      </c>
      <c r="N9" s="201" t="s">
        <v>2042</v>
      </c>
    </row>
    <row r="10" spans="1:14" x14ac:dyDescent="0.25">
      <c r="A10" s="204">
        <v>1.5139</v>
      </c>
      <c r="B10" s="201" t="s">
        <v>2035</v>
      </c>
      <c r="C10" s="201" t="s">
        <v>2036</v>
      </c>
      <c r="D10" s="202">
        <v>54</v>
      </c>
      <c r="E10" s="202">
        <v>0</v>
      </c>
      <c r="F10" s="202">
        <v>54</v>
      </c>
      <c r="G10" s="202">
        <v>6</v>
      </c>
      <c r="H10" s="202">
        <v>0</v>
      </c>
      <c r="I10" s="202">
        <v>55</v>
      </c>
      <c r="J10" s="202">
        <v>2</v>
      </c>
      <c r="K10" s="202">
        <v>60</v>
      </c>
      <c r="L10" s="201" t="s">
        <v>1978</v>
      </c>
      <c r="M10" s="201" t="s">
        <v>1999</v>
      </c>
      <c r="N10" s="201" t="s">
        <v>2037</v>
      </c>
    </row>
    <row r="11" spans="1:14" x14ac:dyDescent="0.25">
      <c r="A11" s="204">
        <v>1.5139</v>
      </c>
      <c r="B11" s="201" t="s">
        <v>2035</v>
      </c>
      <c r="C11" s="201" t="s">
        <v>2036</v>
      </c>
      <c r="D11" s="202">
        <v>50</v>
      </c>
      <c r="E11" s="202">
        <v>0</v>
      </c>
      <c r="F11" s="202">
        <v>50</v>
      </c>
      <c r="G11" s="202">
        <v>6</v>
      </c>
      <c r="H11" s="202">
        <v>0</v>
      </c>
      <c r="I11" s="202">
        <v>55</v>
      </c>
      <c r="J11" s="202">
        <v>2</v>
      </c>
      <c r="K11" s="202">
        <v>60</v>
      </c>
      <c r="L11" s="201" t="s">
        <v>1975</v>
      </c>
      <c r="M11" s="201" t="s">
        <v>1999</v>
      </c>
      <c r="N11" s="201" t="s">
        <v>2038</v>
      </c>
    </row>
    <row r="12" spans="1:14" x14ac:dyDescent="0.25">
      <c r="A12" s="204">
        <v>1.5777000000000001</v>
      </c>
      <c r="B12" s="201" t="s">
        <v>2035</v>
      </c>
      <c r="C12" s="201" t="s">
        <v>2036</v>
      </c>
      <c r="D12" s="202">
        <v>54</v>
      </c>
      <c r="E12" s="202">
        <v>0</v>
      </c>
      <c r="F12" s="202">
        <v>54</v>
      </c>
      <c r="G12" s="202">
        <v>6</v>
      </c>
      <c r="H12" s="202">
        <v>0</v>
      </c>
      <c r="I12" s="202">
        <v>55</v>
      </c>
      <c r="J12" s="202">
        <v>2</v>
      </c>
      <c r="K12" s="202">
        <v>60</v>
      </c>
      <c r="L12" s="201" t="s">
        <v>1978</v>
      </c>
      <c r="M12" s="201" t="s">
        <v>1999</v>
      </c>
      <c r="N12" s="201" t="s">
        <v>2037</v>
      </c>
    </row>
    <row r="13" spans="1:14" x14ac:dyDescent="0.25">
      <c r="A13" s="204">
        <v>1.5777000000000001</v>
      </c>
      <c r="B13" s="201" t="s">
        <v>2035</v>
      </c>
      <c r="C13" s="201" t="s">
        <v>2036</v>
      </c>
      <c r="D13" s="202">
        <v>50</v>
      </c>
      <c r="E13" s="202">
        <v>0</v>
      </c>
      <c r="F13" s="202">
        <v>50</v>
      </c>
      <c r="G13" s="202">
        <v>6</v>
      </c>
      <c r="H13" s="202">
        <v>0</v>
      </c>
      <c r="I13" s="202">
        <v>55</v>
      </c>
      <c r="J13" s="202">
        <v>2</v>
      </c>
      <c r="K13" s="202">
        <v>60</v>
      </c>
      <c r="L13" s="201" t="s">
        <v>1975</v>
      </c>
      <c r="M13" s="201" t="s">
        <v>1999</v>
      </c>
      <c r="N13" s="201" t="s">
        <v>2038</v>
      </c>
    </row>
    <row r="14" spans="1:14" x14ac:dyDescent="0.25">
      <c r="A14" s="204">
        <v>1.8602000000000001</v>
      </c>
      <c r="B14" s="201" t="s">
        <v>1973</v>
      </c>
      <c r="C14" s="201" t="s">
        <v>1974</v>
      </c>
      <c r="D14" s="202">
        <v>56</v>
      </c>
      <c r="E14" s="202">
        <v>0</v>
      </c>
      <c r="F14" s="202">
        <v>56</v>
      </c>
      <c r="G14" s="202">
        <v>6</v>
      </c>
      <c r="H14" s="202">
        <v>0</v>
      </c>
      <c r="I14" s="202">
        <v>55</v>
      </c>
      <c r="J14" s="202">
        <v>60</v>
      </c>
      <c r="K14" s="202">
        <v>2</v>
      </c>
      <c r="L14" s="201" t="s">
        <v>1975</v>
      </c>
      <c r="M14" s="201" t="s">
        <v>1976</v>
      </c>
      <c r="N14" s="201" t="s">
        <v>1977</v>
      </c>
    </row>
    <row r="15" spans="1:14" x14ac:dyDescent="0.25">
      <c r="A15" s="204">
        <v>1.8602000000000001</v>
      </c>
      <c r="B15" s="201" t="s">
        <v>1973</v>
      </c>
      <c r="C15" s="201" t="s">
        <v>1974</v>
      </c>
      <c r="D15" s="202">
        <v>34</v>
      </c>
      <c r="E15" s="202">
        <v>0</v>
      </c>
      <c r="F15" s="202">
        <v>34</v>
      </c>
      <c r="G15" s="202">
        <v>6</v>
      </c>
      <c r="H15" s="202">
        <v>0</v>
      </c>
      <c r="I15" s="202">
        <v>55</v>
      </c>
      <c r="J15" s="202">
        <v>60</v>
      </c>
      <c r="K15" s="202">
        <v>2</v>
      </c>
      <c r="L15" s="201" t="s">
        <v>1978</v>
      </c>
      <c r="M15" s="201" t="s">
        <v>1976</v>
      </c>
      <c r="N15" s="201" t="s">
        <v>1979</v>
      </c>
    </row>
    <row r="16" spans="1:14" x14ac:dyDescent="0.25">
      <c r="A16" s="204">
        <v>1.8602000000000001</v>
      </c>
      <c r="B16" s="201" t="s">
        <v>1973</v>
      </c>
      <c r="C16" s="201" t="s">
        <v>1974</v>
      </c>
      <c r="D16" s="202">
        <v>56</v>
      </c>
      <c r="E16" s="202">
        <v>0</v>
      </c>
      <c r="F16" s="202">
        <v>56</v>
      </c>
      <c r="G16" s="202">
        <v>6</v>
      </c>
      <c r="H16" s="202">
        <v>0</v>
      </c>
      <c r="I16" s="202">
        <v>55</v>
      </c>
      <c r="J16" s="202">
        <v>60</v>
      </c>
      <c r="K16" s="202">
        <v>2</v>
      </c>
      <c r="L16" s="201" t="s">
        <v>1975</v>
      </c>
      <c r="M16" s="201" t="s">
        <v>1976</v>
      </c>
      <c r="N16" s="201" t="s">
        <v>1980</v>
      </c>
    </row>
    <row r="17" spans="1:14" x14ac:dyDescent="0.25">
      <c r="A17" s="204">
        <v>1.8602000000000001</v>
      </c>
      <c r="B17" s="201" t="s">
        <v>1973</v>
      </c>
      <c r="C17" s="201" t="s">
        <v>1974</v>
      </c>
      <c r="D17" s="202">
        <v>34</v>
      </c>
      <c r="E17" s="202">
        <v>0</v>
      </c>
      <c r="F17" s="202">
        <v>34</v>
      </c>
      <c r="G17" s="202">
        <v>6</v>
      </c>
      <c r="H17" s="202">
        <v>0</v>
      </c>
      <c r="I17" s="202">
        <v>55</v>
      </c>
      <c r="J17" s="202">
        <v>60</v>
      </c>
      <c r="K17" s="202">
        <v>2</v>
      </c>
      <c r="L17" s="201" t="s">
        <v>1978</v>
      </c>
      <c r="M17" s="201" t="s">
        <v>1976</v>
      </c>
      <c r="N17" s="201" t="s">
        <v>1981</v>
      </c>
    </row>
    <row r="18" spans="1:14" x14ac:dyDescent="0.25">
      <c r="A18" s="204">
        <v>1.9340999999999999</v>
      </c>
      <c r="B18" s="201" t="s">
        <v>1973</v>
      </c>
      <c r="C18" s="201" t="s">
        <v>1974</v>
      </c>
      <c r="D18" s="202">
        <v>56</v>
      </c>
      <c r="E18" s="202">
        <v>0</v>
      </c>
      <c r="F18" s="202">
        <v>56</v>
      </c>
      <c r="G18" s="202">
        <v>6</v>
      </c>
      <c r="H18" s="202">
        <v>0</v>
      </c>
      <c r="I18" s="202">
        <v>55</v>
      </c>
      <c r="J18" s="202">
        <v>60</v>
      </c>
      <c r="K18" s="202">
        <v>2</v>
      </c>
      <c r="L18" s="201" t="s">
        <v>1975</v>
      </c>
      <c r="M18" s="201" t="s">
        <v>1976</v>
      </c>
      <c r="N18" s="201" t="s">
        <v>1977</v>
      </c>
    </row>
    <row r="19" spans="1:14" x14ac:dyDescent="0.25">
      <c r="A19" s="204">
        <v>1.9340999999999999</v>
      </c>
      <c r="B19" s="201" t="s">
        <v>1973</v>
      </c>
      <c r="C19" s="201" t="s">
        <v>1974</v>
      </c>
      <c r="D19" s="202">
        <v>34</v>
      </c>
      <c r="E19" s="202">
        <v>0</v>
      </c>
      <c r="F19" s="202">
        <v>34</v>
      </c>
      <c r="G19" s="202">
        <v>6</v>
      </c>
      <c r="H19" s="202">
        <v>0</v>
      </c>
      <c r="I19" s="202">
        <v>55</v>
      </c>
      <c r="J19" s="202">
        <v>60</v>
      </c>
      <c r="K19" s="202">
        <v>2</v>
      </c>
      <c r="L19" s="201" t="s">
        <v>1978</v>
      </c>
      <c r="M19" s="201" t="s">
        <v>1976</v>
      </c>
      <c r="N19" s="201" t="s">
        <v>1979</v>
      </c>
    </row>
    <row r="20" spans="1:14" x14ac:dyDescent="0.25">
      <c r="A20" s="204">
        <v>1.9340999999999999</v>
      </c>
      <c r="B20" s="201" t="s">
        <v>1973</v>
      </c>
      <c r="C20" s="201" t="s">
        <v>1974</v>
      </c>
      <c r="D20" s="202">
        <v>56</v>
      </c>
      <c r="E20" s="202">
        <v>0</v>
      </c>
      <c r="F20" s="202">
        <v>56</v>
      </c>
      <c r="G20" s="202">
        <v>6</v>
      </c>
      <c r="H20" s="202">
        <v>0</v>
      </c>
      <c r="I20" s="202">
        <v>55</v>
      </c>
      <c r="J20" s="202">
        <v>60</v>
      </c>
      <c r="K20" s="202">
        <v>2</v>
      </c>
      <c r="L20" s="201" t="s">
        <v>1975</v>
      </c>
      <c r="M20" s="201" t="s">
        <v>1976</v>
      </c>
      <c r="N20" s="201" t="s">
        <v>1980</v>
      </c>
    </row>
    <row r="21" spans="1:14" x14ac:dyDescent="0.25">
      <c r="A21" s="204">
        <v>1.9340999999999999</v>
      </c>
      <c r="B21" s="201" t="s">
        <v>1973</v>
      </c>
      <c r="C21" s="201" t="s">
        <v>1974</v>
      </c>
      <c r="D21" s="202">
        <v>34</v>
      </c>
      <c r="E21" s="202">
        <v>0</v>
      </c>
      <c r="F21" s="202">
        <v>34</v>
      </c>
      <c r="G21" s="202">
        <v>6</v>
      </c>
      <c r="H21" s="202">
        <v>0</v>
      </c>
      <c r="I21" s="202">
        <v>55</v>
      </c>
      <c r="J21" s="202">
        <v>60</v>
      </c>
      <c r="K21" s="202">
        <v>2</v>
      </c>
      <c r="L21" s="201" t="s">
        <v>1978</v>
      </c>
      <c r="M21" s="201" t="s">
        <v>1976</v>
      </c>
      <c r="N21" s="201" t="s">
        <v>1981</v>
      </c>
    </row>
    <row r="22" spans="1:14" x14ac:dyDescent="0.25">
      <c r="A22" s="204">
        <v>2.7052</v>
      </c>
      <c r="B22" s="201" t="s">
        <v>2032</v>
      </c>
      <c r="C22" s="201" t="s">
        <v>2033</v>
      </c>
      <c r="D22" s="202">
        <v>51</v>
      </c>
      <c r="E22" s="202">
        <v>0</v>
      </c>
      <c r="F22" s="202">
        <v>51</v>
      </c>
      <c r="G22" s="202">
        <v>6</v>
      </c>
      <c r="H22" s="202">
        <v>72</v>
      </c>
      <c r="I22" s="202">
        <v>57</v>
      </c>
      <c r="J22" s="202">
        <v>0</v>
      </c>
      <c r="K22" s="202">
        <v>0</v>
      </c>
      <c r="L22" s="201" t="s">
        <v>1975</v>
      </c>
      <c r="M22" s="201" t="s">
        <v>1999</v>
      </c>
      <c r="N22" s="201" t="s">
        <v>1979</v>
      </c>
    </row>
    <row r="23" spans="1:14" x14ac:dyDescent="0.25">
      <c r="A23" s="204">
        <v>2.7052</v>
      </c>
      <c r="B23" s="201" t="s">
        <v>2032</v>
      </c>
      <c r="C23" s="201" t="s">
        <v>2033</v>
      </c>
      <c r="D23" s="202">
        <v>32</v>
      </c>
      <c r="E23" s="202">
        <v>0</v>
      </c>
      <c r="F23" s="202">
        <v>32</v>
      </c>
      <c r="G23" s="202">
        <v>6</v>
      </c>
      <c r="H23" s="202">
        <v>72</v>
      </c>
      <c r="I23" s="202">
        <v>57</v>
      </c>
      <c r="J23" s="202">
        <v>0</v>
      </c>
      <c r="K23" s="202">
        <v>28</v>
      </c>
      <c r="L23" s="201" t="s">
        <v>1978</v>
      </c>
      <c r="M23" s="201" t="s">
        <v>1999</v>
      </c>
      <c r="N23" s="201" t="s">
        <v>1979</v>
      </c>
    </row>
    <row r="24" spans="1:14" x14ac:dyDescent="0.25">
      <c r="A24" s="204">
        <v>2.7052</v>
      </c>
      <c r="B24" s="201" t="s">
        <v>2032</v>
      </c>
      <c r="C24" s="201" t="s">
        <v>2033</v>
      </c>
      <c r="D24" s="202">
        <v>51</v>
      </c>
      <c r="E24" s="202">
        <v>0</v>
      </c>
      <c r="F24" s="202">
        <v>51</v>
      </c>
      <c r="G24" s="202">
        <v>6</v>
      </c>
      <c r="H24" s="202">
        <v>72</v>
      </c>
      <c r="I24" s="202">
        <v>57</v>
      </c>
      <c r="J24" s="202">
        <v>0</v>
      </c>
      <c r="K24" s="202">
        <v>0</v>
      </c>
      <c r="L24" s="201" t="s">
        <v>1975</v>
      </c>
      <c r="M24" s="201" t="s">
        <v>1999</v>
      </c>
      <c r="N24" s="201" t="s">
        <v>2034</v>
      </c>
    </row>
    <row r="25" spans="1:14" x14ac:dyDescent="0.25">
      <c r="A25" s="204">
        <v>2.7052</v>
      </c>
      <c r="B25" s="201" t="s">
        <v>2032</v>
      </c>
      <c r="C25" s="201" t="s">
        <v>2033</v>
      </c>
      <c r="D25" s="202">
        <v>32</v>
      </c>
      <c r="E25" s="202">
        <v>0</v>
      </c>
      <c r="F25" s="202">
        <v>32</v>
      </c>
      <c r="G25" s="202">
        <v>6</v>
      </c>
      <c r="H25" s="202">
        <v>72</v>
      </c>
      <c r="I25" s="202">
        <v>57</v>
      </c>
      <c r="J25" s="202">
        <v>0</v>
      </c>
      <c r="K25" s="202">
        <v>28</v>
      </c>
      <c r="L25" s="201" t="s">
        <v>1978</v>
      </c>
      <c r="M25" s="201" t="s">
        <v>1999</v>
      </c>
      <c r="N25" s="201" t="s">
        <v>2006</v>
      </c>
    </row>
    <row r="26" spans="1:14" x14ac:dyDescent="0.25">
      <c r="A26" s="204">
        <v>2.7349999999999999</v>
      </c>
      <c r="B26" s="201" t="s">
        <v>2032</v>
      </c>
      <c r="C26" s="201" t="s">
        <v>2033</v>
      </c>
      <c r="D26" s="202">
        <v>51</v>
      </c>
      <c r="E26" s="202">
        <v>0</v>
      </c>
      <c r="F26" s="202">
        <v>51</v>
      </c>
      <c r="G26" s="202">
        <v>6</v>
      </c>
      <c r="H26" s="202">
        <v>72</v>
      </c>
      <c r="I26" s="202">
        <v>57</v>
      </c>
      <c r="J26" s="202">
        <v>0</v>
      </c>
      <c r="K26" s="202">
        <v>0</v>
      </c>
      <c r="L26" s="201" t="s">
        <v>1975</v>
      </c>
      <c r="M26" s="201" t="s">
        <v>1999</v>
      </c>
      <c r="N26" s="201" t="s">
        <v>1979</v>
      </c>
    </row>
    <row r="27" spans="1:14" x14ac:dyDescent="0.25">
      <c r="A27" s="204">
        <v>2.7349999999999999</v>
      </c>
      <c r="B27" s="201" t="s">
        <v>2032</v>
      </c>
      <c r="C27" s="201" t="s">
        <v>2033</v>
      </c>
      <c r="D27" s="202">
        <v>32</v>
      </c>
      <c r="E27" s="202">
        <v>0</v>
      </c>
      <c r="F27" s="202">
        <v>32</v>
      </c>
      <c r="G27" s="202">
        <v>6</v>
      </c>
      <c r="H27" s="202">
        <v>72</v>
      </c>
      <c r="I27" s="202">
        <v>57</v>
      </c>
      <c r="J27" s="202">
        <v>0</v>
      </c>
      <c r="K27" s="202">
        <v>28</v>
      </c>
      <c r="L27" s="201" t="s">
        <v>1978</v>
      </c>
      <c r="M27" s="201" t="s">
        <v>1999</v>
      </c>
      <c r="N27" s="201" t="s">
        <v>1979</v>
      </c>
    </row>
    <row r="28" spans="1:14" x14ac:dyDescent="0.25">
      <c r="A28" s="204">
        <v>2.7349999999999999</v>
      </c>
      <c r="B28" s="201" t="s">
        <v>2032</v>
      </c>
      <c r="C28" s="201" t="s">
        <v>2033</v>
      </c>
      <c r="D28" s="202">
        <v>51</v>
      </c>
      <c r="E28" s="202">
        <v>0</v>
      </c>
      <c r="F28" s="202">
        <v>51</v>
      </c>
      <c r="G28" s="202">
        <v>6</v>
      </c>
      <c r="H28" s="202">
        <v>72</v>
      </c>
      <c r="I28" s="202">
        <v>57</v>
      </c>
      <c r="J28" s="202">
        <v>0</v>
      </c>
      <c r="K28" s="202">
        <v>0</v>
      </c>
      <c r="L28" s="201" t="s">
        <v>1975</v>
      </c>
      <c r="M28" s="201" t="s">
        <v>1999</v>
      </c>
      <c r="N28" s="201" t="s">
        <v>2034</v>
      </c>
    </row>
    <row r="29" spans="1:14" x14ac:dyDescent="0.25">
      <c r="A29" s="204">
        <v>2.7349999999999999</v>
      </c>
      <c r="B29" s="201" t="s">
        <v>2032</v>
      </c>
      <c r="C29" s="201" t="s">
        <v>2033</v>
      </c>
      <c r="D29" s="202">
        <v>32</v>
      </c>
      <c r="E29" s="202">
        <v>0</v>
      </c>
      <c r="F29" s="202">
        <v>32</v>
      </c>
      <c r="G29" s="202">
        <v>6</v>
      </c>
      <c r="H29" s="202">
        <v>72</v>
      </c>
      <c r="I29" s="202">
        <v>57</v>
      </c>
      <c r="J29" s="202">
        <v>0</v>
      </c>
      <c r="K29" s="202">
        <v>28</v>
      </c>
      <c r="L29" s="201" t="s">
        <v>1978</v>
      </c>
      <c r="M29" s="201" t="s">
        <v>1999</v>
      </c>
      <c r="N29" s="201" t="s">
        <v>2006</v>
      </c>
    </row>
    <row r="30" spans="1:14" x14ac:dyDescent="0.25">
      <c r="A30" s="204">
        <v>3.0830000000000002</v>
      </c>
      <c r="B30" s="201" t="s">
        <v>2004</v>
      </c>
      <c r="C30" s="201" t="s">
        <v>2005</v>
      </c>
      <c r="D30" s="202">
        <v>23</v>
      </c>
      <c r="E30" s="202">
        <v>0</v>
      </c>
      <c r="F30" s="202">
        <v>23</v>
      </c>
      <c r="G30" s="202">
        <v>6</v>
      </c>
      <c r="H30" s="202">
        <v>0</v>
      </c>
      <c r="I30" s="202">
        <v>60</v>
      </c>
      <c r="J30" s="202">
        <v>0</v>
      </c>
      <c r="K30" s="202">
        <v>7</v>
      </c>
      <c r="L30" s="201" t="s">
        <v>1975</v>
      </c>
      <c r="M30" s="201" t="s">
        <v>1999</v>
      </c>
      <c r="N30" s="201" t="s">
        <v>1979</v>
      </c>
    </row>
    <row r="31" spans="1:14" x14ac:dyDescent="0.25">
      <c r="A31" s="204">
        <v>3.0830000000000002</v>
      </c>
      <c r="B31" s="201" t="s">
        <v>2004</v>
      </c>
      <c r="C31" s="201" t="s">
        <v>2005</v>
      </c>
      <c r="D31" s="202">
        <v>62</v>
      </c>
      <c r="E31" s="202">
        <v>0</v>
      </c>
      <c r="F31" s="202">
        <v>62</v>
      </c>
      <c r="G31" s="202">
        <v>6</v>
      </c>
      <c r="H31" s="202">
        <v>0</v>
      </c>
      <c r="I31" s="202">
        <v>60</v>
      </c>
      <c r="J31" s="202">
        <v>0</v>
      </c>
      <c r="K31" s="202">
        <v>0</v>
      </c>
      <c r="L31" s="201" t="s">
        <v>1978</v>
      </c>
      <c r="M31" s="201" t="s">
        <v>1999</v>
      </c>
      <c r="N31" s="201" t="s">
        <v>1979</v>
      </c>
    </row>
    <row r="32" spans="1:14" x14ac:dyDescent="0.25">
      <c r="A32" s="204">
        <v>3.0830000000000002</v>
      </c>
      <c r="B32" s="201" t="s">
        <v>2004</v>
      </c>
      <c r="C32" s="201" t="s">
        <v>2005</v>
      </c>
      <c r="D32" s="202">
        <v>23</v>
      </c>
      <c r="E32" s="202">
        <v>0</v>
      </c>
      <c r="F32" s="202">
        <v>23</v>
      </c>
      <c r="G32" s="202">
        <v>6</v>
      </c>
      <c r="H32" s="202">
        <v>0</v>
      </c>
      <c r="I32" s="202">
        <v>60</v>
      </c>
      <c r="J32" s="202">
        <v>0</v>
      </c>
      <c r="K32" s="202">
        <v>7</v>
      </c>
      <c r="L32" s="201" t="s">
        <v>1975</v>
      </c>
      <c r="M32" s="201" t="s">
        <v>1999</v>
      </c>
      <c r="N32" s="201" t="s">
        <v>2006</v>
      </c>
    </row>
    <row r="33" spans="1:14" x14ac:dyDescent="0.25">
      <c r="A33" s="204">
        <v>3.0830000000000002</v>
      </c>
      <c r="B33" s="201" t="s">
        <v>2004</v>
      </c>
      <c r="C33" s="201" t="s">
        <v>2005</v>
      </c>
      <c r="D33" s="202">
        <v>62</v>
      </c>
      <c r="E33" s="202">
        <v>0</v>
      </c>
      <c r="F33" s="202">
        <v>62</v>
      </c>
      <c r="G33" s="202">
        <v>6</v>
      </c>
      <c r="H33" s="202">
        <v>0</v>
      </c>
      <c r="I33" s="202">
        <v>60</v>
      </c>
      <c r="J33" s="202">
        <v>0</v>
      </c>
      <c r="K33" s="202">
        <v>0</v>
      </c>
      <c r="L33" s="201" t="s">
        <v>1978</v>
      </c>
      <c r="M33" s="201" t="s">
        <v>1999</v>
      </c>
      <c r="N33" s="201" t="s">
        <v>2006</v>
      </c>
    </row>
    <row r="34" spans="1:14" x14ac:dyDescent="0.25">
      <c r="A34" s="204">
        <v>3.097</v>
      </c>
      <c r="B34" s="201" t="s">
        <v>2004</v>
      </c>
      <c r="C34" s="201" t="s">
        <v>2005</v>
      </c>
      <c r="D34" s="202">
        <v>23</v>
      </c>
      <c r="E34" s="202">
        <v>0</v>
      </c>
      <c r="F34" s="202">
        <v>23</v>
      </c>
      <c r="G34" s="202">
        <v>6</v>
      </c>
      <c r="H34" s="202">
        <v>0</v>
      </c>
      <c r="I34" s="202">
        <v>60</v>
      </c>
      <c r="J34" s="202">
        <v>0</v>
      </c>
      <c r="K34" s="202">
        <v>7</v>
      </c>
      <c r="L34" s="201" t="s">
        <v>1975</v>
      </c>
      <c r="M34" s="201" t="s">
        <v>1999</v>
      </c>
      <c r="N34" s="201" t="s">
        <v>1979</v>
      </c>
    </row>
    <row r="35" spans="1:14" x14ac:dyDescent="0.25">
      <c r="A35" s="204">
        <v>3.097</v>
      </c>
      <c r="B35" s="201" t="s">
        <v>2004</v>
      </c>
      <c r="C35" s="201" t="s">
        <v>2005</v>
      </c>
      <c r="D35" s="202">
        <v>62</v>
      </c>
      <c r="E35" s="202">
        <v>0</v>
      </c>
      <c r="F35" s="202">
        <v>62</v>
      </c>
      <c r="G35" s="202">
        <v>6</v>
      </c>
      <c r="H35" s="202">
        <v>0</v>
      </c>
      <c r="I35" s="202">
        <v>60</v>
      </c>
      <c r="J35" s="202">
        <v>0</v>
      </c>
      <c r="K35" s="202">
        <v>0</v>
      </c>
      <c r="L35" s="201" t="s">
        <v>1978</v>
      </c>
      <c r="M35" s="201" t="s">
        <v>1999</v>
      </c>
      <c r="N35" s="201" t="s">
        <v>1979</v>
      </c>
    </row>
    <row r="36" spans="1:14" x14ac:dyDescent="0.25">
      <c r="A36" s="204">
        <v>3.097</v>
      </c>
      <c r="B36" s="201" t="s">
        <v>2004</v>
      </c>
      <c r="C36" s="201" t="s">
        <v>2005</v>
      </c>
      <c r="D36" s="202">
        <v>23</v>
      </c>
      <c r="E36" s="202">
        <v>0</v>
      </c>
      <c r="F36" s="202">
        <v>23</v>
      </c>
      <c r="G36" s="202">
        <v>6</v>
      </c>
      <c r="H36" s="202">
        <v>0</v>
      </c>
      <c r="I36" s="202">
        <v>60</v>
      </c>
      <c r="J36" s="202">
        <v>0</v>
      </c>
      <c r="K36" s="202">
        <v>7</v>
      </c>
      <c r="L36" s="201" t="s">
        <v>1975</v>
      </c>
      <c r="M36" s="201" t="s">
        <v>1999</v>
      </c>
      <c r="N36" s="201" t="s">
        <v>2006</v>
      </c>
    </row>
    <row r="37" spans="1:14" x14ac:dyDescent="0.25">
      <c r="A37" s="204">
        <v>3.097</v>
      </c>
      <c r="B37" s="201" t="s">
        <v>2004</v>
      </c>
      <c r="C37" s="201" t="s">
        <v>2005</v>
      </c>
      <c r="D37" s="202">
        <v>62</v>
      </c>
      <c r="E37" s="202">
        <v>0</v>
      </c>
      <c r="F37" s="202">
        <v>62</v>
      </c>
      <c r="G37" s="202">
        <v>6</v>
      </c>
      <c r="H37" s="202">
        <v>0</v>
      </c>
      <c r="I37" s="202">
        <v>60</v>
      </c>
      <c r="J37" s="202">
        <v>0</v>
      </c>
      <c r="K37" s="202">
        <v>0</v>
      </c>
      <c r="L37" s="201" t="s">
        <v>1978</v>
      </c>
      <c r="M37" s="201" t="s">
        <v>1999</v>
      </c>
      <c r="N37" s="201" t="s">
        <v>2006</v>
      </c>
    </row>
    <row r="38" spans="1:14" x14ac:dyDescent="0.25">
      <c r="A38" s="204">
        <v>3.3136000000000001</v>
      </c>
      <c r="B38" s="201" t="s">
        <v>76</v>
      </c>
      <c r="C38" s="201" t="s">
        <v>2030</v>
      </c>
      <c r="D38" s="202">
        <v>36</v>
      </c>
      <c r="E38" s="202">
        <v>0</v>
      </c>
      <c r="F38" s="202">
        <v>36</v>
      </c>
      <c r="G38" s="202">
        <v>6</v>
      </c>
      <c r="H38" s="202">
        <v>0</v>
      </c>
      <c r="I38" s="202">
        <v>60</v>
      </c>
      <c r="J38" s="202">
        <v>0</v>
      </c>
      <c r="K38" s="202">
        <v>9</v>
      </c>
      <c r="L38" s="201" t="s">
        <v>1975</v>
      </c>
      <c r="M38" s="201" t="s">
        <v>1999</v>
      </c>
      <c r="N38" s="201" t="s">
        <v>1979</v>
      </c>
    </row>
    <row r="39" spans="1:14" x14ac:dyDescent="0.25">
      <c r="A39" s="204">
        <v>3.3136000000000001</v>
      </c>
      <c r="B39" s="201" t="s">
        <v>76</v>
      </c>
      <c r="C39" s="201" t="s">
        <v>2030</v>
      </c>
      <c r="D39" s="202">
        <v>63</v>
      </c>
      <c r="E39" s="202">
        <v>0</v>
      </c>
      <c r="F39" s="202">
        <v>63</v>
      </c>
      <c r="G39" s="202">
        <v>6</v>
      </c>
      <c r="H39" s="202">
        <v>0</v>
      </c>
      <c r="I39" s="202">
        <v>60</v>
      </c>
      <c r="J39" s="202">
        <v>0</v>
      </c>
      <c r="K39" s="202">
        <v>0</v>
      </c>
      <c r="L39" s="201" t="s">
        <v>1978</v>
      </c>
      <c r="M39" s="201" t="s">
        <v>1999</v>
      </c>
      <c r="N39" s="201" t="s">
        <v>1979</v>
      </c>
    </row>
    <row r="40" spans="1:14" x14ac:dyDescent="0.25">
      <c r="A40" s="204">
        <v>3.3136000000000001</v>
      </c>
      <c r="B40" s="201" t="s">
        <v>76</v>
      </c>
      <c r="C40" s="201" t="s">
        <v>2030</v>
      </c>
      <c r="D40" s="202">
        <v>36</v>
      </c>
      <c r="E40" s="202">
        <v>0</v>
      </c>
      <c r="F40" s="202">
        <v>36</v>
      </c>
      <c r="G40" s="202">
        <v>6</v>
      </c>
      <c r="H40" s="202">
        <v>0</v>
      </c>
      <c r="I40" s="202">
        <v>60</v>
      </c>
      <c r="J40" s="202">
        <v>0</v>
      </c>
      <c r="K40" s="202">
        <v>9</v>
      </c>
      <c r="L40" s="201" t="s">
        <v>1975</v>
      </c>
      <c r="M40" s="201" t="s">
        <v>1999</v>
      </c>
      <c r="N40" s="201" t="s">
        <v>2006</v>
      </c>
    </row>
    <row r="41" spans="1:14" x14ac:dyDescent="0.25">
      <c r="A41" s="204">
        <v>3.3136000000000001</v>
      </c>
      <c r="B41" s="201" t="s">
        <v>76</v>
      </c>
      <c r="C41" s="201" t="s">
        <v>2030</v>
      </c>
      <c r="D41" s="202">
        <v>63</v>
      </c>
      <c r="E41" s="202">
        <v>0</v>
      </c>
      <c r="F41" s="202">
        <v>63</v>
      </c>
      <c r="G41" s="202">
        <v>6</v>
      </c>
      <c r="H41" s="202">
        <v>0</v>
      </c>
      <c r="I41" s="202">
        <v>60</v>
      </c>
      <c r="J41" s="202">
        <v>0</v>
      </c>
      <c r="K41" s="202">
        <v>0</v>
      </c>
      <c r="L41" s="201" t="s">
        <v>1978</v>
      </c>
      <c r="M41" s="201" t="s">
        <v>1999</v>
      </c>
      <c r="N41" s="201" t="s">
        <v>2006</v>
      </c>
    </row>
    <row r="42" spans="1:14" x14ac:dyDescent="0.25">
      <c r="A42" s="204">
        <v>3.3256999999999999</v>
      </c>
      <c r="B42" s="201" t="s">
        <v>76</v>
      </c>
      <c r="C42" s="201" t="s">
        <v>2030</v>
      </c>
      <c r="D42" s="202">
        <v>36</v>
      </c>
      <c r="E42" s="202">
        <v>0</v>
      </c>
      <c r="F42" s="202">
        <v>36</v>
      </c>
      <c r="G42" s="202">
        <v>6</v>
      </c>
      <c r="H42" s="202">
        <v>0</v>
      </c>
      <c r="I42" s="202">
        <v>60</v>
      </c>
      <c r="J42" s="202">
        <v>0</v>
      </c>
      <c r="K42" s="202">
        <v>9</v>
      </c>
      <c r="L42" s="201" t="s">
        <v>1975</v>
      </c>
      <c r="M42" s="201" t="s">
        <v>1999</v>
      </c>
      <c r="N42" s="201" t="s">
        <v>1979</v>
      </c>
    </row>
    <row r="43" spans="1:14" x14ac:dyDescent="0.25">
      <c r="A43" s="204">
        <v>3.3256999999999999</v>
      </c>
      <c r="B43" s="201" t="s">
        <v>76</v>
      </c>
      <c r="C43" s="201" t="s">
        <v>2030</v>
      </c>
      <c r="D43" s="202">
        <v>63</v>
      </c>
      <c r="E43" s="202">
        <v>0</v>
      </c>
      <c r="F43" s="202">
        <v>63</v>
      </c>
      <c r="G43" s="202">
        <v>6</v>
      </c>
      <c r="H43" s="202">
        <v>0</v>
      </c>
      <c r="I43" s="202">
        <v>60</v>
      </c>
      <c r="J43" s="202">
        <v>0</v>
      </c>
      <c r="K43" s="202">
        <v>0</v>
      </c>
      <c r="L43" s="201" t="s">
        <v>1978</v>
      </c>
      <c r="M43" s="201" t="s">
        <v>1999</v>
      </c>
      <c r="N43" s="201" t="s">
        <v>1979</v>
      </c>
    </row>
    <row r="44" spans="1:14" x14ac:dyDescent="0.25">
      <c r="A44" s="204">
        <v>3.3256999999999999</v>
      </c>
      <c r="B44" s="201" t="s">
        <v>76</v>
      </c>
      <c r="C44" s="201" t="s">
        <v>2030</v>
      </c>
      <c r="D44" s="202">
        <v>36</v>
      </c>
      <c r="E44" s="202">
        <v>0</v>
      </c>
      <c r="F44" s="202">
        <v>36</v>
      </c>
      <c r="G44" s="202">
        <v>6</v>
      </c>
      <c r="H44" s="202">
        <v>0</v>
      </c>
      <c r="I44" s="202">
        <v>60</v>
      </c>
      <c r="J44" s="202">
        <v>0</v>
      </c>
      <c r="K44" s="202">
        <v>9</v>
      </c>
      <c r="L44" s="201" t="s">
        <v>1975</v>
      </c>
      <c r="M44" s="201" t="s">
        <v>1999</v>
      </c>
      <c r="N44" s="201" t="s">
        <v>2006</v>
      </c>
    </row>
    <row r="45" spans="1:14" x14ac:dyDescent="0.25">
      <c r="A45" s="204">
        <v>3.3256999999999999</v>
      </c>
      <c r="B45" s="201" t="s">
        <v>76</v>
      </c>
      <c r="C45" s="201" t="s">
        <v>2030</v>
      </c>
      <c r="D45" s="202">
        <v>63</v>
      </c>
      <c r="E45" s="202">
        <v>0</v>
      </c>
      <c r="F45" s="202">
        <v>63</v>
      </c>
      <c r="G45" s="202">
        <v>6</v>
      </c>
      <c r="H45" s="202">
        <v>0</v>
      </c>
      <c r="I45" s="202">
        <v>60</v>
      </c>
      <c r="J45" s="202">
        <v>0</v>
      </c>
      <c r="K45" s="202">
        <v>0</v>
      </c>
      <c r="L45" s="201" t="s">
        <v>1978</v>
      </c>
      <c r="M45" s="201" t="s">
        <v>1999</v>
      </c>
      <c r="N45" s="201" t="s">
        <v>2006</v>
      </c>
    </row>
    <row r="46" spans="1:14" x14ac:dyDescent="0.25">
      <c r="A46" s="204">
        <v>3.6642000000000001</v>
      </c>
      <c r="B46" s="201" t="s">
        <v>2007</v>
      </c>
      <c r="C46" s="201" t="s">
        <v>2008</v>
      </c>
      <c r="D46" s="202">
        <v>60</v>
      </c>
      <c r="E46" s="202">
        <v>0</v>
      </c>
      <c r="F46" s="202">
        <v>60</v>
      </c>
      <c r="G46" s="202">
        <v>6</v>
      </c>
      <c r="H46" s="202">
        <v>0</v>
      </c>
      <c r="I46" s="202">
        <v>55</v>
      </c>
      <c r="J46" s="202">
        <v>60</v>
      </c>
      <c r="K46" s="202">
        <v>2</v>
      </c>
      <c r="L46" s="201" t="s">
        <v>1975</v>
      </c>
      <c r="M46" s="201" t="s">
        <v>1976</v>
      </c>
      <c r="N46" s="201" t="s">
        <v>1979</v>
      </c>
    </row>
    <row r="47" spans="1:14" x14ac:dyDescent="0.25">
      <c r="A47" s="204">
        <v>3.6642000000000001</v>
      </c>
      <c r="B47" s="201" t="s">
        <v>2007</v>
      </c>
      <c r="C47" s="201" t="s">
        <v>2008</v>
      </c>
      <c r="D47" s="202">
        <v>65</v>
      </c>
      <c r="E47" s="202">
        <v>0</v>
      </c>
      <c r="F47" s="202">
        <v>65</v>
      </c>
      <c r="G47" s="202">
        <v>6</v>
      </c>
      <c r="H47" s="202">
        <v>0</v>
      </c>
      <c r="I47" s="202">
        <v>55</v>
      </c>
      <c r="J47" s="202">
        <v>60</v>
      </c>
      <c r="K47" s="202">
        <v>2</v>
      </c>
      <c r="L47" s="201" t="s">
        <v>1978</v>
      </c>
      <c r="M47" s="201" t="s">
        <v>1976</v>
      </c>
      <c r="N47" s="201" t="s">
        <v>1979</v>
      </c>
    </row>
    <row r="48" spans="1:14" x14ac:dyDescent="0.25">
      <c r="A48" s="204">
        <v>3.6642000000000001</v>
      </c>
      <c r="B48" s="201" t="s">
        <v>2007</v>
      </c>
      <c r="C48" s="201" t="s">
        <v>2008</v>
      </c>
      <c r="D48" s="202">
        <v>60</v>
      </c>
      <c r="E48" s="202">
        <v>0</v>
      </c>
      <c r="F48" s="202">
        <v>60</v>
      </c>
      <c r="G48" s="202">
        <v>6</v>
      </c>
      <c r="H48" s="202">
        <v>0</v>
      </c>
      <c r="I48" s="202">
        <v>55</v>
      </c>
      <c r="J48" s="202">
        <v>60</v>
      </c>
      <c r="K48" s="202">
        <v>2</v>
      </c>
      <c r="L48" s="201" t="s">
        <v>1975</v>
      </c>
      <c r="M48" s="201" t="s">
        <v>1976</v>
      </c>
      <c r="N48" s="201" t="s">
        <v>2006</v>
      </c>
    </row>
    <row r="49" spans="1:14" x14ac:dyDescent="0.25">
      <c r="A49" s="204">
        <v>3.6642000000000001</v>
      </c>
      <c r="B49" s="201" t="s">
        <v>2007</v>
      </c>
      <c r="C49" s="201" t="s">
        <v>2008</v>
      </c>
      <c r="D49" s="202">
        <v>65</v>
      </c>
      <c r="E49" s="202">
        <v>0</v>
      </c>
      <c r="F49" s="202">
        <v>65</v>
      </c>
      <c r="G49" s="202">
        <v>6</v>
      </c>
      <c r="H49" s="202">
        <v>0</v>
      </c>
      <c r="I49" s="202">
        <v>55</v>
      </c>
      <c r="J49" s="202">
        <v>60</v>
      </c>
      <c r="K49" s="202">
        <v>2</v>
      </c>
      <c r="L49" s="201" t="s">
        <v>1978</v>
      </c>
      <c r="M49" s="201" t="s">
        <v>1976</v>
      </c>
      <c r="N49" s="201" t="s">
        <v>2006</v>
      </c>
    </row>
    <row r="50" spans="1:14" x14ac:dyDescent="0.25">
      <c r="A50" s="204">
        <v>3.7462</v>
      </c>
      <c r="B50" s="201" t="s">
        <v>2007</v>
      </c>
      <c r="C50" s="201" t="s">
        <v>2008</v>
      </c>
      <c r="D50" s="202">
        <v>60</v>
      </c>
      <c r="E50" s="202">
        <v>0</v>
      </c>
      <c r="F50" s="202">
        <v>60</v>
      </c>
      <c r="G50" s="202">
        <v>6</v>
      </c>
      <c r="H50" s="202">
        <v>0</v>
      </c>
      <c r="I50" s="202">
        <v>55</v>
      </c>
      <c r="J50" s="202">
        <v>60</v>
      </c>
      <c r="K50" s="202">
        <v>2</v>
      </c>
      <c r="L50" s="201" t="s">
        <v>1975</v>
      </c>
      <c r="M50" s="201" t="s">
        <v>1976</v>
      </c>
      <c r="N50" s="201" t="s">
        <v>1979</v>
      </c>
    </row>
    <row r="51" spans="1:14" x14ac:dyDescent="0.25">
      <c r="A51" s="204">
        <v>3.7462</v>
      </c>
      <c r="B51" s="201" t="s">
        <v>2007</v>
      </c>
      <c r="C51" s="201" t="s">
        <v>2008</v>
      </c>
      <c r="D51" s="202">
        <v>65</v>
      </c>
      <c r="E51" s="202">
        <v>0</v>
      </c>
      <c r="F51" s="202">
        <v>65</v>
      </c>
      <c r="G51" s="202">
        <v>6</v>
      </c>
      <c r="H51" s="202">
        <v>0</v>
      </c>
      <c r="I51" s="202">
        <v>55</v>
      </c>
      <c r="J51" s="202">
        <v>60</v>
      </c>
      <c r="K51" s="202">
        <v>2</v>
      </c>
      <c r="L51" s="201" t="s">
        <v>1978</v>
      </c>
      <c r="M51" s="201" t="s">
        <v>1976</v>
      </c>
      <c r="N51" s="201" t="s">
        <v>1979</v>
      </c>
    </row>
    <row r="52" spans="1:14" x14ac:dyDescent="0.25">
      <c r="A52" s="204">
        <v>3.7462</v>
      </c>
      <c r="B52" s="201" t="s">
        <v>2007</v>
      </c>
      <c r="C52" s="201" t="s">
        <v>2008</v>
      </c>
      <c r="D52" s="202">
        <v>60</v>
      </c>
      <c r="E52" s="202">
        <v>0</v>
      </c>
      <c r="F52" s="202">
        <v>60</v>
      </c>
      <c r="G52" s="202">
        <v>6</v>
      </c>
      <c r="H52" s="202">
        <v>0</v>
      </c>
      <c r="I52" s="202">
        <v>55</v>
      </c>
      <c r="J52" s="202">
        <v>60</v>
      </c>
      <c r="K52" s="202">
        <v>2</v>
      </c>
      <c r="L52" s="201" t="s">
        <v>1975</v>
      </c>
      <c r="M52" s="201" t="s">
        <v>1976</v>
      </c>
      <c r="N52" s="201" t="s">
        <v>2006</v>
      </c>
    </row>
    <row r="53" spans="1:14" x14ac:dyDescent="0.25">
      <c r="A53" s="204">
        <v>3.7462</v>
      </c>
      <c r="B53" s="201" t="s">
        <v>2007</v>
      </c>
      <c r="C53" s="201" t="s">
        <v>2008</v>
      </c>
      <c r="D53" s="202">
        <v>65</v>
      </c>
      <c r="E53" s="202">
        <v>0</v>
      </c>
      <c r="F53" s="202">
        <v>65</v>
      </c>
      <c r="G53" s="202">
        <v>6</v>
      </c>
      <c r="H53" s="202">
        <v>0</v>
      </c>
      <c r="I53" s="202">
        <v>55</v>
      </c>
      <c r="J53" s="202">
        <v>60</v>
      </c>
      <c r="K53" s="202">
        <v>2</v>
      </c>
      <c r="L53" s="201" t="s">
        <v>1978</v>
      </c>
      <c r="M53" s="201" t="s">
        <v>1976</v>
      </c>
      <c r="N53" s="201" t="s">
        <v>2006</v>
      </c>
    </row>
    <row r="54" spans="1:14" x14ac:dyDescent="0.25">
      <c r="A54" s="204">
        <v>4.2778999999999998</v>
      </c>
      <c r="B54" s="201" t="s">
        <v>77</v>
      </c>
      <c r="C54" s="201" t="s">
        <v>2009</v>
      </c>
      <c r="D54" s="202">
        <v>63</v>
      </c>
      <c r="E54" s="202">
        <v>0</v>
      </c>
      <c r="F54" s="202">
        <v>63</v>
      </c>
      <c r="G54" s="202">
        <v>6</v>
      </c>
      <c r="H54" s="202">
        <v>65</v>
      </c>
      <c r="I54" s="202">
        <v>64</v>
      </c>
      <c r="J54" s="202">
        <v>0</v>
      </c>
      <c r="K54" s="202">
        <v>0</v>
      </c>
      <c r="L54" s="201" t="s">
        <v>1975</v>
      </c>
      <c r="M54" s="201" t="s">
        <v>1999</v>
      </c>
      <c r="N54" s="201" t="s">
        <v>1979</v>
      </c>
    </row>
    <row r="55" spans="1:14" x14ac:dyDescent="0.25">
      <c r="A55" s="204">
        <v>4.2778999999999998</v>
      </c>
      <c r="B55" s="201" t="s">
        <v>77</v>
      </c>
      <c r="C55" s="201" t="s">
        <v>2009</v>
      </c>
      <c r="D55" s="202">
        <v>79</v>
      </c>
      <c r="E55" s="202">
        <v>0</v>
      </c>
      <c r="F55" s="202">
        <v>79</v>
      </c>
      <c r="G55" s="202">
        <v>6</v>
      </c>
      <c r="H55" s="202">
        <v>65</v>
      </c>
      <c r="I55" s="202">
        <v>64</v>
      </c>
      <c r="J55" s="202">
        <v>0</v>
      </c>
      <c r="K55" s="202">
        <v>17</v>
      </c>
      <c r="L55" s="201" t="s">
        <v>1978</v>
      </c>
      <c r="M55" s="201" t="s">
        <v>1999</v>
      </c>
      <c r="N55" s="201" t="s">
        <v>2010</v>
      </c>
    </row>
    <row r="56" spans="1:14" x14ac:dyDescent="0.25">
      <c r="A56" s="204">
        <v>4.2778999999999998</v>
      </c>
      <c r="B56" s="201" t="s">
        <v>77</v>
      </c>
      <c r="C56" s="201" t="s">
        <v>2009</v>
      </c>
      <c r="D56" s="202">
        <v>63</v>
      </c>
      <c r="E56" s="202">
        <v>0</v>
      </c>
      <c r="F56" s="202">
        <v>63</v>
      </c>
      <c r="G56" s="202">
        <v>6</v>
      </c>
      <c r="H56" s="202">
        <v>65</v>
      </c>
      <c r="I56" s="202">
        <v>64</v>
      </c>
      <c r="J56" s="202">
        <v>0</v>
      </c>
      <c r="K56" s="202">
        <v>0</v>
      </c>
      <c r="L56" s="201" t="s">
        <v>1975</v>
      </c>
      <c r="M56" s="201" t="s">
        <v>1999</v>
      </c>
      <c r="N56" s="201" t="s">
        <v>2006</v>
      </c>
    </row>
    <row r="57" spans="1:14" x14ac:dyDescent="0.25">
      <c r="A57" s="204">
        <v>4.2778999999999998</v>
      </c>
      <c r="B57" s="201" t="s">
        <v>77</v>
      </c>
      <c r="C57" s="201" t="s">
        <v>2009</v>
      </c>
      <c r="D57" s="202">
        <v>79</v>
      </c>
      <c r="E57" s="202">
        <v>0</v>
      </c>
      <c r="F57" s="202">
        <v>79</v>
      </c>
      <c r="G57" s="202">
        <v>6</v>
      </c>
      <c r="H57" s="202">
        <v>65</v>
      </c>
      <c r="I57" s="202">
        <v>64</v>
      </c>
      <c r="J57" s="202">
        <v>0</v>
      </c>
      <c r="K57" s="202">
        <v>17</v>
      </c>
      <c r="L57" s="201" t="s">
        <v>1978</v>
      </c>
      <c r="M57" s="201" t="s">
        <v>1999</v>
      </c>
      <c r="N57" s="201" t="s">
        <v>2011</v>
      </c>
    </row>
    <row r="58" spans="1:14" x14ac:dyDescent="0.25">
      <c r="A58" s="204">
        <v>4.2961</v>
      </c>
      <c r="B58" s="201" t="s">
        <v>77</v>
      </c>
      <c r="C58" s="201" t="s">
        <v>2009</v>
      </c>
      <c r="D58" s="202">
        <v>63</v>
      </c>
      <c r="E58" s="202">
        <v>0</v>
      </c>
      <c r="F58" s="202">
        <v>63</v>
      </c>
      <c r="G58" s="202">
        <v>6</v>
      </c>
      <c r="H58" s="202">
        <v>65</v>
      </c>
      <c r="I58" s="202">
        <v>64</v>
      </c>
      <c r="J58" s="202">
        <v>0</v>
      </c>
      <c r="K58" s="202">
        <v>0</v>
      </c>
      <c r="L58" s="201" t="s">
        <v>1975</v>
      </c>
      <c r="M58" s="201" t="s">
        <v>1999</v>
      </c>
      <c r="N58" s="201" t="s">
        <v>1979</v>
      </c>
    </row>
    <row r="59" spans="1:14" x14ac:dyDescent="0.25">
      <c r="A59" s="204">
        <v>4.2961</v>
      </c>
      <c r="B59" s="201" t="s">
        <v>77</v>
      </c>
      <c r="C59" s="201" t="s">
        <v>2009</v>
      </c>
      <c r="D59" s="202">
        <v>79</v>
      </c>
      <c r="E59" s="202">
        <v>0</v>
      </c>
      <c r="F59" s="202">
        <v>79</v>
      </c>
      <c r="G59" s="202">
        <v>6</v>
      </c>
      <c r="H59" s="202">
        <v>65</v>
      </c>
      <c r="I59" s="202">
        <v>64</v>
      </c>
      <c r="J59" s="202">
        <v>0</v>
      </c>
      <c r="K59" s="202">
        <v>17</v>
      </c>
      <c r="L59" s="201" t="s">
        <v>1978</v>
      </c>
      <c r="M59" s="201" t="s">
        <v>1999</v>
      </c>
      <c r="N59" s="201" t="s">
        <v>2010</v>
      </c>
    </row>
    <row r="60" spans="1:14" x14ac:dyDescent="0.25">
      <c r="A60" s="204">
        <v>4.2961</v>
      </c>
      <c r="B60" s="201" t="s">
        <v>77</v>
      </c>
      <c r="C60" s="201" t="s">
        <v>2009</v>
      </c>
      <c r="D60" s="202">
        <v>63</v>
      </c>
      <c r="E60" s="202">
        <v>0</v>
      </c>
      <c r="F60" s="202">
        <v>63</v>
      </c>
      <c r="G60" s="202">
        <v>6</v>
      </c>
      <c r="H60" s="202">
        <v>65</v>
      </c>
      <c r="I60" s="202">
        <v>64</v>
      </c>
      <c r="J60" s="202">
        <v>0</v>
      </c>
      <c r="K60" s="202">
        <v>0</v>
      </c>
      <c r="L60" s="201" t="s">
        <v>1975</v>
      </c>
      <c r="M60" s="201" t="s">
        <v>1999</v>
      </c>
      <c r="N60" s="201" t="s">
        <v>2006</v>
      </c>
    </row>
    <row r="61" spans="1:14" x14ac:dyDescent="0.25">
      <c r="A61" s="204">
        <v>4.2961</v>
      </c>
      <c r="B61" s="201" t="s">
        <v>77</v>
      </c>
      <c r="C61" s="201" t="s">
        <v>2009</v>
      </c>
      <c r="D61" s="202">
        <v>79</v>
      </c>
      <c r="E61" s="202">
        <v>0</v>
      </c>
      <c r="F61" s="202">
        <v>79</v>
      </c>
      <c r="G61" s="202">
        <v>6</v>
      </c>
      <c r="H61" s="202">
        <v>65</v>
      </c>
      <c r="I61" s="202">
        <v>64</v>
      </c>
      <c r="J61" s="202">
        <v>0</v>
      </c>
      <c r="K61" s="202">
        <v>17</v>
      </c>
      <c r="L61" s="201" t="s">
        <v>1978</v>
      </c>
      <c r="M61" s="201" t="s">
        <v>1999</v>
      </c>
      <c r="N61" s="201" t="s">
        <v>2011</v>
      </c>
    </row>
    <row r="62" spans="1:14" x14ac:dyDescent="0.25">
      <c r="A62" s="204">
        <v>4.7865000000000002</v>
      </c>
      <c r="B62" s="201" t="s">
        <v>78</v>
      </c>
      <c r="C62" s="201" t="s">
        <v>2017</v>
      </c>
      <c r="D62" s="202">
        <v>69</v>
      </c>
      <c r="E62" s="202">
        <v>0</v>
      </c>
      <c r="F62" s="202">
        <v>69</v>
      </c>
      <c r="G62" s="202">
        <v>6</v>
      </c>
      <c r="H62" s="202">
        <v>62</v>
      </c>
      <c r="I62" s="202">
        <v>64</v>
      </c>
      <c r="J62" s="202">
        <v>0</v>
      </c>
      <c r="K62" s="202">
        <v>0</v>
      </c>
      <c r="L62" s="201" t="s">
        <v>1975</v>
      </c>
      <c r="M62" s="201" t="s">
        <v>1999</v>
      </c>
      <c r="N62" s="201" t="s">
        <v>1979</v>
      </c>
    </row>
    <row r="63" spans="1:14" x14ac:dyDescent="0.25">
      <c r="A63" s="204">
        <v>4.7865000000000002</v>
      </c>
      <c r="B63" s="201" t="s">
        <v>78</v>
      </c>
      <c r="C63" s="201" t="s">
        <v>2017</v>
      </c>
      <c r="D63" s="202">
        <v>78</v>
      </c>
      <c r="E63" s="202">
        <v>0</v>
      </c>
      <c r="F63" s="202">
        <v>78</v>
      </c>
      <c r="G63" s="202">
        <v>6</v>
      </c>
      <c r="H63" s="202">
        <v>62</v>
      </c>
      <c r="I63" s="202">
        <v>64</v>
      </c>
      <c r="J63" s="202">
        <v>0</v>
      </c>
      <c r="K63" s="202">
        <v>10</v>
      </c>
      <c r="L63" s="201" t="s">
        <v>1978</v>
      </c>
      <c r="M63" s="201" t="s">
        <v>1999</v>
      </c>
      <c r="N63" s="201" t="s">
        <v>2010</v>
      </c>
    </row>
    <row r="64" spans="1:14" x14ac:dyDescent="0.25">
      <c r="A64" s="204">
        <v>4.7865000000000002</v>
      </c>
      <c r="B64" s="201" t="s">
        <v>78</v>
      </c>
      <c r="C64" s="201" t="s">
        <v>2017</v>
      </c>
      <c r="D64" s="202">
        <v>69</v>
      </c>
      <c r="E64" s="202">
        <v>0</v>
      </c>
      <c r="F64" s="202">
        <v>69</v>
      </c>
      <c r="G64" s="202">
        <v>6</v>
      </c>
      <c r="H64" s="202">
        <v>62</v>
      </c>
      <c r="I64" s="202">
        <v>64</v>
      </c>
      <c r="J64" s="202">
        <v>0</v>
      </c>
      <c r="K64" s="202">
        <v>0</v>
      </c>
      <c r="L64" s="201" t="s">
        <v>1975</v>
      </c>
      <c r="M64" s="201" t="s">
        <v>1999</v>
      </c>
      <c r="N64" s="201" t="s">
        <v>2006</v>
      </c>
    </row>
    <row r="65" spans="1:14" x14ac:dyDescent="0.25">
      <c r="A65" s="204">
        <v>4.7865000000000002</v>
      </c>
      <c r="B65" s="201" t="s">
        <v>78</v>
      </c>
      <c r="C65" s="201" t="s">
        <v>2017</v>
      </c>
      <c r="D65" s="202">
        <v>78</v>
      </c>
      <c r="E65" s="202">
        <v>0</v>
      </c>
      <c r="F65" s="202">
        <v>78</v>
      </c>
      <c r="G65" s="202">
        <v>6</v>
      </c>
      <c r="H65" s="202">
        <v>62</v>
      </c>
      <c r="I65" s="202">
        <v>64</v>
      </c>
      <c r="J65" s="202">
        <v>0</v>
      </c>
      <c r="K65" s="202">
        <v>10</v>
      </c>
      <c r="L65" s="201" t="s">
        <v>1978</v>
      </c>
      <c r="M65" s="201" t="s">
        <v>1999</v>
      </c>
      <c r="N65" s="201" t="s">
        <v>2011</v>
      </c>
    </row>
    <row r="66" spans="1:14" x14ac:dyDescent="0.25">
      <c r="A66" s="204">
        <v>4.8048000000000002</v>
      </c>
      <c r="B66" s="201" t="s">
        <v>78</v>
      </c>
      <c r="C66" s="201" t="s">
        <v>2017</v>
      </c>
      <c r="D66" s="202">
        <v>69</v>
      </c>
      <c r="E66" s="202">
        <v>0</v>
      </c>
      <c r="F66" s="202">
        <v>69</v>
      </c>
      <c r="G66" s="202">
        <v>6</v>
      </c>
      <c r="H66" s="202">
        <v>62</v>
      </c>
      <c r="I66" s="202">
        <v>64</v>
      </c>
      <c r="J66" s="202">
        <v>0</v>
      </c>
      <c r="K66" s="202">
        <v>0</v>
      </c>
      <c r="L66" s="201" t="s">
        <v>1975</v>
      </c>
      <c r="M66" s="201" t="s">
        <v>1999</v>
      </c>
      <c r="N66" s="201" t="s">
        <v>1979</v>
      </c>
    </row>
    <row r="67" spans="1:14" x14ac:dyDescent="0.25">
      <c r="A67" s="204">
        <v>4.8048000000000002</v>
      </c>
      <c r="B67" s="201" t="s">
        <v>78</v>
      </c>
      <c r="C67" s="201" t="s">
        <v>2017</v>
      </c>
      <c r="D67" s="202">
        <v>78</v>
      </c>
      <c r="E67" s="202">
        <v>0</v>
      </c>
      <c r="F67" s="202">
        <v>78</v>
      </c>
      <c r="G67" s="202">
        <v>6</v>
      </c>
      <c r="H67" s="202">
        <v>62</v>
      </c>
      <c r="I67" s="202">
        <v>64</v>
      </c>
      <c r="J67" s="202">
        <v>0</v>
      </c>
      <c r="K67" s="202">
        <v>10</v>
      </c>
      <c r="L67" s="201" t="s">
        <v>1978</v>
      </c>
      <c r="M67" s="201" t="s">
        <v>1999</v>
      </c>
      <c r="N67" s="201" t="s">
        <v>2010</v>
      </c>
    </row>
    <row r="68" spans="1:14" x14ac:dyDescent="0.25">
      <c r="A68" s="204">
        <v>4.8048000000000002</v>
      </c>
      <c r="B68" s="201" t="s">
        <v>78</v>
      </c>
      <c r="C68" s="201" t="s">
        <v>2017</v>
      </c>
      <c r="D68" s="202">
        <v>69</v>
      </c>
      <c r="E68" s="202">
        <v>0</v>
      </c>
      <c r="F68" s="202">
        <v>69</v>
      </c>
      <c r="G68" s="202">
        <v>6</v>
      </c>
      <c r="H68" s="202">
        <v>62</v>
      </c>
      <c r="I68" s="202">
        <v>64</v>
      </c>
      <c r="J68" s="202">
        <v>0</v>
      </c>
      <c r="K68" s="202">
        <v>0</v>
      </c>
      <c r="L68" s="201" t="s">
        <v>1975</v>
      </c>
      <c r="M68" s="201" t="s">
        <v>1999</v>
      </c>
      <c r="N68" s="201" t="s">
        <v>2006</v>
      </c>
    </row>
    <row r="69" spans="1:14" x14ac:dyDescent="0.25">
      <c r="A69" s="204">
        <v>4.8048000000000002</v>
      </c>
      <c r="B69" s="201" t="s">
        <v>78</v>
      </c>
      <c r="C69" s="201" t="s">
        <v>2017</v>
      </c>
      <c r="D69" s="202">
        <v>78</v>
      </c>
      <c r="E69" s="202">
        <v>0</v>
      </c>
      <c r="F69" s="202">
        <v>78</v>
      </c>
      <c r="G69" s="202">
        <v>6</v>
      </c>
      <c r="H69" s="202">
        <v>62</v>
      </c>
      <c r="I69" s="202">
        <v>64</v>
      </c>
      <c r="J69" s="202">
        <v>0</v>
      </c>
      <c r="K69" s="202">
        <v>10</v>
      </c>
      <c r="L69" s="201" t="s">
        <v>1978</v>
      </c>
      <c r="M69" s="201" t="s">
        <v>1999</v>
      </c>
      <c r="N69" s="201" t="s">
        <v>2011</v>
      </c>
    </row>
    <row r="70" spans="1:14" x14ac:dyDescent="0.25">
      <c r="A70" s="204">
        <v>5.3155000000000001</v>
      </c>
      <c r="B70" s="201" t="s">
        <v>79</v>
      </c>
      <c r="C70" s="201" t="s">
        <v>2018</v>
      </c>
      <c r="D70" s="202">
        <v>74</v>
      </c>
      <c r="E70" s="202">
        <v>0</v>
      </c>
      <c r="F70" s="202">
        <v>74</v>
      </c>
      <c r="G70" s="202">
        <v>6</v>
      </c>
      <c r="H70" s="202">
        <v>69</v>
      </c>
      <c r="I70" s="202">
        <v>65</v>
      </c>
      <c r="J70" s="202">
        <v>0</v>
      </c>
      <c r="K70" s="202">
        <v>0</v>
      </c>
      <c r="L70" s="201" t="s">
        <v>1975</v>
      </c>
      <c r="M70" s="201" t="s">
        <v>1999</v>
      </c>
      <c r="N70" s="201" t="s">
        <v>1979</v>
      </c>
    </row>
    <row r="71" spans="1:14" x14ac:dyDescent="0.25">
      <c r="A71" s="204">
        <v>5.3155000000000001</v>
      </c>
      <c r="B71" s="201" t="s">
        <v>79</v>
      </c>
      <c r="C71" s="201" t="s">
        <v>2018</v>
      </c>
      <c r="D71" s="202">
        <v>78</v>
      </c>
      <c r="E71" s="202">
        <v>0</v>
      </c>
      <c r="F71" s="202">
        <v>78</v>
      </c>
      <c r="G71" s="202">
        <v>6</v>
      </c>
      <c r="H71" s="202">
        <v>69</v>
      </c>
      <c r="I71" s="202">
        <v>65</v>
      </c>
      <c r="J71" s="202">
        <v>0</v>
      </c>
      <c r="K71" s="202">
        <v>0</v>
      </c>
      <c r="L71" s="201" t="s">
        <v>1978</v>
      </c>
      <c r="M71" s="201" t="s">
        <v>1999</v>
      </c>
      <c r="N71" s="201" t="s">
        <v>2019</v>
      </c>
    </row>
    <row r="72" spans="1:14" x14ac:dyDescent="0.25">
      <c r="A72" s="204">
        <v>5.3155000000000001</v>
      </c>
      <c r="B72" s="201" t="s">
        <v>79</v>
      </c>
      <c r="C72" s="201" t="s">
        <v>2018</v>
      </c>
      <c r="D72" s="202">
        <v>74</v>
      </c>
      <c r="E72" s="202">
        <v>0</v>
      </c>
      <c r="F72" s="202">
        <v>74</v>
      </c>
      <c r="G72" s="202">
        <v>6</v>
      </c>
      <c r="H72" s="202">
        <v>69</v>
      </c>
      <c r="I72" s="202">
        <v>65</v>
      </c>
      <c r="J72" s="202">
        <v>0</v>
      </c>
      <c r="K72" s="202">
        <v>0</v>
      </c>
      <c r="L72" s="201" t="s">
        <v>1975</v>
      </c>
      <c r="M72" s="201" t="s">
        <v>1999</v>
      </c>
      <c r="N72" s="201" t="s">
        <v>2006</v>
      </c>
    </row>
    <row r="73" spans="1:14" x14ac:dyDescent="0.25">
      <c r="A73" s="204">
        <v>5.3155000000000001</v>
      </c>
      <c r="B73" s="201" t="s">
        <v>79</v>
      </c>
      <c r="C73" s="201" t="s">
        <v>2018</v>
      </c>
      <c r="D73" s="202">
        <v>78</v>
      </c>
      <c r="E73" s="202">
        <v>0</v>
      </c>
      <c r="F73" s="202">
        <v>78</v>
      </c>
      <c r="G73" s="202">
        <v>6</v>
      </c>
      <c r="H73" s="202">
        <v>69</v>
      </c>
      <c r="I73" s="202">
        <v>65</v>
      </c>
      <c r="J73" s="202">
        <v>0</v>
      </c>
      <c r="K73" s="202">
        <v>0</v>
      </c>
      <c r="L73" s="201" t="s">
        <v>1978</v>
      </c>
      <c r="M73" s="201" t="s">
        <v>1999</v>
      </c>
      <c r="N73" s="201" t="s">
        <v>2020</v>
      </c>
    </row>
    <row r="74" spans="1:14" x14ac:dyDescent="0.25">
      <c r="A74" s="204">
        <v>5.3277000000000001</v>
      </c>
      <c r="B74" s="201" t="s">
        <v>79</v>
      </c>
      <c r="C74" s="201" t="s">
        <v>2018</v>
      </c>
      <c r="D74" s="202">
        <v>74</v>
      </c>
      <c r="E74" s="202">
        <v>0</v>
      </c>
      <c r="F74" s="202">
        <v>74</v>
      </c>
      <c r="G74" s="202">
        <v>6</v>
      </c>
      <c r="H74" s="202">
        <v>69</v>
      </c>
      <c r="I74" s="202">
        <v>65</v>
      </c>
      <c r="J74" s="202">
        <v>0</v>
      </c>
      <c r="K74" s="202">
        <v>0</v>
      </c>
      <c r="L74" s="201" t="s">
        <v>1975</v>
      </c>
      <c r="M74" s="201" t="s">
        <v>1999</v>
      </c>
      <c r="N74" s="201" t="s">
        <v>1979</v>
      </c>
    </row>
    <row r="75" spans="1:14" x14ac:dyDescent="0.25">
      <c r="A75" s="204">
        <v>5.3277000000000001</v>
      </c>
      <c r="B75" s="201" t="s">
        <v>79</v>
      </c>
      <c r="C75" s="201" t="s">
        <v>2018</v>
      </c>
      <c r="D75" s="202">
        <v>78</v>
      </c>
      <c r="E75" s="202">
        <v>0</v>
      </c>
      <c r="F75" s="202">
        <v>78</v>
      </c>
      <c r="G75" s="202">
        <v>6</v>
      </c>
      <c r="H75" s="202">
        <v>69</v>
      </c>
      <c r="I75" s="202">
        <v>65</v>
      </c>
      <c r="J75" s="202">
        <v>0</v>
      </c>
      <c r="K75" s="202">
        <v>0</v>
      </c>
      <c r="L75" s="201" t="s">
        <v>1978</v>
      </c>
      <c r="M75" s="201" t="s">
        <v>1999</v>
      </c>
      <c r="N75" s="201" t="s">
        <v>2019</v>
      </c>
    </row>
    <row r="76" spans="1:14" x14ac:dyDescent="0.25">
      <c r="A76" s="204">
        <v>5.3277000000000001</v>
      </c>
      <c r="B76" s="201" t="s">
        <v>79</v>
      </c>
      <c r="C76" s="201" t="s">
        <v>2018</v>
      </c>
      <c r="D76" s="202">
        <v>74</v>
      </c>
      <c r="E76" s="202">
        <v>0</v>
      </c>
      <c r="F76" s="202">
        <v>74</v>
      </c>
      <c r="G76" s="202">
        <v>6</v>
      </c>
      <c r="H76" s="202">
        <v>69</v>
      </c>
      <c r="I76" s="202">
        <v>65</v>
      </c>
      <c r="J76" s="202">
        <v>0</v>
      </c>
      <c r="K76" s="202">
        <v>0</v>
      </c>
      <c r="L76" s="201" t="s">
        <v>1975</v>
      </c>
      <c r="M76" s="201" t="s">
        <v>1999</v>
      </c>
      <c r="N76" s="201" t="s">
        <v>2006</v>
      </c>
    </row>
    <row r="77" spans="1:14" x14ac:dyDescent="0.25">
      <c r="A77" s="204">
        <v>5.3277000000000001</v>
      </c>
      <c r="B77" s="201" t="s">
        <v>79</v>
      </c>
      <c r="C77" s="201" t="s">
        <v>2018</v>
      </c>
      <c r="D77" s="202">
        <v>78</v>
      </c>
      <c r="E77" s="202">
        <v>0</v>
      </c>
      <c r="F77" s="202">
        <v>78</v>
      </c>
      <c r="G77" s="202">
        <v>6</v>
      </c>
      <c r="H77" s="202">
        <v>69</v>
      </c>
      <c r="I77" s="202">
        <v>65</v>
      </c>
      <c r="J77" s="202">
        <v>0</v>
      </c>
      <c r="K77" s="202">
        <v>0</v>
      </c>
      <c r="L77" s="201" t="s">
        <v>1978</v>
      </c>
      <c r="M77" s="201" t="s">
        <v>1999</v>
      </c>
      <c r="N77" s="201" t="s">
        <v>2020</v>
      </c>
    </row>
    <row r="78" spans="1:14" x14ac:dyDescent="0.25">
      <c r="A78" s="204">
        <v>5.8117000000000001</v>
      </c>
      <c r="B78" s="201" t="s">
        <v>80</v>
      </c>
      <c r="C78" s="201" t="s">
        <v>2029</v>
      </c>
      <c r="D78" s="202">
        <v>79</v>
      </c>
      <c r="E78" s="202">
        <v>0</v>
      </c>
      <c r="F78" s="202">
        <v>79</v>
      </c>
      <c r="G78" s="202">
        <v>6</v>
      </c>
      <c r="H78" s="202">
        <v>58</v>
      </c>
      <c r="I78" s="202">
        <v>64</v>
      </c>
      <c r="J78" s="202">
        <v>0</v>
      </c>
      <c r="K78" s="202">
        <v>23</v>
      </c>
      <c r="L78" s="201" t="s">
        <v>1975</v>
      </c>
      <c r="M78" s="201" t="s">
        <v>1999</v>
      </c>
      <c r="N78" s="201" t="s">
        <v>2022</v>
      </c>
    </row>
    <row r="79" spans="1:14" x14ac:dyDescent="0.25">
      <c r="A79" s="204">
        <v>5.8117000000000001</v>
      </c>
      <c r="B79" s="201" t="s">
        <v>80</v>
      </c>
      <c r="C79" s="201" t="s">
        <v>2029</v>
      </c>
      <c r="D79" s="202">
        <v>78</v>
      </c>
      <c r="E79" s="202">
        <v>0</v>
      </c>
      <c r="F79" s="202">
        <v>78</v>
      </c>
      <c r="G79" s="202">
        <v>6</v>
      </c>
      <c r="H79" s="202">
        <v>58</v>
      </c>
      <c r="I79" s="202">
        <v>64</v>
      </c>
      <c r="J79" s="202">
        <v>0</v>
      </c>
      <c r="K79" s="202">
        <v>0</v>
      </c>
      <c r="L79" s="201" t="s">
        <v>1978</v>
      </c>
      <c r="M79" s="201" t="s">
        <v>1999</v>
      </c>
      <c r="N79" s="201" t="s">
        <v>1995</v>
      </c>
    </row>
    <row r="80" spans="1:14" x14ac:dyDescent="0.25">
      <c r="A80" s="204">
        <v>5.8117000000000001</v>
      </c>
      <c r="B80" s="201" t="s">
        <v>80</v>
      </c>
      <c r="C80" s="201" t="s">
        <v>2029</v>
      </c>
      <c r="D80" s="202">
        <v>79</v>
      </c>
      <c r="E80" s="202">
        <v>0</v>
      </c>
      <c r="F80" s="202">
        <v>79</v>
      </c>
      <c r="G80" s="202">
        <v>6</v>
      </c>
      <c r="H80" s="202">
        <v>58</v>
      </c>
      <c r="I80" s="202">
        <v>64</v>
      </c>
      <c r="J80" s="202">
        <v>0</v>
      </c>
      <c r="K80" s="202">
        <v>23</v>
      </c>
      <c r="L80" s="201" t="s">
        <v>1975</v>
      </c>
      <c r="M80" s="201" t="s">
        <v>1999</v>
      </c>
      <c r="N80" s="201" t="s">
        <v>2023</v>
      </c>
    </row>
    <row r="81" spans="1:14" x14ac:dyDescent="0.25">
      <c r="A81" s="204">
        <v>5.8117000000000001</v>
      </c>
      <c r="B81" s="201" t="s">
        <v>80</v>
      </c>
      <c r="C81" s="201" t="s">
        <v>2029</v>
      </c>
      <c r="D81" s="202">
        <v>78</v>
      </c>
      <c r="E81" s="202">
        <v>0</v>
      </c>
      <c r="F81" s="202">
        <v>78</v>
      </c>
      <c r="G81" s="202">
        <v>6</v>
      </c>
      <c r="H81" s="202">
        <v>58</v>
      </c>
      <c r="I81" s="202">
        <v>64</v>
      </c>
      <c r="J81" s="202">
        <v>0</v>
      </c>
      <c r="K81" s="202">
        <v>0</v>
      </c>
      <c r="L81" s="201" t="s">
        <v>1978</v>
      </c>
      <c r="M81" s="201" t="s">
        <v>1999</v>
      </c>
      <c r="N81" s="201" t="s">
        <v>1997</v>
      </c>
    </row>
    <row r="82" spans="1:14" x14ac:dyDescent="0.25">
      <c r="A82" s="204">
        <v>5.8300999999999998</v>
      </c>
      <c r="B82" s="201" t="s">
        <v>80</v>
      </c>
      <c r="C82" s="201" t="s">
        <v>2029</v>
      </c>
      <c r="D82" s="202">
        <v>79</v>
      </c>
      <c r="E82" s="202">
        <v>0</v>
      </c>
      <c r="F82" s="202">
        <v>79</v>
      </c>
      <c r="G82" s="202">
        <v>6</v>
      </c>
      <c r="H82" s="202">
        <v>58</v>
      </c>
      <c r="I82" s="202">
        <v>64</v>
      </c>
      <c r="J82" s="202">
        <v>0</v>
      </c>
      <c r="K82" s="202">
        <v>23</v>
      </c>
      <c r="L82" s="201" t="s">
        <v>1975</v>
      </c>
      <c r="M82" s="201" t="s">
        <v>1999</v>
      </c>
      <c r="N82" s="201" t="s">
        <v>2022</v>
      </c>
    </row>
    <row r="83" spans="1:14" x14ac:dyDescent="0.25">
      <c r="A83" s="204">
        <v>5.8300999999999998</v>
      </c>
      <c r="B83" s="201" t="s">
        <v>80</v>
      </c>
      <c r="C83" s="201" t="s">
        <v>2029</v>
      </c>
      <c r="D83" s="202">
        <v>78</v>
      </c>
      <c r="E83" s="202">
        <v>0</v>
      </c>
      <c r="F83" s="202">
        <v>78</v>
      </c>
      <c r="G83" s="202">
        <v>6</v>
      </c>
      <c r="H83" s="202">
        <v>58</v>
      </c>
      <c r="I83" s="202">
        <v>64</v>
      </c>
      <c r="J83" s="202">
        <v>0</v>
      </c>
      <c r="K83" s="202">
        <v>0</v>
      </c>
      <c r="L83" s="201" t="s">
        <v>1978</v>
      </c>
      <c r="M83" s="201" t="s">
        <v>1999</v>
      </c>
      <c r="N83" s="201" t="s">
        <v>1995</v>
      </c>
    </row>
    <row r="84" spans="1:14" x14ac:dyDescent="0.25">
      <c r="A84" s="204">
        <v>5.8300999999999998</v>
      </c>
      <c r="B84" s="201" t="s">
        <v>80</v>
      </c>
      <c r="C84" s="201" t="s">
        <v>2029</v>
      </c>
      <c r="D84" s="202">
        <v>79</v>
      </c>
      <c r="E84" s="202">
        <v>0</v>
      </c>
      <c r="F84" s="202">
        <v>79</v>
      </c>
      <c r="G84" s="202">
        <v>6</v>
      </c>
      <c r="H84" s="202">
        <v>58</v>
      </c>
      <c r="I84" s="202">
        <v>64</v>
      </c>
      <c r="J84" s="202">
        <v>0</v>
      </c>
      <c r="K84" s="202">
        <v>23</v>
      </c>
      <c r="L84" s="201" t="s">
        <v>1975</v>
      </c>
      <c r="M84" s="201" t="s">
        <v>1999</v>
      </c>
      <c r="N84" s="201" t="s">
        <v>2023</v>
      </c>
    </row>
    <row r="85" spans="1:14" x14ac:dyDescent="0.25">
      <c r="A85" s="204">
        <v>5.8300999999999998</v>
      </c>
      <c r="B85" s="201" t="s">
        <v>80</v>
      </c>
      <c r="C85" s="201" t="s">
        <v>2029</v>
      </c>
      <c r="D85" s="202">
        <v>78</v>
      </c>
      <c r="E85" s="202">
        <v>0</v>
      </c>
      <c r="F85" s="202">
        <v>78</v>
      </c>
      <c r="G85" s="202">
        <v>6</v>
      </c>
      <c r="H85" s="202">
        <v>58</v>
      </c>
      <c r="I85" s="202">
        <v>64</v>
      </c>
      <c r="J85" s="202">
        <v>0</v>
      </c>
      <c r="K85" s="202">
        <v>0</v>
      </c>
      <c r="L85" s="201" t="s">
        <v>1978</v>
      </c>
      <c r="M85" s="201" t="s">
        <v>1999</v>
      </c>
      <c r="N85" s="201" t="s">
        <v>1997</v>
      </c>
    </row>
    <row r="86" spans="1:14" x14ac:dyDescent="0.25">
      <c r="A86" s="204">
        <v>5.8783000000000003</v>
      </c>
      <c r="B86" s="201" t="s">
        <v>81</v>
      </c>
      <c r="C86" s="201" t="s">
        <v>2021</v>
      </c>
      <c r="D86" s="202">
        <v>79</v>
      </c>
      <c r="E86" s="202">
        <v>0</v>
      </c>
      <c r="F86" s="202">
        <v>79</v>
      </c>
      <c r="G86" s="202">
        <v>6</v>
      </c>
      <c r="H86" s="202">
        <v>67</v>
      </c>
      <c r="I86" s="202">
        <v>64</v>
      </c>
      <c r="J86" s="202">
        <v>0</v>
      </c>
      <c r="K86" s="202">
        <v>24</v>
      </c>
      <c r="L86" s="201" t="s">
        <v>1975</v>
      </c>
      <c r="M86" s="201" t="s">
        <v>1999</v>
      </c>
      <c r="N86" s="201" t="s">
        <v>2022</v>
      </c>
    </row>
    <row r="87" spans="1:14" x14ac:dyDescent="0.25">
      <c r="A87" s="204">
        <v>5.8783000000000003</v>
      </c>
      <c r="B87" s="201" t="s">
        <v>81</v>
      </c>
      <c r="C87" s="201" t="s">
        <v>2021</v>
      </c>
      <c r="D87" s="202">
        <v>78</v>
      </c>
      <c r="E87" s="202">
        <v>0</v>
      </c>
      <c r="F87" s="202">
        <v>78</v>
      </c>
      <c r="G87" s="202">
        <v>6</v>
      </c>
      <c r="H87" s="202">
        <v>67</v>
      </c>
      <c r="I87" s="202">
        <v>64</v>
      </c>
      <c r="J87" s="202">
        <v>0</v>
      </c>
      <c r="K87" s="202">
        <v>0</v>
      </c>
      <c r="L87" s="201" t="s">
        <v>1978</v>
      </c>
      <c r="M87" s="201" t="s">
        <v>1999</v>
      </c>
      <c r="N87" s="201" t="s">
        <v>1995</v>
      </c>
    </row>
    <row r="88" spans="1:14" x14ac:dyDescent="0.25">
      <c r="A88" s="204">
        <v>5.8783000000000003</v>
      </c>
      <c r="B88" s="201" t="s">
        <v>81</v>
      </c>
      <c r="C88" s="201" t="s">
        <v>2021</v>
      </c>
      <c r="D88" s="202">
        <v>79</v>
      </c>
      <c r="E88" s="202">
        <v>0</v>
      </c>
      <c r="F88" s="202">
        <v>79</v>
      </c>
      <c r="G88" s="202">
        <v>6</v>
      </c>
      <c r="H88" s="202">
        <v>67</v>
      </c>
      <c r="I88" s="202">
        <v>64</v>
      </c>
      <c r="J88" s="202">
        <v>0</v>
      </c>
      <c r="K88" s="202">
        <v>24</v>
      </c>
      <c r="L88" s="201" t="s">
        <v>1975</v>
      </c>
      <c r="M88" s="201" t="s">
        <v>1999</v>
      </c>
      <c r="N88" s="201" t="s">
        <v>2023</v>
      </c>
    </row>
    <row r="89" spans="1:14" x14ac:dyDescent="0.25">
      <c r="A89" s="204">
        <v>5.8783000000000003</v>
      </c>
      <c r="B89" s="201" t="s">
        <v>81</v>
      </c>
      <c r="C89" s="201" t="s">
        <v>2021</v>
      </c>
      <c r="D89" s="202">
        <v>78</v>
      </c>
      <c r="E89" s="202">
        <v>0</v>
      </c>
      <c r="F89" s="202">
        <v>78</v>
      </c>
      <c r="G89" s="202">
        <v>6</v>
      </c>
      <c r="H89" s="202">
        <v>67</v>
      </c>
      <c r="I89" s="202">
        <v>64</v>
      </c>
      <c r="J89" s="202">
        <v>0</v>
      </c>
      <c r="K89" s="202">
        <v>0</v>
      </c>
      <c r="L89" s="201" t="s">
        <v>1978</v>
      </c>
      <c r="M89" s="201" t="s">
        <v>1999</v>
      </c>
      <c r="N89" s="201" t="s">
        <v>1997</v>
      </c>
    </row>
    <row r="90" spans="1:14" x14ac:dyDescent="0.25">
      <c r="A90" s="204">
        <v>5.8903999999999996</v>
      </c>
      <c r="B90" s="201" t="s">
        <v>81</v>
      </c>
      <c r="C90" s="201" t="s">
        <v>2021</v>
      </c>
      <c r="D90" s="202">
        <v>79</v>
      </c>
      <c r="E90" s="202">
        <v>0</v>
      </c>
      <c r="F90" s="202">
        <v>79</v>
      </c>
      <c r="G90" s="202">
        <v>6</v>
      </c>
      <c r="H90" s="202">
        <v>67</v>
      </c>
      <c r="I90" s="202">
        <v>64</v>
      </c>
      <c r="J90" s="202">
        <v>0</v>
      </c>
      <c r="K90" s="202">
        <v>24</v>
      </c>
      <c r="L90" s="201" t="s">
        <v>1975</v>
      </c>
      <c r="M90" s="201" t="s">
        <v>1999</v>
      </c>
      <c r="N90" s="201" t="s">
        <v>2022</v>
      </c>
    </row>
    <row r="91" spans="1:14" x14ac:dyDescent="0.25">
      <c r="A91" s="204">
        <v>5.8903999999999996</v>
      </c>
      <c r="B91" s="201" t="s">
        <v>81</v>
      </c>
      <c r="C91" s="201" t="s">
        <v>2021</v>
      </c>
      <c r="D91" s="202">
        <v>78</v>
      </c>
      <c r="E91" s="202">
        <v>0</v>
      </c>
      <c r="F91" s="202">
        <v>78</v>
      </c>
      <c r="G91" s="202">
        <v>6</v>
      </c>
      <c r="H91" s="202">
        <v>67</v>
      </c>
      <c r="I91" s="202">
        <v>64</v>
      </c>
      <c r="J91" s="202">
        <v>0</v>
      </c>
      <c r="K91" s="202">
        <v>0</v>
      </c>
      <c r="L91" s="201" t="s">
        <v>1978</v>
      </c>
      <c r="M91" s="201" t="s">
        <v>1999</v>
      </c>
      <c r="N91" s="201" t="s">
        <v>1995</v>
      </c>
    </row>
    <row r="92" spans="1:14" x14ac:dyDescent="0.25">
      <c r="A92" s="204">
        <v>5.8903999999999996</v>
      </c>
      <c r="B92" s="201" t="s">
        <v>81</v>
      </c>
      <c r="C92" s="201" t="s">
        <v>2021</v>
      </c>
      <c r="D92" s="202">
        <v>79</v>
      </c>
      <c r="E92" s="202">
        <v>0</v>
      </c>
      <c r="F92" s="202">
        <v>79</v>
      </c>
      <c r="G92" s="202">
        <v>6</v>
      </c>
      <c r="H92" s="202">
        <v>67</v>
      </c>
      <c r="I92" s="202">
        <v>64</v>
      </c>
      <c r="J92" s="202">
        <v>0</v>
      </c>
      <c r="K92" s="202">
        <v>24</v>
      </c>
      <c r="L92" s="201" t="s">
        <v>1975</v>
      </c>
      <c r="M92" s="201" t="s">
        <v>1999</v>
      </c>
      <c r="N92" s="201" t="s">
        <v>2023</v>
      </c>
    </row>
    <row r="93" spans="1:14" x14ac:dyDescent="0.25">
      <c r="A93" s="204">
        <v>5.8903999999999996</v>
      </c>
      <c r="B93" s="201" t="s">
        <v>81</v>
      </c>
      <c r="C93" s="201" t="s">
        <v>2021</v>
      </c>
      <c r="D93" s="202">
        <v>78</v>
      </c>
      <c r="E93" s="202">
        <v>0</v>
      </c>
      <c r="F93" s="202">
        <v>78</v>
      </c>
      <c r="G93" s="202">
        <v>6</v>
      </c>
      <c r="H93" s="202">
        <v>67</v>
      </c>
      <c r="I93" s="202">
        <v>64</v>
      </c>
      <c r="J93" s="202">
        <v>0</v>
      </c>
      <c r="K93" s="202">
        <v>0</v>
      </c>
      <c r="L93" s="201" t="s">
        <v>1978</v>
      </c>
      <c r="M93" s="201" t="s">
        <v>1999</v>
      </c>
      <c r="N93" s="201" t="s">
        <v>1997</v>
      </c>
    </row>
    <row r="94" spans="1:14" x14ac:dyDescent="0.25">
      <c r="A94" s="204">
        <v>6.3068</v>
      </c>
      <c r="B94" s="201" t="s">
        <v>82</v>
      </c>
      <c r="C94" s="201" t="s">
        <v>2031</v>
      </c>
      <c r="D94" s="202">
        <v>78</v>
      </c>
      <c r="E94" s="202">
        <v>0</v>
      </c>
      <c r="F94" s="202">
        <v>78</v>
      </c>
      <c r="G94" s="202">
        <v>6</v>
      </c>
      <c r="H94" s="202">
        <v>62</v>
      </c>
      <c r="I94" s="202">
        <v>66</v>
      </c>
      <c r="J94" s="202">
        <v>0</v>
      </c>
      <c r="K94" s="202">
        <v>28</v>
      </c>
      <c r="L94" s="201" t="s">
        <v>1975</v>
      </c>
      <c r="M94" s="201" t="s">
        <v>1999</v>
      </c>
      <c r="N94" s="201" t="s">
        <v>2022</v>
      </c>
    </row>
    <row r="95" spans="1:14" x14ac:dyDescent="0.25">
      <c r="A95" s="204">
        <v>6.3068</v>
      </c>
      <c r="B95" s="201" t="s">
        <v>82</v>
      </c>
      <c r="C95" s="201" t="s">
        <v>2031</v>
      </c>
      <c r="D95" s="202">
        <v>79</v>
      </c>
      <c r="E95" s="202">
        <v>0</v>
      </c>
      <c r="F95" s="202">
        <v>79</v>
      </c>
      <c r="G95" s="202">
        <v>6</v>
      </c>
      <c r="H95" s="202">
        <v>62</v>
      </c>
      <c r="I95" s="202">
        <v>66</v>
      </c>
      <c r="J95" s="202">
        <v>0</v>
      </c>
      <c r="K95" s="202">
        <v>0</v>
      </c>
      <c r="L95" s="201" t="s">
        <v>1978</v>
      </c>
      <c r="M95" s="201" t="s">
        <v>1999</v>
      </c>
      <c r="N95" s="201" t="s">
        <v>1995</v>
      </c>
    </row>
    <row r="96" spans="1:14" x14ac:dyDescent="0.25">
      <c r="A96" s="204">
        <v>6.3068</v>
      </c>
      <c r="B96" s="201" t="s">
        <v>82</v>
      </c>
      <c r="C96" s="201" t="s">
        <v>2031</v>
      </c>
      <c r="D96" s="202">
        <v>78</v>
      </c>
      <c r="E96" s="202">
        <v>0</v>
      </c>
      <c r="F96" s="202">
        <v>78</v>
      </c>
      <c r="G96" s="202">
        <v>6</v>
      </c>
      <c r="H96" s="202">
        <v>62</v>
      </c>
      <c r="I96" s="202">
        <v>66</v>
      </c>
      <c r="J96" s="202">
        <v>0</v>
      </c>
      <c r="K96" s="202">
        <v>28</v>
      </c>
      <c r="L96" s="201" t="s">
        <v>1975</v>
      </c>
      <c r="M96" s="201" t="s">
        <v>1999</v>
      </c>
      <c r="N96" s="201" t="s">
        <v>2023</v>
      </c>
    </row>
    <row r="97" spans="1:14" x14ac:dyDescent="0.25">
      <c r="A97" s="204">
        <v>6.3068</v>
      </c>
      <c r="B97" s="201" t="s">
        <v>82</v>
      </c>
      <c r="C97" s="201" t="s">
        <v>2031</v>
      </c>
      <c r="D97" s="202">
        <v>79</v>
      </c>
      <c r="E97" s="202">
        <v>0</v>
      </c>
      <c r="F97" s="202">
        <v>79</v>
      </c>
      <c r="G97" s="202">
        <v>6</v>
      </c>
      <c r="H97" s="202">
        <v>62</v>
      </c>
      <c r="I97" s="202">
        <v>66</v>
      </c>
      <c r="J97" s="202">
        <v>0</v>
      </c>
      <c r="K97" s="202">
        <v>0</v>
      </c>
      <c r="L97" s="201" t="s">
        <v>1978</v>
      </c>
      <c r="M97" s="201" t="s">
        <v>1999</v>
      </c>
      <c r="N97" s="201" t="s">
        <v>1997</v>
      </c>
    </row>
    <row r="98" spans="1:14" x14ac:dyDescent="0.25">
      <c r="A98" s="204">
        <v>6.3308999999999997</v>
      </c>
      <c r="B98" s="201" t="s">
        <v>82</v>
      </c>
      <c r="C98" s="201" t="s">
        <v>2031</v>
      </c>
      <c r="D98" s="202">
        <v>78</v>
      </c>
      <c r="E98" s="202">
        <v>0</v>
      </c>
      <c r="F98" s="202">
        <v>78</v>
      </c>
      <c r="G98" s="202">
        <v>6</v>
      </c>
      <c r="H98" s="202">
        <v>62</v>
      </c>
      <c r="I98" s="202">
        <v>66</v>
      </c>
      <c r="J98" s="202">
        <v>0</v>
      </c>
      <c r="K98" s="202">
        <v>28</v>
      </c>
      <c r="L98" s="201" t="s">
        <v>1975</v>
      </c>
      <c r="M98" s="201" t="s">
        <v>1999</v>
      </c>
      <c r="N98" s="201" t="s">
        <v>2022</v>
      </c>
    </row>
    <row r="99" spans="1:14" x14ac:dyDescent="0.25">
      <c r="A99" s="204">
        <v>6.3308999999999997</v>
      </c>
      <c r="B99" s="201" t="s">
        <v>82</v>
      </c>
      <c r="C99" s="201" t="s">
        <v>2031</v>
      </c>
      <c r="D99" s="202">
        <v>79</v>
      </c>
      <c r="E99" s="202">
        <v>0</v>
      </c>
      <c r="F99" s="202">
        <v>79</v>
      </c>
      <c r="G99" s="202">
        <v>6</v>
      </c>
      <c r="H99" s="202">
        <v>62</v>
      </c>
      <c r="I99" s="202">
        <v>66</v>
      </c>
      <c r="J99" s="202">
        <v>0</v>
      </c>
      <c r="K99" s="202">
        <v>0</v>
      </c>
      <c r="L99" s="201" t="s">
        <v>1978</v>
      </c>
      <c r="M99" s="201" t="s">
        <v>1999</v>
      </c>
      <c r="N99" s="201" t="s">
        <v>1995</v>
      </c>
    </row>
    <row r="100" spans="1:14" x14ac:dyDescent="0.25">
      <c r="A100" s="204">
        <v>6.3308999999999997</v>
      </c>
      <c r="B100" s="201" t="s">
        <v>82</v>
      </c>
      <c r="C100" s="201" t="s">
        <v>2031</v>
      </c>
      <c r="D100" s="202">
        <v>78</v>
      </c>
      <c r="E100" s="202">
        <v>0</v>
      </c>
      <c r="F100" s="202">
        <v>78</v>
      </c>
      <c r="G100" s="202">
        <v>6</v>
      </c>
      <c r="H100" s="202">
        <v>62</v>
      </c>
      <c r="I100" s="202">
        <v>66</v>
      </c>
      <c r="J100" s="202">
        <v>0</v>
      </c>
      <c r="K100" s="202">
        <v>28</v>
      </c>
      <c r="L100" s="201" t="s">
        <v>1975</v>
      </c>
      <c r="M100" s="201" t="s">
        <v>1999</v>
      </c>
      <c r="N100" s="201" t="s">
        <v>2023</v>
      </c>
    </row>
    <row r="101" spans="1:14" x14ac:dyDescent="0.25">
      <c r="A101" s="204">
        <v>6.3308999999999997</v>
      </c>
      <c r="B101" s="201" t="s">
        <v>82</v>
      </c>
      <c r="C101" s="201" t="s">
        <v>2031</v>
      </c>
      <c r="D101" s="202">
        <v>79</v>
      </c>
      <c r="E101" s="202">
        <v>0</v>
      </c>
      <c r="F101" s="202">
        <v>79</v>
      </c>
      <c r="G101" s="202">
        <v>6</v>
      </c>
      <c r="H101" s="202">
        <v>62</v>
      </c>
      <c r="I101" s="202">
        <v>66</v>
      </c>
      <c r="J101" s="202">
        <v>0</v>
      </c>
      <c r="K101" s="202">
        <v>0</v>
      </c>
      <c r="L101" s="201" t="s">
        <v>1978</v>
      </c>
      <c r="M101" s="201" t="s">
        <v>1999</v>
      </c>
      <c r="N101" s="201" t="s">
        <v>1997</v>
      </c>
    </row>
    <row r="102" spans="1:14" x14ac:dyDescent="0.25">
      <c r="A102" s="204">
        <v>6.4004000000000003</v>
      </c>
      <c r="B102" s="201" t="s">
        <v>1992</v>
      </c>
      <c r="C102" s="201" t="s">
        <v>1993</v>
      </c>
      <c r="D102" s="202">
        <v>77</v>
      </c>
      <c r="E102" s="202">
        <v>0</v>
      </c>
      <c r="F102" s="202">
        <v>77</v>
      </c>
      <c r="G102" s="202">
        <v>6</v>
      </c>
      <c r="H102" s="202">
        <v>0</v>
      </c>
      <c r="I102" s="202">
        <v>55</v>
      </c>
      <c r="J102" s="202">
        <v>60</v>
      </c>
      <c r="K102" s="202">
        <v>2</v>
      </c>
      <c r="L102" s="201" t="s">
        <v>1975</v>
      </c>
      <c r="M102" s="201" t="s">
        <v>1976</v>
      </c>
      <c r="N102" s="201" t="s">
        <v>1994</v>
      </c>
    </row>
    <row r="103" spans="1:14" x14ac:dyDescent="0.25">
      <c r="A103" s="204">
        <v>6.4004000000000003</v>
      </c>
      <c r="B103" s="201" t="s">
        <v>1992</v>
      </c>
      <c r="C103" s="201" t="s">
        <v>1993</v>
      </c>
      <c r="D103" s="202">
        <v>79</v>
      </c>
      <c r="E103" s="202">
        <v>0</v>
      </c>
      <c r="F103" s="202">
        <v>79</v>
      </c>
      <c r="G103" s="202">
        <v>6</v>
      </c>
      <c r="H103" s="202">
        <v>0</v>
      </c>
      <c r="I103" s="202">
        <v>55</v>
      </c>
      <c r="J103" s="202">
        <v>60</v>
      </c>
      <c r="K103" s="202">
        <v>2</v>
      </c>
      <c r="L103" s="201" t="s">
        <v>1978</v>
      </c>
      <c r="M103" s="201" t="s">
        <v>1976</v>
      </c>
      <c r="N103" s="201" t="s">
        <v>1995</v>
      </c>
    </row>
    <row r="104" spans="1:14" x14ac:dyDescent="0.25">
      <c r="A104" s="204">
        <v>6.4004000000000003</v>
      </c>
      <c r="B104" s="201" t="s">
        <v>1992</v>
      </c>
      <c r="C104" s="201" t="s">
        <v>1993</v>
      </c>
      <c r="D104" s="202">
        <v>77</v>
      </c>
      <c r="E104" s="202">
        <v>0</v>
      </c>
      <c r="F104" s="202">
        <v>77</v>
      </c>
      <c r="G104" s="202">
        <v>6</v>
      </c>
      <c r="H104" s="202">
        <v>0</v>
      </c>
      <c r="I104" s="202">
        <v>55</v>
      </c>
      <c r="J104" s="202">
        <v>60</v>
      </c>
      <c r="K104" s="202">
        <v>2</v>
      </c>
      <c r="L104" s="201" t="s">
        <v>1975</v>
      </c>
      <c r="M104" s="201" t="s">
        <v>1976</v>
      </c>
      <c r="N104" s="201" t="s">
        <v>1996</v>
      </c>
    </row>
    <row r="105" spans="1:14" x14ac:dyDescent="0.25">
      <c r="A105" s="204">
        <v>6.4004000000000003</v>
      </c>
      <c r="B105" s="201" t="s">
        <v>1992</v>
      </c>
      <c r="C105" s="201" t="s">
        <v>1993</v>
      </c>
      <c r="D105" s="202">
        <v>79</v>
      </c>
      <c r="E105" s="202">
        <v>0</v>
      </c>
      <c r="F105" s="202">
        <v>79</v>
      </c>
      <c r="G105" s="202">
        <v>6</v>
      </c>
      <c r="H105" s="202">
        <v>0</v>
      </c>
      <c r="I105" s="202">
        <v>55</v>
      </c>
      <c r="J105" s="202">
        <v>60</v>
      </c>
      <c r="K105" s="202">
        <v>2</v>
      </c>
      <c r="L105" s="201" t="s">
        <v>1978</v>
      </c>
      <c r="M105" s="201" t="s">
        <v>1976</v>
      </c>
      <c r="N105" s="201" t="s">
        <v>1997</v>
      </c>
    </row>
    <row r="106" spans="1:14" x14ac:dyDescent="0.25">
      <c r="A106" s="204">
        <v>6.4954999999999998</v>
      </c>
      <c r="B106" s="201" t="s">
        <v>1992</v>
      </c>
      <c r="C106" s="201" t="s">
        <v>1993</v>
      </c>
      <c r="D106" s="202">
        <v>77</v>
      </c>
      <c r="E106" s="202">
        <v>0</v>
      </c>
      <c r="F106" s="202">
        <v>77</v>
      </c>
      <c r="G106" s="202">
        <v>6</v>
      </c>
      <c r="H106" s="202">
        <v>0</v>
      </c>
      <c r="I106" s="202">
        <v>55</v>
      </c>
      <c r="J106" s="202">
        <v>60</v>
      </c>
      <c r="K106" s="202">
        <v>2</v>
      </c>
      <c r="L106" s="201" t="s">
        <v>1975</v>
      </c>
      <c r="M106" s="201" t="s">
        <v>1976</v>
      </c>
      <c r="N106" s="201" t="s">
        <v>1994</v>
      </c>
    </row>
    <row r="107" spans="1:14" x14ac:dyDescent="0.25">
      <c r="A107" s="204">
        <v>6.4954999999999998</v>
      </c>
      <c r="B107" s="201" t="s">
        <v>1992</v>
      </c>
      <c r="C107" s="201" t="s">
        <v>1993</v>
      </c>
      <c r="D107" s="202">
        <v>79</v>
      </c>
      <c r="E107" s="202">
        <v>0</v>
      </c>
      <c r="F107" s="202">
        <v>79</v>
      </c>
      <c r="G107" s="202">
        <v>6</v>
      </c>
      <c r="H107" s="202">
        <v>0</v>
      </c>
      <c r="I107" s="202">
        <v>55</v>
      </c>
      <c r="J107" s="202">
        <v>60</v>
      </c>
      <c r="K107" s="202">
        <v>2</v>
      </c>
      <c r="L107" s="201" t="s">
        <v>1978</v>
      </c>
      <c r="M107" s="201" t="s">
        <v>1976</v>
      </c>
      <c r="N107" s="201" t="s">
        <v>1995</v>
      </c>
    </row>
    <row r="108" spans="1:14" x14ac:dyDescent="0.25">
      <c r="A108" s="204">
        <v>6.4954999999999998</v>
      </c>
      <c r="B108" s="201" t="s">
        <v>1992</v>
      </c>
      <c r="C108" s="201" t="s">
        <v>1993</v>
      </c>
      <c r="D108" s="202">
        <v>77</v>
      </c>
      <c r="E108" s="202">
        <v>0</v>
      </c>
      <c r="F108" s="202">
        <v>77</v>
      </c>
      <c r="G108" s="202">
        <v>6</v>
      </c>
      <c r="H108" s="202">
        <v>0</v>
      </c>
      <c r="I108" s="202">
        <v>55</v>
      </c>
      <c r="J108" s="202">
        <v>60</v>
      </c>
      <c r="K108" s="202">
        <v>2</v>
      </c>
      <c r="L108" s="201" t="s">
        <v>1975</v>
      </c>
      <c r="M108" s="201" t="s">
        <v>1976</v>
      </c>
      <c r="N108" s="201" t="s">
        <v>1996</v>
      </c>
    </row>
    <row r="109" spans="1:14" x14ac:dyDescent="0.25">
      <c r="A109" s="204">
        <v>6.4954999999999998</v>
      </c>
      <c r="B109" s="201" t="s">
        <v>1992</v>
      </c>
      <c r="C109" s="201" t="s">
        <v>1993</v>
      </c>
      <c r="D109" s="202">
        <v>79</v>
      </c>
      <c r="E109" s="202">
        <v>0</v>
      </c>
      <c r="F109" s="202">
        <v>79</v>
      </c>
      <c r="G109" s="202">
        <v>6</v>
      </c>
      <c r="H109" s="202">
        <v>0</v>
      </c>
      <c r="I109" s="202">
        <v>55</v>
      </c>
      <c r="J109" s="202">
        <v>60</v>
      </c>
      <c r="K109" s="202">
        <v>2</v>
      </c>
      <c r="L109" s="201" t="s">
        <v>1978</v>
      </c>
      <c r="M109" s="201" t="s">
        <v>1976</v>
      </c>
      <c r="N109" s="201" t="s">
        <v>1997</v>
      </c>
    </row>
    <row r="110" spans="1:14" x14ac:dyDescent="0.25">
      <c r="A110" s="204">
        <v>7.8349000000000002</v>
      </c>
      <c r="B110" s="201" t="s">
        <v>83</v>
      </c>
      <c r="C110" s="201" t="s">
        <v>2012</v>
      </c>
      <c r="D110" s="202">
        <v>78</v>
      </c>
      <c r="E110" s="202">
        <v>0</v>
      </c>
      <c r="F110" s="202">
        <v>78</v>
      </c>
      <c r="G110" s="202">
        <v>6</v>
      </c>
      <c r="H110" s="202">
        <v>67</v>
      </c>
      <c r="I110" s="202">
        <v>66</v>
      </c>
      <c r="J110" s="202">
        <v>0</v>
      </c>
      <c r="K110" s="202">
        <v>0</v>
      </c>
      <c r="L110" s="201" t="s">
        <v>1975</v>
      </c>
      <c r="M110" s="201" t="s">
        <v>1999</v>
      </c>
      <c r="N110" s="201" t="s">
        <v>2013</v>
      </c>
    </row>
    <row r="111" spans="1:14" x14ac:dyDescent="0.25">
      <c r="A111" s="204">
        <v>7.8349000000000002</v>
      </c>
      <c r="B111" s="201" t="s">
        <v>83</v>
      </c>
      <c r="C111" s="201" t="s">
        <v>2012</v>
      </c>
      <c r="D111" s="202">
        <v>79</v>
      </c>
      <c r="E111" s="202">
        <v>0</v>
      </c>
      <c r="F111" s="202">
        <v>79</v>
      </c>
      <c r="G111" s="202">
        <v>6</v>
      </c>
      <c r="H111" s="202">
        <v>67</v>
      </c>
      <c r="I111" s="202">
        <v>66</v>
      </c>
      <c r="J111" s="202">
        <v>0</v>
      </c>
      <c r="K111" s="202">
        <v>0</v>
      </c>
      <c r="L111" s="201" t="s">
        <v>1978</v>
      </c>
      <c r="M111" s="201" t="s">
        <v>1999</v>
      </c>
      <c r="N111" s="201" t="s">
        <v>2014</v>
      </c>
    </row>
    <row r="112" spans="1:14" x14ac:dyDescent="0.25">
      <c r="A112" s="204">
        <v>7.8349000000000002</v>
      </c>
      <c r="B112" s="201" t="s">
        <v>83</v>
      </c>
      <c r="C112" s="201" t="s">
        <v>2012</v>
      </c>
      <c r="D112" s="202">
        <v>78</v>
      </c>
      <c r="E112" s="202">
        <v>0</v>
      </c>
      <c r="F112" s="202">
        <v>78</v>
      </c>
      <c r="G112" s="202">
        <v>6</v>
      </c>
      <c r="H112" s="202">
        <v>67</v>
      </c>
      <c r="I112" s="202">
        <v>66</v>
      </c>
      <c r="J112" s="202">
        <v>0</v>
      </c>
      <c r="K112" s="202">
        <v>0</v>
      </c>
      <c r="L112" s="201" t="s">
        <v>1975</v>
      </c>
      <c r="M112" s="201" t="s">
        <v>1999</v>
      </c>
      <c r="N112" s="201" t="s">
        <v>2015</v>
      </c>
    </row>
    <row r="113" spans="1:14" x14ac:dyDescent="0.25">
      <c r="A113" s="204">
        <v>7.8349000000000002</v>
      </c>
      <c r="B113" s="201" t="s">
        <v>83</v>
      </c>
      <c r="C113" s="201" t="s">
        <v>2012</v>
      </c>
      <c r="D113" s="202">
        <v>79</v>
      </c>
      <c r="E113" s="202">
        <v>0</v>
      </c>
      <c r="F113" s="202">
        <v>79</v>
      </c>
      <c r="G113" s="202">
        <v>6</v>
      </c>
      <c r="H113" s="202">
        <v>67</v>
      </c>
      <c r="I113" s="202">
        <v>66</v>
      </c>
      <c r="J113" s="202">
        <v>0</v>
      </c>
      <c r="K113" s="202">
        <v>0</v>
      </c>
      <c r="L113" s="201" t="s">
        <v>1978</v>
      </c>
      <c r="M113" s="201" t="s">
        <v>1999</v>
      </c>
      <c r="N113" s="201" t="s">
        <v>2016</v>
      </c>
    </row>
    <row r="114" spans="1:14" x14ac:dyDescent="0.25">
      <c r="A114" s="204">
        <v>7.8468999999999998</v>
      </c>
      <c r="B114" s="201" t="s">
        <v>83</v>
      </c>
      <c r="C114" s="201" t="s">
        <v>2012</v>
      </c>
      <c r="D114" s="202">
        <v>78</v>
      </c>
      <c r="E114" s="202">
        <v>0</v>
      </c>
      <c r="F114" s="202">
        <v>78</v>
      </c>
      <c r="G114" s="202">
        <v>6</v>
      </c>
      <c r="H114" s="202">
        <v>67</v>
      </c>
      <c r="I114" s="202">
        <v>66</v>
      </c>
      <c r="J114" s="202">
        <v>0</v>
      </c>
      <c r="K114" s="202">
        <v>0</v>
      </c>
      <c r="L114" s="201" t="s">
        <v>1975</v>
      </c>
      <c r="M114" s="201" t="s">
        <v>1999</v>
      </c>
      <c r="N114" s="201" t="s">
        <v>2013</v>
      </c>
    </row>
    <row r="115" spans="1:14" x14ac:dyDescent="0.25">
      <c r="A115" s="204">
        <v>7.8468999999999998</v>
      </c>
      <c r="B115" s="201" t="s">
        <v>83</v>
      </c>
      <c r="C115" s="201" t="s">
        <v>2012</v>
      </c>
      <c r="D115" s="202">
        <v>79</v>
      </c>
      <c r="E115" s="202">
        <v>0</v>
      </c>
      <c r="F115" s="202">
        <v>79</v>
      </c>
      <c r="G115" s="202">
        <v>6</v>
      </c>
      <c r="H115" s="202">
        <v>67</v>
      </c>
      <c r="I115" s="202">
        <v>66</v>
      </c>
      <c r="J115" s="202">
        <v>0</v>
      </c>
      <c r="K115" s="202">
        <v>0</v>
      </c>
      <c r="L115" s="201" t="s">
        <v>1978</v>
      </c>
      <c r="M115" s="201" t="s">
        <v>1999</v>
      </c>
      <c r="N115" s="201" t="s">
        <v>2014</v>
      </c>
    </row>
    <row r="116" spans="1:14" x14ac:dyDescent="0.25">
      <c r="A116" s="204">
        <v>7.8468999999999998</v>
      </c>
      <c r="B116" s="201" t="s">
        <v>83</v>
      </c>
      <c r="C116" s="201" t="s">
        <v>2012</v>
      </c>
      <c r="D116" s="202">
        <v>78</v>
      </c>
      <c r="E116" s="202">
        <v>0</v>
      </c>
      <c r="F116" s="202">
        <v>78</v>
      </c>
      <c r="G116" s="202">
        <v>6</v>
      </c>
      <c r="H116" s="202">
        <v>67</v>
      </c>
      <c r="I116" s="202">
        <v>66</v>
      </c>
      <c r="J116" s="202">
        <v>0</v>
      </c>
      <c r="K116" s="202">
        <v>0</v>
      </c>
      <c r="L116" s="201" t="s">
        <v>1975</v>
      </c>
      <c r="M116" s="201" t="s">
        <v>1999</v>
      </c>
      <c r="N116" s="201" t="s">
        <v>2015</v>
      </c>
    </row>
    <row r="117" spans="1:14" x14ac:dyDescent="0.25">
      <c r="A117" s="204">
        <v>7.8468999999999998</v>
      </c>
      <c r="B117" s="201" t="s">
        <v>83</v>
      </c>
      <c r="C117" s="201" t="s">
        <v>2012</v>
      </c>
      <c r="D117" s="202">
        <v>79</v>
      </c>
      <c r="E117" s="202">
        <v>0</v>
      </c>
      <c r="F117" s="202">
        <v>79</v>
      </c>
      <c r="G117" s="202">
        <v>6</v>
      </c>
      <c r="H117" s="202">
        <v>67</v>
      </c>
      <c r="I117" s="202">
        <v>66</v>
      </c>
      <c r="J117" s="202">
        <v>0</v>
      </c>
      <c r="K117" s="202">
        <v>0</v>
      </c>
      <c r="L117" s="201" t="s">
        <v>1978</v>
      </c>
      <c r="M117" s="201" t="s">
        <v>1999</v>
      </c>
      <c r="N117" s="201" t="s">
        <v>2016</v>
      </c>
    </row>
    <row r="118" spans="1:14" x14ac:dyDescent="0.25">
      <c r="A118" s="204">
        <v>8.6212</v>
      </c>
      <c r="B118" s="201" t="s">
        <v>2024</v>
      </c>
      <c r="C118" s="201" t="s">
        <v>2025</v>
      </c>
      <c r="D118" s="202">
        <v>79</v>
      </c>
      <c r="E118" s="202">
        <v>0</v>
      </c>
      <c r="F118" s="202">
        <v>79</v>
      </c>
      <c r="G118" s="202">
        <v>6</v>
      </c>
      <c r="H118" s="202">
        <v>0</v>
      </c>
      <c r="I118" s="202">
        <v>55</v>
      </c>
      <c r="J118" s="202">
        <v>60</v>
      </c>
      <c r="K118" s="202">
        <v>2</v>
      </c>
      <c r="L118" s="201" t="s">
        <v>1975</v>
      </c>
      <c r="M118" s="201" t="s">
        <v>1976</v>
      </c>
      <c r="N118" s="201" t="s">
        <v>2014</v>
      </c>
    </row>
    <row r="119" spans="1:14" x14ac:dyDescent="0.25">
      <c r="A119" s="204">
        <v>8.6212</v>
      </c>
      <c r="B119" s="201" t="s">
        <v>2024</v>
      </c>
      <c r="C119" s="201" t="s">
        <v>2025</v>
      </c>
      <c r="D119" s="202">
        <v>79</v>
      </c>
      <c r="E119" s="202">
        <v>0</v>
      </c>
      <c r="F119" s="202">
        <v>79</v>
      </c>
      <c r="G119" s="202">
        <v>6</v>
      </c>
      <c r="H119" s="202">
        <v>0</v>
      </c>
      <c r="I119" s="202">
        <v>55</v>
      </c>
      <c r="J119" s="202">
        <v>60</v>
      </c>
      <c r="K119" s="202">
        <v>2</v>
      </c>
      <c r="L119" s="201" t="s">
        <v>1978</v>
      </c>
      <c r="M119" s="201" t="s">
        <v>1976</v>
      </c>
      <c r="N119" s="201" t="s">
        <v>2014</v>
      </c>
    </row>
    <row r="120" spans="1:14" x14ac:dyDescent="0.25">
      <c r="A120" s="204">
        <v>8.6212</v>
      </c>
      <c r="B120" s="201" t="s">
        <v>2024</v>
      </c>
      <c r="C120" s="201" t="s">
        <v>2025</v>
      </c>
      <c r="D120" s="202">
        <v>79</v>
      </c>
      <c r="E120" s="202">
        <v>0</v>
      </c>
      <c r="F120" s="202">
        <v>79</v>
      </c>
      <c r="G120" s="202">
        <v>6</v>
      </c>
      <c r="H120" s="202">
        <v>0</v>
      </c>
      <c r="I120" s="202">
        <v>55</v>
      </c>
      <c r="J120" s="202">
        <v>60</v>
      </c>
      <c r="K120" s="202">
        <v>2</v>
      </c>
      <c r="L120" s="201" t="s">
        <v>1975</v>
      </c>
      <c r="M120" s="201" t="s">
        <v>1976</v>
      </c>
      <c r="N120" s="201" t="s">
        <v>2016</v>
      </c>
    </row>
    <row r="121" spans="1:14" x14ac:dyDescent="0.25">
      <c r="A121" s="204">
        <v>8.6212</v>
      </c>
      <c r="B121" s="201" t="s">
        <v>2024</v>
      </c>
      <c r="C121" s="201" t="s">
        <v>2025</v>
      </c>
      <c r="D121" s="202">
        <v>79</v>
      </c>
      <c r="E121" s="202">
        <v>0</v>
      </c>
      <c r="F121" s="202">
        <v>79</v>
      </c>
      <c r="G121" s="202">
        <v>6</v>
      </c>
      <c r="H121" s="202">
        <v>0</v>
      </c>
      <c r="I121" s="202">
        <v>55</v>
      </c>
      <c r="J121" s="202">
        <v>60</v>
      </c>
      <c r="K121" s="202">
        <v>2</v>
      </c>
      <c r="L121" s="201" t="s">
        <v>1978</v>
      </c>
      <c r="M121" s="201" t="s">
        <v>1976</v>
      </c>
      <c r="N121" s="201" t="s">
        <v>2016</v>
      </c>
    </row>
    <row r="122" spans="1:14" x14ac:dyDescent="0.25">
      <c r="A122" s="204">
        <v>8.6386000000000003</v>
      </c>
      <c r="B122" s="201" t="s">
        <v>2024</v>
      </c>
      <c r="C122" s="201" t="s">
        <v>2025</v>
      </c>
      <c r="D122" s="202">
        <v>79</v>
      </c>
      <c r="E122" s="202">
        <v>0</v>
      </c>
      <c r="F122" s="202">
        <v>79</v>
      </c>
      <c r="G122" s="202">
        <v>6</v>
      </c>
      <c r="H122" s="202">
        <v>0</v>
      </c>
      <c r="I122" s="202">
        <v>55</v>
      </c>
      <c r="J122" s="202">
        <v>60</v>
      </c>
      <c r="K122" s="202">
        <v>2</v>
      </c>
      <c r="L122" s="201" t="s">
        <v>1975</v>
      </c>
      <c r="M122" s="201" t="s">
        <v>1976</v>
      </c>
      <c r="N122" s="201" t="s">
        <v>2014</v>
      </c>
    </row>
    <row r="123" spans="1:14" x14ac:dyDescent="0.25">
      <c r="A123" s="204">
        <v>8.6386000000000003</v>
      </c>
      <c r="B123" s="201" t="s">
        <v>2024</v>
      </c>
      <c r="C123" s="201" t="s">
        <v>2025</v>
      </c>
      <c r="D123" s="202">
        <v>79</v>
      </c>
      <c r="E123" s="202">
        <v>0</v>
      </c>
      <c r="F123" s="202">
        <v>79</v>
      </c>
      <c r="G123" s="202">
        <v>6</v>
      </c>
      <c r="H123" s="202">
        <v>0</v>
      </c>
      <c r="I123" s="202">
        <v>55</v>
      </c>
      <c r="J123" s="202">
        <v>60</v>
      </c>
      <c r="K123" s="202">
        <v>2</v>
      </c>
      <c r="L123" s="201" t="s">
        <v>1978</v>
      </c>
      <c r="M123" s="201" t="s">
        <v>1976</v>
      </c>
      <c r="N123" s="201" t="s">
        <v>2014</v>
      </c>
    </row>
    <row r="124" spans="1:14" x14ac:dyDescent="0.25">
      <c r="A124" s="204">
        <v>8.6386000000000003</v>
      </c>
      <c r="B124" s="201" t="s">
        <v>2024</v>
      </c>
      <c r="C124" s="201" t="s">
        <v>2025</v>
      </c>
      <c r="D124" s="202">
        <v>79</v>
      </c>
      <c r="E124" s="202">
        <v>0</v>
      </c>
      <c r="F124" s="202">
        <v>79</v>
      </c>
      <c r="G124" s="202">
        <v>6</v>
      </c>
      <c r="H124" s="202">
        <v>0</v>
      </c>
      <c r="I124" s="202">
        <v>55</v>
      </c>
      <c r="J124" s="202">
        <v>60</v>
      </c>
      <c r="K124" s="202">
        <v>2</v>
      </c>
      <c r="L124" s="201" t="s">
        <v>1975</v>
      </c>
      <c r="M124" s="201" t="s">
        <v>1976</v>
      </c>
      <c r="N124" s="201" t="s">
        <v>2016</v>
      </c>
    </row>
    <row r="125" spans="1:14" x14ac:dyDescent="0.25">
      <c r="A125" s="204">
        <v>8.6386000000000003</v>
      </c>
      <c r="B125" s="201" t="s">
        <v>2024</v>
      </c>
      <c r="C125" s="201" t="s">
        <v>2025</v>
      </c>
      <c r="D125" s="202">
        <v>79</v>
      </c>
      <c r="E125" s="202">
        <v>0</v>
      </c>
      <c r="F125" s="202">
        <v>79</v>
      </c>
      <c r="G125" s="202">
        <v>6</v>
      </c>
      <c r="H125" s="202">
        <v>0</v>
      </c>
      <c r="I125" s="202">
        <v>55</v>
      </c>
      <c r="J125" s="202">
        <v>60</v>
      </c>
      <c r="K125" s="202">
        <v>2</v>
      </c>
      <c r="L125" s="201" t="s">
        <v>1978</v>
      </c>
      <c r="M125" s="201" t="s">
        <v>1976</v>
      </c>
      <c r="N125" s="201" t="s">
        <v>2016</v>
      </c>
    </row>
    <row r="126" spans="1:14" x14ac:dyDescent="0.25">
      <c r="A126" s="204">
        <v>10.373799999999999</v>
      </c>
      <c r="B126" s="201" t="s">
        <v>84</v>
      </c>
      <c r="C126" s="201" t="s">
        <v>2026</v>
      </c>
      <c r="D126" s="202">
        <v>79</v>
      </c>
      <c r="E126" s="202">
        <v>0</v>
      </c>
      <c r="F126" s="202">
        <v>79</v>
      </c>
      <c r="G126" s="202">
        <v>6</v>
      </c>
      <c r="H126" s="202">
        <v>61</v>
      </c>
      <c r="I126" s="202">
        <v>66</v>
      </c>
      <c r="J126" s="202">
        <v>0</v>
      </c>
      <c r="K126" s="202">
        <v>7</v>
      </c>
      <c r="L126" s="201" t="s">
        <v>1975</v>
      </c>
      <c r="M126" s="201" t="s">
        <v>1999</v>
      </c>
      <c r="N126" s="201" t="s">
        <v>2014</v>
      </c>
    </row>
    <row r="127" spans="1:14" x14ac:dyDescent="0.25">
      <c r="A127" s="204">
        <v>10.373799999999999</v>
      </c>
      <c r="B127" s="201" t="s">
        <v>84</v>
      </c>
      <c r="C127" s="201" t="s">
        <v>2026</v>
      </c>
      <c r="D127" s="202">
        <v>73</v>
      </c>
      <c r="E127" s="202">
        <v>0</v>
      </c>
      <c r="F127" s="202">
        <v>73</v>
      </c>
      <c r="G127" s="202">
        <v>6</v>
      </c>
      <c r="H127" s="202">
        <v>61</v>
      </c>
      <c r="I127" s="202">
        <v>66</v>
      </c>
      <c r="J127" s="202">
        <v>0</v>
      </c>
      <c r="K127" s="202">
        <v>20</v>
      </c>
      <c r="L127" s="201" t="s">
        <v>1978</v>
      </c>
      <c r="M127" s="201" t="s">
        <v>1999</v>
      </c>
      <c r="N127" s="201" t="s">
        <v>2027</v>
      </c>
    </row>
    <row r="128" spans="1:14" x14ac:dyDescent="0.25">
      <c r="A128" s="204">
        <v>10.373799999999999</v>
      </c>
      <c r="B128" s="201" t="s">
        <v>84</v>
      </c>
      <c r="C128" s="201" t="s">
        <v>2026</v>
      </c>
      <c r="D128" s="202">
        <v>79</v>
      </c>
      <c r="E128" s="202">
        <v>0</v>
      </c>
      <c r="F128" s="202">
        <v>79</v>
      </c>
      <c r="G128" s="202">
        <v>6</v>
      </c>
      <c r="H128" s="202">
        <v>61</v>
      </c>
      <c r="I128" s="202">
        <v>66</v>
      </c>
      <c r="J128" s="202">
        <v>0</v>
      </c>
      <c r="K128" s="202">
        <v>7</v>
      </c>
      <c r="L128" s="201" t="s">
        <v>1975</v>
      </c>
      <c r="M128" s="201" t="s">
        <v>1999</v>
      </c>
      <c r="N128" s="201" t="s">
        <v>2016</v>
      </c>
    </row>
    <row r="129" spans="1:14" x14ac:dyDescent="0.25">
      <c r="A129" s="204">
        <v>10.373799999999999</v>
      </c>
      <c r="B129" s="201" t="s">
        <v>84</v>
      </c>
      <c r="C129" s="201" t="s">
        <v>2026</v>
      </c>
      <c r="D129" s="202">
        <v>73</v>
      </c>
      <c r="E129" s="202">
        <v>0</v>
      </c>
      <c r="F129" s="202">
        <v>73</v>
      </c>
      <c r="G129" s="202">
        <v>6</v>
      </c>
      <c r="H129" s="202">
        <v>61</v>
      </c>
      <c r="I129" s="202">
        <v>66</v>
      </c>
      <c r="J129" s="202">
        <v>0</v>
      </c>
      <c r="K129" s="202">
        <v>20</v>
      </c>
      <c r="L129" s="201" t="s">
        <v>1978</v>
      </c>
      <c r="M129" s="201" t="s">
        <v>1999</v>
      </c>
      <c r="N129" s="201" t="s">
        <v>2028</v>
      </c>
    </row>
    <row r="130" spans="1:14" x14ac:dyDescent="0.25">
      <c r="A130" s="204">
        <v>10.392099999999999</v>
      </c>
      <c r="B130" s="201" t="s">
        <v>84</v>
      </c>
      <c r="C130" s="201" t="s">
        <v>2026</v>
      </c>
      <c r="D130" s="202">
        <v>79</v>
      </c>
      <c r="E130" s="202">
        <v>0</v>
      </c>
      <c r="F130" s="202">
        <v>79</v>
      </c>
      <c r="G130" s="202">
        <v>6</v>
      </c>
      <c r="H130" s="202">
        <v>61</v>
      </c>
      <c r="I130" s="202">
        <v>66</v>
      </c>
      <c r="J130" s="202">
        <v>0</v>
      </c>
      <c r="K130" s="202">
        <v>7</v>
      </c>
      <c r="L130" s="201" t="s">
        <v>1975</v>
      </c>
      <c r="M130" s="201" t="s">
        <v>1999</v>
      </c>
      <c r="N130" s="201" t="s">
        <v>2014</v>
      </c>
    </row>
    <row r="131" spans="1:14" x14ac:dyDescent="0.25">
      <c r="A131" s="204">
        <v>10.392099999999999</v>
      </c>
      <c r="B131" s="201" t="s">
        <v>84</v>
      </c>
      <c r="C131" s="201" t="s">
        <v>2026</v>
      </c>
      <c r="D131" s="202">
        <v>73</v>
      </c>
      <c r="E131" s="202">
        <v>0</v>
      </c>
      <c r="F131" s="202">
        <v>73</v>
      </c>
      <c r="G131" s="202">
        <v>6</v>
      </c>
      <c r="H131" s="202">
        <v>61</v>
      </c>
      <c r="I131" s="202">
        <v>66</v>
      </c>
      <c r="J131" s="202">
        <v>0</v>
      </c>
      <c r="K131" s="202">
        <v>20</v>
      </c>
      <c r="L131" s="201" t="s">
        <v>1978</v>
      </c>
      <c r="M131" s="201" t="s">
        <v>1999</v>
      </c>
      <c r="N131" s="201" t="s">
        <v>2027</v>
      </c>
    </row>
    <row r="132" spans="1:14" x14ac:dyDescent="0.25">
      <c r="A132" s="204">
        <v>10.392099999999999</v>
      </c>
      <c r="B132" s="201" t="s">
        <v>84</v>
      </c>
      <c r="C132" s="201" t="s">
        <v>2026</v>
      </c>
      <c r="D132" s="202">
        <v>79</v>
      </c>
      <c r="E132" s="202">
        <v>0</v>
      </c>
      <c r="F132" s="202">
        <v>79</v>
      </c>
      <c r="G132" s="202">
        <v>6</v>
      </c>
      <c r="H132" s="202">
        <v>61</v>
      </c>
      <c r="I132" s="202">
        <v>66</v>
      </c>
      <c r="J132" s="202">
        <v>0</v>
      </c>
      <c r="K132" s="202">
        <v>7</v>
      </c>
      <c r="L132" s="201" t="s">
        <v>1975</v>
      </c>
      <c r="M132" s="201" t="s">
        <v>1999</v>
      </c>
      <c r="N132" s="201" t="s">
        <v>2016</v>
      </c>
    </row>
    <row r="133" spans="1:14" x14ac:dyDescent="0.25">
      <c r="A133" s="204">
        <v>10.392099999999999</v>
      </c>
      <c r="B133" s="201" t="s">
        <v>84</v>
      </c>
      <c r="C133" s="201" t="s">
        <v>2026</v>
      </c>
      <c r="D133" s="202">
        <v>73</v>
      </c>
      <c r="E133" s="202">
        <v>0</v>
      </c>
      <c r="F133" s="202">
        <v>73</v>
      </c>
      <c r="G133" s="202">
        <v>6</v>
      </c>
      <c r="H133" s="202">
        <v>61</v>
      </c>
      <c r="I133" s="202">
        <v>66</v>
      </c>
      <c r="J133" s="202">
        <v>0</v>
      </c>
      <c r="K133" s="202">
        <v>20</v>
      </c>
      <c r="L133" s="201" t="s">
        <v>1978</v>
      </c>
      <c r="M133" s="201" t="s">
        <v>1999</v>
      </c>
      <c r="N133" s="201" t="s">
        <v>2028</v>
      </c>
    </row>
    <row r="134" spans="1:14" x14ac:dyDescent="0.25">
      <c r="A134" s="204">
        <v>10.8954</v>
      </c>
      <c r="B134" s="201" t="s">
        <v>85</v>
      </c>
      <c r="C134" s="201" t="s">
        <v>1998</v>
      </c>
      <c r="D134" s="202">
        <v>79</v>
      </c>
      <c r="E134" s="202">
        <v>0</v>
      </c>
      <c r="F134" s="202">
        <v>79</v>
      </c>
      <c r="G134" s="202">
        <v>6</v>
      </c>
      <c r="H134" s="202">
        <v>66</v>
      </c>
      <c r="I134" s="202">
        <v>69</v>
      </c>
      <c r="J134" s="202">
        <v>0</v>
      </c>
      <c r="K134" s="202">
        <v>7</v>
      </c>
      <c r="L134" s="201" t="s">
        <v>1975</v>
      </c>
      <c r="M134" s="201" t="s">
        <v>1999</v>
      </c>
      <c r="N134" s="201" t="s">
        <v>2000</v>
      </c>
    </row>
    <row r="135" spans="1:14" x14ac:dyDescent="0.25">
      <c r="A135" s="204">
        <v>10.8954</v>
      </c>
      <c r="B135" s="201" t="s">
        <v>85</v>
      </c>
      <c r="C135" s="201" t="s">
        <v>1998</v>
      </c>
      <c r="D135" s="202">
        <v>62</v>
      </c>
      <c r="E135" s="202">
        <v>0</v>
      </c>
      <c r="F135" s="202">
        <v>62</v>
      </c>
      <c r="G135" s="202">
        <v>6</v>
      </c>
      <c r="H135" s="202">
        <v>66</v>
      </c>
      <c r="I135" s="202">
        <v>69</v>
      </c>
      <c r="J135" s="202">
        <v>0</v>
      </c>
      <c r="K135" s="202">
        <v>23</v>
      </c>
      <c r="L135" s="201" t="s">
        <v>1978</v>
      </c>
      <c r="M135" s="201" t="s">
        <v>1999</v>
      </c>
      <c r="N135" s="201" t="s">
        <v>2001</v>
      </c>
    </row>
    <row r="136" spans="1:14" x14ac:dyDescent="0.25">
      <c r="A136" s="204">
        <v>10.8954</v>
      </c>
      <c r="B136" s="201" t="s">
        <v>85</v>
      </c>
      <c r="C136" s="201" t="s">
        <v>1998</v>
      </c>
      <c r="D136" s="202">
        <v>79</v>
      </c>
      <c r="E136" s="202">
        <v>0</v>
      </c>
      <c r="F136" s="202">
        <v>79</v>
      </c>
      <c r="G136" s="202">
        <v>6</v>
      </c>
      <c r="H136" s="202">
        <v>66</v>
      </c>
      <c r="I136" s="202">
        <v>69</v>
      </c>
      <c r="J136" s="202">
        <v>0</v>
      </c>
      <c r="K136" s="202">
        <v>7</v>
      </c>
      <c r="L136" s="201" t="s">
        <v>1975</v>
      </c>
      <c r="M136" s="201" t="s">
        <v>1999</v>
      </c>
      <c r="N136" s="201" t="s">
        <v>2002</v>
      </c>
    </row>
    <row r="137" spans="1:14" x14ac:dyDescent="0.25">
      <c r="A137" s="204">
        <v>10.8954</v>
      </c>
      <c r="B137" s="201" t="s">
        <v>85</v>
      </c>
      <c r="C137" s="201" t="s">
        <v>1998</v>
      </c>
      <c r="D137" s="202">
        <v>62</v>
      </c>
      <c r="E137" s="202">
        <v>0</v>
      </c>
      <c r="F137" s="202">
        <v>62</v>
      </c>
      <c r="G137" s="202">
        <v>6</v>
      </c>
      <c r="H137" s="202">
        <v>66</v>
      </c>
      <c r="I137" s="202">
        <v>69</v>
      </c>
      <c r="J137" s="202">
        <v>0</v>
      </c>
      <c r="K137" s="202">
        <v>23</v>
      </c>
      <c r="L137" s="201" t="s">
        <v>1978</v>
      </c>
      <c r="M137" s="201" t="s">
        <v>1999</v>
      </c>
      <c r="N137" s="201" t="s">
        <v>2003</v>
      </c>
    </row>
    <row r="138" spans="1:14" x14ac:dyDescent="0.25">
      <c r="A138" s="204">
        <v>10.913500000000001</v>
      </c>
      <c r="B138" s="201" t="s">
        <v>85</v>
      </c>
      <c r="C138" s="201" t="s">
        <v>1998</v>
      </c>
      <c r="D138" s="202">
        <v>79</v>
      </c>
      <c r="E138" s="202">
        <v>0</v>
      </c>
      <c r="F138" s="202">
        <v>79</v>
      </c>
      <c r="G138" s="202">
        <v>6</v>
      </c>
      <c r="H138" s="202">
        <v>66</v>
      </c>
      <c r="I138" s="202">
        <v>69</v>
      </c>
      <c r="J138" s="202">
        <v>0</v>
      </c>
      <c r="K138" s="202">
        <v>7</v>
      </c>
      <c r="L138" s="201" t="s">
        <v>1975</v>
      </c>
      <c r="M138" s="201" t="s">
        <v>1999</v>
      </c>
      <c r="N138" s="201" t="s">
        <v>2000</v>
      </c>
    </row>
    <row r="139" spans="1:14" x14ac:dyDescent="0.25">
      <c r="A139" s="204">
        <v>10.913500000000001</v>
      </c>
      <c r="B139" s="201" t="s">
        <v>85</v>
      </c>
      <c r="C139" s="201" t="s">
        <v>1998</v>
      </c>
      <c r="D139" s="202">
        <v>62</v>
      </c>
      <c r="E139" s="202">
        <v>0</v>
      </c>
      <c r="F139" s="202">
        <v>62</v>
      </c>
      <c r="G139" s="202">
        <v>6</v>
      </c>
      <c r="H139" s="202">
        <v>66</v>
      </c>
      <c r="I139" s="202">
        <v>69</v>
      </c>
      <c r="J139" s="202">
        <v>0</v>
      </c>
      <c r="K139" s="202">
        <v>23</v>
      </c>
      <c r="L139" s="201" t="s">
        <v>1978</v>
      </c>
      <c r="M139" s="201" t="s">
        <v>1999</v>
      </c>
      <c r="N139" s="201" t="s">
        <v>2001</v>
      </c>
    </row>
    <row r="140" spans="1:14" x14ac:dyDescent="0.25">
      <c r="A140" s="204">
        <v>10.913500000000001</v>
      </c>
      <c r="B140" s="201" t="s">
        <v>85</v>
      </c>
      <c r="C140" s="201" t="s">
        <v>1998</v>
      </c>
      <c r="D140" s="202">
        <v>79</v>
      </c>
      <c r="E140" s="202">
        <v>0</v>
      </c>
      <c r="F140" s="202">
        <v>79</v>
      </c>
      <c r="G140" s="202">
        <v>6</v>
      </c>
      <c r="H140" s="202">
        <v>66</v>
      </c>
      <c r="I140" s="202">
        <v>69</v>
      </c>
      <c r="J140" s="202">
        <v>0</v>
      </c>
      <c r="K140" s="202">
        <v>7</v>
      </c>
      <c r="L140" s="201" t="s">
        <v>1975</v>
      </c>
      <c r="M140" s="201" t="s">
        <v>1999</v>
      </c>
      <c r="N140" s="201" t="s">
        <v>2002</v>
      </c>
    </row>
    <row r="141" spans="1:14" x14ac:dyDescent="0.25">
      <c r="A141" s="204">
        <v>10.913500000000001</v>
      </c>
      <c r="B141" s="201" t="s">
        <v>85</v>
      </c>
      <c r="C141" s="201" t="s">
        <v>1998</v>
      </c>
      <c r="D141" s="202">
        <v>62</v>
      </c>
      <c r="E141" s="202">
        <v>0</v>
      </c>
      <c r="F141" s="202">
        <v>62</v>
      </c>
      <c r="G141" s="202">
        <v>6</v>
      </c>
      <c r="H141" s="202">
        <v>66</v>
      </c>
      <c r="I141" s="202">
        <v>69</v>
      </c>
      <c r="J141" s="202">
        <v>0</v>
      </c>
      <c r="K141" s="202">
        <v>23</v>
      </c>
      <c r="L141" s="201" t="s">
        <v>1978</v>
      </c>
      <c r="M141" s="201" t="s">
        <v>1999</v>
      </c>
      <c r="N141" s="201" t="s">
        <v>2003</v>
      </c>
    </row>
    <row r="142" spans="1:14" x14ac:dyDescent="0.25">
      <c r="A142" s="204">
        <v>12.756</v>
      </c>
      <c r="B142" s="201" t="s">
        <v>1982</v>
      </c>
      <c r="C142" s="201" t="s">
        <v>1983</v>
      </c>
      <c r="D142" s="202">
        <v>63</v>
      </c>
      <c r="E142" s="202">
        <v>0</v>
      </c>
      <c r="F142" s="202">
        <v>63</v>
      </c>
      <c r="G142" s="202">
        <v>6</v>
      </c>
      <c r="H142" s="202">
        <v>0</v>
      </c>
      <c r="I142" s="202">
        <v>55</v>
      </c>
      <c r="J142" s="202">
        <v>60</v>
      </c>
      <c r="K142" s="202">
        <v>2</v>
      </c>
      <c r="L142" s="201" t="s">
        <v>1975</v>
      </c>
      <c r="M142" s="201" t="s">
        <v>1976</v>
      </c>
      <c r="N142" s="201" t="s">
        <v>1986</v>
      </c>
    </row>
    <row r="143" spans="1:14" x14ac:dyDescent="0.25">
      <c r="A143" s="204">
        <v>12.756</v>
      </c>
      <c r="B143" s="201" t="s">
        <v>1982</v>
      </c>
      <c r="C143" s="201" t="s">
        <v>1983</v>
      </c>
      <c r="D143" s="202">
        <v>79</v>
      </c>
      <c r="E143" s="202">
        <v>0</v>
      </c>
      <c r="F143" s="202">
        <v>79</v>
      </c>
      <c r="G143" s="202">
        <v>6</v>
      </c>
      <c r="H143" s="202">
        <v>0</v>
      </c>
      <c r="I143" s="202">
        <v>55</v>
      </c>
      <c r="J143" s="202">
        <v>60</v>
      </c>
      <c r="K143" s="202">
        <v>2</v>
      </c>
      <c r="L143" s="201" t="s">
        <v>1978</v>
      </c>
      <c r="M143" s="201" t="s">
        <v>1976</v>
      </c>
      <c r="N143" s="201" t="s">
        <v>1987</v>
      </c>
    </row>
    <row r="144" spans="1:14" x14ac:dyDescent="0.25">
      <c r="A144" s="204">
        <v>12.772399999999999</v>
      </c>
      <c r="B144" s="201" t="s">
        <v>1982</v>
      </c>
      <c r="C144" s="201" t="s">
        <v>1983</v>
      </c>
      <c r="D144" s="202">
        <v>63</v>
      </c>
      <c r="E144" s="202">
        <v>0</v>
      </c>
      <c r="F144" s="202">
        <v>63</v>
      </c>
      <c r="G144" s="202">
        <v>6</v>
      </c>
      <c r="H144" s="202">
        <v>0</v>
      </c>
      <c r="I144" s="202">
        <v>55</v>
      </c>
      <c r="J144" s="202">
        <v>60</v>
      </c>
      <c r="K144" s="202">
        <v>2</v>
      </c>
      <c r="L144" s="201" t="s">
        <v>1975</v>
      </c>
      <c r="M144" s="201" t="s">
        <v>1976</v>
      </c>
      <c r="N144" s="201" t="s">
        <v>1984</v>
      </c>
    </row>
    <row r="145" spans="1:14" x14ac:dyDescent="0.25">
      <c r="A145" s="204">
        <v>12.772399999999999</v>
      </c>
      <c r="B145" s="201" t="s">
        <v>1982</v>
      </c>
      <c r="C145" s="201" t="s">
        <v>1983</v>
      </c>
      <c r="D145" s="202">
        <v>79</v>
      </c>
      <c r="E145" s="202">
        <v>0</v>
      </c>
      <c r="F145" s="202">
        <v>79</v>
      </c>
      <c r="G145" s="202">
        <v>6</v>
      </c>
      <c r="H145" s="202">
        <v>0</v>
      </c>
      <c r="I145" s="202">
        <v>55</v>
      </c>
      <c r="J145" s="202">
        <v>60</v>
      </c>
      <c r="K145" s="202">
        <v>2</v>
      </c>
      <c r="L145" s="201" t="s">
        <v>1978</v>
      </c>
      <c r="M145" s="201" t="s">
        <v>1976</v>
      </c>
      <c r="N145" s="201" t="s">
        <v>1985</v>
      </c>
    </row>
    <row r="146" spans="1:14" x14ac:dyDescent="0.25">
      <c r="A146" s="204">
        <v>12.8462</v>
      </c>
      <c r="B146" s="201" t="s">
        <v>1982</v>
      </c>
      <c r="C146" s="201" t="s">
        <v>1983</v>
      </c>
      <c r="D146" s="202">
        <v>63</v>
      </c>
      <c r="E146" s="202">
        <v>0</v>
      </c>
      <c r="F146" s="202">
        <v>63</v>
      </c>
      <c r="G146" s="202">
        <v>6</v>
      </c>
      <c r="H146" s="202">
        <v>0</v>
      </c>
      <c r="I146" s="202">
        <v>55</v>
      </c>
      <c r="J146" s="202">
        <v>60</v>
      </c>
      <c r="K146" s="202">
        <v>2</v>
      </c>
      <c r="L146" s="201" t="s">
        <v>1975</v>
      </c>
      <c r="M146" s="201" t="s">
        <v>1976</v>
      </c>
      <c r="N146" s="201" t="s">
        <v>1984</v>
      </c>
    </row>
    <row r="147" spans="1:14" x14ac:dyDescent="0.25">
      <c r="A147" s="204">
        <v>12.8462</v>
      </c>
      <c r="B147" s="201" t="s">
        <v>1982</v>
      </c>
      <c r="C147" s="201" t="s">
        <v>1983</v>
      </c>
      <c r="D147" s="202">
        <v>79</v>
      </c>
      <c r="E147" s="202">
        <v>0</v>
      </c>
      <c r="F147" s="202">
        <v>79</v>
      </c>
      <c r="G147" s="202">
        <v>6</v>
      </c>
      <c r="H147" s="202">
        <v>0</v>
      </c>
      <c r="I147" s="202">
        <v>55</v>
      </c>
      <c r="J147" s="202">
        <v>60</v>
      </c>
      <c r="K147" s="202">
        <v>2</v>
      </c>
      <c r="L147" s="201" t="s">
        <v>1978</v>
      </c>
      <c r="M147" s="201" t="s">
        <v>1976</v>
      </c>
      <c r="N147" s="201" t="s">
        <v>1985</v>
      </c>
    </row>
    <row r="148" spans="1:14" x14ac:dyDescent="0.25">
      <c r="A148" s="204">
        <v>12.8462</v>
      </c>
      <c r="B148" s="201" t="s">
        <v>1982</v>
      </c>
      <c r="C148" s="201" t="s">
        <v>1983</v>
      </c>
      <c r="D148" s="202">
        <v>63</v>
      </c>
      <c r="E148" s="202">
        <v>0</v>
      </c>
      <c r="F148" s="202">
        <v>63</v>
      </c>
      <c r="G148" s="202">
        <v>6</v>
      </c>
      <c r="H148" s="202">
        <v>0</v>
      </c>
      <c r="I148" s="202">
        <v>55</v>
      </c>
      <c r="J148" s="202">
        <v>60</v>
      </c>
      <c r="K148" s="202">
        <v>2</v>
      </c>
      <c r="L148" s="201" t="s">
        <v>1975</v>
      </c>
      <c r="M148" s="201" t="s">
        <v>1976</v>
      </c>
      <c r="N148" s="201" t="s">
        <v>1986</v>
      </c>
    </row>
    <row r="149" spans="1:14" x14ac:dyDescent="0.25">
      <c r="A149" s="204">
        <v>12.8462</v>
      </c>
      <c r="B149" s="201" t="s">
        <v>1982</v>
      </c>
      <c r="C149" s="201" t="s">
        <v>1983</v>
      </c>
      <c r="D149" s="202">
        <v>79</v>
      </c>
      <c r="E149" s="202">
        <v>0</v>
      </c>
      <c r="F149" s="202">
        <v>79</v>
      </c>
      <c r="G149" s="202">
        <v>6</v>
      </c>
      <c r="H149" s="202">
        <v>0</v>
      </c>
      <c r="I149" s="202">
        <v>55</v>
      </c>
      <c r="J149" s="202">
        <v>60</v>
      </c>
      <c r="K149" s="202">
        <v>2</v>
      </c>
      <c r="L149" s="201" t="s">
        <v>1978</v>
      </c>
      <c r="M149" s="201" t="s">
        <v>1976</v>
      </c>
      <c r="N149" s="201" t="s">
        <v>1987</v>
      </c>
    </row>
    <row r="150" spans="1:14" x14ac:dyDescent="0.25">
      <c r="A150" s="204">
        <v>15.38</v>
      </c>
      <c r="B150" s="201" t="s">
        <v>1988</v>
      </c>
      <c r="C150" s="201" t="s">
        <v>1989</v>
      </c>
      <c r="D150" s="202">
        <v>79</v>
      </c>
      <c r="E150" s="202">
        <v>0</v>
      </c>
      <c r="F150" s="202">
        <v>79</v>
      </c>
      <c r="G150" s="202">
        <v>6</v>
      </c>
      <c r="H150" s="202">
        <v>0</v>
      </c>
      <c r="I150" s="202">
        <v>55</v>
      </c>
      <c r="J150" s="202">
        <v>60</v>
      </c>
      <c r="K150" s="202">
        <v>2</v>
      </c>
      <c r="L150" s="201" t="s">
        <v>1975</v>
      </c>
      <c r="M150" s="201" t="s">
        <v>1976</v>
      </c>
      <c r="N150" s="201" t="s">
        <v>1985</v>
      </c>
    </row>
    <row r="151" spans="1:14" x14ac:dyDescent="0.25">
      <c r="A151" s="204">
        <v>15.38</v>
      </c>
      <c r="B151" s="201" t="s">
        <v>1988</v>
      </c>
      <c r="C151" s="201" t="s">
        <v>1989</v>
      </c>
      <c r="D151" s="202">
        <v>79</v>
      </c>
      <c r="E151" s="202">
        <v>0</v>
      </c>
      <c r="F151" s="202">
        <v>79</v>
      </c>
      <c r="G151" s="202">
        <v>6</v>
      </c>
      <c r="H151" s="202">
        <v>0</v>
      </c>
      <c r="I151" s="202">
        <v>55</v>
      </c>
      <c r="J151" s="202">
        <v>60</v>
      </c>
      <c r="K151" s="202">
        <v>2</v>
      </c>
      <c r="L151" s="201" t="s">
        <v>1978</v>
      </c>
      <c r="M151" s="201" t="s">
        <v>1976</v>
      </c>
      <c r="N151" s="201" t="s">
        <v>1990</v>
      </c>
    </row>
    <row r="152" spans="1:14" x14ac:dyDescent="0.25">
      <c r="A152" s="204">
        <v>15.38</v>
      </c>
      <c r="B152" s="201" t="s">
        <v>1988</v>
      </c>
      <c r="C152" s="201" t="s">
        <v>1989</v>
      </c>
      <c r="D152" s="202">
        <v>79</v>
      </c>
      <c r="E152" s="202">
        <v>0</v>
      </c>
      <c r="F152" s="202">
        <v>79</v>
      </c>
      <c r="G152" s="202">
        <v>6</v>
      </c>
      <c r="H152" s="202">
        <v>0</v>
      </c>
      <c r="I152" s="202">
        <v>55</v>
      </c>
      <c r="J152" s="202">
        <v>60</v>
      </c>
      <c r="K152" s="202">
        <v>2</v>
      </c>
      <c r="L152" s="201" t="s">
        <v>1975</v>
      </c>
      <c r="M152" s="201" t="s">
        <v>1976</v>
      </c>
      <c r="N152" s="201" t="s">
        <v>1987</v>
      </c>
    </row>
    <row r="153" spans="1:14" x14ac:dyDescent="0.25">
      <c r="A153" s="204">
        <v>15.38</v>
      </c>
      <c r="B153" s="201" t="s">
        <v>1988</v>
      </c>
      <c r="C153" s="201" t="s">
        <v>1989</v>
      </c>
      <c r="D153" s="202">
        <v>79</v>
      </c>
      <c r="E153" s="202">
        <v>0</v>
      </c>
      <c r="F153" s="202">
        <v>79</v>
      </c>
      <c r="G153" s="202">
        <v>6</v>
      </c>
      <c r="H153" s="202">
        <v>0</v>
      </c>
      <c r="I153" s="202">
        <v>55</v>
      </c>
      <c r="J153" s="202">
        <v>60</v>
      </c>
      <c r="K153" s="202">
        <v>2</v>
      </c>
      <c r="L153" s="201" t="s">
        <v>1978</v>
      </c>
      <c r="M153" s="201" t="s">
        <v>1976</v>
      </c>
      <c r="N153" s="201" t="s">
        <v>1991</v>
      </c>
    </row>
    <row r="154" spans="1:14" x14ac:dyDescent="0.25">
      <c r="A154" s="204">
        <v>15.4612</v>
      </c>
      <c r="B154" s="201" t="s">
        <v>1988</v>
      </c>
      <c r="C154" s="201" t="s">
        <v>1989</v>
      </c>
      <c r="D154" s="202">
        <v>79</v>
      </c>
      <c r="E154" s="202">
        <v>0</v>
      </c>
      <c r="F154" s="202">
        <v>79</v>
      </c>
      <c r="G154" s="202">
        <v>6</v>
      </c>
      <c r="H154" s="202">
        <v>0</v>
      </c>
      <c r="I154" s="202">
        <v>55</v>
      </c>
      <c r="J154" s="202">
        <v>60</v>
      </c>
      <c r="K154" s="202">
        <v>2</v>
      </c>
      <c r="L154" s="201" t="s">
        <v>1975</v>
      </c>
      <c r="M154" s="201" t="s">
        <v>1976</v>
      </c>
      <c r="N154" s="201" t="s">
        <v>1985</v>
      </c>
    </row>
    <row r="155" spans="1:14" x14ac:dyDescent="0.25">
      <c r="A155" s="204">
        <v>15.4612</v>
      </c>
      <c r="B155" s="201" t="s">
        <v>1988</v>
      </c>
      <c r="C155" s="201" t="s">
        <v>1989</v>
      </c>
      <c r="D155" s="202">
        <v>79</v>
      </c>
      <c r="E155" s="202">
        <v>0</v>
      </c>
      <c r="F155" s="202">
        <v>79</v>
      </c>
      <c r="G155" s="202">
        <v>6</v>
      </c>
      <c r="H155" s="202">
        <v>0</v>
      </c>
      <c r="I155" s="202">
        <v>55</v>
      </c>
      <c r="J155" s="202">
        <v>60</v>
      </c>
      <c r="K155" s="202">
        <v>2</v>
      </c>
      <c r="L155" s="201" t="s">
        <v>1978</v>
      </c>
      <c r="M155" s="201" t="s">
        <v>1976</v>
      </c>
      <c r="N155" s="201" t="s">
        <v>1990</v>
      </c>
    </row>
    <row r="156" spans="1:14" x14ac:dyDescent="0.25">
      <c r="A156" s="204">
        <v>15.4612</v>
      </c>
      <c r="B156" s="201" t="s">
        <v>1988</v>
      </c>
      <c r="C156" s="201" t="s">
        <v>1989</v>
      </c>
      <c r="D156" s="202">
        <v>79</v>
      </c>
      <c r="E156" s="202">
        <v>0</v>
      </c>
      <c r="F156" s="202">
        <v>79</v>
      </c>
      <c r="G156" s="202">
        <v>6</v>
      </c>
      <c r="H156" s="202">
        <v>0</v>
      </c>
      <c r="I156" s="202">
        <v>55</v>
      </c>
      <c r="J156" s="202">
        <v>60</v>
      </c>
      <c r="K156" s="202">
        <v>2</v>
      </c>
      <c r="L156" s="201" t="s">
        <v>1975</v>
      </c>
      <c r="M156" s="201" t="s">
        <v>1976</v>
      </c>
      <c r="N156" s="201" t="s">
        <v>1987</v>
      </c>
    </row>
    <row r="157" spans="1:14" x14ac:dyDescent="0.25">
      <c r="A157" s="204">
        <v>15.4612</v>
      </c>
      <c r="B157" s="201" t="s">
        <v>1988</v>
      </c>
      <c r="C157" s="201" t="s">
        <v>1989</v>
      </c>
      <c r="D157" s="202">
        <v>79</v>
      </c>
      <c r="E157" s="202">
        <v>0</v>
      </c>
      <c r="F157" s="202">
        <v>79</v>
      </c>
      <c r="G157" s="202">
        <v>6</v>
      </c>
      <c r="H157" s="202">
        <v>0</v>
      </c>
      <c r="I157" s="202">
        <v>55</v>
      </c>
      <c r="J157" s="202">
        <v>60</v>
      </c>
      <c r="K157" s="202">
        <v>2</v>
      </c>
      <c r="L157" s="201" t="s">
        <v>1978</v>
      </c>
      <c r="M157" s="201" t="s">
        <v>1976</v>
      </c>
      <c r="N157" s="201" t="s">
        <v>1991</v>
      </c>
    </row>
    <row r="158" spans="1:14" x14ac:dyDescent="0.25">
      <c r="A158" s="72">
        <v>6.3068999999999997</v>
      </c>
      <c r="B158" s="205" t="s">
        <v>82</v>
      </c>
    </row>
    <row r="159" spans="1:14" x14ac:dyDescent="0.25">
      <c r="A159" s="72">
        <v>10.38</v>
      </c>
      <c r="B159" s="205" t="s">
        <v>84</v>
      </c>
    </row>
    <row r="160" spans="1:14" x14ac:dyDescent="0.25">
      <c r="A160" s="72">
        <v>3.3136999999999999</v>
      </c>
      <c r="B160" s="205" t="s">
        <v>76</v>
      </c>
    </row>
  </sheetData>
  <sortState ref="A2:N157">
    <sortCondition ref="A2:A15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9"/>
  <sheetViews>
    <sheetView workbookViewId="0">
      <selection activeCell="A3" sqref="A3"/>
    </sheetView>
  </sheetViews>
  <sheetFormatPr defaultRowHeight="15" x14ac:dyDescent="0.25"/>
  <cols>
    <col min="1" max="1" width="9.140625" style="114"/>
    <col min="2" max="2" width="9.140625" style="2" customWidth="1"/>
    <col min="3" max="3" width="8" style="130" bestFit="1" customWidth="1"/>
    <col min="4" max="4" width="9.85546875" style="121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3" customFormat="1" x14ac:dyDescent="0.25">
      <c r="A1" s="114"/>
      <c r="B1" s="199" t="str">
        <f>"Trips that did not appear in PTC Data "&amp;TEXT(Variables!$A$2,"YYYY-mm-dd")</f>
        <v>Trips that did not appear in PTC Data 2016-09-06</v>
      </c>
      <c r="C1" s="199"/>
      <c r="D1" s="199"/>
      <c r="E1" s="199"/>
      <c r="F1" s="199"/>
    </row>
    <row r="2" spans="1:11" s="26" customFormat="1" ht="45" x14ac:dyDescent="0.25">
      <c r="A2" s="160" t="s">
        <v>212</v>
      </c>
      <c r="B2" s="138" t="s">
        <v>64</v>
      </c>
      <c r="C2" s="127" t="s">
        <v>65</v>
      </c>
      <c r="D2" s="12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120</v>
      </c>
    </row>
    <row r="3" spans="1:11" x14ac:dyDescent="0.25">
      <c r="B3" s="2" t="str">
        <f>A3&amp;"-"&amp;IF(DAY(Variables!$A$2)&lt;10,0,"")&amp;DAY(Variables!$A$2)</f>
        <v>-06</v>
      </c>
      <c r="C3" s="129"/>
      <c r="D3" s="12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-06</v>
      </c>
      <c r="C4" s="129"/>
      <c r="D4" s="12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-06</v>
      </c>
      <c r="C5" s="129"/>
      <c r="D5" s="12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-06</v>
      </c>
      <c r="C6" s="129"/>
      <c r="D6" s="12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-06</v>
      </c>
      <c r="C7" s="129"/>
      <c r="D7" s="12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-06%22)),sort:!(Time,asc))</v>
      </c>
      <c r="J7" s="23"/>
      <c r="K7" s="23"/>
    </row>
    <row r="8" spans="1:11" x14ac:dyDescent="0.25">
      <c r="C8" s="114"/>
      <c r="D8" s="114"/>
      <c r="I8" s="23"/>
      <c r="J8" s="23"/>
      <c r="K8" s="23"/>
    </row>
    <row r="9" spans="1:11" x14ac:dyDescent="0.25">
      <c r="C9" s="114"/>
      <c r="D9" s="114"/>
      <c r="I9" s="23"/>
      <c r="J9" s="23"/>
      <c r="K9" s="23"/>
    </row>
    <row r="10" spans="1:11" x14ac:dyDescent="0.25">
      <c r="C10" s="114"/>
      <c r="D10" s="114"/>
      <c r="I10" s="23"/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C37" s="114"/>
      <c r="D37" s="114"/>
      <c r="I37" s="23"/>
      <c r="J37" s="23"/>
      <c r="K37" s="23"/>
    </row>
    <row r="38" spans="3:11" x14ac:dyDescent="0.25">
      <c r="C38" s="114"/>
      <c r="D38" s="114"/>
      <c r="I38" s="23"/>
      <c r="J38" s="23"/>
      <c r="K38" s="23"/>
    </row>
    <row r="39" spans="3:11" x14ac:dyDescent="0.25">
      <c r="C39" s="114"/>
      <c r="D39" s="114"/>
      <c r="I39" s="23"/>
      <c r="J39" s="23"/>
      <c r="K39" s="23"/>
    </row>
    <row r="40" spans="3:11" x14ac:dyDescent="0.25">
      <c r="C40" s="114"/>
      <c r="D40" s="114"/>
      <c r="I40" s="23"/>
      <c r="J40" s="23"/>
      <c r="K40" s="23"/>
    </row>
    <row r="41" spans="3:11" x14ac:dyDescent="0.25">
      <c r="C41" s="114"/>
      <c r="D41" s="114"/>
      <c r="I41" s="23"/>
      <c r="J41" s="23"/>
      <c r="K41" s="23"/>
    </row>
    <row r="42" spans="3:11" x14ac:dyDescent="0.25">
      <c r="C42" s="114"/>
      <c r="D42" s="114"/>
      <c r="I42" s="23"/>
      <c r="J42" s="23"/>
      <c r="K42" s="23"/>
    </row>
    <row r="43" spans="3:11" x14ac:dyDescent="0.25">
      <c r="C43" s="114"/>
      <c r="D43" s="114"/>
      <c r="I43" s="23"/>
      <c r="J43" s="23"/>
      <c r="K43" s="23"/>
    </row>
    <row r="44" spans="3:11" x14ac:dyDescent="0.25">
      <c r="C44" s="114"/>
      <c r="D44" s="114"/>
      <c r="I44" s="23"/>
      <c r="J44" s="23"/>
      <c r="K44" s="23"/>
    </row>
    <row r="45" spans="3:11" x14ac:dyDescent="0.25">
      <c r="C45" s="114"/>
      <c r="D45" s="114"/>
      <c r="I45" s="23"/>
      <c r="J45" s="23"/>
      <c r="K45" s="23"/>
    </row>
    <row r="46" spans="3:11" x14ac:dyDescent="0.25">
      <c r="C46" s="114"/>
      <c r="D46" s="114"/>
      <c r="I46" s="23"/>
      <c r="J46" s="23"/>
      <c r="K46" s="23"/>
    </row>
    <row r="47" spans="3:11" x14ac:dyDescent="0.25">
      <c r="C47" s="114"/>
      <c r="D47" s="114"/>
      <c r="I47" s="23"/>
      <c r="J47" s="23"/>
      <c r="K47" s="23"/>
    </row>
    <row r="48" spans="3:11" x14ac:dyDescent="0.25">
      <c r="C48" s="114"/>
      <c r="D48" s="114"/>
      <c r="I48" s="23"/>
      <c r="J48" s="23"/>
      <c r="K48" s="23"/>
    </row>
    <row r="49" spans="3:11" x14ac:dyDescent="0.25">
      <c r="C49" s="114"/>
      <c r="D49" s="114"/>
      <c r="I49" s="23"/>
      <c r="J49" s="23"/>
      <c r="K49" s="23"/>
    </row>
    <row r="50" spans="3:11" x14ac:dyDescent="0.25">
      <c r="C50" s="114"/>
      <c r="D50" s="114"/>
      <c r="I50" s="23"/>
      <c r="J50" s="23"/>
      <c r="K50" s="23"/>
    </row>
    <row r="51" spans="3:11" x14ac:dyDescent="0.25">
      <c r="C51" s="114"/>
      <c r="D51" s="114"/>
      <c r="I51" s="23"/>
      <c r="J51" s="23"/>
      <c r="K51" s="23"/>
    </row>
    <row r="52" spans="3:11" x14ac:dyDescent="0.25">
      <c r="C52" s="114"/>
      <c r="D52" s="114"/>
      <c r="I52" s="23"/>
      <c r="J52" s="23"/>
      <c r="K52" s="23"/>
    </row>
    <row r="53" spans="3:11" x14ac:dyDescent="0.25">
      <c r="C53" s="114"/>
      <c r="D53" s="114"/>
      <c r="I53" s="23"/>
      <c r="J53" s="23"/>
      <c r="K53" s="23"/>
    </row>
    <row r="54" spans="3:11" x14ac:dyDescent="0.25">
      <c r="C54" s="114"/>
      <c r="D54" s="114"/>
      <c r="I54" s="23"/>
      <c r="J54" s="23"/>
      <c r="K54" s="23"/>
    </row>
    <row r="55" spans="3:11" x14ac:dyDescent="0.25">
      <c r="C55" s="114"/>
      <c r="D55" s="114"/>
      <c r="I55" s="23"/>
      <c r="J55" s="23"/>
      <c r="K55" s="23"/>
    </row>
    <row r="56" spans="3:11" x14ac:dyDescent="0.25">
      <c r="C56" s="114"/>
      <c r="D56" s="114"/>
      <c r="I56" s="23"/>
      <c r="J56" s="23"/>
      <c r="K56" s="23"/>
    </row>
    <row r="57" spans="3:11" x14ac:dyDescent="0.25">
      <c r="C57" s="114"/>
      <c r="D57" s="114"/>
      <c r="I57" s="23"/>
      <c r="J57" s="23"/>
      <c r="K57" s="23"/>
    </row>
    <row r="58" spans="3:11" x14ac:dyDescent="0.25">
      <c r="C58" s="114"/>
      <c r="D58" s="114"/>
      <c r="I58" s="23"/>
      <c r="J58" s="23"/>
      <c r="K58" s="23"/>
    </row>
    <row r="59" spans="3:11" x14ac:dyDescent="0.25">
      <c r="C59" s="114"/>
      <c r="D59" s="114"/>
      <c r="I59" s="23"/>
      <c r="J59" s="23"/>
      <c r="K59" s="23"/>
    </row>
    <row r="60" spans="3:11" x14ac:dyDescent="0.25">
      <c r="C60" s="114"/>
      <c r="D60" s="114"/>
      <c r="I60" s="23"/>
      <c r="J60" s="23"/>
      <c r="K60" s="23"/>
    </row>
    <row r="61" spans="3:11" x14ac:dyDescent="0.25">
      <c r="C61" s="114"/>
      <c r="D61" s="114"/>
      <c r="I61" s="23"/>
      <c r="J61" s="23"/>
      <c r="K61" s="23"/>
    </row>
    <row r="62" spans="3:11" x14ac:dyDescent="0.25">
      <c r="C62" s="114"/>
      <c r="D62" s="114"/>
      <c r="I62" s="23"/>
      <c r="J62" s="23"/>
      <c r="K62" s="23"/>
    </row>
    <row r="63" spans="3:11" x14ac:dyDescent="0.25">
      <c r="C63" s="114"/>
      <c r="D63" s="114"/>
      <c r="I63" s="23"/>
      <c r="J63" s="23"/>
      <c r="K63" s="23"/>
    </row>
    <row r="64" spans="3:11" x14ac:dyDescent="0.25">
      <c r="C64" s="114"/>
      <c r="D64" s="114"/>
      <c r="I64" s="23"/>
      <c r="J64" s="23"/>
      <c r="K64" s="23"/>
    </row>
    <row r="65" spans="3:11" x14ac:dyDescent="0.25">
      <c r="C65" s="114"/>
      <c r="D65" s="114"/>
      <c r="I65" s="23"/>
      <c r="J65" s="23"/>
      <c r="K65" s="23"/>
    </row>
    <row r="66" spans="3:11" x14ac:dyDescent="0.25">
      <c r="C66" s="114"/>
      <c r="D66" s="114"/>
      <c r="I66" s="23"/>
      <c r="J66" s="23"/>
      <c r="K66" s="23"/>
    </row>
    <row r="67" spans="3:11" x14ac:dyDescent="0.25">
      <c r="C67" s="114"/>
      <c r="D67" s="114"/>
      <c r="I67" s="23"/>
      <c r="J67" s="23"/>
      <c r="K67" s="23"/>
    </row>
    <row r="68" spans="3:11" x14ac:dyDescent="0.25">
      <c r="C68" s="114"/>
      <c r="D68" s="114"/>
      <c r="I68" s="23"/>
      <c r="J68" s="23"/>
      <c r="K68" s="23"/>
    </row>
    <row r="69" spans="3:11" x14ac:dyDescent="0.25">
      <c r="I69" s="23"/>
      <c r="J69" s="23"/>
      <c r="K69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654"/>
  <sheetViews>
    <sheetView topLeftCell="A256" zoomScale="85" zoomScaleNormal="85" workbookViewId="0">
      <selection activeCell="A271" sqref="A271:N271"/>
    </sheetView>
  </sheetViews>
  <sheetFormatPr defaultRowHeight="15" x14ac:dyDescent="0.25"/>
  <cols>
    <col min="1" max="1" width="18.28515625" style="173" bestFit="1" customWidth="1"/>
    <col min="2" max="2" width="9.140625" style="173"/>
    <col min="3" max="3" width="13.140625" style="173" customWidth="1"/>
    <col min="4" max="4" width="25.140625" style="173" bestFit="1" customWidth="1"/>
    <col min="5" max="5" width="30.5703125" style="173" bestFit="1" customWidth="1"/>
    <col min="6" max="6" width="11.140625" style="173" customWidth="1"/>
    <col min="7" max="7" width="16.85546875" style="173" customWidth="1"/>
    <col min="8" max="8" width="17.28515625" style="173" customWidth="1"/>
    <col min="9" max="9" width="23.85546875" style="173" hidden="1" customWidth="1"/>
    <col min="10" max="10" width="14" style="173" customWidth="1"/>
    <col min="11" max="11" width="17.28515625" style="173" customWidth="1"/>
    <col min="12" max="13" width="9.140625" style="173"/>
    <col min="14" max="14" width="46" style="173" customWidth="1"/>
    <col min="15" max="15" width="5.7109375" style="173" customWidth="1"/>
    <col min="16" max="16" width="9.7109375" style="187" bestFit="1" customWidth="1"/>
    <col min="17" max="17" width="9.7109375" style="188" customWidth="1"/>
    <col min="18" max="18" width="43.28515625" style="141" customWidth="1"/>
    <col min="19" max="16384" width="9.140625" style="141"/>
  </cols>
  <sheetData>
    <row r="1" spans="1:23" ht="75" x14ac:dyDescent="0.25">
      <c r="A1" s="168" t="s">
        <v>1938</v>
      </c>
      <c r="B1" s="169" t="s">
        <v>37</v>
      </c>
      <c r="C1" s="169" t="s">
        <v>36</v>
      </c>
      <c r="D1" s="169" t="s">
        <v>35</v>
      </c>
      <c r="E1" s="169" t="s">
        <v>34</v>
      </c>
      <c r="F1" s="169" t="s">
        <v>33</v>
      </c>
      <c r="G1" s="169" t="s">
        <v>32</v>
      </c>
      <c r="H1" s="169" t="s">
        <v>31</v>
      </c>
      <c r="I1" s="169" t="s">
        <v>30</v>
      </c>
      <c r="J1" s="169" t="s">
        <v>29</v>
      </c>
      <c r="K1" s="169" t="s">
        <v>28</v>
      </c>
      <c r="L1" s="169" t="s">
        <v>47</v>
      </c>
      <c r="M1" s="169" t="s">
        <v>27</v>
      </c>
      <c r="N1" s="169" t="s">
        <v>24</v>
      </c>
      <c r="O1" s="169" t="s">
        <v>1939</v>
      </c>
      <c r="P1" s="170" t="s">
        <v>1940</v>
      </c>
      <c r="Q1" s="171"/>
    </row>
    <row r="2" spans="1:23" x14ac:dyDescent="0.25">
      <c r="A2" s="172">
        <v>42583.644062500003</v>
      </c>
      <c r="B2" s="173" t="s">
        <v>351</v>
      </c>
      <c r="C2" s="173" t="s">
        <v>1076</v>
      </c>
      <c r="D2" s="173" t="s">
        <v>49</v>
      </c>
      <c r="E2" s="173" t="s">
        <v>206</v>
      </c>
      <c r="F2" s="174">
        <v>280</v>
      </c>
      <c r="G2" s="174">
        <v>333</v>
      </c>
      <c r="H2" s="174">
        <v>33633</v>
      </c>
      <c r="I2" s="173" t="s">
        <v>205</v>
      </c>
      <c r="J2" s="174">
        <v>33257</v>
      </c>
      <c r="K2" s="173" t="s">
        <v>53</v>
      </c>
      <c r="L2" s="175" t="str">
        <f>VLOOKUP(C2,'[5]Trips&amp;Operators'!$C$1:$E$9999,3,0)</f>
        <v>STORY</v>
      </c>
      <c r="M2" s="176" t="s">
        <v>86</v>
      </c>
      <c r="N2" s="177" t="s">
        <v>336</v>
      </c>
      <c r="P2" s="178" t="str">
        <f>VLOOKUP(C2,'[5]Train Runs'!$A$13:$AE$686,31,0)</f>
        <v>aws s3 cp s3://rtdc.mdm.uploadarchive/RTDC4010/2016-08-01/ "C:\Users\stu\Documents\Analysis\2016-02-23 RTDC Observations"\RTDC4010\2016-08-01 --recursive &amp; "C:\Users\stu\Documents\GitHub\mrs-test-scripts\Headless Mode &amp; Sideloading\WalkAndUnGZ.bat" "C:\Users\stu\Documents\Analysis\2016-02-23 RTDC Observations"\RTDC4010\2016-08-01 &amp; aws s3 cp s3://rtdc.mdm.uploadarchive/RTDC4010/2016-08-02/ "C:\Users\stu\Documents\Analysis\2016-02-23 RTDC Observations"\RTDC4010\2016-08-02 --recursive &amp; "C:\Users\stu\Documents\GitHub\mrs-test-scripts\Headless Mode &amp; Sideloading\WalkAndUnGZ.bat" "C:\Users\stu\Documents\Analysis\2016-02-23 RTDC Observations"\RTDC4010\2016-08-02</v>
      </c>
      <c r="Q2" s="179" t="str">
        <f>VLOOKUP(C2,'[5]Train Runs'!$A$13:$AE$686,22,0)</f>
        <v>https://search-rtdc-monitor-bjffxe2xuh6vdkpspy63sjmuny.us-east-1.es.amazonaws.com/_plugin/kibana/#/discover/Steve-Slow-Train-Analysis-(2080s-and-2083s)?_g=(refreshInterval:(display:Off,section:0,value:0),time:(from:'2016-08-01 13:50:50-0600',mode:absolute,to:'2016-08-01 16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4010%22')),sort:!(Time,asc))</v>
      </c>
      <c r="R2" s="180" t="str">
        <f t="shared" ref="R2" si="0">astrogrep_path&amp;" /spath="&amp;search_path&amp;" /stypes=""*"&amp;S2&amp;"*"&amp;TEXT(A2-utc_offset/24,"YYYYMMDD")&amp;LEFT(TEXT(A2-utc_offset/24,"HH"),1)&amp;"*"" /stext="" "&amp;TEXT(A2-utc_offset/24,"HH")&amp;search_regexp&amp;""" /e /r /s"</f>
        <v>"C:\Program Files (x86)\AstroGrep\AstroGrep.exe" /spath="C:\Users\stu\Documents\Analysis\2016-02-23 RTDC Observations" /stypes="*4010*201608012*" /stext=" 21:.+((SYSTEM_STATE.+slice.+state.+changed )|(ment ac)|(system.+state.+changed )|(\|lc)|(penalty)|(\[timeout)|(PRM\|1\|D))" /e /r /s</v>
      </c>
      <c r="S2" s="176" t="str">
        <f t="shared" ref="S2:S65" si="1">MID(B2,13,4)</f>
        <v>4010</v>
      </c>
      <c r="T2" s="172">
        <f t="shared" ref="T2:T65" si="2">A2+6/24</f>
        <v>42583.894062500003</v>
      </c>
      <c r="U2" s="181" t="str">
        <f t="shared" ref="U2" si="3">IF(VALUE(LEFT(IF(LEN(C2)=6,"0"&amp;C2,C2),2))&lt;=2,"EC",IF(OR(VALUE(LEFT(IF(LEN(C2)=6,"0"&amp;C2,C2),2))=8,VALUE(LEFT(IF(LEN(C2)=6,"0"&amp;C2,C2),2))=18),"NW","GL"))</f>
        <v>EC</v>
      </c>
      <c r="V2" s="181" t="str">
        <f t="shared" ref="V2:V65" si="4">IF(AND(E2="TRACK WARRANT AUTHORITY",G2&lt;10),"OMIT","KEEP")</f>
        <v>KEEP</v>
      </c>
    </row>
    <row r="3" spans="1:23" x14ac:dyDescent="0.25">
      <c r="A3" s="172">
        <v>42613.24832175926</v>
      </c>
      <c r="B3" s="173" t="s">
        <v>90</v>
      </c>
      <c r="C3" s="173" t="s">
        <v>722</v>
      </c>
      <c r="D3" s="173" t="s">
        <v>229</v>
      </c>
      <c r="E3" s="173" t="s">
        <v>206</v>
      </c>
      <c r="F3" s="174">
        <v>0</v>
      </c>
      <c r="G3" s="174">
        <v>87</v>
      </c>
      <c r="H3" s="174">
        <v>27256</v>
      </c>
      <c r="I3" s="173" t="s">
        <v>205</v>
      </c>
      <c r="J3" s="174">
        <v>27350</v>
      </c>
      <c r="K3" s="173" t="s">
        <v>53</v>
      </c>
      <c r="L3" s="175" t="str">
        <f>VLOOKUP(C3,'[3]Trips&amp;Operators'!$C$1:$E$9999,3,0)</f>
        <v>SPECTOR</v>
      </c>
      <c r="M3" s="182" t="s">
        <v>86</v>
      </c>
      <c r="N3" s="177" t="s">
        <v>336</v>
      </c>
      <c r="P3" s="183" t="str">
        <f>VLOOKUP(C3,'[3]Train Runs'!$A$13:$AE$10013,31,0)</f>
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</c>
      <c r="Q3" s="184" t="str">
        <f>VLOOKUP(C3,'[3]Train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04:16:10-0600',mode:absolute,to:'2016-08-31 07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" s="185" t="str">
        <f t="shared" ref="R3:R34" si="5">astrogrep_path&amp;" /spath="&amp;search_path&amp;" /stypes=""*"&amp;S3&amp;"*"&amp;TEXT(A3-utc_offset/24,"YYYYMMDD")&amp;LEFT(TEXT(A3-utc_offset/24,"HH"),1)&amp;"*"" /stext="" "&amp;TEXT(A3-utc_offset/24,"HH")&amp;search_regexp&amp;""" /e /r /s"</f>
        <v>"C:\Program Files (x86)\AstroGrep\AstroGrep.exe" /spath="C:\Users\stu\Documents\Analysis\2016-02-23 RTDC Observations" /stypes="*4013*201608311*" /stext=" 11:.+((SYSTEM_STATE.+slice.+state.+changed )|(ment ac)|(system.+state.+changed )|(\|lc)|(penalty)|(\[timeout)|(PRM\|1\|D))" /e /r /s</v>
      </c>
      <c r="S3" s="176" t="str">
        <f t="shared" si="1"/>
        <v>4013</v>
      </c>
      <c r="T3" s="172">
        <f t="shared" si="2"/>
        <v>42613.49832175926</v>
      </c>
      <c r="U3" s="181" t="str">
        <f t="shared" ref="U3:U66" si="6">IF(VALUE(LEFT(IF(LEN(C3)=6,"0"&amp;C3,C3),2))&lt;=2,"EC",IF(OR(VALUE(LEFT(IF(LEN(C3)=6,"0"&amp;C3,C3),2))=8,VALUE(LEFT(IF(LEN(C3)=6,"0"&amp;C3,C3),2))=18),"NW","Other"))</f>
        <v>EC</v>
      </c>
      <c r="V3" s="181" t="str">
        <f t="shared" si="4"/>
        <v>KEEP</v>
      </c>
      <c r="W3" s="186" t="str">
        <f t="shared" ref="W3:W34" si="7">"echo {""issue"":{""subject"":"""&amp;N3&amp;""",""project_id"":79,""tracker_id"":40,""status_id"":"&amp;redmine_status&amp;",""priority_id"":"&amp;redmine_priority&amp;",""assigned_to_id"":"&amp;redmine_assignee&amp;",""start_date"":"""&amp;TEXT(A3,"YYYY-mm-dd")&amp;""",""description"":"""&amp;X3&amp;""",""custom_fields"":[{""id"":1,""name"":""Subdivision"",""value"":"""&amp;U3&amp;"""},{""id"":4,""name"":""Milepost"",""value"":"""&amp;J3/10000&amp;"""},{""id"":17,""name"":""Train ID"",""value"":"""&amp;C3&amp;"""},{""id"":16,""name"":""Locomotive ID"",""value"":"""&amp;S3&amp;"""},{""id"":130,""name"":""Impact"",""value"":"""&amp;Y3&amp;"""},{""id"":150,""name"":""Time of Event (Mountain Time)"",""value"":"""&amp;TEXT(A3,"hh:mm:ss")&amp;"""},{""id"":151,""name"":""Denver Issue ID"",""value"":"""&amp;"""},{""id"":178,""name"":""Operational Impact"",""value"":"""&amp;redmine_op_impact&amp;"""},{""id"":179,""name"":""Denver Segment Assigned"",""value"":"""&amp;Z3&amp;"""}]}}"&amp;"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arrival","project_id":79,"tracker_id":40,"status_id":1,"priority_id":2,"assigned_to_id":23,"start_date":"2016-08-31","description":"","custom_fields":[{"id":1,"name":"Subdivision","value":"EC"},{"id":4,"name":"Milepost","value":"2.735"},{"id":17,"name":"Train ID","value":"108-31"},{"id":16,"name":"Locomotive ID","value":"4013"},{"id":130,"name":"Impact","value":""},{"id":150,"name":"Time of Event (Mountain Time)","value":"05:57:35"},{"id":151,"name":"Denver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" spans="1:23" x14ac:dyDescent="0.25">
      <c r="A4" s="172">
        <v>42613.565648148149</v>
      </c>
      <c r="B4" s="173" t="s">
        <v>111</v>
      </c>
      <c r="C4" s="173" t="s">
        <v>731</v>
      </c>
      <c r="D4" s="173" t="s">
        <v>110</v>
      </c>
      <c r="E4" s="173" t="s">
        <v>206</v>
      </c>
      <c r="F4" s="174">
        <v>0</v>
      </c>
      <c r="G4" s="174">
        <v>322</v>
      </c>
      <c r="H4" s="174">
        <v>33156</v>
      </c>
      <c r="I4" s="173" t="s">
        <v>205</v>
      </c>
      <c r="J4" s="174">
        <v>33137</v>
      </c>
      <c r="K4" s="173" t="s">
        <v>52</v>
      </c>
      <c r="L4" s="175" t="str">
        <f>VLOOKUP(C4,'[3]Trips&amp;Operators'!$C$1:$E$9999,3,0)</f>
        <v>MAHAN</v>
      </c>
      <c r="M4" s="182" t="s">
        <v>86</v>
      </c>
      <c r="N4" s="177" t="s">
        <v>336</v>
      </c>
      <c r="P4" s="183" t="str">
        <f>VLOOKUP(C4,'[3]Train Runs'!$A$13:$AE$10013,31,0)</f>
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</c>
      <c r="Q4" s="184" t="str">
        <f>VLOOKUP(C4,'[3]Train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12:20:30-0600',mode:absolute,to:'2016-08-31 15:09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4" s="185" t="str">
        <f t="shared" si="5"/>
        <v>"C:\Program Files (x86)\AstroGrep\AstroGrep.exe" /spath="C:\Users\stu\Documents\Analysis\2016-02-23 RTDC Observations" /stypes="*4014*201608311*" /stext=" 19:.+((SYSTEM_STATE.+slice.+state.+changed )|(ment ac)|(system.+state.+changed )|(\|lc)|(penalty)|(\[timeout)|(PRM\|1\|D))" /e /r /s</v>
      </c>
      <c r="S4" s="176" t="str">
        <f t="shared" si="1"/>
        <v>4014</v>
      </c>
      <c r="T4" s="172">
        <f t="shared" si="2"/>
        <v>42613.815648148149</v>
      </c>
      <c r="U4" s="181" t="str">
        <f t="shared" si="6"/>
        <v>EC</v>
      </c>
      <c r="V4" s="181" t="str">
        <f t="shared" si="4"/>
        <v>KEEP</v>
      </c>
      <c r="W4" s="186" t="str">
        <f t="shared" si="7"/>
        <v>echo {"issue":{"subject":"Early arrival","project_id":79,"tracker_id":40,"status_id":1,"priority_id":2,"assigned_to_id":23,"start_date":"2016-08-31","description":"","custom_fields":[{"id":1,"name":"Subdivision","value":"EC"},{"id":4,"name":"Milepost","value":"3.3137"},{"id":17,"name":"Train ID","value":"177-31"},{"id":16,"name":"Locomotive ID","value":"4014"},{"id":130,"name":"Impact","value":""},{"id":150,"name":"Time of Event (Mountain Time)","value":"13:34:32"},{"id":151,"name":"Denver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" spans="1:23" x14ac:dyDescent="0.25">
      <c r="A5" s="172">
        <v>42613.86210648148</v>
      </c>
      <c r="B5" s="173" t="s">
        <v>724</v>
      </c>
      <c r="C5" s="173" t="s">
        <v>735</v>
      </c>
      <c r="D5" s="173" t="s">
        <v>229</v>
      </c>
      <c r="E5" s="173" t="s">
        <v>206</v>
      </c>
      <c r="F5" s="174">
        <v>0</v>
      </c>
      <c r="G5" s="174">
        <v>272</v>
      </c>
      <c r="H5" s="174">
        <v>42824</v>
      </c>
      <c r="I5" s="173" t="s">
        <v>205</v>
      </c>
      <c r="J5" s="174">
        <v>42779</v>
      </c>
      <c r="K5" s="173" t="s">
        <v>52</v>
      </c>
      <c r="L5" s="175" t="str">
        <f>VLOOKUP(C5,'[3]Trips&amp;Operators'!$C$1:$E$9999,3,0)</f>
        <v>COOLAHAN</v>
      </c>
      <c r="M5" s="182" t="s">
        <v>86</v>
      </c>
      <c r="N5" s="177" t="s">
        <v>336</v>
      </c>
      <c r="P5" s="183" t="str">
        <f>VLOOKUP(C5,'[3]Train Runs'!$A$13:$AE$10013,31,0)</f>
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</c>
      <c r="Q5" s="184" t="str">
        <f>VLOOKUP(C5,'[3]Train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19:26:57-0600',mode:absolute,to:'2016-08-31 22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5" s="185" t="str">
        <f t="shared" si="5"/>
        <v>"C:\Program Files (x86)\AstroGrep\AstroGrep.exe" /spath="C:\Users\stu\Documents\Analysis\2016-02-23 RTDC Observations" /stypes="*4016*201609010*" /stext=" 02:.+((SYSTEM_STATE.+slice.+state.+changed )|(ment ac)|(system.+state.+changed )|(\|lc)|(penalty)|(\[timeout)|(PRM\|1\|D))" /e /r /s</v>
      </c>
      <c r="S5" s="176" t="str">
        <f t="shared" si="1"/>
        <v>4016</v>
      </c>
      <c r="T5" s="172">
        <f t="shared" si="2"/>
        <v>42614.11210648148</v>
      </c>
      <c r="U5" s="181" t="str">
        <f t="shared" si="6"/>
        <v>EC</v>
      </c>
      <c r="V5" s="181" t="str">
        <f t="shared" si="4"/>
        <v>KEEP</v>
      </c>
      <c r="W5" s="186" t="str">
        <f t="shared" si="7"/>
        <v>echo {"issue":{"subject":"Early arrival","project_id":79,"tracker_id":40,"status_id":1,"priority_id":2,"assigned_to_id":23,"start_date":"2016-08-31","description":"","custom_fields":[{"id":1,"name":"Subdivision","value":"EC"},{"id":4,"name":"Milepost","value":"4.2779"},{"id":17,"name":"Train ID","value":"227-31"},{"id":16,"name":"Locomotive ID","value":"4016"},{"id":130,"name":"Impact","value":""},{"id":150,"name":"Time of Event (Mountain Time)","value":"20:41:26"},{"id":151,"name":"Denver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" spans="1:23" x14ac:dyDescent="0.25">
      <c r="A6" s="172">
        <v>42613.61546296296</v>
      </c>
      <c r="B6" s="173" t="s">
        <v>90</v>
      </c>
      <c r="C6" s="173" t="s">
        <v>743</v>
      </c>
      <c r="D6" s="173" t="s">
        <v>110</v>
      </c>
      <c r="E6" s="173" t="s">
        <v>206</v>
      </c>
      <c r="F6" s="174">
        <v>0</v>
      </c>
      <c r="G6" s="174">
        <v>240</v>
      </c>
      <c r="H6" s="174">
        <v>58276</v>
      </c>
      <c r="I6" s="173" t="s">
        <v>205</v>
      </c>
      <c r="J6" s="174">
        <v>58301</v>
      </c>
      <c r="K6" s="173" t="s">
        <v>53</v>
      </c>
      <c r="L6" s="175" t="str">
        <f>VLOOKUP(C6,'[3]Trips&amp;Operators'!$C$1:$E$9999,3,0)</f>
        <v>MAHAN</v>
      </c>
      <c r="M6" s="182" t="s">
        <v>86</v>
      </c>
      <c r="N6" s="177" t="s">
        <v>336</v>
      </c>
      <c r="P6" s="183" t="str">
        <f>VLOOKUP(C6,'[3]Train Runs'!$A$13:$AE$10013,31,0)</f>
        <v>aws s3 cp s3://rtdc.mdm.uploadarchive/RTDC4013/2016-08-31/ "%USERPROFILE%\AppData\Local\Temp\OnboardLogs"\RTDC4013\2016-08-31 --recursive &amp; "%USERPROFILE%\Documents\GitHub\mrs-test-scripts\Headless Mode &amp; Sideloading\WalkAndUnGZ.bat" "%USERPROFILE%\AppData\Local\Temp\OnboardLogs"\RTDC4013\2016-08-31 &amp; 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</v>
      </c>
      <c r="Q6" s="184" t="str">
        <f>VLOOKUP(C6,'[3]Train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13:13:12-0600',mode:absolute,to:'2016-08-31 16:04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6" s="185" t="str">
        <f t="shared" si="5"/>
        <v>"C:\Program Files (x86)\AstroGrep\AstroGrep.exe" /spath="C:\Users\stu\Documents\Analysis\2016-02-23 RTDC Observations" /stypes="*4013*201608312*" /stext=" 20:.+((SYSTEM_STATE.+slice.+state.+changed )|(ment ac)|(system.+state.+changed )|(\|lc)|(penalty)|(\[timeout)|(PRM\|1\|D))" /e /r /s</v>
      </c>
      <c r="S6" s="176" t="str">
        <f t="shared" si="1"/>
        <v>4013</v>
      </c>
      <c r="T6" s="172">
        <f t="shared" si="2"/>
        <v>42613.86546296296</v>
      </c>
      <c r="U6" s="181" t="str">
        <f t="shared" si="6"/>
        <v>EC</v>
      </c>
      <c r="V6" s="181" t="str">
        <f t="shared" si="4"/>
        <v>KEEP</v>
      </c>
      <c r="W6" s="186" t="str">
        <f t="shared" si="7"/>
        <v>echo {"issue":{"subject":"Early arrival","project_id":79,"tracker_id":40,"status_id":1,"priority_id":2,"assigned_to_id":23,"start_date":"2016-08-31","description":"","custom_fields":[{"id":1,"name":"Subdivision","value":"EC"},{"id":4,"name":"Milepost","value":"5.8301"},{"id":17,"name":"Train ID","value":"178-31"},{"id":16,"name":"Locomotive ID","value":"4013"},{"id":130,"name":"Impact","value":""},{"id":150,"name":"Time of Event (Mountain Time)","value":"14:46:16"},{"id":151,"name":"Denver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" spans="1:23" x14ac:dyDescent="0.25">
      <c r="A7" s="172">
        <v>42613.91065972222</v>
      </c>
      <c r="B7" s="173" t="s">
        <v>746</v>
      </c>
      <c r="C7" s="173" t="s">
        <v>747</v>
      </c>
      <c r="D7" s="173" t="s">
        <v>229</v>
      </c>
      <c r="E7" s="173" t="s">
        <v>206</v>
      </c>
      <c r="F7" s="174">
        <v>0</v>
      </c>
      <c r="G7" s="174">
        <v>127</v>
      </c>
      <c r="H7" s="174">
        <v>63232</v>
      </c>
      <c r="I7" s="173" t="s">
        <v>205</v>
      </c>
      <c r="J7" s="174">
        <v>63309</v>
      </c>
      <c r="K7" s="173" t="s">
        <v>53</v>
      </c>
      <c r="L7" s="175" t="str">
        <f>VLOOKUP(C7,'[3]Trips&amp;Operators'!$C$1:$E$9999,3,0)</f>
        <v>COOLAHAN</v>
      </c>
      <c r="M7" s="182" t="s">
        <v>86</v>
      </c>
      <c r="N7" s="177" t="s">
        <v>336</v>
      </c>
      <c r="P7" s="183" t="str">
        <f>VLOOKUP(C7,'[3]Train Runs'!$A$13:$AE$10013,31,0)</f>
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</c>
      <c r="Q7" s="184" t="str">
        <f>VLOOKUP(C7,'[3]Train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20:19:17-0600',mode:absolute,to:'2016-08-31 23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7" s="185" t="str">
        <f t="shared" si="5"/>
        <v>"C:\Program Files (x86)\AstroGrep\AstroGrep.exe" /spath="C:\Users\stu\Documents\Analysis\2016-02-23 RTDC Observations" /stypes="*4015*201609010*" /stext=" 03:.+((SYSTEM_STATE.+slice.+state.+changed )|(ment ac)|(system.+state.+changed )|(\|lc)|(penalty)|(\[timeout)|(PRM\|1\|D))" /e /r /s</v>
      </c>
      <c r="S7" s="176" t="str">
        <f t="shared" si="1"/>
        <v>4015</v>
      </c>
      <c r="T7" s="172">
        <f t="shared" si="2"/>
        <v>42614.16065972222</v>
      </c>
      <c r="U7" s="181" t="str">
        <f t="shared" si="6"/>
        <v>EC</v>
      </c>
      <c r="V7" s="181" t="str">
        <f t="shared" si="4"/>
        <v>KEEP</v>
      </c>
      <c r="W7" s="186" t="str">
        <f t="shared" si="7"/>
        <v>echo {"issue":{"subject":"Early arrival","project_id":79,"tracker_id":40,"status_id":1,"priority_id":2,"assigned_to_id":23,"start_date":"2016-08-31","description":"","custom_fields":[{"id":1,"name":"Subdivision","value":"EC"},{"id":4,"name":"Milepost","value":"6.3309"},{"id":17,"name":"Train ID","value":"228-31"},{"id":16,"name":"Locomotive ID","value":"4015"},{"id":130,"name":"Impact","value":""},{"id":150,"name":"Time of Event (Mountain Time)","value":"21:51:21"},{"id":151,"name":"Denver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" spans="1:23" x14ac:dyDescent="0.25">
      <c r="A8" s="172">
        <v>42613.503391203703</v>
      </c>
      <c r="B8" s="173" t="s">
        <v>226</v>
      </c>
      <c r="C8" s="173" t="s">
        <v>714</v>
      </c>
      <c r="D8" s="173" t="s">
        <v>49</v>
      </c>
      <c r="E8" s="173" t="s">
        <v>206</v>
      </c>
      <c r="F8" s="174">
        <v>0</v>
      </c>
      <c r="G8" s="174">
        <v>300</v>
      </c>
      <c r="H8" s="174">
        <v>110526</v>
      </c>
      <c r="I8" s="173" t="s">
        <v>205</v>
      </c>
      <c r="J8" s="174">
        <v>109135</v>
      </c>
      <c r="K8" s="173" t="s">
        <v>53</v>
      </c>
      <c r="L8" s="175" t="str">
        <f>VLOOKUP(C8,'[3]Trips&amp;Operators'!$C$1:$E$9999,3,0)</f>
        <v>SMITH</v>
      </c>
      <c r="M8" s="182" t="s">
        <v>86</v>
      </c>
      <c r="N8" s="177" t="s">
        <v>1941</v>
      </c>
      <c r="P8" s="183" t="str">
        <f>VLOOKUP(C8,'[3]Train Runs'!$A$13:$AE$10013,31,0)</f>
        <v>aws s3 cp s3://rtdc.mdm.uploadarchive/RTDC4043/2016-08-31/ "%USERPROFILE%\AppData\Local\Temp\OnboardLogs"\RTDC4043\2016-08-31 --recursive &amp; "%USERPROFILE%\Documents\GitHub\mrs-test-scripts\Headless Mode &amp; Sideloading\WalkAndUnGZ.bat" "%USERPROFILE%\AppData\Local\Temp\OnboardLogs"\RTDC4043\2016-08-31 &amp; 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</v>
      </c>
      <c r="Q8" s="184" t="str">
        <f>VLOOKUP(C8,'[3]Train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10:31:14-0600',mode:absolute,to:'2016-08-31 13:28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8" s="185" t="str">
        <f t="shared" si="5"/>
        <v>"C:\Program Files (x86)\AstroGrep\AstroGrep.exe" /spath="C:\Users\stu\Documents\Analysis\2016-02-23 RTDC Observations" /stypes="*4043*201608311*" /stext=" 18:.+((SYSTEM_STATE.+slice.+state.+changed )|(ment ac)|(system.+state.+changed )|(\|lc)|(penalty)|(\[timeout)|(PRM\|1\|D))" /e /r /s</v>
      </c>
      <c r="S8" s="176" t="str">
        <f t="shared" si="1"/>
        <v>4043</v>
      </c>
      <c r="T8" s="172">
        <f t="shared" si="2"/>
        <v>42613.753391203703</v>
      </c>
      <c r="U8" s="181" t="str">
        <f t="shared" si="6"/>
        <v>EC</v>
      </c>
      <c r="V8" s="181" t="str">
        <f t="shared" si="4"/>
        <v>KEEP</v>
      </c>
      <c r="W8" s="186" t="str">
        <f t="shared" si="7"/>
        <v>echo {"issue":{"subject":"Form C","project_id":79,"tracker_id":40,"status_id":1,"priority_id":2,"assigned_to_id":23,"start_date":"2016-08-31","description":"","custom_fields":[{"id":1,"name":"Subdivision","value":"EC"},{"id":4,"name":"Milepost","value":"10.9135"},{"id":17,"name":"Train ID","value":"158-31"},{"id":16,"name":"Locomotive ID","value":"4043"},{"id":130,"name":"Impact","value":""},{"id":150,"name":"Time of Event (Mountain Time)","value":"12:04:53"},{"id":151,"name":"Denver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" spans="1:23" x14ac:dyDescent="0.25">
      <c r="A9" s="172">
        <v>42613.559629629628</v>
      </c>
      <c r="B9" s="173" t="s">
        <v>111</v>
      </c>
      <c r="C9" s="173" t="s">
        <v>731</v>
      </c>
      <c r="D9" s="173" t="s">
        <v>110</v>
      </c>
      <c r="E9" s="173" t="s">
        <v>56</v>
      </c>
      <c r="F9" s="174">
        <v>200</v>
      </c>
      <c r="G9" s="174">
        <v>253</v>
      </c>
      <c r="H9" s="174">
        <v>5328</v>
      </c>
      <c r="I9" s="173" t="s">
        <v>57</v>
      </c>
      <c r="J9" s="174">
        <v>4677</v>
      </c>
      <c r="K9" s="173" t="s">
        <v>52</v>
      </c>
      <c r="L9" s="175" t="str">
        <f>VLOOKUP(C9,'[3]Trips&amp;Operators'!$C$1:$E$9999,3,0)</f>
        <v>MAHAN</v>
      </c>
      <c r="M9" s="182" t="s">
        <v>86</v>
      </c>
      <c r="N9" s="177"/>
      <c r="P9" s="183" t="str">
        <f>VLOOKUP(C9,'[3]Train Runs'!$A$13:$AE$10013,31,0)</f>
        <v>aws s3 cp s3://rtdc.mdm.uploadarchive/RTDC4014/2016-08-31/ "%USERPROFILE%\AppData\Local\Temp\OnboardLogs"\RTDC4014\2016-08-31 --recursive &amp; "%USERPROFILE%\Documents\GitHub\mrs-test-scripts\Headless Mode &amp; Sideloading\WalkAndUnGZ.bat" "%USERPROFILE%\AppData\Local\Temp\OnboardLogs"\RTDC4014\2016-08-31 &amp; 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</v>
      </c>
      <c r="Q9" s="184" t="str">
        <f>VLOOKUP(C9,'[3]Train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12:20:30-0600',mode:absolute,to:'2016-08-31 15:09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9" s="185" t="str">
        <f t="shared" si="5"/>
        <v>"C:\Program Files (x86)\AstroGrep\AstroGrep.exe" /spath="C:\Users\stu\Documents\Analysis\2016-02-23 RTDC Observations" /stypes="*4014*201608311*" /stext=" 19:.+((SYSTEM_STATE.+slice.+state.+changed )|(ment ac)|(system.+state.+changed )|(\|lc)|(penalty)|(\[timeout)|(PRM\|1\|D))" /e /r /s</v>
      </c>
      <c r="S9" s="176" t="str">
        <f t="shared" si="1"/>
        <v>4014</v>
      </c>
      <c r="T9" s="172">
        <f t="shared" si="2"/>
        <v>42613.809629629628</v>
      </c>
      <c r="U9" s="181" t="str">
        <f t="shared" si="6"/>
        <v>EC</v>
      </c>
      <c r="V9" s="181" t="str">
        <f t="shared" si="4"/>
        <v>KEEP</v>
      </c>
      <c r="W9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{"issue":{"subject":"","project_id":79,"tracker_id":40,"status_id":1,"priority_id":2,"assigned_to_id":23,"start_date":"2016-08-31","description":"","custom_fields":[{"id":1,"name":"Subdivision","value":"EC"},{"id":4,"name":"Milepost","value":"0.4677"},{"id":17,"name":"Train ID","value":"177-31"},{"id":16,"name":"Locomotive ID","value":"4014"},{"id":130,"name":"Impact","value":""},{"id":150,"name":"Time of Event (Mountain Time)","value":"13:25:52"},{"id":151,"name":"Denver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" spans="1:23" x14ac:dyDescent="0.25">
      <c r="A10" s="172">
        <v>42613.670011574075</v>
      </c>
      <c r="B10" s="173" t="s">
        <v>227</v>
      </c>
      <c r="C10" s="173" t="s">
        <v>877</v>
      </c>
      <c r="D10" s="173" t="s">
        <v>49</v>
      </c>
      <c r="E10" s="173" t="s">
        <v>56</v>
      </c>
      <c r="F10" s="174">
        <v>300</v>
      </c>
      <c r="G10" s="174">
        <v>365</v>
      </c>
      <c r="H10" s="174">
        <v>22718</v>
      </c>
      <c r="I10" s="173" t="s">
        <v>57</v>
      </c>
      <c r="J10" s="174">
        <v>21848</v>
      </c>
      <c r="K10" s="173" t="s">
        <v>53</v>
      </c>
      <c r="L10" s="175" t="str">
        <f>VLOOKUP(C10,'[3]Trips&amp;Operators'!$C$1:$E$9999,3,0)</f>
        <v>ROBINSON</v>
      </c>
      <c r="M10" s="182" t="s">
        <v>86</v>
      </c>
      <c r="N10" s="177"/>
      <c r="P10" s="183" t="str">
        <f>VLOOKUP(C10,'[3]Train Runs'!$A$13:$AE$10013,31,0)</f>
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</c>
      <c r="Q10" s="184" t="str">
        <f>VLOOKUP(C10,'[3]Train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14:19:51-0600',mode:absolute,to:'2016-08-31 19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0" s="185" t="str">
        <f t="shared" si="5"/>
        <v>"C:\Program Files (x86)\AstroGrep\AstroGrep.exe" /spath="C:\Users\stu\Documents\Analysis\2016-02-23 RTDC Observations" /stypes="*4001*201608312*" /stext=" 22:.+((SYSTEM_STATE.+slice.+state.+changed )|(ment ac)|(system.+state.+changed )|(\|lc)|(penalty)|(\[timeout)|(PRM\|1\|D))" /e /r /s</v>
      </c>
      <c r="S10" s="176" t="str">
        <f t="shared" si="1"/>
        <v>4001</v>
      </c>
      <c r="T10" s="172">
        <f t="shared" si="2"/>
        <v>42613.920011574075</v>
      </c>
      <c r="U10" s="181" t="str">
        <f t="shared" si="6"/>
        <v>EC</v>
      </c>
      <c r="V10" s="181" t="str">
        <f t="shared" si="4"/>
        <v>KEEP</v>
      </c>
      <c r="W10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{"issue":{"subject":"","project_id":79,"tracker_id":40,"status_id":1,"priority_id":2,"assigned_to_id":23,"start_date":"2016-08-31","description":"","custom_fields":[{"id":1,"name":"Subdivision","value":"EC"},{"id":4,"name":"Milepost","value":"2.1848"},{"id":17,"name":"Train ID","value":"188-31"},{"id":16,"name":"Locomotive ID","value":"4001"},{"id":130,"name":"Impact","value":""},{"id":150,"name":"Time of Event (Mountain Time)","value":"16:04:49"},{"id":151,"name":"Denver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" spans="1:23" x14ac:dyDescent="0.25">
      <c r="A11" s="172">
        <v>42614.061018518521</v>
      </c>
      <c r="B11" s="173" t="s">
        <v>227</v>
      </c>
      <c r="C11" s="173" t="s">
        <v>958</v>
      </c>
      <c r="D11" s="173" t="s">
        <v>49</v>
      </c>
      <c r="E11" s="173" t="s">
        <v>56</v>
      </c>
      <c r="F11" s="174">
        <v>300</v>
      </c>
      <c r="G11" s="174">
        <v>408</v>
      </c>
      <c r="H11" s="174">
        <v>22668</v>
      </c>
      <c r="I11" s="173" t="s">
        <v>57</v>
      </c>
      <c r="J11" s="174">
        <v>21848</v>
      </c>
      <c r="K11" s="173" t="s">
        <v>53</v>
      </c>
      <c r="L11" s="175"/>
      <c r="M11" s="182" t="s">
        <v>86</v>
      </c>
      <c r="N11" s="177"/>
      <c r="P11" s="183" t="str">
        <f>VLOOKUP(C11,'[3]Train Runs'!$A$13:$AE$10013,31,0)</f>
        <v>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 &amp; aws s3 cp s3://rtdc.mdm.uploadarchive/RTDC4001/2016-09-02/ "%USERPROFILE%\AppData\Local\Temp\OnboardLogs"\RTDC4001\2016-09-02 --recursive &amp; "%USERPROFILE%\Documents\GitHub\mrs-test-scripts\Headless Mode &amp; Sideloading\WalkAndUnGZ.bat" "%USERPROFILE%\AppData\Local\Temp\OnboardLogs"\RTDC4001\2016-09-02</v>
      </c>
      <c r="Q11" s="184" t="str">
        <f>VLOOKUP(C11,'[3]Train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23:51:44-0600',mode:absolute,to:'2016-09-01 02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1" s="185" t="str">
        <f t="shared" si="5"/>
        <v>"C:\Program Files (x86)\AstroGrep\AstroGrep.exe" /spath="C:\Users\stu\Documents\Analysis\2016-02-23 RTDC Observations" /stypes="*4001*201609010*" /stext=" 07:.+((SYSTEM_STATE.+slice.+state.+changed )|(ment ac)|(system.+state.+changed )|(\|lc)|(penalty)|(\[timeout)|(PRM\|1\|D))" /e /r /s</v>
      </c>
      <c r="S11" s="176" t="str">
        <f t="shared" si="1"/>
        <v>4001</v>
      </c>
      <c r="T11" s="172">
        <f t="shared" si="2"/>
        <v>42614.311018518521</v>
      </c>
      <c r="U11" s="181" t="str">
        <f t="shared" si="6"/>
        <v>EC</v>
      </c>
      <c r="V11" s="181" t="str">
        <f t="shared" si="4"/>
        <v>KEEP</v>
      </c>
      <c r="W11" s="186" t="str">
        <f t="shared" si="7"/>
        <v>echo {"issue":{"subject":"","project_id":79,"tracker_id":40,"status_id":1,"priority_id":2,"assigned_to_id":23,"start_date":"2016-09-01","description":"","custom_fields":[{"id":1,"name":"Subdivision","value":"EC"},{"id":4,"name":"Milepost","value":"2.1848"},{"id":17,"name":"Train ID","value":"242-31"},{"id":16,"name":"Locomotive ID","value":"4001"},{"id":130,"name":"Impact","value":""},{"id":150,"name":"Time of Event (Mountain Time)","value":"01:27:52"},{"id":151,"name":"Denver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" spans="1:23" x14ac:dyDescent="0.25">
      <c r="A12" s="172">
        <v>42613.26771990741</v>
      </c>
      <c r="B12" s="173" t="s">
        <v>724</v>
      </c>
      <c r="C12" s="173" t="s">
        <v>776</v>
      </c>
      <c r="D12" s="173" t="s">
        <v>49</v>
      </c>
      <c r="E12" s="173" t="s">
        <v>56</v>
      </c>
      <c r="F12" s="174">
        <v>400</v>
      </c>
      <c r="G12" s="174">
        <v>769</v>
      </c>
      <c r="H12" s="174">
        <v>112388</v>
      </c>
      <c r="I12" s="173" t="s">
        <v>57</v>
      </c>
      <c r="J12" s="174">
        <v>116838</v>
      </c>
      <c r="K12" s="173" t="s">
        <v>52</v>
      </c>
      <c r="L12" s="175" t="str">
        <f>VLOOKUP(C12,'[3]Trips&amp;Operators'!$C$1:$E$9999,3,0)</f>
        <v>STRICKLAND</v>
      </c>
      <c r="M12" s="182" t="s">
        <v>86</v>
      </c>
      <c r="N12" s="177"/>
      <c r="P12" s="183" t="str">
        <f>VLOOKUP(C12,'[3]Train Runs'!$A$13:$AE$10013,31,0)</f>
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</c>
      <c r="Q12" s="184" t="str">
        <f>VLOOKUP(C12,'[3]Train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05:07:02-0600',mode:absolute,to:'2016-08-31 07:47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12" s="185" t="str">
        <f t="shared" si="5"/>
        <v>"C:\Program Files (x86)\AstroGrep\AstroGrep.exe" /spath="C:\Users\stu\Documents\Analysis\2016-02-23 RTDC Observations" /stypes="*4016*201608311*" /stext=" 12:.+((SYSTEM_STATE.+slice.+state.+changed )|(ment ac)|(system.+state.+changed )|(\|lc)|(penalty)|(\[timeout)|(PRM\|1\|D))" /e /r /s</v>
      </c>
      <c r="S12" s="176" t="str">
        <f t="shared" si="1"/>
        <v>4016</v>
      </c>
      <c r="T12" s="172">
        <f t="shared" si="2"/>
        <v>42613.51771990741</v>
      </c>
      <c r="U12" s="181" t="str">
        <f t="shared" si="6"/>
        <v>EC</v>
      </c>
      <c r="V12" s="181" t="str">
        <f t="shared" si="4"/>
        <v>KEEP</v>
      </c>
      <c r="W12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{"issue":{"subject":"","project_id":79,"tracker_id":40,"status_id":1,"priority_id":2,"assigned_to_id":23,"start_date":"2016-08-31","description":"","custom_fields":[{"id":1,"name":"Subdivision","value":"EC"},{"id":4,"name":"Milepost","value":"11.6838"},{"id":17,"name":"Train ID","value":"119-31"},{"id":16,"name":"Locomotive ID","value":"4016"},{"id":130,"name":"Impact","value":""},{"id":150,"name":"Time of Event (Mountain Time)","value":"06:25:31"},{"id":151,"name":"Denver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" spans="1:23" x14ac:dyDescent="0.25">
      <c r="A13" s="172">
        <v>42613.317476851851</v>
      </c>
      <c r="B13" s="173" t="s">
        <v>228</v>
      </c>
      <c r="C13" s="173" t="s">
        <v>792</v>
      </c>
      <c r="D13" s="173" t="s">
        <v>49</v>
      </c>
      <c r="E13" s="173" t="s">
        <v>56</v>
      </c>
      <c r="F13" s="174">
        <v>400</v>
      </c>
      <c r="G13" s="174">
        <v>545</v>
      </c>
      <c r="H13" s="174">
        <v>115384</v>
      </c>
      <c r="I13" s="173" t="s">
        <v>57</v>
      </c>
      <c r="J13" s="174">
        <v>116838</v>
      </c>
      <c r="K13" s="173" t="s">
        <v>52</v>
      </c>
      <c r="L13" s="175" t="str">
        <f>VLOOKUP(C13,'[3]Trips&amp;Operators'!$C$1:$E$9999,3,0)</f>
        <v>SMITH</v>
      </c>
      <c r="M13" s="182" t="s">
        <v>86</v>
      </c>
      <c r="N13" s="177"/>
      <c r="P13" s="183" t="str">
        <f>VLOOKUP(C13,'[3]Train Runs'!$A$13:$AE$10013,31,0)</f>
        <v>aws s3 cp s3://rtdc.mdm.uploadarchive/RTDC4044/2016-08-31/ "%USERPROFILE%\AppData\Local\Temp\OnboardLogs"\RTDC4044\2016-08-31 --recursive &amp; "%USERPROFILE%\Documents\GitHub\mrs-test-scripts\Headless Mode &amp; Sideloading\WalkAndUnGZ.bat" "%USERPROFILE%\AppData\Local\Temp\OnboardLogs"\RTDC4044\2016-08-31 &amp; 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</v>
      </c>
      <c r="Q13" s="184" t="str">
        <f>VLOOKUP(C13,'[3]Train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06:06:38-0600',mode:absolute,to:'2016-08-31 08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13" s="185" t="str">
        <f t="shared" si="5"/>
        <v>"C:\Program Files (x86)\AstroGrep\AstroGrep.exe" /spath="C:\Users\stu\Documents\Analysis\2016-02-23 RTDC Observations" /stypes="*4044*201608311*" /stext=" 13:.+((SYSTEM_STATE.+slice.+state.+changed )|(ment ac)|(system.+state.+changed )|(\|lc)|(penalty)|(\[timeout)|(PRM\|1\|D))" /e /r /s</v>
      </c>
      <c r="S13" s="176" t="str">
        <f t="shared" si="1"/>
        <v>4044</v>
      </c>
      <c r="T13" s="172">
        <f t="shared" si="2"/>
        <v>42613.567476851851</v>
      </c>
      <c r="U13" s="181" t="str">
        <f t="shared" si="6"/>
        <v>EC</v>
      </c>
      <c r="V13" s="181" t="str">
        <f t="shared" si="4"/>
        <v>KEEP</v>
      </c>
      <c r="W13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{"issue":{"subject":"","project_id":79,"tracker_id":40,"status_id":1,"priority_id":2,"assigned_to_id":23,"start_date":"2016-08-31","description":"","custom_fields":[{"id":1,"name":"Subdivision","value":"EC"},{"id":4,"name":"Milepost","value":"11.6838"},{"id":17,"name":"Train ID","value":"129-31"},{"id":16,"name":"Locomotive ID","value":"4044"},{"id":130,"name":"Impact","value":""},{"id":150,"name":"Time of Event (Mountain Time)","value":"07:37:10"},{"id":151,"name":"Denver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" spans="1:23" x14ac:dyDescent="0.25">
      <c r="A14" s="172">
        <v>42613.222037037034</v>
      </c>
      <c r="B14" s="173" t="s">
        <v>204</v>
      </c>
      <c r="C14" s="173" t="s">
        <v>768</v>
      </c>
      <c r="D14" s="173" t="s">
        <v>110</v>
      </c>
      <c r="E14" s="173" t="s">
        <v>56</v>
      </c>
      <c r="F14" s="174">
        <v>700</v>
      </c>
      <c r="G14" s="174">
        <v>750</v>
      </c>
      <c r="H14" s="174">
        <v>176338</v>
      </c>
      <c r="I14" s="173" t="s">
        <v>57</v>
      </c>
      <c r="J14" s="174">
        <v>183829</v>
      </c>
      <c r="K14" s="173" t="s">
        <v>53</v>
      </c>
      <c r="L14" s="175" t="str">
        <f>VLOOKUP(C14,'[3]Trips&amp;Operators'!$C$1:$E$9999,3,0)</f>
        <v>STRICKLAND</v>
      </c>
      <c r="M14" s="182" t="s">
        <v>86</v>
      </c>
      <c r="N14" s="177"/>
      <c r="P14" s="183" t="str">
        <f>VLOOKUP(C14,'[3]Train Runs'!$A$13:$AE$10013,31,0)</f>
        <v>aws s3 cp s3://rtdc.mdm.uploadarchive/RTDC4028/2016-08-31/ "%USERPROFILE%\AppData\Local\Temp\OnboardLogs"\RTDC4028\2016-08-31 --recursive &amp; "%USERPROFILE%\Documents\GitHub\mrs-test-scripts\Headless Mode &amp; Sideloading\WalkAndUnGZ.bat" "%USERPROFILE%\AppData\Local\Temp\OnboardLogs"\RTDC4028\2016-08-31 &amp; 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</v>
      </c>
      <c r="Q14" s="184" t="str">
        <f>VLOOKUP(C14,'[3]Train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04:03:59-0600',mode:absolute,to:'2016-08-31 06:52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4" s="185" t="str">
        <f t="shared" si="5"/>
        <v>"C:\Program Files (x86)\AstroGrep\AstroGrep.exe" /spath="C:\Users\stu\Documents\Analysis\2016-02-23 RTDC Observations" /stypes="*4028*201608311*" /stext=" 11:.+((SYSTEM_STATE.+slice.+state.+changed )|(ment ac)|(system.+state.+changed )|(\|lc)|(penalty)|(\[timeout)|(PRM\|1\|D))" /e /r /s</v>
      </c>
      <c r="S14" s="176" t="str">
        <f t="shared" si="1"/>
        <v>4028</v>
      </c>
      <c r="T14" s="172">
        <f t="shared" si="2"/>
        <v>42613.472037037034</v>
      </c>
      <c r="U14" s="181" t="str">
        <f t="shared" si="6"/>
        <v>EC</v>
      </c>
      <c r="V14" s="181" t="str">
        <f t="shared" si="4"/>
        <v>KEEP</v>
      </c>
      <c r="W14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{"issue":{"subject":"","project_id":79,"tracker_id":40,"status_id":1,"priority_id":2,"assigned_to_id":23,"start_date":"2016-08-31","description":"","custom_fields":[{"id":1,"name":"Subdivision","value":"EC"},{"id":4,"name":"Milepost","value":"18.3829"},{"id":17,"name":"Train ID","value":"106-31"},{"id":16,"name":"Locomotive ID","value":"4028"},{"id":130,"name":"Impact","value":""},{"id":150,"name":"Time of Event (Mountain Time)","value":"05:19:44"},{"id":151,"name":"Denver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" spans="1:23" x14ac:dyDescent="0.25">
      <c r="A15" s="172">
        <v>42613.762696759259</v>
      </c>
      <c r="B15" s="173" t="s">
        <v>204</v>
      </c>
      <c r="C15" s="173" t="s">
        <v>912</v>
      </c>
      <c r="D15" s="173" t="s">
        <v>110</v>
      </c>
      <c r="E15" s="173" t="s">
        <v>56</v>
      </c>
      <c r="F15" s="174">
        <v>700</v>
      </c>
      <c r="G15" s="174">
        <v>750</v>
      </c>
      <c r="H15" s="174">
        <v>179766</v>
      </c>
      <c r="I15" s="173" t="s">
        <v>57</v>
      </c>
      <c r="J15" s="174">
        <v>183829</v>
      </c>
      <c r="K15" s="173" t="s">
        <v>53</v>
      </c>
      <c r="L15" s="175" t="str">
        <f>VLOOKUP(C15,'[3]Trips&amp;Operators'!$C$1:$E$9999,3,0)</f>
        <v>STURGEON</v>
      </c>
      <c r="M15" s="182" t="s">
        <v>86</v>
      </c>
      <c r="N15" s="177"/>
      <c r="P15" s="183" t="str">
        <f>VLOOKUP(C15,'[3]Train Runs'!$A$13:$AE$10013,31,0)</f>
        <v>aws s3 cp s3://rtdc.mdm.uploadarchive/RTDC4028/2016-08-31/ "%USERPROFILE%\AppData\Local\Temp\OnboardLogs"\RTDC4028\2016-08-31 --recursive &amp; "%USERPROFILE%\Documents\GitHub\mrs-test-scripts\Headless Mode &amp; Sideloading\WalkAndUnGZ.bat" "%USERPROFILE%\AppData\Local\Temp\OnboardLogs"\RTDC4028\2016-08-31 &amp; aws s3 cp s3://rtdc.mdm.uploadarchive/RTDC4028/2016-09-01/ "%USERPROFILE%\AppData\Local\Temp\OnboardLogs"\RTDC4028\2016-09-01 --recursive &amp; "%USERPROFILE%\Documents\GitHub\mrs-test-scripts\Headless Mode &amp; Sideloading\WalkAndUnGZ.bat" "%USERPROFILE%\AppData\Local\Temp\OnboardLogs"\RTDC4028\2016-09-01</v>
      </c>
      <c r="Q15" s="184" t="str">
        <f>VLOOKUP(C15,'[3]Train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17:01:55-0600',mode:absolute,to:'2016-08-31 19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5" s="185" t="str">
        <f t="shared" si="5"/>
        <v>"C:\Program Files (x86)\AstroGrep\AstroGrep.exe" /spath="C:\Users\stu\Documents\Analysis\2016-02-23 RTDC Observations" /stypes="*4028*201609010*" /stext=" 00:.+((SYSTEM_STATE.+slice.+state.+changed )|(ment ac)|(system.+state.+changed )|(\|lc)|(penalty)|(\[timeout)|(PRM\|1\|D))" /e /r /s</v>
      </c>
      <c r="S15" s="176" t="str">
        <f t="shared" si="1"/>
        <v>4028</v>
      </c>
      <c r="T15" s="172">
        <f t="shared" si="2"/>
        <v>42614.012696759259</v>
      </c>
      <c r="U15" s="181" t="str">
        <f t="shared" si="6"/>
        <v>EC</v>
      </c>
      <c r="V15" s="181" t="str">
        <f t="shared" si="4"/>
        <v>KEEP</v>
      </c>
      <c r="W15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{"issue":{"subject":"","project_id":79,"tracker_id":40,"status_id":1,"priority_id":2,"assigned_to_id":23,"start_date":"2016-08-31","description":"","custom_fields":[{"id":1,"name":"Subdivision","value":"EC"},{"id":4,"name":"Milepost","value":"18.3829"},{"id":17,"name":"Train ID","value":"210-31"},{"id":16,"name":"Locomotive ID","value":"4028"},{"id":130,"name":"Impact","value":""},{"id":150,"name":"Time of Event (Mountain Time)","value":"18:18:17"},{"id":151,"name":"Denver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" spans="1:23" x14ac:dyDescent="0.25">
      <c r="A16" s="172">
        <v>42613.277199074073</v>
      </c>
      <c r="B16" s="173" t="s">
        <v>724</v>
      </c>
      <c r="C16" s="173" t="s">
        <v>776</v>
      </c>
      <c r="D16" s="173" t="s">
        <v>49</v>
      </c>
      <c r="E16" s="173" t="s">
        <v>56</v>
      </c>
      <c r="F16" s="174">
        <v>450</v>
      </c>
      <c r="G16" s="174">
        <v>617</v>
      </c>
      <c r="H16" s="174">
        <v>187770</v>
      </c>
      <c r="I16" s="173" t="s">
        <v>57</v>
      </c>
      <c r="J16" s="174">
        <v>190834</v>
      </c>
      <c r="K16" s="173" t="s">
        <v>52</v>
      </c>
      <c r="L16" s="175" t="str">
        <f>VLOOKUP(C16,'[3]Trips&amp;Operators'!$C$1:$E$9999,3,0)</f>
        <v>STRICKLAND</v>
      </c>
      <c r="M16" s="182" t="s">
        <v>86</v>
      </c>
      <c r="N16" s="177"/>
      <c r="P16" s="183" t="str">
        <f>VLOOKUP(C16,'[3]Train Runs'!$A$13:$AE$10013,31,0)</f>
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</c>
      <c r="Q16" s="184" t="str">
        <f>VLOOKUP(C16,'[3]Train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05:07:02-0600',mode:absolute,to:'2016-08-31 07:47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16" s="185" t="str">
        <f t="shared" si="5"/>
        <v>"C:\Program Files (x86)\AstroGrep\AstroGrep.exe" /spath="C:\Users\stu\Documents\Analysis\2016-02-23 RTDC Observations" /stypes="*4016*201608311*" /stext=" 12:.+((SYSTEM_STATE.+slice.+state.+changed )|(ment ac)|(system.+state.+changed )|(\|lc)|(penalty)|(\[timeout)|(PRM\|1\|D))" /e /r /s</v>
      </c>
      <c r="S16" s="176" t="str">
        <f t="shared" si="1"/>
        <v>4016</v>
      </c>
      <c r="T16" s="172">
        <f t="shared" si="2"/>
        <v>42613.527199074073</v>
      </c>
      <c r="U16" s="181" t="str">
        <f t="shared" si="6"/>
        <v>EC</v>
      </c>
      <c r="V16" s="181" t="str">
        <f t="shared" si="4"/>
        <v>KEEP</v>
      </c>
      <c r="W16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{"issue":{"subject":"","project_id":79,"tracker_id":40,"status_id":1,"priority_id":2,"assigned_to_id":23,"start_date":"2016-08-31","description":"","custom_fields":[{"id":1,"name":"Subdivision","value":"EC"},{"id":4,"name":"Milepost","value":"19.0834"},{"id":17,"name":"Train ID","value":"119-31"},{"id":16,"name":"Locomotive ID","value":"4016"},{"id":130,"name":"Impact","value":""},{"id":150,"name":"Time of Event (Mountain Time)","value":"06:39:10"},{"id":151,"name":"Denver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" spans="1:23" x14ac:dyDescent="0.25">
      <c r="A17" s="172">
        <v>42613.629837962966</v>
      </c>
      <c r="B17" s="173" t="s">
        <v>154</v>
      </c>
      <c r="C17" s="173" t="s">
        <v>868</v>
      </c>
      <c r="D17" s="173" t="s">
        <v>49</v>
      </c>
      <c r="E17" s="173" t="s">
        <v>56</v>
      </c>
      <c r="F17" s="174">
        <v>150</v>
      </c>
      <c r="G17" s="174">
        <v>269</v>
      </c>
      <c r="H17" s="174">
        <v>229350</v>
      </c>
      <c r="I17" s="173" t="s">
        <v>57</v>
      </c>
      <c r="J17" s="174">
        <v>230436</v>
      </c>
      <c r="K17" s="173" t="s">
        <v>52</v>
      </c>
      <c r="L17" s="175" t="str">
        <f>VLOOKUP(C17,'[3]Trips&amp;Operators'!$C$1:$E$9999,3,0)</f>
        <v>ARVIDSON</v>
      </c>
      <c r="M17" s="182" t="s">
        <v>86</v>
      </c>
      <c r="N17" s="177"/>
      <c r="P17" s="183" t="str">
        <f>VLOOKUP(C17,'[3]Train Runs'!$A$13:$AE$10013,31,0)</f>
        <v>aws s3 cp s3://rtdc.mdm.uploadarchive/RTDC4002/2016-08-31/ "%USERPROFILE%\AppData\Local\Temp\OnboardLogs"\RTDC4002\2016-08-31 --recursive &amp; "%USERPROFILE%\Documents\GitHub\mrs-test-scripts\Headless Mode &amp; Sideloading\WalkAndUnGZ.bat" "%USERPROFILE%\AppData\Local\Temp\OnboardLogs"\RTDC4002\2016-08-31 &amp; aws s3 cp s3://rtdc.mdm.uploadarchive/RTDC4002/2016-09-01/ "%USERPROFILE%\AppData\Local\Temp\OnboardLogs"\RTDC4002\2016-09-01 --recursive &amp; "%USERPROFILE%\Documents\GitHub\mrs-test-scripts\Headless Mode &amp; Sideloading\WalkAndUnGZ.bat" "%USERPROFILE%\AppData\Local\Temp\OnboardLogs"\RTDC4002\2016-09-01</v>
      </c>
      <c r="Q17" s="184" t="str">
        <f>VLOOKUP(C17,'[3]Train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13:28:20-0600',mode:absolute,to:'2016-08-31 16:09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17" s="185" t="str">
        <f t="shared" si="5"/>
        <v>"C:\Program Files (x86)\AstroGrep\AstroGrep.exe" /spath="C:\Users\stu\Documents\Analysis\2016-02-23 RTDC Observations" /stypes="*4002*201608312*" /stext=" 21:.+((SYSTEM_STATE.+slice.+state.+changed )|(ment ac)|(system.+state.+changed )|(\|lc)|(penalty)|(\[timeout)|(PRM\|1\|D))" /e /r /s</v>
      </c>
      <c r="S17" s="176" t="str">
        <f t="shared" si="1"/>
        <v>4002</v>
      </c>
      <c r="T17" s="172">
        <f t="shared" si="2"/>
        <v>42613.879837962966</v>
      </c>
      <c r="U17" s="181" t="str">
        <f t="shared" si="6"/>
        <v>EC</v>
      </c>
      <c r="V17" s="181" t="str">
        <f t="shared" si="4"/>
        <v>KEEP</v>
      </c>
      <c r="W17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{"issue":{"subject":"","project_id":79,"tracker_id":40,"status_id":1,"priority_id":2,"assigned_to_id":23,"start_date":"2016-08-31","description":"","custom_fields":[{"id":1,"name":"Subdivision","value":"EC"},{"id":4,"name":"Milepost","value":"23.0436"},{"id":17,"name":"Train ID","value":"187-31"},{"id":16,"name":"Locomotive ID","value":"4002"},{"id":130,"name":"Impact","value":""},{"id":150,"name":"Time of Event (Mountain Time)","value":"15:06:58"},{"id":151,"name":"Denver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" spans="1:23" x14ac:dyDescent="0.25">
      <c r="A18" s="172">
        <v>42613.688020833331</v>
      </c>
      <c r="B18" s="173" t="s">
        <v>418</v>
      </c>
      <c r="C18" s="173" t="s">
        <v>881</v>
      </c>
      <c r="D18" s="173" t="s">
        <v>49</v>
      </c>
      <c r="E18" s="173" t="s">
        <v>56</v>
      </c>
      <c r="F18" s="174">
        <v>150</v>
      </c>
      <c r="G18" s="174">
        <v>249</v>
      </c>
      <c r="H18" s="174">
        <v>229534</v>
      </c>
      <c r="I18" s="173" t="s">
        <v>57</v>
      </c>
      <c r="J18" s="174">
        <v>230436</v>
      </c>
      <c r="K18" s="173" t="s">
        <v>52</v>
      </c>
      <c r="L18" s="175" t="str">
        <f>VLOOKUP(C18,'[3]Trips&amp;Operators'!$C$1:$E$9999,3,0)</f>
        <v>YOUNG</v>
      </c>
      <c r="M18" s="182" t="s">
        <v>86</v>
      </c>
      <c r="N18" s="177"/>
      <c r="P18" s="183" t="str">
        <f>VLOOKUP(C18,'[3]Train Runs'!$A$13:$AE$10013,31,0)</f>
        <v>aws s3 cp s3://rtdc.mdm.uploadarchive/RTDC4042/2016-08-31/ "%USERPROFILE%\AppData\Local\Temp\OnboardLogs"\RTDC4042\2016-08-31 --recursive &amp; "%USERPROFILE%\Documents\GitHub\mrs-test-scripts\Headless Mode &amp; Sideloading\WalkAndUnGZ.bat" "%USERPROFILE%\AppData\Local\Temp\OnboardLogs"\RTDC4042\2016-08-31 &amp; 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</v>
      </c>
      <c r="Q18" s="184" t="str">
        <f>VLOOKUP(C18,'[3]Train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14:43:40-0600',mode:absolute,to:'2016-08-31 17:32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18" s="185" t="str">
        <f t="shared" si="5"/>
        <v>"C:\Program Files (x86)\AstroGrep\AstroGrep.exe" /spath="C:\Users\stu\Documents\Analysis\2016-02-23 RTDC Observations" /stypes="*4042*201608312*" /stext=" 22:.+((SYSTEM_STATE.+slice.+state.+changed )|(ment ac)|(system.+state.+changed )|(\|lc)|(penalty)|(\[timeout)|(PRM\|1\|D))" /e /r /s</v>
      </c>
      <c r="S18" s="176" t="str">
        <f t="shared" si="1"/>
        <v>4042</v>
      </c>
      <c r="T18" s="172">
        <f t="shared" si="2"/>
        <v>42613.938020833331</v>
      </c>
      <c r="U18" s="181" t="str">
        <f t="shared" si="6"/>
        <v>EC</v>
      </c>
      <c r="V18" s="181" t="str">
        <f t="shared" si="4"/>
        <v>KEEP</v>
      </c>
      <c r="W18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{"issue":{"subject":"","project_id":79,"tracker_id":40,"status_id":1,"priority_id":2,"assigned_to_id":23,"start_date":"2016-08-31","description":"","custom_fields":[{"id":1,"name":"Subdivision","value":"EC"},{"id":4,"name":"Milepost","value":"23.0436"},{"id":17,"name":"Train ID","value":"197-31"},{"id":16,"name":"Locomotive ID","value":"4042"},{"id":130,"name":"Impact","value":""},{"id":150,"name":"Time of Event (Mountain Time)","value":"16:30:45"},{"id":151,"name":"Denver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" spans="1:23" x14ac:dyDescent="0.25">
      <c r="A19" s="172">
        <v>42613.290011574078</v>
      </c>
      <c r="B19" s="173" t="s">
        <v>746</v>
      </c>
      <c r="C19" s="173" t="s">
        <v>789</v>
      </c>
      <c r="D19" s="173" t="s">
        <v>110</v>
      </c>
      <c r="E19" s="173" t="s">
        <v>56</v>
      </c>
      <c r="F19" s="174">
        <v>350</v>
      </c>
      <c r="G19" s="174">
        <v>409</v>
      </c>
      <c r="H19" s="174">
        <v>229117</v>
      </c>
      <c r="I19" s="173" t="s">
        <v>57</v>
      </c>
      <c r="J19" s="174">
        <v>232107</v>
      </c>
      <c r="K19" s="173" t="s">
        <v>53</v>
      </c>
      <c r="L19" s="175" t="str">
        <f>VLOOKUP(C19,'[3]Trips&amp;Operators'!$C$1:$E$9999,3,0)</f>
        <v>STRICKLAND</v>
      </c>
      <c r="M19" s="182" t="s">
        <v>86</v>
      </c>
      <c r="N19" s="177"/>
      <c r="P19" s="183" t="str">
        <f>VLOOKUP(C19,'[3]Train Runs'!$A$13:$AE$10013,31,0)</f>
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</c>
      <c r="Q19" s="184" t="str">
        <f>VLOOKUP(C19,'[3]Train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05:49:12-0600',mode:absolute,to:'2016-08-31 08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19" s="185" t="str">
        <f t="shared" si="5"/>
        <v>"C:\Program Files (x86)\AstroGrep\AstroGrep.exe" /spath="C:\Users\stu\Documents\Analysis\2016-02-23 RTDC Observations" /stypes="*4015*201608311*" /stext=" 12:.+((SYSTEM_STATE.+slice.+state.+changed )|(ment ac)|(system.+state.+changed )|(\|lc)|(penalty)|(\[timeout)|(PRM\|1\|D))" /e /r /s</v>
      </c>
      <c r="S19" s="176" t="str">
        <f t="shared" si="1"/>
        <v>4015</v>
      </c>
      <c r="T19" s="172">
        <f t="shared" si="2"/>
        <v>42613.540011574078</v>
      </c>
      <c r="U19" s="181" t="str">
        <f t="shared" si="6"/>
        <v>EC</v>
      </c>
      <c r="V19" s="181" t="str">
        <f t="shared" si="4"/>
        <v>KEEP</v>
      </c>
      <c r="W19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{"issue":{"subject":"","project_id":79,"tracker_id":40,"status_id":1,"priority_id":2,"assigned_to_id":23,"start_date":"2016-08-31","description":"","custom_fields":[{"id":1,"name":"Subdivision","value":"EC"},{"id":4,"name":"Milepost","value":"23.2107"},{"id":17,"name":"Train ID","value":"120-31"},{"id":16,"name":"Locomotive ID","value":"4015"},{"id":130,"name":"Impact","value":""},{"id":150,"name":"Time of Event (Mountain Time)","value":"06:57:37"},{"id":151,"name":"Denver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" spans="1:23" x14ac:dyDescent="0.25">
      <c r="A20" s="172">
        <v>42613.7737037037</v>
      </c>
      <c r="B20" s="173" t="s">
        <v>724</v>
      </c>
      <c r="C20" s="173" t="s">
        <v>917</v>
      </c>
      <c r="D20" s="173" t="s">
        <v>110</v>
      </c>
      <c r="E20" s="173" t="s">
        <v>54</v>
      </c>
      <c r="F20" s="174">
        <v>0</v>
      </c>
      <c r="G20" s="174">
        <v>76</v>
      </c>
      <c r="H20" s="174">
        <v>1855</v>
      </c>
      <c r="I20" s="173" t="s">
        <v>55</v>
      </c>
      <c r="J20" s="174">
        <v>1692</v>
      </c>
      <c r="K20" s="173" t="s">
        <v>52</v>
      </c>
      <c r="L20" s="175" t="str">
        <f>VLOOKUP(C20,'[3]Trips&amp;Operators'!$C$1:$E$9999,3,0)</f>
        <v>COOLAHAN</v>
      </c>
      <c r="M20" s="182" t="s">
        <v>86</v>
      </c>
      <c r="N20" s="177" t="s">
        <v>1942</v>
      </c>
      <c r="P20" s="183" t="str">
        <f>VLOOKUP(C20,'[3]Train Runs'!$A$13:$AE$10013,31,0)</f>
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</c>
      <c r="Q20" s="184" t="str">
        <f>VLOOKUP(C20,'[3]Train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17:38:31-0600',mode:absolute,to:'2016-08-31 20:15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20" s="185" t="str">
        <f t="shared" si="5"/>
        <v>"C:\Program Files (x86)\AstroGrep\AstroGrep.exe" /spath="C:\Users\stu\Documents\Analysis\2016-02-23 RTDC Observations" /stypes="*4016*201609010*" /stext=" 00:.+((SYSTEM_STATE.+slice.+state.+changed )|(ment ac)|(system.+state.+changed )|(\|lc)|(penalty)|(\[timeout)|(PRM\|1\|D))" /e /r /s</v>
      </c>
      <c r="S20" s="176" t="str">
        <f t="shared" si="1"/>
        <v>4016</v>
      </c>
      <c r="T20" s="172">
        <f t="shared" si="2"/>
        <v>42614.0237037037</v>
      </c>
      <c r="U20" s="181" t="str">
        <f t="shared" si="6"/>
        <v>EC</v>
      </c>
      <c r="V20" s="181" t="str">
        <f t="shared" si="4"/>
        <v>KEEP</v>
      </c>
      <c r="W20" s="186" t="str">
        <f t="shared" si="7"/>
        <v>echo {"issue":{"subject":"Went active too close to DUS 2N","project_id":79,"tracker_id":40,"status_id":1,"priority_id":2,"assigned_to_id":23,"start_date":"2016-08-31","description":"","custom_fields":[{"id":1,"name":"Subdivision","value":"EC"},{"id":4,"name":"Milepost","value":"0.1692"},{"id":17,"name":"Train ID","value":"219-31"},{"id":16,"name":"Locomotive ID","value":"4016"},{"id":130,"name":"Impact","value":""},{"id":150,"name":"Time of Event (Mountain Time)","value":"18:34:08"},{"id":151,"name":"Denver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" spans="1:23" x14ac:dyDescent="0.25">
      <c r="A21" s="172">
        <v>42613.277013888888</v>
      </c>
      <c r="B21" s="173" t="s">
        <v>226</v>
      </c>
      <c r="C21" s="173" t="s">
        <v>780</v>
      </c>
      <c r="D21" s="173" t="s">
        <v>49</v>
      </c>
      <c r="E21" s="173" t="s">
        <v>54</v>
      </c>
      <c r="F21" s="174">
        <v>0</v>
      </c>
      <c r="G21" s="174">
        <v>370</v>
      </c>
      <c r="H21" s="174">
        <v>129145</v>
      </c>
      <c r="I21" s="173" t="s">
        <v>55</v>
      </c>
      <c r="J21" s="174">
        <v>127587</v>
      </c>
      <c r="K21" s="173" t="s">
        <v>53</v>
      </c>
      <c r="L21" s="175" t="str">
        <f>VLOOKUP(C21,'[3]Trips&amp;Operators'!$C$1:$E$9999,3,0)</f>
        <v>SMITH</v>
      </c>
      <c r="M21" s="182" t="s">
        <v>86</v>
      </c>
      <c r="N21" s="177" t="s">
        <v>1943</v>
      </c>
      <c r="P21" s="183" t="str">
        <f>VLOOKUP(C21,'[3]Train Runs'!$A$13:$AE$10013,31,0)</f>
        <v>aws s3 cp s3://rtdc.mdm.uploadarchive/RTDC4043/2016-08-31/ "%USERPROFILE%\AppData\Local\Temp\OnboardLogs"\RTDC4043\2016-08-31 --recursive &amp; "%USERPROFILE%\Documents\GitHub\mrs-test-scripts\Headless Mode &amp; Sideloading\WalkAndUnGZ.bat" "%USERPROFILE%\AppData\Local\Temp\OnboardLogs"\RTDC4043\2016-08-31 &amp; 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</v>
      </c>
      <c r="Q21" s="184" t="str">
        <f>VLOOKUP(C21,'[3]Train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05:10:47-0600',mode:absolute,to:'2016-08-31 08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1" s="185" t="str">
        <f t="shared" si="5"/>
        <v>"C:\Program Files (x86)\AstroGrep\AstroGrep.exe" /spath="C:\Users\stu\Documents\Analysis\2016-02-23 RTDC Observations" /stypes="*4043*201608311*" /stext=" 12:.+((SYSTEM_STATE.+slice.+state.+changed )|(ment ac)|(system.+state.+changed )|(\|lc)|(penalty)|(\[timeout)|(PRM\|1\|D))" /e /r /s</v>
      </c>
      <c r="S21" s="176" t="str">
        <f t="shared" si="1"/>
        <v>4043</v>
      </c>
      <c r="T21" s="172">
        <f t="shared" si="2"/>
        <v>42613.527013888888</v>
      </c>
      <c r="U21" s="181" t="str">
        <f t="shared" si="6"/>
        <v>EC</v>
      </c>
      <c r="V21" s="181" t="str">
        <f t="shared" si="4"/>
        <v>KEEP</v>
      </c>
      <c r="W21" s="186" t="str">
        <f t="shared" si="7"/>
        <v>echo {"issue":{"subject":"40th 4S STOP, cleared shortly","project_id":79,"tracker_id":40,"status_id":1,"priority_id":2,"assigned_to_id":23,"start_date":"2016-08-31","description":"","custom_fields":[{"id":1,"name":"Subdivision","value":"EC"},{"id":4,"name":"Milepost","value":"12.7587"},{"id":17,"name":"Train ID","value":"116-31"},{"id":16,"name":"Locomotive ID","value":"4043"},{"id":130,"name":"Impact","value":""},{"id":150,"name":"Time of Event (Mountain Time)","value":"06:38:54"},{"id":151,"name":"Denver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" spans="1:23" x14ac:dyDescent="0.25">
      <c r="A22" s="172">
        <v>42613.396689814814</v>
      </c>
      <c r="B22" s="173" t="s">
        <v>349</v>
      </c>
      <c r="C22" s="173" t="s">
        <v>815</v>
      </c>
      <c r="D22" s="173" t="s">
        <v>49</v>
      </c>
      <c r="E22" s="173" t="s">
        <v>54</v>
      </c>
      <c r="F22" s="174">
        <v>0</v>
      </c>
      <c r="G22" s="174">
        <v>533</v>
      </c>
      <c r="H22" s="174">
        <v>195364</v>
      </c>
      <c r="I22" s="173" t="s">
        <v>55</v>
      </c>
      <c r="J22" s="174">
        <v>191723</v>
      </c>
      <c r="K22" s="173" t="s">
        <v>53</v>
      </c>
      <c r="L22" s="175" t="str">
        <f>VLOOKUP(C22,'[3]Trips&amp;Operators'!$C$1:$E$9999,3,0)</f>
        <v>SANTIZO</v>
      </c>
      <c r="M22" s="182" t="s">
        <v>86</v>
      </c>
      <c r="N22" s="177" t="s">
        <v>1944</v>
      </c>
      <c r="P22" s="183" t="str">
        <f>VLOOKUP(C22,'[3]Train Runs'!$A$13:$AE$10013,31,0)</f>
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</c>
      <c r="Q22" s="184" t="str">
        <f>VLOOKUP(C22,'[3]Train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08:09:15-0600',mode:absolute,to:'2016-08-31 11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22" s="185" t="str">
        <f t="shared" si="5"/>
        <v>"C:\Program Files (x86)\AstroGrep\AstroGrep.exe" /spath="C:\Users\stu\Documents\Analysis\2016-02-23 RTDC Observations" /stypes="*4041*201608311*" /stext=" 15:.+((SYSTEM_STATE.+slice.+state.+changed )|(ment ac)|(system.+state.+changed )|(\|lc)|(penalty)|(\[timeout)|(PRM\|1\|D))" /e /r /s</v>
      </c>
      <c r="S22" s="176" t="str">
        <f t="shared" si="1"/>
        <v>4041</v>
      </c>
      <c r="T22" s="172">
        <f t="shared" si="2"/>
        <v>42613.646689814814</v>
      </c>
      <c r="U22" s="181" t="str">
        <f t="shared" si="6"/>
        <v>EC</v>
      </c>
      <c r="V22" s="181" t="str">
        <f t="shared" si="4"/>
        <v>KEEP</v>
      </c>
      <c r="W22" s="186" t="str">
        <f t="shared" si="7"/>
        <v>echo {"issue":{"subject":"Pena 4S STOP, cleared shortly","project_id":79,"tracker_id":40,"status_id":1,"priority_id":2,"assigned_to_id":23,"start_date":"2016-08-31","description":"","custom_fields":[{"id":1,"name":"Subdivision","value":"EC"},{"id":4,"name":"Milepost","value":"19.1723"},{"id":17,"name":"Train ID","value":"140-31"},{"id":16,"name":"Locomotive ID","value":"4041"},{"id":130,"name":"Impact","value":""},{"id":150,"name":"Time of Event (Mountain Time)","value":"09:31:14"},{"id":151,"name":"Denver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" spans="1:23" x14ac:dyDescent="0.25">
      <c r="A23" s="172">
        <v>42613.305694444447</v>
      </c>
      <c r="B23" s="173" t="s">
        <v>227</v>
      </c>
      <c r="C23" s="173" t="s">
        <v>785</v>
      </c>
      <c r="D23" s="173" t="s">
        <v>49</v>
      </c>
      <c r="E23" s="173" t="s">
        <v>50</v>
      </c>
      <c r="F23" s="174">
        <v>0</v>
      </c>
      <c r="G23" s="174">
        <v>67</v>
      </c>
      <c r="H23" s="174">
        <v>216</v>
      </c>
      <c r="I23" s="173" t="s">
        <v>51</v>
      </c>
      <c r="J23" s="174">
        <v>1</v>
      </c>
      <c r="K23" s="173" t="s">
        <v>53</v>
      </c>
      <c r="L23" s="175" t="str">
        <f>VLOOKUP(C23,'[3]Trips&amp;Operators'!$C$1:$E$9999,3,0)</f>
        <v>ARVIDSON</v>
      </c>
      <c r="M23" s="182" t="s">
        <v>86</v>
      </c>
      <c r="N23" s="177"/>
      <c r="P23" s="183" t="str">
        <f>VLOOKUP(C23,'[3]Train Runs'!$A$13:$AE$10013,31,0)</f>
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</c>
      <c r="Q23" s="184" t="str">
        <f>VLOOKUP(C23,'[3]Train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05:34:34-0600',mode:absolute,to:'2016-08-31 08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3" s="185" t="str">
        <f t="shared" si="5"/>
        <v>"C:\Program Files (x86)\AstroGrep\AstroGrep.exe" /spath="C:\Users\stu\Documents\Analysis\2016-02-23 RTDC Observations" /stypes="*4001*201608311*" /stext=" 13:.+((SYSTEM_STATE.+slice.+state.+changed )|(ment ac)|(system.+state.+changed )|(\|lc)|(penalty)|(\[timeout)|(PRM\|1\|D))" /e /r /s</v>
      </c>
      <c r="S23" s="176" t="str">
        <f t="shared" si="1"/>
        <v>4001</v>
      </c>
      <c r="T23" s="172">
        <f t="shared" si="2"/>
        <v>42613.555694444447</v>
      </c>
      <c r="U23" s="181" t="str">
        <f t="shared" si="6"/>
        <v>EC</v>
      </c>
      <c r="V23" s="181" t="str">
        <f t="shared" si="4"/>
        <v>KEEP</v>
      </c>
      <c r="W23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{"issue":{"subject":"","project_id":79,"tracker_id":40,"status_id":1,"priority_id":2,"assigned_to_id":23,"start_date":"2016-08-31","description":"","custom_fields":[{"id":1,"name":"Subdivision","value":"EC"},{"id":4,"name":"Milepost","value":"0.0001"},{"id":17,"name":"Train ID","value":"118-31"},{"id":16,"name":"Locomotive ID","value":"4001"},{"id":130,"name":"Impact","value":""},{"id":150,"name":"Time of Event (Mountain Time)","value":"07:20:12"},{"id":151,"name":"Denver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" spans="1:23" x14ac:dyDescent="0.25">
      <c r="A24" s="172">
        <v>42613.453206018516</v>
      </c>
      <c r="B24" s="173" t="s">
        <v>227</v>
      </c>
      <c r="C24" s="173" t="s">
        <v>824</v>
      </c>
      <c r="D24" s="173" t="s">
        <v>49</v>
      </c>
      <c r="E24" s="173" t="s">
        <v>50</v>
      </c>
      <c r="F24" s="174">
        <v>0</v>
      </c>
      <c r="G24" s="174">
        <v>36</v>
      </c>
      <c r="H24" s="174">
        <v>147</v>
      </c>
      <c r="I24" s="173" t="s">
        <v>51</v>
      </c>
      <c r="J24" s="174">
        <v>1</v>
      </c>
      <c r="K24" s="173" t="s">
        <v>53</v>
      </c>
      <c r="L24" s="175" t="str">
        <f>VLOOKUP(C24,'[3]Trips&amp;Operators'!$C$1:$E$9999,3,0)</f>
        <v>ARVIDSON</v>
      </c>
      <c r="M24" s="182" t="s">
        <v>86</v>
      </c>
      <c r="N24" s="177"/>
      <c r="P24" s="183" t="str">
        <f>VLOOKUP(C24,'[3]Train Runs'!$A$13:$AE$10013,31,0)</f>
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</c>
      <c r="Q24" s="184" t="str">
        <f>VLOOKUP(C24,'[3]Train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09:05:28-0600',mode:absolute,to:'2016-08-31 11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4" s="185" t="str">
        <f t="shared" si="5"/>
        <v>"C:\Program Files (x86)\AstroGrep\AstroGrep.exe" /spath="C:\Users\stu\Documents\Analysis\2016-02-23 RTDC Observations" /stypes="*4001*201608311*" /stext=" 16:.+((SYSTEM_STATE.+slice.+state.+changed )|(ment ac)|(system.+state.+changed )|(\|lc)|(penalty)|(\[timeout)|(PRM\|1\|D))" /e /r /s</v>
      </c>
      <c r="S24" s="176" t="str">
        <f t="shared" si="1"/>
        <v>4001</v>
      </c>
      <c r="T24" s="172">
        <f t="shared" si="2"/>
        <v>42613.703206018516</v>
      </c>
      <c r="U24" s="181" t="str">
        <f t="shared" si="6"/>
        <v>EC</v>
      </c>
      <c r="V24" s="181" t="str">
        <f t="shared" si="4"/>
        <v>KEEP</v>
      </c>
      <c r="W24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{"issue":{"subject":"","project_id":79,"tracker_id":40,"status_id":1,"priority_id":2,"assigned_to_id":23,"start_date":"2016-08-31","description":"","custom_fields":[{"id":1,"name":"Subdivision","value":"EC"},{"id":4,"name":"Milepost","value":"0.0001"},{"id":17,"name":"Train ID","value":"146-31"},{"id":16,"name":"Locomotive ID","value":"4001"},{"id":130,"name":"Impact","value":""},{"id":150,"name":"Time of Event (Mountain Time)","value":"10:52:37"},{"id":151,"name":"Denver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" spans="1:23" x14ac:dyDescent="0.25">
      <c r="A25" s="172">
        <v>42613.538078703707</v>
      </c>
      <c r="B25" s="173" t="s">
        <v>746</v>
      </c>
      <c r="C25" s="173" t="s">
        <v>844</v>
      </c>
      <c r="D25" s="173" t="s">
        <v>49</v>
      </c>
      <c r="E25" s="173" t="s">
        <v>50</v>
      </c>
      <c r="F25" s="174">
        <v>0</v>
      </c>
      <c r="G25" s="174">
        <v>78</v>
      </c>
      <c r="H25" s="174">
        <v>291</v>
      </c>
      <c r="I25" s="173" t="s">
        <v>51</v>
      </c>
      <c r="J25" s="174">
        <v>1</v>
      </c>
      <c r="K25" s="173" t="s">
        <v>53</v>
      </c>
      <c r="L25" s="175" t="str">
        <f>VLOOKUP(C25,'[3]Trips&amp;Operators'!$C$1:$E$9999,3,0)</f>
        <v>BARTLETT</v>
      </c>
      <c r="M25" s="182" t="s">
        <v>86</v>
      </c>
      <c r="N25" s="177"/>
      <c r="P25" s="183" t="str">
        <f>VLOOKUP(C25,'[3]Train Runs'!$A$13:$AE$10013,31,0)</f>
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</c>
      <c r="Q25" s="184" t="str">
        <f>VLOOKUP(C25,'[3]Train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11:00:15-0600',mode:absolute,to:'2016-08-31 13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25" s="185" t="str">
        <f t="shared" si="5"/>
        <v>"C:\Program Files (x86)\AstroGrep\AstroGrep.exe" /spath="C:\Users\stu\Documents\Analysis\2016-02-23 RTDC Observations" /stypes="*4015*201608311*" /stext=" 18:.+((SYSTEM_STATE.+slice.+state.+changed )|(ment ac)|(system.+state.+changed )|(\|lc)|(penalty)|(\[timeout)|(PRM\|1\|D))" /e /r /s</v>
      </c>
      <c r="S25" s="176" t="str">
        <f t="shared" si="1"/>
        <v>4015</v>
      </c>
      <c r="T25" s="172">
        <f t="shared" si="2"/>
        <v>42613.788078703707</v>
      </c>
      <c r="U25" s="181" t="str">
        <f t="shared" si="6"/>
        <v>EC</v>
      </c>
      <c r="V25" s="181" t="str">
        <f t="shared" si="4"/>
        <v>KEEP</v>
      </c>
      <c r="W25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{"issue":{"subject":"","project_id":79,"tracker_id":40,"status_id":1,"priority_id":2,"assigned_to_id":23,"start_date":"2016-08-31","description":"","custom_fields":[{"id":1,"name":"Subdivision","value":"EC"},{"id":4,"name":"Milepost","value":"0.0001"},{"id":17,"name":"Train ID","value":"162-31"},{"id":16,"name":"Locomotive ID","value":"4015"},{"id":130,"name":"Impact","value":""},{"id":150,"name":"Time of Event (Mountain Time)","value":"12:54:50"},{"id":151,"name":"Denver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" spans="1:23" x14ac:dyDescent="0.25">
      <c r="A26" s="172">
        <v>42613.581990740742</v>
      </c>
      <c r="B26" s="173" t="s">
        <v>92</v>
      </c>
      <c r="C26" s="173" t="s">
        <v>855</v>
      </c>
      <c r="D26" s="173" t="s">
        <v>49</v>
      </c>
      <c r="E26" s="173" t="s">
        <v>50</v>
      </c>
      <c r="F26" s="174">
        <v>0</v>
      </c>
      <c r="G26" s="174">
        <v>54</v>
      </c>
      <c r="H26" s="174">
        <v>183</v>
      </c>
      <c r="I26" s="173" t="s">
        <v>51</v>
      </c>
      <c r="J26" s="174">
        <v>1</v>
      </c>
      <c r="K26" s="173" t="s">
        <v>53</v>
      </c>
      <c r="L26" s="175" t="str">
        <f>VLOOKUP(C26,'[3]Trips&amp;Operators'!$C$1:$E$9999,3,0)</f>
        <v>BROWN</v>
      </c>
      <c r="M26" s="182" t="s">
        <v>86</v>
      </c>
      <c r="N26" s="177"/>
      <c r="P26" s="183" t="str">
        <f>VLOOKUP(C26,'[3]Train Runs'!$A$13:$AE$10013,31,0)</f>
        <v>aws s3 cp s3://rtdc.mdm.uploadarchive/RTDC4030/2016-08-31/ "%USERPROFILE%\AppData\Local\Temp\OnboardLogs"\RTDC4030\2016-08-31 --recursive &amp; "%USERPROFILE%\Documents\GitHub\mrs-test-scripts\Headless Mode &amp; Sideloading\WalkAndUnGZ.bat" "%USERPROFILE%\AppData\Local\Temp\OnboardLogs"\RTDC4030\2016-08-31 &amp; aws s3 cp s3://rtdc.mdm.uploadarchive/RTDC4030/2016-09-01/ "%USERPROFILE%\AppData\Local\Temp\OnboardLogs"\RTDC4030\2016-09-01 --recursive &amp; "%USERPROFILE%\Documents\GitHub\mrs-test-scripts\Headless Mode &amp; Sideloading\WalkAndUnGZ.bat" "%USERPROFILE%\AppData\Local\Temp\OnboardLogs"\RTDC4030\2016-09-01</v>
      </c>
      <c r="Q26" s="184" t="str">
        <f>VLOOKUP(C26,'[3]Train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12:07:14-0600',mode:absolute,to:'2016-08-31 14:58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6" s="185" t="str">
        <f t="shared" si="5"/>
        <v>"C:\Program Files (x86)\AstroGrep\AstroGrep.exe" /spath="C:\Users\stu\Documents\Analysis\2016-02-23 RTDC Observations" /stypes="*4030*201608311*" /stext=" 19:.+((SYSTEM_STATE.+slice.+state.+changed )|(ment ac)|(system.+state.+changed )|(\|lc)|(penalty)|(\[timeout)|(PRM\|1\|D))" /e /r /s</v>
      </c>
      <c r="S26" s="176" t="str">
        <f t="shared" si="1"/>
        <v>4030</v>
      </c>
      <c r="T26" s="172">
        <f t="shared" si="2"/>
        <v>42613.831990740742</v>
      </c>
      <c r="U26" s="181" t="str">
        <f t="shared" si="6"/>
        <v>EC</v>
      </c>
      <c r="V26" s="181" t="str">
        <f t="shared" si="4"/>
        <v>KEEP</v>
      </c>
      <c r="W26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{"issue":{"subject":"","project_id":79,"tracker_id":40,"status_id":1,"priority_id":2,"assigned_to_id":23,"start_date":"2016-08-31","description":"","custom_fields":[{"id":1,"name":"Subdivision","value":"EC"},{"id":4,"name":"Milepost","value":"0.0001"},{"id":17,"name":"Train ID","value":"170-31"},{"id":16,"name":"Locomotive ID","value":"4030"},{"id":130,"name":"Impact","value":""},{"id":150,"name":"Time of Event (Mountain Time)","value":"13:58:04"},{"id":151,"name":"Denver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" spans="1:23" x14ac:dyDescent="0.25">
      <c r="A27" s="172">
        <v>42613.653773148151</v>
      </c>
      <c r="B27" s="173" t="s">
        <v>349</v>
      </c>
      <c r="C27" s="173" t="s">
        <v>871</v>
      </c>
      <c r="D27" s="173" t="s">
        <v>49</v>
      </c>
      <c r="E27" s="173" t="s">
        <v>50</v>
      </c>
      <c r="F27" s="174">
        <v>0</v>
      </c>
      <c r="G27" s="174">
        <v>48</v>
      </c>
      <c r="H27" s="174">
        <v>160</v>
      </c>
      <c r="I27" s="173" t="s">
        <v>51</v>
      </c>
      <c r="J27" s="174">
        <v>1</v>
      </c>
      <c r="K27" s="173" t="s">
        <v>53</v>
      </c>
      <c r="L27" s="175" t="str">
        <f>VLOOKUP(C27,'[3]Trips&amp;Operators'!$C$1:$E$9999,3,0)</f>
        <v>YOUNG</v>
      </c>
      <c r="M27" s="182" t="s">
        <v>86</v>
      </c>
      <c r="N27" s="177"/>
      <c r="P27" s="183" t="str">
        <f>VLOOKUP(C27,'[3]Train Runs'!$A$13:$AE$10013,31,0)</f>
        <v>aws s3 cp s3://rtdc.mdm.uploadarchive/RTDC4041/2016-08-31/ "%USERPROFILE%\AppData\Local\Temp\OnboardLogs"\RTDC4041\2016-08-31 --recursive &amp; "%USERPROFILE%\Documents\GitHub\mrs-test-scripts\Headless Mode &amp; Sideloading\WalkAndUnGZ.bat" "%USERPROFILE%\AppData\Local\Temp\OnboardLogs"\RTDC4041\2016-08-31 &amp; 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</v>
      </c>
      <c r="Q27" s="184" t="str">
        <f>VLOOKUP(C27,'[3]Train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13:45:16-0600',mode:absolute,to:'2016-08-31 16:41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27" s="185" t="str">
        <f t="shared" si="5"/>
        <v>"C:\Program Files (x86)\AstroGrep\AstroGrep.exe" /spath="C:\Users\stu\Documents\Analysis\2016-02-23 RTDC Observations" /stypes="*4041*201608312*" /stext=" 21:.+((SYSTEM_STATE.+slice.+state.+changed )|(ment ac)|(system.+state.+changed )|(\|lc)|(penalty)|(\[timeout)|(PRM\|1\|D))" /e /r /s</v>
      </c>
      <c r="S27" s="176" t="str">
        <f t="shared" si="1"/>
        <v>4041</v>
      </c>
      <c r="T27" s="172">
        <f t="shared" si="2"/>
        <v>42613.903773148151</v>
      </c>
      <c r="U27" s="181" t="str">
        <f t="shared" si="6"/>
        <v>EC</v>
      </c>
      <c r="V27" s="181" t="str">
        <f t="shared" si="4"/>
        <v>KEEP</v>
      </c>
      <c r="W27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{"issue":{"subject":"","project_id":79,"tracker_id":40,"status_id":1,"priority_id":2,"assigned_to_id":23,"start_date":"2016-08-31","description":"","custom_fields":[{"id":1,"name":"Subdivision","value":"EC"},{"id":4,"name":"Milepost","value":"0.0001"},{"id":17,"name":"Train ID","value":"182-31"},{"id":16,"name":"Locomotive ID","value":"4041"},{"id":130,"name":"Impact","value":""},{"id":150,"name":"Time of Event (Mountain Time)","value":"15:41:26"},{"id":151,"name":"Denver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" spans="1:23" x14ac:dyDescent="0.25">
      <c r="A28" s="172">
        <v>42613.898460648146</v>
      </c>
      <c r="B28" s="173" t="s">
        <v>227</v>
      </c>
      <c r="C28" s="173" t="s">
        <v>938</v>
      </c>
      <c r="D28" s="173" t="s">
        <v>49</v>
      </c>
      <c r="E28" s="173" t="s">
        <v>50</v>
      </c>
      <c r="F28" s="174">
        <v>0</v>
      </c>
      <c r="G28" s="174">
        <v>127</v>
      </c>
      <c r="H28" s="174">
        <v>504</v>
      </c>
      <c r="I28" s="173" t="s">
        <v>51</v>
      </c>
      <c r="J28" s="174">
        <v>1</v>
      </c>
      <c r="K28" s="173" t="s">
        <v>53</v>
      </c>
      <c r="L28" s="175" t="str">
        <f>VLOOKUP(C28,'[3]Trips&amp;Operators'!$C$1:$E$9999,3,0)</f>
        <v>STAMBAUGH</v>
      </c>
      <c r="M28" s="182" t="s">
        <v>86</v>
      </c>
      <c r="N28" s="177"/>
      <c r="P28" s="183" t="str">
        <f>VLOOKUP(C28,'[3]Train Runs'!$A$13:$AE$10013,31,0)</f>
        <v>aws s3 cp s3://rtdc.mdm.uploadarchive/RTDC4001/2016-08-31/ "%USERPROFILE%\AppData\Local\Temp\OnboardLogs"\RTDC4001\2016-08-31 --recursive &amp; "%USERPROFILE%\Documents\GitHub\mrs-test-scripts\Headless Mode &amp; Sideloading\WalkAndUnGZ.bat" "%USERPROFILE%\AppData\Local\Temp\OnboardLogs"\RTDC4001\2016-08-31 &amp; aws s3 cp s3://rtdc.mdm.uploadarchive/RTDC4001/2016-09-01/ "%USERPROFILE%\AppData\Local\Temp\OnboardLogs"\RTDC4001\2016-09-01 --recursive &amp; "%USERPROFILE%\Documents\GitHub\mrs-test-scripts\Headless Mode &amp; Sideloading\WalkAndUnGZ.bat" "%USERPROFILE%\AppData\Local\Temp\OnboardLogs"\RTDC4001\2016-09-01</v>
      </c>
      <c r="Q28" s="184" t="str">
        <f>VLOOKUP(C28,'[3]Train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19:51:45-0600',mode:absolute,to:'2016-08-31 22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8" s="185" t="str">
        <f t="shared" si="5"/>
        <v>"C:\Program Files (x86)\AstroGrep\AstroGrep.exe" /spath="C:\Users\stu\Documents\Analysis\2016-02-23 RTDC Observations" /stypes="*4001*201609010*" /stext=" 03:.+((SYSTEM_STATE.+slice.+state.+changed )|(ment ac)|(system.+state.+changed )|(\|lc)|(penalty)|(\[timeout)|(PRM\|1\|D))" /e /r /s</v>
      </c>
      <c r="S28" s="176" t="str">
        <f t="shared" si="1"/>
        <v>4001</v>
      </c>
      <c r="T28" s="172">
        <f t="shared" si="2"/>
        <v>42614.148460648146</v>
      </c>
      <c r="U28" s="181" t="str">
        <f t="shared" si="6"/>
        <v>EC</v>
      </c>
      <c r="V28" s="181" t="str">
        <f t="shared" si="4"/>
        <v>KEEP</v>
      </c>
      <c r="W28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{"issue":{"subject":"","project_id":79,"tracker_id":40,"status_id":1,"priority_id":2,"assigned_to_id":23,"start_date":"2016-08-31","description":"","custom_fields":[{"id":1,"name":"Subdivision","value":"EC"},{"id":4,"name":"Milepost","value":"0.0001"},{"id":17,"name":"Train ID","value":"226-31"},{"id":16,"name":"Locomotive ID","value":"4001"},{"id":130,"name":"Impact","value":""},{"id":150,"name":"Time of Event (Mountain Time)","value":"21:33:47"},{"id":151,"name":"Denver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9" spans="1:23" x14ac:dyDescent="0.25">
      <c r="A29" s="172">
        <v>42613.919872685183</v>
      </c>
      <c r="B29" s="173" t="s">
        <v>746</v>
      </c>
      <c r="C29" s="173" t="s">
        <v>747</v>
      </c>
      <c r="D29" s="173" t="s">
        <v>49</v>
      </c>
      <c r="E29" s="173" t="s">
        <v>50</v>
      </c>
      <c r="F29" s="174">
        <v>0</v>
      </c>
      <c r="G29" s="174">
        <v>94</v>
      </c>
      <c r="H29" s="174">
        <v>355</v>
      </c>
      <c r="I29" s="173" t="s">
        <v>51</v>
      </c>
      <c r="J29" s="174">
        <v>1</v>
      </c>
      <c r="K29" s="173" t="s">
        <v>53</v>
      </c>
      <c r="L29" s="175" t="str">
        <f>VLOOKUP(C29,'[3]Trips&amp;Operators'!$C$1:$E$9999,3,0)</f>
        <v>COOLAHAN</v>
      </c>
      <c r="M29" s="182" t="s">
        <v>86</v>
      </c>
      <c r="N29" s="177"/>
      <c r="P29" s="183" t="str">
        <f>VLOOKUP(C29,'[3]Train Runs'!$A$13:$AE$10013,31,0)</f>
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</c>
      <c r="Q29" s="184" t="str">
        <f>VLOOKUP(C29,'[3]Train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20:19:17-0600',mode:absolute,to:'2016-08-31 23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29" s="185" t="str">
        <f t="shared" si="5"/>
        <v>"C:\Program Files (x86)\AstroGrep\AstroGrep.exe" /spath="C:\Users\stu\Documents\Analysis\2016-02-23 RTDC Observations" /stypes="*4015*201609010*" /stext=" 04:.+((SYSTEM_STATE.+slice.+state.+changed )|(ment ac)|(system.+state.+changed )|(\|lc)|(penalty)|(\[timeout)|(PRM\|1\|D))" /e /r /s</v>
      </c>
      <c r="S29" s="176" t="str">
        <f t="shared" si="1"/>
        <v>4015</v>
      </c>
      <c r="T29" s="172">
        <f t="shared" si="2"/>
        <v>42614.169872685183</v>
      </c>
      <c r="U29" s="181" t="str">
        <f t="shared" si="6"/>
        <v>EC</v>
      </c>
      <c r="V29" s="181" t="str">
        <f t="shared" si="4"/>
        <v>KEEP</v>
      </c>
      <c r="W29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{"issue":{"subject":"","project_id":79,"tracker_id":40,"status_id":1,"priority_id":2,"assigned_to_id":23,"start_date":"2016-08-31","description":"","custom_fields":[{"id":1,"name":"Subdivision","value":"EC"},{"id":4,"name":"Milepost","value":"0.0001"},{"id":17,"name":"Train ID","value":"228-31"},{"id":16,"name":"Locomotive ID","value":"4015"},{"id":130,"name":"Impact","value":""},{"id":150,"name":"Time of Event (Mountain Time)","value":"22:04:37"},{"id":151,"name":"Denver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0" spans="1:23" x14ac:dyDescent="0.25">
      <c r="A30" s="172">
        <v>42614.002569444441</v>
      </c>
      <c r="B30" s="173" t="s">
        <v>746</v>
      </c>
      <c r="C30" s="173" t="s">
        <v>951</v>
      </c>
      <c r="D30" s="173" t="s">
        <v>49</v>
      </c>
      <c r="E30" s="173" t="s">
        <v>50</v>
      </c>
      <c r="F30" s="174">
        <v>0</v>
      </c>
      <c r="G30" s="174">
        <v>63</v>
      </c>
      <c r="H30" s="174">
        <v>234</v>
      </c>
      <c r="I30" s="173" t="s">
        <v>51</v>
      </c>
      <c r="J30" s="174">
        <v>1</v>
      </c>
      <c r="K30" s="173" t="s">
        <v>53</v>
      </c>
      <c r="L30" s="175" t="str">
        <f>VLOOKUP(C30,'[3]Trips&amp;Operators'!$C$1:$E$9999,3,0)</f>
        <v>COOLAHAN</v>
      </c>
      <c r="M30" s="182" t="s">
        <v>86</v>
      </c>
      <c r="N30" s="177"/>
      <c r="P30" s="183" t="str">
        <f>VLOOKUP(C30,'[3]Train Runs'!$A$13:$AE$10013,31,0)</f>
        <v>aws s3 cp s3://rtdc.mdm.uploadarchive/RTDC4015/2016-08-31/ "%USERPROFILE%\AppData\Local\Temp\OnboardLogs"\RTDC4015\2016-08-31 --recursive &amp; "%USERPROFILE%\Documents\GitHub\mrs-test-scripts\Headless Mode &amp; Sideloading\WalkAndUnGZ.bat" "%USERPROFILE%\AppData\Local\Temp\OnboardLogs"\RTDC4015\2016-08-31 &amp; aws s3 cp s3://rtdc.mdm.uploadarchive/RTDC4015/2016-09-01/ "%USERPROFILE%\AppData\Local\Temp\OnboardLogs"\RTDC4015\2016-09-01 --recursive &amp; "%USERPROFILE%\Documents\GitHub\mrs-test-scripts\Headless Mode &amp; Sideloading\WalkAndUnGZ.bat" "%USERPROFILE%\AppData\Local\Temp\OnboardLogs"\RTDC4015\2016-09-01</v>
      </c>
      <c r="Q30" s="184" t="str">
        <f>VLOOKUP(C30,'[3]Train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22:17:50-0600',mode:absolute,to:'2016-09-01 01:03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30" s="185" t="str">
        <f t="shared" si="5"/>
        <v>"C:\Program Files (x86)\AstroGrep\AstroGrep.exe" /spath="C:\Users\stu\Documents\Analysis\2016-02-23 RTDC Observations" /stypes="*4015*201609010*" /stext=" 06:.+((SYSTEM_STATE.+slice.+state.+changed )|(ment ac)|(system.+state.+changed )|(\|lc)|(penalty)|(\[timeout)|(PRM\|1\|D))" /e /r /s</v>
      </c>
      <c r="S30" s="176" t="str">
        <f t="shared" si="1"/>
        <v>4015</v>
      </c>
      <c r="T30" s="172">
        <f t="shared" si="2"/>
        <v>42614.252569444441</v>
      </c>
      <c r="U30" s="181" t="str">
        <f t="shared" si="6"/>
        <v>EC</v>
      </c>
      <c r="V30" s="181" t="str">
        <f t="shared" si="4"/>
        <v>KEEP</v>
      </c>
      <c r="W30" s="186" t="str">
        <f t="shared" si="7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ID","value":"236-31"},{"id":16,"name":"Locomotive ID","value":"4015"},{"id":130,"name":"Impact","value":""},{"id":150,"name":"Time of Event (Mountain Time)","value":"00:03:42"},{"id":151,"name":"Denver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1" spans="1:23" x14ac:dyDescent="0.25">
      <c r="A31" s="172">
        <v>42613.349490740744</v>
      </c>
      <c r="B31" s="173" t="s">
        <v>724</v>
      </c>
      <c r="C31" s="173" t="s">
        <v>798</v>
      </c>
      <c r="D31" s="173" t="s">
        <v>49</v>
      </c>
      <c r="E31" s="173" t="s">
        <v>50</v>
      </c>
      <c r="F31" s="174">
        <v>0</v>
      </c>
      <c r="G31" s="174">
        <v>110</v>
      </c>
      <c r="H31" s="174">
        <v>232998</v>
      </c>
      <c r="I31" s="173" t="s">
        <v>51</v>
      </c>
      <c r="J31" s="174">
        <v>233491</v>
      </c>
      <c r="K31" s="173" t="s">
        <v>52</v>
      </c>
      <c r="L31" s="175" t="str">
        <f>VLOOKUP(C31,'[3]Trips&amp;Operators'!$C$1:$E$9999,3,0)</f>
        <v>STRICKLAND</v>
      </c>
      <c r="M31" s="182" t="s">
        <v>86</v>
      </c>
      <c r="N31" s="177"/>
      <c r="P31" s="183" t="str">
        <f>VLOOKUP(C31,'[3]Train Runs'!$A$13:$AE$10013,31,0)</f>
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</c>
      <c r="Q31" s="184" t="str">
        <f>VLOOKUP(C31,'[3]Train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06:39:57-0600',mode:absolute,to:'2016-08-31 09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31" s="185" t="str">
        <f t="shared" si="5"/>
        <v>"C:\Program Files (x86)\AstroGrep\AstroGrep.exe" /spath="C:\Users\stu\Documents\Analysis\2016-02-23 RTDC Observations" /stypes="*4016*201608311*" /stext=" 14:.+((SYSTEM_STATE.+slice.+state.+changed )|(ment ac)|(system.+state.+changed )|(\|lc)|(penalty)|(\[timeout)|(PRM\|1\|D))" /e /r /s</v>
      </c>
      <c r="S31" s="176" t="str">
        <f t="shared" si="1"/>
        <v>4016</v>
      </c>
      <c r="T31" s="172">
        <f t="shared" si="2"/>
        <v>42613.599490740744</v>
      </c>
      <c r="U31" s="181" t="str">
        <f t="shared" si="6"/>
        <v>EC</v>
      </c>
      <c r="V31" s="181" t="str">
        <f t="shared" si="4"/>
        <v>KEEP</v>
      </c>
      <c r="W31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{"issue":{"subject":"","project_id":79,"tracker_id":40,"status_id":1,"priority_id":2,"assigned_to_id":23,"start_date":"2016-08-31","description":"","custom_fields":[{"id":1,"name":"Subdivision","value":"EC"},{"id":4,"name":"Milepost","value":"23.3491"},{"id":17,"name":"Train ID","value":"133-31"},{"id":16,"name":"Locomotive ID","value":"4016"},{"id":130,"name":"Impact","value":""},{"id":150,"name":"Time of Event (Mountain Time)","value":"08:23:16"},{"id":151,"name":"Denver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2" spans="1:23" x14ac:dyDescent="0.25">
      <c r="A32" s="172">
        <v>42613.473055555558</v>
      </c>
      <c r="B32" s="173" t="s">
        <v>228</v>
      </c>
      <c r="C32" s="173" t="s">
        <v>831</v>
      </c>
      <c r="D32" s="173" t="s">
        <v>49</v>
      </c>
      <c r="E32" s="173" t="s">
        <v>50</v>
      </c>
      <c r="F32" s="174">
        <v>0</v>
      </c>
      <c r="G32" s="174">
        <v>42</v>
      </c>
      <c r="H32" s="174">
        <v>233403</v>
      </c>
      <c r="I32" s="173" t="s">
        <v>51</v>
      </c>
      <c r="J32" s="174">
        <v>233491</v>
      </c>
      <c r="K32" s="173" t="s">
        <v>52</v>
      </c>
      <c r="L32" s="175" t="str">
        <f>VLOOKUP(C32,'[3]Trips&amp;Operators'!$C$1:$E$9999,3,0)</f>
        <v>SMITH</v>
      </c>
      <c r="M32" s="182" t="s">
        <v>86</v>
      </c>
      <c r="N32" s="177"/>
      <c r="P32" s="183" t="str">
        <f>VLOOKUP(C32,'[3]Train Runs'!$A$13:$AE$10013,31,0)</f>
        <v>aws s3 cp s3://rtdc.mdm.uploadarchive/RTDC4044/2016-08-31/ "%USERPROFILE%\AppData\Local\Temp\OnboardLogs"\RTDC4044\2016-08-31 --recursive &amp; "%USERPROFILE%\Documents\GitHub\mrs-test-scripts\Headless Mode &amp; Sideloading\WalkAndUnGZ.bat" "%USERPROFILE%\AppData\Local\Temp\OnboardLogs"\RTDC4044\2016-08-31 &amp; aws s3 cp s3://rtdc.mdm.uploadarchive/RTDC4044/2016-09-01/ "%USERPROFILE%\AppData\Local\Temp\OnboardLogs"\RTDC4044\2016-09-01 --recursive &amp; "%USERPROFILE%\Documents\GitHub\mrs-test-scripts\Headless Mode &amp; Sideloading\WalkAndUnGZ.bat" "%USERPROFILE%\AppData\Local\Temp\OnboardLogs"\RTDC4044\2016-09-01</v>
      </c>
      <c r="Q32" s="184" t="str">
        <f>VLOOKUP(C32,'[3]Train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09:37:48-0600',mode:absolute,to:'2016-08-31 12:21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32" s="185" t="str">
        <f t="shared" si="5"/>
        <v>"C:\Program Files (x86)\AstroGrep\AstroGrep.exe" /spath="C:\Users\stu\Documents\Analysis\2016-02-23 RTDC Observations" /stypes="*4044*201608311*" /stext=" 17:.+((SYSTEM_STATE.+slice.+state.+changed )|(ment ac)|(system.+state.+changed )|(\|lc)|(penalty)|(\[timeout)|(PRM\|1\|D))" /e /r /s</v>
      </c>
      <c r="S32" s="176" t="str">
        <f t="shared" si="1"/>
        <v>4044</v>
      </c>
      <c r="T32" s="172">
        <f t="shared" si="2"/>
        <v>42613.723055555558</v>
      </c>
      <c r="U32" s="181" t="str">
        <f t="shared" si="6"/>
        <v>EC</v>
      </c>
      <c r="V32" s="181" t="str">
        <f t="shared" si="4"/>
        <v>KEEP</v>
      </c>
      <c r="W32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{"issue":{"subject":"","project_id":79,"tracker_id":40,"status_id":1,"priority_id":2,"assigned_to_id":23,"start_date":"2016-08-31","description":"","custom_fields":[{"id":1,"name":"Subdivision","value":"EC"},{"id":4,"name":"Milepost","value":"23.3491"},{"id":17,"name":"Train ID","value":"157-31"},{"id":16,"name":"Locomotive ID","value":"4044"},{"id":130,"name":"Impact","value":""},{"id":150,"name":"Time of Event (Mountain Time)","value":"11:21:12"},{"id":151,"name":"Denver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3" spans="1:23" x14ac:dyDescent="0.25">
      <c r="A33" s="172">
        <v>42613.544212962966</v>
      </c>
      <c r="B33" s="173" t="s">
        <v>91</v>
      </c>
      <c r="C33" s="173" t="s">
        <v>845</v>
      </c>
      <c r="D33" s="173" t="s">
        <v>49</v>
      </c>
      <c r="E33" s="173" t="s">
        <v>50</v>
      </c>
      <c r="F33" s="174">
        <v>0</v>
      </c>
      <c r="G33" s="174">
        <v>63</v>
      </c>
      <c r="H33" s="174">
        <v>233241</v>
      </c>
      <c r="I33" s="173" t="s">
        <v>51</v>
      </c>
      <c r="J33" s="174">
        <v>233491</v>
      </c>
      <c r="K33" s="173" t="s">
        <v>52</v>
      </c>
      <c r="L33" s="175" t="str">
        <f>VLOOKUP(C33,'[3]Trips&amp;Operators'!$C$1:$E$9999,3,0)</f>
        <v>BROWN</v>
      </c>
      <c r="M33" s="182" t="s">
        <v>86</v>
      </c>
      <c r="N33" s="177"/>
      <c r="P33" s="183" t="str">
        <f>VLOOKUP(C33,'[3]Train Runs'!$A$13:$AE$10013,31,0)</f>
        <v>aws s3 cp s3://rtdc.mdm.uploadarchive/RTDC4029/2016-08-31/ "%USERPROFILE%\AppData\Local\Temp\OnboardLogs"\RTDC4029\2016-08-31 --recursive &amp; "%USERPROFILE%\Documents\GitHub\mrs-test-scripts\Headless Mode &amp; Sideloading\WalkAndUnGZ.bat" "%USERPROFILE%\AppData\Local\Temp\OnboardLogs"\RTDC4029\2016-08-31 &amp; aws s3 cp s3://rtdc.mdm.uploadarchive/RTDC4029/2016-09-01/ "%USERPROFILE%\AppData\Local\Temp\OnboardLogs"\RTDC4029\2016-09-01 --recursive &amp; "%USERPROFILE%\Documents\GitHub\mrs-test-scripts\Headless Mode &amp; Sideloading\WalkAndUnGZ.bat" "%USERPROFILE%\AppData\Local\Temp\OnboardLogs"\RTDC4029\2016-09-01</v>
      </c>
      <c r="Q33" s="184" t="str">
        <f>VLOOKUP(C33,'[3]Train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11:15:42-0600',mode:absolute,to:'2016-08-31 14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33" s="185" t="str">
        <f t="shared" si="5"/>
        <v>"C:\Program Files (x86)\AstroGrep\AstroGrep.exe" /spath="C:\Users\stu\Documents\Analysis\2016-02-23 RTDC Observations" /stypes="*4029*201608311*" /stext=" 19:.+((SYSTEM_STATE.+slice.+state.+changed )|(ment ac)|(system.+state.+changed )|(\|lc)|(penalty)|(\[timeout)|(PRM\|1\|D))" /e /r /s</v>
      </c>
      <c r="S33" s="176" t="str">
        <f t="shared" si="1"/>
        <v>4029</v>
      </c>
      <c r="T33" s="172">
        <f t="shared" si="2"/>
        <v>42613.794212962966</v>
      </c>
      <c r="U33" s="181" t="str">
        <f t="shared" si="6"/>
        <v>EC</v>
      </c>
      <c r="V33" s="181" t="str">
        <f t="shared" si="4"/>
        <v>KEEP</v>
      </c>
      <c r="W33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{"issue":{"subject":"","project_id":79,"tracker_id":40,"status_id":1,"priority_id":2,"assigned_to_id":23,"start_date":"2016-08-31","description":"","custom_fields":[{"id":1,"name":"Subdivision","value":"EC"},{"id":4,"name":"Milepost","value":"23.3491"},{"id":17,"name":"Train ID","value":"169-31"},{"id":16,"name":"Locomotive ID","value":"4029"},{"id":130,"name":"Impact","value":""},{"id":150,"name":"Time of Event (Mountain Time)","value":"13:03:40"},{"id":151,"name":"Denver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4" spans="1:23" x14ac:dyDescent="0.25">
      <c r="A34" s="172">
        <v>42613.879525462966</v>
      </c>
      <c r="B34" s="173" t="s">
        <v>724</v>
      </c>
      <c r="C34" s="173" t="s">
        <v>735</v>
      </c>
      <c r="D34" s="173" t="s">
        <v>49</v>
      </c>
      <c r="E34" s="173" t="s">
        <v>50</v>
      </c>
      <c r="F34" s="174">
        <v>0</v>
      </c>
      <c r="G34" s="174">
        <v>64</v>
      </c>
      <c r="H34" s="174">
        <v>233274</v>
      </c>
      <c r="I34" s="173" t="s">
        <v>51</v>
      </c>
      <c r="J34" s="174">
        <v>233491</v>
      </c>
      <c r="K34" s="173" t="s">
        <v>52</v>
      </c>
      <c r="L34" s="175" t="str">
        <f>VLOOKUP(C34,'[3]Trips&amp;Operators'!$C$1:$E$9999,3,0)</f>
        <v>COOLAHAN</v>
      </c>
      <c r="M34" s="182" t="s">
        <v>86</v>
      </c>
      <c r="N34" s="177"/>
      <c r="P34" s="183" t="str">
        <f>VLOOKUP(C34,'[3]Train Runs'!$A$13:$AE$10013,31,0)</f>
        <v>aws s3 cp s3://rtdc.mdm.uploadarchive/RTDC4016/2016-08-31/ "%USERPROFILE%\AppData\Local\Temp\OnboardLogs"\RTDC4016\2016-08-31 --recursive &amp; "%USERPROFILE%\Documents\GitHub\mrs-test-scripts\Headless Mode &amp; Sideloading\WalkAndUnGZ.bat" "%USERPROFILE%\AppData\Local\Temp\OnboardLogs"\RTDC4016\2016-08-31 &amp; aws s3 cp s3://rtdc.mdm.uploadarchive/RTDC4016/2016-09-01/ "%USERPROFILE%\AppData\Local\Temp\OnboardLogs"\RTDC4016\2016-09-01 --recursive &amp; "%USERPROFILE%\Documents\GitHub\mrs-test-scripts\Headless Mode &amp; Sideloading\WalkAndUnGZ.bat" "%USERPROFILE%\AppData\Local\Temp\OnboardLogs"\RTDC4016\2016-09-01</v>
      </c>
      <c r="Q34" s="184" t="str">
        <f>VLOOKUP(C34,'[3]Train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19:26:57-0600',mode:absolute,to:'2016-08-31 22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34" s="185" t="str">
        <f t="shared" si="5"/>
        <v>"C:\Program Files (x86)\AstroGrep\AstroGrep.exe" /spath="C:\Users\stu\Documents\Analysis\2016-02-23 RTDC Observations" /stypes="*4016*201609010*" /stext=" 03:.+((SYSTEM_STATE.+slice.+state.+changed )|(ment ac)|(system.+state.+changed )|(\|lc)|(penalty)|(\[timeout)|(PRM\|1\|D))" /e /r /s</v>
      </c>
      <c r="S34" s="176" t="str">
        <f t="shared" si="1"/>
        <v>4016</v>
      </c>
      <c r="T34" s="172">
        <f t="shared" si="2"/>
        <v>42614.129525462966</v>
      </c>
      <c r="U34" s="181" t="str">
        <f t="shared" si="6"/>
        <v>EC</v>
      </c>
      <c r="V34" s="181" t="str">
        <f t="shared" si="4"/>
        <v>KEEP</v>
      </c>
      <c r="W34" s="186" t="str">
        <f t="shared" si="7"/>
        <v>echo {"issue":{"subject":"","project_id":79,"tracker_id":40,"status_id":1,"priority_id":2,"assigned_to_id":23,"start_date":"2016-08-31","description":"","custom_fields":[{"id":1,"name":"Subdivision","value":"EC"},{"id":4,"name":"Milepost","value":"23.3491"},{"id":17,"name":"Train ID","value":"227-31"},{"id":16,"name":"Locomotive ID","value":"4016"},{"id":130,"name":"Impact","value":""},{"id":150,"name":"Time of Event (Mountain Time)","value":"21:06:31"},{"id":151,"name":"Denver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5" spans="1:23" x14ac:dyDescent="0.25">
      <c r="A35" s="172">
        <v>42613.751840277779</v>
      </c>
      <c r="B35" s="173" t="s">
        <v>113</v>
      </c>
      <c r="C35" s="173" t="s">
        <v>907</v>
      </c>
      <c r="D35" s="173" t="s">
        <v>49</v>
      </c>
      <c r="E35" s="173" t="s">
        <v>56</v>
      </c>
      <c r="F35" s="174">
        <v>150</v>
      </c>
      <c r="G35" s="174">
        <v>270</v>
      </c>
      <c r="H35" s="174">
        <v>56340</v>
      </c>
      <c r="I35" s="173" t="s">
        <v>57</v>
      </c>
      <c r="J35" s="174">
        <v>57008</v>
      </c>
      <c r="K35" s="173" t="s">
        <v>52</v>
      </c>
      <c r="L35" s="175" t="str">
        <f>VLOOKUP(C35,'[3]Trips&amp;Operators'!$C$1:$E$9999,3,0)</f>
        <v>HILLS</v>
      </c>
      <c r="M35" s="182" t="s">
        <v>86</v>
      </c>
      <c r="N35" s="177"/>
      <c r="P35" s="183" t="str">
        <f>VLOOKUP(C35,'[3]Train Runs'!$A$13:$AE$10013,31,0)</f>
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</c>
      <c r="Q35" s="184" t="str">
        <f>VLOOKUP(C35,'[3]Train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16:44:48-0600',mode:absolute,to:'2016-08-31 19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35" s="185" t="str">
        <f t="shared" ref="R35:R52" si="8">astrogrep_path&amp;" /spath="&amp;search_path&amp;" /stypes=""*"&amp;S35&amp;"*"&amp;TEXT(A35-utc_offset/24,"YYYYMMDD")&amp;LEFT(TEXT(A35-utc_offset/24,"HH"),1)&amp;"*"" /stext="" "&amp;TEXT(A35-utc_offset/24,"HH")&amp;search_regexp&amp;""" /e /r /s"</f>
        <v>"C:\Program Files (x86)\AstroGrep\AstroGrep.exe" /spath="C:\Users\stu\Documents\Analysis\2016-02-23 RTDC Observations" /stypes="*4031*201609010*" /stext=" 00:.+((SYSTEM_STATE.+slice.+state.+changed )|(ment ac)|(system.+state.+changed )|(\|lc)|(penalty)|(\[timeout)|(PRM\|1\|D))" /e /r /s</v>
      </c>
      <c r="S35" s="176" t="str">
        <f t="shared" si="1"/>
        <v>4031</v>
      </c>
      <c r="T35" s="172">
        <f t="shared" si="2"/>
        <v>42614.001840277779</v>
      </c>
      <c r="U35" s="181" t="str">
        <f t="shared" si="6"/>
        <v>NW</v>
      </c>
      <c r="V35" s="181" t="str">
        <f t="shared" si="4"/>
        <v>KEEP</v>
      </c>
      <c r="W35" s="186" t="str">
        <f t="shared" ref="W35:W52" si="9">"echo {""issue"":{""subject"":"""&amp;N35&amp;""",""project_id"":79,""tracker_id"":40,""status_id"":"&amp;redmine_status&amp;",""priority_id"":"&amp;redmine_priority&amp;",""assigned_to_id"":"&amp;redmine_assignee&amp;",""start_date"":"""&amp;TEXT(A35,"YYYY-mm-dd")&amp;""",""description"":"""&amp;X35&amp;""",""custom_fields"":[{""id"":1,""name"":""Subdivision"",""value"":"""&amp;U35&amp;"""},{""id"":4,""name"":""Milepost"",""value"":"""&amp;J35/10000&amp;"""},{""id"":17,""name"":""Train ID"",""value"":"""&amp;C35&amp;"""},{""id"":16,""name"":""Locomotive ID"",""value"":"""&amp;S35&amp;"""},{""id"":130,""name"":""Impact"",""value"":"""&amp;Y35&amp;"""},{""id"":150,""name"":""Time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Assigned"",""value"":"""&amp;Z35&amp;"""}]}}"&amp;"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{"issue":{"subject":"","project_id":79,"tracker_id":40,"status_id":1,"priority_id":2,"assigned_to_id":23,"start_date":"2016-08-31","description":"","custom_fields":[{"id":1,"name":"Subdivision","value":"NW"},{"id":4,"name":"Milepost","value":"5.7008"},{"id":17,"name":"Train ID","value":"835-31"},{"id":16,"name":"Locomotive ID","value":"4031"},{"id":130,"name":"Impact","value":""},{"id":150,"name":"Time of Event (Mountain Time)","value":"18:02:39"},{"id":151,"name":"Denver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6" spans="1:23" x14ac:dyDescent="0.25">
      <c r="A36" s="172">
        <v>42613.333101851851</v>
      </c>
      <c r="B36" s="173" t="s">
        <v>113</v>
      </c>
      <c r="C36" s="173" t="s">
        <v>800</v>
      </c>
      <c r="D36" s="173" t="s">
        <v>49</v>
      </c>
      <c r="E36" s="173" t="s">
        <v>54</v>
      </c>
      <c r="F36" s="174">
        <v>0</v>
      </c>
      <c r="G36" s="174">
        <v>371</v>
      </c>
      <c r="H36" s="174">
        <v>34095</v>
      </c>
      <c r="I36" s="173" t="s">
        <v>55</v>
      </c>
      <c r="J36" s="174">
        <v>34583</v>
      </c>
      <c r="K36" s="173" t="s">
        <v>52</v>
      </c>
      <c r="L36" s="175" t="str">
        <f>VLOOKUP(C36,'[3]Trips&amp;Operators'!$C$1:$E$9999,3,0)</f>
        <v>STARKS</v>
      </c>
      <c r="M36" s="182" t="s">
        <v>243</v>
      </c>
      <c r="N36" s="177" t="s">
        <v>337</v>
      </c>
      <c r="P36" s="183" t="str">
        <f>VLOOKUP(C36,'[3]Train Runs'!$A$13:$AE$10013,31,0)</f>
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</c>
      <c r="Q36" s="184" t="str">
        <f>VLOOKUP(C36,'[3]Train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06:46:30-0600',mode:absolute,to:'2016-08-31 09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36" s="185" t="str">
        <f t="shared" si="8"/>
        <v>"C:\Program Files (x86)\AstroGrep\AstroGrep.exe" /spath="C:\Users\stu\Documents\Analysis\2016-02-23 RTDC Observations" /stypes="*4031*201608311*" /stext=" 13:.+((SYSTEM_STATE.+slice.+state.+changed )|(ment ac)|(system.+state.+changed )|(\|lc)|(penalty)|(\[timeout)|(PRM\|1\|D))" /e /r /s</v>
      </c>
      <c r="S36" s="176" t="str">
        <f t="shared" si="1"/>
        <v>4031</v>
      </c>
      <c r="T36" s="172">
        <f t="shared" si="2"/>
        <v>42613.583101851851</v>
      </c>
      <c r="U36" s="181" t="str">
        <f t="shared" si="6"/>
        <v>NW</v>
      </c>
      <c r="V36" s="181" t="str">
        <f t="shared" si="4"/>
        <v>KEEP</v>
      </c>
      <c r="W36" s="186" t="str">
        <f t="shared" si="9"/>
        <v>echo {"issue":{"subject":"Wi-MAX outage","project_id":79,"tracker_id":40,"status_id":1,"priority_id":2,"assigned_to_id":23,"start_date":"2016-08-31","description":"","custom_fields":[{"id":1,"name":"Subdivision","value":"NW"},{"id":4,"name":"Milepost","value":"3.4583"},{"id":17,"name":"Train ID","value":"809-31"},{"id":16,"name":"Locomotive ID","value":"4031"},{"id":130,"name":"Impact","value":""},{"id":150,"name":"Time of Event (Mountain Time)","value":"07:59:40"},{"id":151,"name":"Denver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7" spans="1:23" x14ac:dyDescent="0.25">
      <c r="A37" s="172">
        <v>42613.496967592589</v>
      </c>
      <c r="B37" s="173" t="s">
        <v>720</v>
      </c>
      <c r="C37" s="173" t="s">
        <v>840</v>
      </c>
      <c r="D37" s="173" t="s">
        <v>49</v>
      </c>
      <c r="E37" s="173" t="s">
        <v>50</v>
      </c>
      <c r="F37" s="174">
        <v>0</v>
      </c>
      <c r="G37" s="174">
        <v>41</v>
      </c>
      <c r="H37" s="174">
        <v>712</v>
      </c>
      <c r="I37" s="173" t="s">
        <v>51</v>
      </c>
      <c r="J37" s="174">
        <v>575</v>
      </c>
      <c r="K37" s="173" t="s">
        <v>53</v>
      </c>
      <c r="L37" s="175" t="str">
        <f>VLOOKUP(C37,'[3]Trips&amp;Operators'!$C$1:$E$9999,3,0)</f>
        <v>GEBRETEKLE</v>
      </c>
      <c r="M37" s="182" t="s">
        <v>86</v>
      </c>
      <c r="N37" s="177"/>
      <c r="P37" s="183" t="str">
        <f>VLOOKUP(C37,'[3]Train Runs'!$A$13:$AE$10013,31,0)</f>
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</c>
      <c r="Q37" s="184" t="str">
        <f>VLOOKUP(C37,'[3]Train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10:37:30-0600',mode:absolute,to:'2016-08-31 12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7" s="185" t="str">
        <f t="shared" si="8"/>
        <v>"C:\Program Files (x86)\AstroGrep\AstroGrep.exe" /spath="C:\Users\stu\Documents\Analysis\2016-02-23 RTDC Observations" /stypes="*4008*201608311*" /stext=" 17:.+((SYSTEM_STATE.+slice.+state.+changed )|(ment ac)|(system.+state.+changed )|(\|lc)|(penalty)|(\[timeout)|(PRM\|1\|D))" /e /r /s</v>
      </c>
      <c r="S37" s="176" t="str">
        <f t="shared" si="1"/>
        <v>4008</v>
      </c>
      <c r="T37" s="172">
        <f t="shared" si="2"/>
        <v>42613.746967592589</v>
      </c>
      <c r="U37" s="181" t="str">
        <f t="shared" si="6"/>
        <v>NW</v>
      </c>
      <c r="V37" s="181" t="str">
        <f t="shared" si="4"/>
        <v>KEEP</v>
      </c>
      <c r="W37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{"issue":{"subject":"","project_id":79,"tracker_id":40,"status_id":1,"priority_id":2,"assigned_to_id":23,"start_date":"2016-08-31","description":"","custom_fields":[{"id":1,"name":"Subdivision","value":"NW"},{"id":4,"name":"Milepost","value":"0.0575"},{"id":17,"name":"Train ID","value":"818-31"},{"id":16,"name":"Locomotive ID","value":"4008"},{"id":130,"name":"Impact","value":""},{"id":150,"name":"Time of Event (Mountain Time)","value":"11:55:38"},{"id":151,"name":"Denver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8" spans="1:23" x14ac:dyDescent="0.25">
      <c r="A38" s="172">
        <v>42613.537905092591</v>
      </c>
      <c r="B38" s="173" t="s">
        <v>720</v>
      </c>
      <c r="C38" s="173" t="s">
        <v>851</v>
      </c>
      <c r="D38" s="173" t="s">
        <v>49</v>
      </c>
      <c r="E38" s="173" t="s">
        <v>50</v>
      </c>
      <c r="F38" s="174">
        <v>0</v>
      </c>
      <c r="G38" s="174">
        <v>39</v>
      </c>
      <c r="H38" s="174">
        <v>680</v>
      </c>
      <c r="I38" s="173" t="s">
        <v>51</v>
      </c>
      <c r="J38" s="174">
        <v>575</v>
      </c>
      <c r="K38" s="173" t="s">
        <v>53</v>
      </c>
      <c r="L38" s="175" t="str">
        <f>VLOOKUP(C38,'[3]Trips&amp;Operators'!$C$1:$E$9999,3,0)</f>
        <v>GEBRETEKLE</v>
      </c>
      <c r="M38" s="182" t="s">
        <v>86</v>
      </c>
      <c r="N38" s="177"/>
      <c r="P38" s="183" t="str">
        <f>VLOOKUP(C38,'[3]Train Runs'!$A$13:$AE$10013,31,0)</f>
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</c>
      <c r="Q38" s="184" t="str">
        <f>VLOOKUP(C38,'[3]Train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11:36:52-0600',mode:absolute,to:'2016-08-31 13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8" s="185" t="str">
        <f t="shared" si="8"/>
        <v>"C:\Program Files (x86)\AstroGrep\AstroGrep.exe" /spath="C:\Users\stu\Documents\Analysis\2016-02-23 RTDC Observations" /stypes="*4008*201608311*" /stext=" 18:.+((SYSTEM_STATE.+slice.+state.+changed )|(ment ac)|(system.+state.+changed )|(\|lc)|(penalty)|(\[timeout)|(PRM\|1\|D))" /e /r /s</v>
      </c>
      <c r="S38" s="176" t="str">
        <f t="shared" si="1"/>
        <v>4008</v>
      </c>
      <c r="T38" s="172">
        <f t="shared" si="2"/>
        <v>42613.787905092591</v>
      </c>
      <c r="U38" s="181" t="str">
        <f t="shared" si="6"/>
        <v>NW</v>
      </c>
      <c r="V38" s="181" t="str">
        <f t="shared" si="4"/>
        <v>KEEP</v>
      </c>
      <c r="W38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{"issue":{"subject":"","project_id":79,"tracker_id":40,"status_id":1,"priority_id":2,"assigned_to_id":23,"start_date":"2016-08-31","description":"","custom_fields":[{"id":1,"name":"Subdivision","value":"NW"},{"id":4,"name":"Milepost","value":"0.0575"},{"id":17,"name":"Train ID","value":"820-31"},{"id":16,"name":"Locomotive ID","value":"4008"},{"id":130,"name":"Impact","value":""},{"id":150,"name":"Time of Event (Mountain Time)","value":"12:54:35"},{"id":151,"name":"Denver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39" spans="1:23" x14ac:dyDescent="0.25">
      <c r="A39" s="172">
        <v>42613.621423611112</v>
      </c>
      <c r="B39" s="173" t="s">
        <v>720</v>
      </c>
      <c r="C39" s="173" t="s">
        <v>869</v>
      </c>
      <c r="D39" s="173" t="s">
        <v>49</v>
      </c>
      <c r="E39" s="173" t="s">
        <v>50</v>
      </c>
      <c r="F39" s="174">
        <v>0</v>
      </c>
      <c r="G39" s="174">
        <v>144</v>
      </c>
      <c r="H39" s="174">
        <v>1308</v>
      </c>
      <c r="I39" s="173" t="s">
        <v>51</v>
      </c>
      <c r="J39" s="174">
        <v>575</v>
      </c>
      <c r="K39" s="173" t="s">
        <v>53</v>
      </c>
      <c r="L39" s="175" t="str">
        <f>VLOOKUP(C39,'[3]Trips&amp;Operators'!$C$1:$E$9999,3,0)</f>
        <v>MOSES</v>
      </c>
      <c r="M39" s="182" t="s">
        <v>86</v>
      </c>
      <c r="N39" s="177"/>
      <c r="P39" s="183" t="str">
        <f>VLOOKUP(C39,'[3]Train Runs'!$A$13:$AE$10013,31,0)</f>
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</c>
      <c r="Q39" s="184" t="str">
        <f>VLOOKUP(C39,'[3]Train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13:37:06-0600',mode:absolute,to:'2016-08-31 15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39" s="185" t="str">
        <f t="shared" si="8"/>
        <v>"C:\Program Files (x86)\AstroGrep\AstroGrep.exe" /spath="C:\Users\stu\Documents\Analysis\2016-02-23 RTDC Observations" /stypes="*4008*201608312*" /stext=" 20:.+((SYSTEM_STATE.+slice.+state.+changed )|(ment ac)|(system.+state.+changed )|(\|lc)|(penalty)|(\[timeout)|(PRM\|1\|D))" /e /r /s</v>
      </c>
      <c r="S39" s="176" t="str">
        <f t="shared" si="1"/>
        <v>4008</v>
      </c>
      <c r="T39" s="172">
        <f t="shared" si="2"/>
        <v>42613.871423611112</v>
      </c>
      <c r="U39" s="181" t="str">
        <f t="shared" si="6"/>
        <v>NW</v>
      </c>
      <c r="V39" s="181" t="str">
        <f t="shared" si="4"/>
        <v>KEEP</v>
      </c>
      <c r="W39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{"issue":{"subject":"","project_id":79,"tracker_id":40,"status_id":1,"priority_id":2,"assigned_to_id":23,"start_date":"2016-08-31","description":"","custom_fields":[{"id":1,"name":"Subdivision","value":"NW"},{"id":4,"name":"Milepost","value":"0.0575"},{"id":17,"name":"Train ID","value":"824-31"},{"id":16,"name":"Locomotive ID","value":"4008"},{"id":130,"name":"Impact","value":""},{"id":150,"name":"Time of Event (Mountain Time)","value":"14:54:51"},{"id":151,"name":"Denver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0" spans="1:23" x14ac:dyDescent="0.25">
      <c r="A40" s="172">
        <v>42613.62296296296</v>
      </c>
      <c r="B40" s="173" t="s">
        <v>720</v>
      </c>
      <c r="C40" s="173" t="s">
        <v>869</v>
      </c>
      <c r="D40" s="173" t="s">
        <v>49</v>
      </c>
      <c r="E40" s="173" t="s">
        <v>50</v>
      </c>
      <c r="F40" s="174">
        <v>0</v>
      </c>
      <c r="G40" s="174">
        <v>23</v>
      </c>
      <c r="H40" s="174">
        <v>617</v>
      </c>
      <c r="I40" s="173" t="s">
        <v>51</v>
      </c>
      <c r="J40" s="174">
        <v>575</v>
      </c>
      <c r="K40" s="173" t="s">
        <v>53</v>
      </c>
      <c r="L40" s="175" t="str">
        <f>VLOOKUP(C40,'[3]Trips&amp;Operators'!$C$1:$E$9999,3,0)</f>
        <v>MOSES</v>
      </c>
      <c r="M40" s="182" t="s">
        <v>86</v>
      </c>
      <c r="N40" s="177"/>
      <c r="P40" s="183" t="str">
        <f>VLOOKUP(C40,'[3]Train Runs'!$A$13:$AE$10013,31,0)</f>
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</c>
      <c r="Q40" s="184" t="str">
        <f>VLOOKUP(C40,'[3]Train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13:37:06-0600',mode:absolute,to:'2016-08-31 15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40" s="185" t="str">
        <f t="shared" si="8"/>
        <v>"C:\Program Files (x86)\AstroGrep\AstroGrep.exe" /spath="C:\Users\stu\Documents\Analysis\2016-02-23 RTDC Observations" /stypes="*4008*201608312*" /stext=" 20:.+((SYSTEM_STATE.+slice.+state.+changed )|(ment ac)|(system.+state.+changed )|(\|lc)|(penalty)|(\[timeout)|(PRM\|1\|D))" /e /r /s</v>
      </c>
      <c r="S40" s="176" t="str">
        <f t="shared" si="1"/>
        <v>4008</v>
      </c>
      <c r="T40" s="172">
        <f t="shared" si="2"/>
        <v>42613.87296296296</v>
      </c>
      <c r="U40" s="181" t="str">
        <f t="shared" si="6"/>
        <v>NW</v>
      </c>
      <c r="V40" s="181" t="str">
        <f t="shared" si="4"/>
        <v>KEEP</v>
      </c>
      <c r="W40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{"issue":{"subject":"","project_id":79,"tracker_id":40,"status_id":1,"priority_id":2,"assigned_to_id":23,"start_date":"2016-08-31","description":"","custom_fields":[{"id":1,"name":"Subdivision","value":"NW"},{"id":4,"name":"Milepost","value":"0.0575"},{"id":17,"name":"Train ID","value":"824-31"},{"id":16,"name":"Locomotive ID","value":"4008"},{"id":130,"name":"Impact","value":""},{"id":150,"name":"Time of Event (Mountain Time)","value":"14:57:04"},{"id":151,"name":"Denver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1" spans="1:23" x14ac:dyDescent="0.25">
      <c r="A41" s="172">
        <v>42613.663923611108</v>
      </c>
      <c r="B41" s="173" t="s">
        <v>720</v>
      </c>
      <c r="C41" s="173" t="s">
        <v>880</v>
      </c>
      <c r="D41" s="173" t="s">
        <v>49</v>
      </c>
      <c r="E41" s="173" t="s">
        <v>50</v>
      </c>
      <c r="F41" s="174">
        <v>0</v>
      </c>
      <c r="G41" s="174">
        <v>39</v>
      </c>
      <c r="H41" s="174">
        <v>687</v>
      </c>
      <c r="I41" s="173" t="s">
        <v>51</v>
      </c>
      <c r="J41" s="174">
        <v>575</v>
      </c>
      <c r="K41" s="173" t="s">
        <v>53</v>
      </c>
      <c r="L41" s="175" t="str">
        <f>VLOOKUP(C41,'[3]Trips&amp;Operators'!$C$1:$E$9999,3,0)</f>
        <v>MOSES</v>
      </c>
      <c r="M41" s="182" t="s">
        <v>86</v>
      </c>
      <c r="N41" s="177"/>
      <c r="P41" s="183" t="str">
        <f>VLOOKUP(C41,'[3]Train Runs'!$A$13:$AE$10013,31,0)</f>
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</c>
      <c r="Q41" s="184" t="str">
        <f>VLOOKUP(C41,'[3]Train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14:38:12-0600',mode:absolute,to:'2016-08-31 16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41" s="185" t="str">
        <f t="shared" si="8"/>
        <v>"C:\Program Files (x86)\AstroGrep\AstroGrep.exe" /spath="C:\Users\stu\Documents\Analysis\2016-02-23 RTDC Observations" /stypes="*4008*201608312*" /stext=" 21:.+((SYSTEM_STATE.+slice.+state.+changed )|(ment ac)|(system.+state.+changed )|(\|lc)|(penalty)|(\[timeout)|(PRM\|1\|D))" /e /r /s</v>
      </c>
      <c r="S41" s="176" t="str">
        <f t="shared" si="1"/>
        <v>4008</v>
      </c>
      <c r="T41" s="172">
        <f t="shared" si="2"/>
        <v>42613.913923611108</v>
      </c>
      <c r="U41" s="181" t="str">
        <f t="shared" si="6"/>
        <v>NW</v>
      </c>
      <c r="V41" s="181" t="str">
        <f t="shared" si="4"/>
        <v>KEEP</v>
      </c>
      <c r="W41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{"issue":{"subject":"","project_id":79,"tracker_id":40,"status_id":1,"priority_id":2,"assigned_to_id":23,"start_date":"2016-08-31","description":"","custom_fields":[{"id":1,"name":"Subdivision","value":"NW"},{"id":4,"name":"Milepost","value":"0.0575"},{"id":17,"name":"Train ID","value":"826-31"},{"id":16,"name":"Locomotive ID","value":"4008"},{"id":130,"name":"Impact","value":""},{"id":150,"name":"Time of Event (Mountain Time)","value":"15:56:03"},{"id":151,"name":"Denver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2" spans="1:23" x14ac:dyDescent="0.25">
      <c r="A42" s="172">
        <v>42613.748379629629</v>
      </c>
      <c r="B42" s="173" t="s">
        <v>720</v>
      </c>
      <c r="C42" s="173" t="s">
        <v>903</v>
      </c>
      <c r="D42" s="173" t="s">
        <v>49</v>
      </c>
      <c r="E42" s="173" t="s">
        <v>50</v>
      </c>
      <c r="F42" s="174">
        <v>0</v>
      </c>
      <c r="G42" s="174">
        <v>28</v>
      </c>
      <c r="H42" s="174">
        <v>636</v>
      </c>
      <c r="I42" s="173" t="s">
        <v>51</v>
      </c>
      <c r="J42" s="174">
        <v>575</v>
      </c>
      <c r="K42" s="173" t="s">
        <v>53</v>
      </c>
      <c r="L42" s="175" t="str">
        <f>VLOOKUP(C42,'[3]Trips&amp;Operators'!$C$1:$E$9999,3,0)</f>
        <v>MOSES</v>
      </c>
      <c r="M42" s="182" t="s">
        <v>86</v>
      </c>
      <c r="N42" s="177"/>
      <c r="P42" s="183" t="str">
        <f>VLOOKUP(C42,'[3]Train Runs'!$A$13:$AE$10013,31,0)</f>
        <v>aws s3 cp s3://rtdc.mdm.uploadarchive/RTDC4008/2016-08-31/ "%USERPROFILE%\AppData\Local\Temp\OnboardLogs"\RTDC4008\2016-08-31 --recursive &amp; "%USERPROFILE%\Documents\GitHub\mrs-test-scripts\Headless Mode &amp; Sideloading\WalkAndUnGZ.bat" "%USERPROFILE%\AppData\Local\Temp\OnboardLogs"\RTDC4008\2016-08-31 &amp; 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</v>
      </c>
      <c r="Q42" s="184" t="str">
        <f>VLOOKUP(C42,'[3]Train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16:36:52-0600',mode:absolute,to:'2016-08-31 18:57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42" s="185" t="str">
        <f t="shared" si="8"/>
        <v>"C:\Program Files (x86)\AstroGrep\AstroGrep.exe" /spath="C:\Users\stu\Documents\Analysis\2016-02-23 RTDC Observations" /stypes="*4008*201608312*" /stext=" 23:.+((SYSTEM_STATE.+slice.+state.+changed )|(ment ac)|(system.+state.+changed )|(\|lc)|(penalty)|(\[timeout)|(PRM\|1\|D))" /e /r /s</v>
      </c>
      <c r="S42" s="176" t="str">
        <f t="shared" si="1"/>
        <v>4008</v>
      </c>
      <c r="T42" s="172">
        <f t="shared" si="2"/>
        <v>42613.998379629629</v>
      </c>
      <c r="U42" s="181" t="str">
        <f t="shared" si="6"/>
        <v>NW</v>
      </c>
      <c r="V42" s="181" t="str">
        <f t="shared" si="4"/>
        <v>KEEP</v>
      </c>
      <c r="W42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{"issue":{"subject":"","project_id":79,"tracker_id":40,"status_id":1,"priority_id":2,"assigned_to_id":23,"start_date":"2016-08-31","description":"","custom_fields":[{"id":1,"name":"Subdivision","value":"NW"},{"id":4,"name":"Milepost","value":"0.0575"},{"id":17,"name":"Train ID","value":"834-31"},{"id":16,"name":"Locomotive ID","value":"4008"},{"id":130,"name":"Impact","value":""},{"id":150,"name":"Time of Event (Mountain Time)","value":"17:57:40"},{"id":151,"name":"Denver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3" spans="1:23" x14ac:dyDescent="0.25">
      <c r="A43" s="172">
        <v>42613.671354166669</v>
      </c>
      <c r="B43" s="173" t="s">
        <v>113</v>
      </c>
      <c r="C43" s="173" t="s">
        <v>882</v>
      </c>
      <c r="D43" s="173" t="s">
        <v>49</v>
      </c>
      <c r="E43" s="173" t="s">
        <v>50</v>
      </c>
      <c r="F43" s="174">
        <v>0</v>
      </c>
      <c r="G43" s="174">
        <v>67</v>
      </c>
      <c r="H43" s="174">
        <v>58864</v>
      </c>
      <c r="I43" s="173" t="s">
        <v>51</v>
      </c>
      <c r="J43" s="174">
        <v>59048</v>
      </c>
      <c r="K43" s="173" t="s">
        <v>52</v>
      </c>
      <c r="L43" s="175" t="str">
        <f>VLOOKUP(C43,'[3]Trips&amp;Operators'!$C$1:$E$9999,3,0)</f>
        <v>HILLS</v>
      </c>
      <c r="M43" s="182" t="s">
        <v>86</v>
      </c>
      <c r="N43" s="177"/>
      <c r="P43" s="183" t="str">
        <f>VLOOKUP(C43,'[3]Train Runs'!$A$13:$AE$10013,31,0)</f>
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</c>
      <c r="Q43" s="184" t="str">
        <f>VLOOKUP(C43,'[3]Train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14:45:07-0600',mode:absolute,to:'2016-08-31 17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43" s="185" t="str">
        <f t="shared" si="8"/>
        <v>"C:\Program Files (x86)\AstroGrep\AstroGrep.exe" /spath="C:\Users\stu\Documents\Analysis\2016-02-23 RTDC Observations" /stypes="*4031*201608312*" /stext=" 22:.+((SYSTEM_STATE.+slice.+state.+changed )|(ment ac)|(system.+state.+changed )|(\|lc)|(penalty)|(\[timeout)|(PRM\|1\|D))" /e /r /s</v>
      </c>
      <c r="S43" s="176" t="str">
        <f t="shared" si="1"/>
        <v>4031</v>
      </c>
      <c r="T43" s="172">
        <f t="shared" si="2"/>
        <v>42613.921354166669</v>
      </c>
      <c r="U43" s="181" t="str">
        <f t="shared" si="6"/>
        <v>NW</v>
      </c>
      <c r="V43" s="181" t="str">
        <f t="shared" si="4"/>
        <v>KEEP</v>
      </c>
      <c r="W43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{"issue":{"subject":"","project_id":79,"tracker_id":40,"status_id":1,"priority_id":2,"assigned_to_id":23,"start_date":"2016-08-31","description":"","custom_fields":[{"id":1,"name":"Subdivision","value":"NW"},{"id":4,"name":"Milepost","value":"5.9048"},{"id":17,"name":"Train ID","value":"827-31"},{"id":16,"name":"Locomotive ID","value":"4031"},{"id":130,"name":"Impact","value":""},{"id":150,"name":"Time of Event (Mountain Time)","value":"16:06:45"},{"id":151,"name":"Denver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4" spans="1:23" x14ac:dyDescent="0.25">
      <c r="A44" s="172">
        <v>42613.712002314816</v>
      </c>
      <c r="B44" s="173" t="s">
        <v>113</v>
      </c>
      <c r="C44" s="173" t="s">
        <v>890</v>
      </c>
      <c r="D44" s="173" t="s">
        <v>49</v>
      </c>
      <c r="E44" s="173" t="s">
        <v>50</v>
      </c>
      <c r="F44" s="174">
        <v>0</v>
      </c>
      <c r="G44" s="174">
        <v>115</v>
      </c>
      <c r="H44" s="174">
        <v>58658</v>
      </c>
      <c r="I44" s="173" t="s">
        <v>51</v>
      </c>
      <c r="J44" s="174">
        <v>59048</v>
      </c>
      <c r="K44" s="173" t="s">
        <v>52</v>
      </c>
      <c r="L44" s="175" t="str">
        <f>VLOOKUP(C44,'[3]Trips&amp;Operators'!$C$1:$E$9999,3,0)</f>
        <v>HILLS</v>
      </c>
      <c r="M44" s="182" t="s">
        <v>86</v>
      </c>
      <c r="N44" s="177"/>
      <c r="P44" s="183" t="str">
        <f>VLOOKUP(C44,'[3]Train Runs'!$A$13:$AE$10013,31,0)</f>
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</c>
      <c r="Q44" s="184" t="str">
        <f>VLOOKUP(C44,'[3]Train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15:34:51-0600',mode:absolute,to:'2016-08-31 18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44" s="185" t="str">
        <f t="shared" si="8"/>
        <v>"C:\Program Files (x86)\AstroGrep\AstroGrep.exe" /spath="C:\Users\stu\Documents\Analysis\2016-02-23 RTDC Observations" /stypes="*4031*201608312*" /stext=" 23:.+((SYSTEM_STATE.+slice.+state.+changed )|(ment ac)|(system.+state.+changed )|(\|lc)|(penalty)|(\[timeout)|(PRM\|1\|D))" /e /r /s</v>
      </c>
      <c r="S44" s="176" t="str">
        <f t="shared" si="1"/>
        <v>4031</v>
      </c>
      <c r="T44" s="172">
        <f t="shared" si="2"/>
        <v>42613.962002314816</v>
      </c>
      <c r="U44" s="181" t="str">
        <f t="shared" si="6"/>
        <v>NW</v>
      </c>
      <c r="V44" s="181" t="str">
        <f t="shared" si="4"/>
        <v>KEEP</v>
      </c>
      <c r="W44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{"issue":{"subject":"","project_id":79,"tracker_id":40,"status_id":1,"priority_id":2,"assigned_to_id":23,"start_date":"2016-08-31","description":"","custom_fields":[{"id":1,"name":"Subdivision","value":"NW"},{"id":4,"name":"Milepost","value":"5.9048"},{"id":17,"name":"Train ID","value":"831-31"},{"id":16,"name":"Locomotive ID","value":"4031"},{"id":130,"name":"Impact","value":""},{"id":150,"name":"Time of Event (Mountain Time)","value":"17:05:17"},{"id":151,"name":"Denver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5" spans="1:23" x14ac:dyDescent="0.25">
      <c r="A45" s="172">
        <v>42613.732858796298</v>
      </c>
      <c r="B45" s="173" t="s">
        <v>781</v>
      </c>
      <c r="C45" s="173" t="s">
        <v>899</v>
      </c>
      <c r="D45" s="173" t="s">
        <v>49</v>
      </c>
      <c r="E45" s="173" t="s">
        <v>50</v>
      </c>
      <c r="F45" s="174">
        <v>0</v>
      </c>
      <c r="G45" s="174">
        <v>60</v>
      </c>
      <c r="H45" s="174">
        <v>58873</v>
      </c>
      <c r="I45" s="173" t="s">
        <v>51</v>
      </c>
      <c r="J45" s="174">
        <v>59048</v>
      </c>
      <c r="K45" s="173" t="s">
        <v>52</v>
      </c>
      <c r="L45" s="175" t="str">
        <f>VLOOKUP(C45,'[3]Trips&amp;Operators'!$C$1:$E$9999,3,0)</f>
        <v>MOSES</v>
      </c>
      <c r="M45" s="182" t="s">
        <v>86</v>
      </c>
      <c r="N45" s="177"/>
      <c r="P45" s="183" t="str">
        <f>VLOOKUP(C45,'[3]Train Runs'!$A$13:$AE$10013,31,0)</f>
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</c>
      <c r="Q45" s="184" t="str">
        <f>VLOOKUP(C45,'[3]Train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16:15:42-0600',mode:absolute,to:'2016-08-31 18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5" s="185" t="str">
        <f t="shared" si="8"/>
        <v>"C:\Program Files (x86)\AstroGrep\AstroGrep.exe" /spath="C:\Users\stu\Documents\Analysis\2016-02-23 RTDC Observations" /stypes="*4007*201608312*" /stext=" 23:.+((SYSTEM_STATE.+slice.+state.+changed )|(ment ac)|(system.+state.+changed )|(\|lc)|(penalty)|(\[timeout)|(PRM\|1\|D))" /e /r /s</v>
      </c>
      <c r="S45" s="176" t="str">
        <f t="shared" si="1"/>
        <v>4007</v>
      </c>
      <c r="T45" s="172">
        <f t="shared" si="2"/>
        <v>42613.982858796298</v>
      </c>
      <c r="U45" s="181" t="str">
        <f t="shared" si="6"/>
        <v>NW</v>
      </c>
      <c r="V45" s="181" t="str">
        <f t="shared" si="4"/>
        <v>KEEP</v>
      </c>
      <c r="W45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{"issue":{"subject":"","project_id":79,"tracker_id":40,"status_id":1,"priority_id":2,"assigned_to_id":23,"start_date":"2016-08-31","description":"","custom_fields":[{"id":1,"name":"Subdivision","value":"NW"},{"id":4,"name":"Milepost","value":"5.9048"},{"id":17,"name":"Train ID","value":"833-31"},{"id":16,"name":"Locomotive ID","value":"4007"},{"id":130,"name":"Impact","value":""},{"id":150,"name":"Time of Event (Mountain Time)","value":"17:35:19"},{"id":151,"name":"Denver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6" spans="1:23" x14ac:dyDescent="0.25">
      <c r="A46" s="172">
        <v>42613.858206018522</v>
      </c>
      <c r="B46" s="173" t="s">
        <v>781</v>
      </c>
      <c r="C46" s="173" t="s">
        <v>935</v>
      </c>
      <c r="D46" s="173" t="s">
        <v>49</v>
      </c>
      <c r="E46" s="173" t="s">
        <v>50</v>
      </c>
      <c r="F46" s="174">
        <v>0</v>
      </c>
      <c r="G46" s="174">
        <v>69</v>
      </c>
      <c r="H46" s="174">
        <v>58822</v>
      </c>
      <c r="I46" s="173" t="s">
        <v>51</v>
      </c>
      <c r="J46" s="174">
        <v>59048</v>
      </c>
      <c r="K46" s="173" t="s">
        <v>52</v>
      </c>
      <c r="L46" s="175" t="str">
        <f>VLOOKUP(C46,'[3]Trips&amp;Operators'!$C$1:$E$9999,3,0)</f>
        <v>MOSES</v>
      </c>
      <c r="M46" s="182" t="s">
        <v>86</v>
      </c>
      <c r="N46" s="177"/>
      <c r="P46" s="183" t="str">
        <f>VLOOKUP(C46,'[3]Train Runs'!$A$13:$AE$10013,31,0)</f>
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</c>
      <c r="Q46" s="184" t="str">
        <f>VLOOKUP(C46,'[3]Train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19:16:34-0600',mode:absolute,to:'2016-08-31 22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6" s="185" t="str">
        <f t="shared" si="8"/>
        <v>"C:\Program Files (x86)\AstroGrep\AstroGrep.exe" /spath="C:\Users\stu\Documents\Analysis\2016-02-23 RTDC Observations" /stypes="*4007*201609010*" /stext=" 02:.+((SYSTEM_STATE.+slice.+state.+changed )|(ment ac)|(system.+state.+changed )|(\|lc)|(penalty)|(\[timeout)|(PRM\|1\|D))" /e /r /s</v>
      </c>
      <c r="S46" s="176" t="str">
        <f t="shared" si="1"/>
        <v>4007</v>
      </c>
      <c r="T46" s="172">
        <f t="shared" si="2"/>
        <v>42614.108206018522</v>
      </c>
      <c r="U46" s="181" t="str">
        <f t="shared" si="6"/>
        <v>NW</v>
      </c>
      <c r="V46" s="181" t="str">
        <f t="shared" si="4"/>
        <v>KEEP</v>
      </c>
      <c r="W46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{"issue":{"subject":"","project_id":79,"tracker_id":40,"status_id":1,"priority_id":2,"assigned_to_id":23,"start_date":"2016-08-31","description":"","custom_fields":[{"id":1,"name":"Subdivision","value":"NW"},{"id":4,"name":"Milepost","value":"5.9048"},{"id":17,"name":"Train ID","value":"843-31"},{"id":16,"name":"Locomotive ID","value":"4007"},{"id":130,"name":"Impact","value":""},{"id":150,"name":"Time of Event (Mountain Time)","value":"20:35:49"},{"id":151,"name":"Denver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7" spans="1:23" x14ac:dyDescent="0.25">
      <c r="A47" s="172">
        <v>42613.339247685188</v>
      </c>
      <c r="B47" s="173" t="s">
        <v>113</v>
      </c>
      <c r="C47" s="173" t="s">
        <v>800</v>
      </c>
      <c r="D47" s="173" t="s">
        <v>49</v>
      </c>
      <c r="E47" s="173" t="s">
        <v>50</v>
      </c>
      <c r="F47" s="174">
        <v>0</v>
      </c>
      <c r="G47" s="174">
        <v>26</v>
      </c>
      <c r="H47" s="174">
        <v>58944</v>
      </c>
      <c r="I47" s="173" t="s">
        <v>51</v>
      </c>
      <c r="J47" s="174">
        <v>59058</v>
      </c>
      <c r="K47" s="173" t="s">
        <v>52</v>
      </c>
      <c r="L47" s="175" t="str">
        <f>VLOOKUP(C47,'[3]Trips&amp;Operators'!$C$1:$E$9999,3,0)</f>
        <v>STARKS</v>
      </c>
      <c r="M47" s="182" t="s">
        <v>86</v>
      </c>
      <c r="N47" s="177"/>
      <c r="P47" s="183" t="str">
        <f>VLOOKUP(C47,'[3]Train Runs'!$A$13:$AE$10013,31,0)</f>
        <v>aws s3 cp s3://rtdc.mdm.uploadarchive/RTDC4031/2016-08-31/ "%USERPROFILE%\AppData\Local\Temp\OnboardLogs"\RTDC4031\2016-08-31 --recursive &amp; "%USERPROFILE%\Documents\GitHub\mrs-test-scripts\Headless Mode &amp; Sideloading\WalkAndUnGZ.bat" "%USERPROFILE%\AppData\Local\Temp\OnboardLogs"\RTDC4031\2016-08-31 &amp; 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</v>
      </c>
      <c r="Q47" s="184" t="str">
        <f>VLOOKUP(C47,'[3]Train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06:46:30-0600',mode:absolute,to:'2016-08-31 09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47" s="185" t="str">
        <f t="shared" si="8"/>
        <v>"C:\Program Files (x86)\AstroGrep\AstroGrep.exe" /spath="C:\Users\stu\Documents\Analysis\2016-02-23 RTDC Observations" /stypes="*4031*201608311*" /stext=" 14:.+((SYSTEM_STATE.+slice.+state.+changed )|(ment ac)|(system.+state.+changed )|(\|lc)|(penalty)|(\[timeout)|(PRM\|1\|D))" /e /r /s</v>
      </c>
      <c r="S47" s="176" t="str">
        <f t="shared" si="1"/>
        <v>4031</v>
      </c>
      <c r="T47" s="172">
        <f t="shared" si="2"/>
        <v>42613.589247685188</v>
      </c>
      <c r="U47" s="181" t="str">
        <f t="shared" si="6"/>
        <v>NW</v>
      </c>
      <c r="V47" s="181" t="str">
        <f t="shared" si="4"/>
        <v>KEEP</v>
      </c>
      <c r="W47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{"issue":{"subject":"","project_id":79,"tracker_id":40,"status_id":1,"priority_id":2,"assigned_to_id":23,"start_date":"2016-08-31","description":"","custom_fields":[{"id":1,"name":"Subdivision","value":"NW"},{"id":4,"name":"Milepost","value":"5.9058"},{"id":17,"name":"Train ID","value":"809-31"},{"id":16,"name":"Locomotive ID","value":"4031"},{"id":130,"name":"Impact","value":""},{"id":150,"name":"Time of Event (Mountain Time)","value":"08:08:31"},{"id":151,"name":"Denver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8" spans="1:23" x14ac:dyDescent="0.25">
      <c r="A48" s="172">
        <v>42613.566527777781</v>
      </c>
      <c r="B48" s="173" t="s">
        <v>781</v>
      </c>
      <c r="C48" s="173" t="s">
        <v>856</v>
      </c>
      <c r="D48" s="173" t="s">
        <v>49</v>
      </c>
      <c r="E48" s="173" t="s">
        <v>50</v>
      </c>
      <c r="F48" s="174">
        <v>0</v>
      </c>
      <c r="G48" s="174">
        <v>38</v>
      </c>
      <c r="H48" s="174">
        <v>58973</v>
      </c>
      <c r="I48" s="173" t="s">
        <v>51</v>
      </c>
      <c r="J48" s="174">
        <v>59058</v>
      </c>
      <c r="K48" s="173" t="s">
        <v>52</v>
      </c>
      <c r="L48" s="175" t="str">
        <f>VLOOKUP(C48,'[3]Trips&amp;Operators'!$C$1:$E$9999,3,0)</f>
        <v>MOSES</v>
      </c>
      <c r="M48" s="182" t="s">
        <v>86</v>
      </c>
      <c r="N48" s="177"/>
      <c r="P48" s="183" t="str">
        <f>VLOOKUP(C48,'[3]Train Runs'!$A$13:$AE$10013,31,0)</f>
        <v>aws s3 cp s3://rtdc.mdm.uploadarchive/RTDC4007/2016-08-31/ "%USERPROFILE%\AppData\Local\Temp\OnboardLogs"\RTDC4007\2016-08-31 --recursive &amp; "%USERPROFILE%\Documents\GitHub\mrs-test-scripts\Headless Mode &amp; Sideloading\WalkAndUnGZ.bat" "%USERPROFILE%\AppData\Local\Temp\OnboardLogs"\RTDC4007\2016-08-31 &amp; aws s3 cp s3://rtdc.mdm.uploadarchive/RTDC4007/2016-09-01/ "%USERPROFILE%\AppData\Local\Temp\OnboardLogs"\RTDC4007\2016-09-01 --recursive &amp; "%USERPROFILE%\Documents\GitHub\mrs-test-scripts\Headless Mode &amp; Sideloading\WalkAndUnGZ.bat" "%USERPROFILE%\AppData\Local\Temp\OnboardLogs"\RTDC4007\2016-09-01</v>
      </c>
      <c r="Q48" s="184" t="str">
        <f>VLOOKUP(C48,'[3]Train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12:11:52-0600',mode:absolute,to:'2016-08-31 14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8" s="185" t="str">
        <f t="shared" si="8"/>
        <v>"C:\Program Files (x86)\AstroGrep\AstroGrep.exe" /spath="C:\Users\stu\Documents\Analysis\2016-02-23 RTDC Observations" /stypes="*4007*201608311*" /stext=" 19:.+((SYSTEM_STATE.+slice.+state.+changed )|(ment ac)|(system.+state.+changed )|(\|lc)|(penalty)|(\[timeout)|(PRM\|1\|D))" /e /r /s</v>
      </c>
      <c r="S48" s="176" t="str">
        <f t="shared" si="1"/>
        <v>4007</v>
      </c>
      <c r="T48" s="172">
        <f t="shared" si="2"/>
        <v>42613.816527777781</v>
      </c>
      <c r="U48" s="181" t="str">
        <f t="shared" si="6"/>
        <v>NW</v>
      </c>
      <c r="V48" s="181" t="str">
        <f t="shared" si="4"/>
        <v>KEEP</v>
      </c>
      <c r="W48" s="186" t="str">
        <f t="shared" si="9"/>
        <v>echo {"issue":{"subject":"","project_id":79,"tracker_id":40,"status_id":1,"priority_id":2,"assigned_to_id":23,"start_date":"2016-08-31","description":"","custom_fields":[{"id":1,"name":"Subdivision","value":"NW"},{"id":4,"name":"Milepost","value":"5.9058"},{"id":17,"name":"Train ID","value":"821-31"},{"id":16,"name":"Locomotive ID","value":"4007"},{"id":130,"name":"Impact","value":""},{"id":150,"name":"Time of Event (Mountain Time)","value":"13:35:48"},{"id":151,"name":"Denver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49" spans="1:23" x14ac:dyDescent="0.25">
      <c r="A49" s="172">
        <v>42613.64471064815</v>
      </c>
      <c r="B49" s="173" t="s">
        <v>114</v>
      </c>
      <c r="C49" s="173" t="s">
        <v>878</v>
      </c>
      <c r="D49" s="173" t="s">
        <v>49</v>
      </c>
      <c r="E49" s="173" t="s">
        <v>54</v>
      </c>
      <c r="F49" s="174">
        <v>0</v>
      </c>
      <c r="G49" s="174">
        <v>46</v>
      </c>
      <c r="H49" s="174">
        <v>24481</v>
      </c>
      <c r="I49" s="173" t="s">
        <v>55</v>
      </c>
      <c r="J49" s="174">
        <v>24199</v>
      </c>
      <c r="K49" s="173" t="s">
        <v>53</v>
      </c>
      <c r="L49" s="175" t="str">
        <f>VLOOKUP(C49,'[3]Trips&amp;Operators'!$C$1:$E$9999,3,0)</f>
        <v>HILLS</v>
      </c>
      <c r="M49" s="182" t="s">
        <v>86</v>
      </c>
      <c r="N49" s="177"/>
      <c r="P49" s="183" t="str">
        <f>VLOOKUP(C49,'[3]Train Runs'!$A$13:$AE$10013,31,0)</f>
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</c>
      <c r="Q49" s="184" t="str">
        <f>VLOOKUP(C49,'[3]Train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14:31:58-0600',mode:absolute,to:'2016-08-31 16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49" s="185" t="str">
        <f t="shared" si="8"/>
        <v>"C:\Program Files (x86)\AstroGrep\AstroGrep.exe" /spath="C:\Users\stu\Documents\Analysis\2016-02-23 RTDC Observations" /stypes="*4032*201608312*" /stext=" 21:.+((SYSTEM_STATE.+slice.+state.+changed )|(ment ac)|(system.+state.+changed )|(\|lc)|(penalty)|(\[timeout)|(PRM\|1\|D))" /e /r /s</v>
      </c>
      <c r="S49" s="176" t="str">
        <f t="shared" si="1"/>
        <v>4032</v>
      </c>
      <c r="T49" s="172">
        <f t="shared" si="2"/>
        <v>42613.89471064815</v>
      </c>
      <c r="U49" s="181" t="str">
        <f t="shared" si="6"/>
        <v>Other</v>
      </c>
      <c r="V49" s="181" t="str">
        <f t="shared" si="4"/>
        <v>KEEP</v>
      </c>
      <c r="W49" s="186" t="str">
        <f t="shared" si="9"/>
        <v>echo {"issue":{"subject":"","project_id":79,"tracker_id":40,"status_id":1,"priority_id":2,"assigned_to_id":23,"start_date":"2016-08-31","description":"","custom_fields":[{"id":1,"name":"Subdivision","value":"Other"},{"id":4,"name":"Milepost","value":"2.4199"},{"id":17,"name":"Train ID","value":"904-31"},{"id":16,"name":"Locomotive ID","value":"4032"},{"id":130,"name":"Impact","value":""},{"id":150,"name":"Time of Event (Mountain Time)","value":"15:28:23"},{"id":151,"name":"Denver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0" spans="1:23" x14ac:dyDescent="0.25">
      <c r="A50" s="172">
        <v>42613.645937499998</v>
      </c>
      <c r="B50" s="173" t="s">
        <v>114</v>
      </c>
      <c r="C50" s="173" t="s">
        <v>878</v>
      </c>
      <c r="D50" s="173" t="s">
        <v>49</v>
      </c>
      <c r="E50" s="173" t="s">
        <v>54</v>
      </c>
      <c r="F50" s="174">
        <v>0</v>
      </c>
      <c r="G50" s="174">
        <v>25</v>
      </c>
      <c r="H50" s="174">
        <v>24368</v>
      </c>
      <c r="I50" s="173" t="s">
        <v>55</v>
      </c>
      <c r="J50" s="174">
        <v>24199</v>
      </c>
      <c r="K50" s="173" t="s">
        <v>53</v>
      </c>
      <c r="L50" s="175" t="str">
        <f>VLOOKUP(C50,'[3]Trips&amp;Operators'!$C$1:$E$9999,3,0)</f>
        <v>HILLS</v>
      </c>
      <c r="M50" s="182" t="s">
        <v>86</v>
      </c>
      <c r="N50" s="177"/>
      <c r="P50" s="183" t="str">
        <f>VLOOKUP(C50,'[3]Train Runs'!$A$13:$AE$10013,31,0)</f>
        <v>aws s3 cp s3://rtdc.mdm.uploadarchive/RTDC4032/2016-08-31/ "%USERPROFILE%\AppData\Local\Temp\OnboardLogs"\RTDC4032\2016-08-31 --recursive &amp; "%USERPROFILE%\Documents\GitHub\mrs-test-scripts\Headless Mode &amp; Sideloading\WalkAndUnGZ.bat" "%USERPROFILE%\AppData\Local\Temp\OnboardLogs"\RTDC4032\2016-08-31 &amp; 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</v>
      </c>
      <c r="Q50" s="184" t="str">
        <f>VLOOKUP(C50,'[3]Train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14:31:58-0600',mode:absolute,to:'2016-08-31 16:42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50" s="185" t="str">
        <f t="shared" si="8"/>
        <v>"C:\Program Files (x86)\AstroGrep\AstroGrep.exe" /spath="C:\Users\stu\Documents\Analysis\2016-02-23 RTDC Observations" /stypes="*4032*201608312*" /stext=" 21:.+((SYSTEM_STATE.+slice.+state.+changed )|(ment ac)|(system.+state.+changed )|(\|lc)|(penalty)|(\[timeout)|(PRM\|1\|D))" /e /r /s</v>
      </c>
      <c r="S50" s="176" t="str">
        <f t="shared" si="1"/>
        <v>4032</v>
      </c>
      <c r="T50" s="172">
        <f t="shared" si="2"/>
        <v>42613.895937499998</v>
      </c>
      <c r="U50" s="181" t="str">
        <f t="shared" si="6"/>
        <v>Other</v>
      </c>
      <c r="V50" s="181" t="str">
        <f t="shared" si="4"/>
        <v>KEEP</v>
      </c>
      <c r="W50" s="186" t="str">
        <f t="shared" si="9"/>
        <v>echo {"issue":{"subject":"","project_id":79,"tracker_id":40,"status_id":1,"priority_id":2,"assigned_to_id":23,"start_date":"2016-08-31","description":"","custom_fields":[{"id":1,"name":"Subdivision","value":"Other"},{"id":4,"name":"Milepost","value":"2.4199"},{"id":17,"name":"Train ID","value":"904-31"},{"id":16,"name":"Locomotive ID","value":"4032"},{"id":130,"name":"Impact","value":""},{"id":150,"name":"Time of Event (Mountain Time)","value":"15:30:09"},{"id":151,"name":"Denver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1" spans="1:23" x14ac:dyDescent="0.25">
      <c r="A51" s="172">
        <v>42613.753252314818</v>
      </c>
      <c r="B51" s="173" t="s">
        <v>909</v>
      </c>
      <c r="C51" s="173" t="s">
        <v>910</v>
      </c>
      <c r="D51" s="173" t="s">
        <v>49</v>
      </c>
      <c r="E51" s="173" t="s">
        <v>50</v>
      </c>
      <c r="F51" s="174">
        <v>0</v>
      </c>
      <c r="G51" s="174">
        <v>67</v>
      </c>
      <c r="H51" s="174">
        <v>207</v>
      </c>
      <c r="I51" s="173" t="s">
        <v>51</v>
      </c>
      <c r="J51" s="174">
        <v>1</v>
      </c>
      <c r="K51" s="173" t="s">
        <v>53</v>
      </c>
      <c r="L51" s="175" t="str">
        <f>VLOOKUP(C51,'[3]Trips&amp;Operators'!$C$1:$E$9999,3,0)</f>
        <v>COOLAHAN</v>
      </c>
      <c r="M51" s="182" t="s">
        <v>86</v>
      </c>
      <c r="N51" s="177"/>
      <c r="P51" s="183" t="str">
        <f>VLOOKUP(C51,'[3]Train Runs'!$A$13:$AE$10013,31,0)</f>
        <v>aws s3 cp s3://rtdc.mdm.uploadarchive/RTDC4005/2016-08-31/ "%USERPROFILE%\AppData\Local\Temp\OnboardLogs"\RTDC4005\2016-08-31 --recursive &amp; "%USERPROFILE%\Documents\GitHub\mrs-test-scripts\Headless Mode &amp; Sideloading\WalkAndUnGZ.bat" "%USERPROFILE%\AppData\Local\Temp\OnboardLogs"\RTDC4005\2016-08-31 &amp; aws s3 cp s3://rtdc.mdm.uploadarchive/RTDC4005/2016-09-01/ "%USERPROFILE%\AppData\Local\Temp\OnboardLogs"\RTDC4005\2016-09-01 --recursive &amp; "%USERPROFILE%\Documents\GitHub\mrs-test-scripts\Headless Mode &amp; Sideloading\WalkAndUnGZ.bat" "%USERPROFILE%\AppData\Local\Temp\OnboardLogs"\RTDC4005\2016-09-01</v>
      </c>
      <c r="Q51" s="184" t="str">
        <f>VLOOKUP(C51,'[3]Train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16:53:28-0600',mode:absolute,to:'2016-08-31 19:04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R51" s="185" t="str">
        <f t="shared" si="8"/>
        <v>"C:\Program Files (x86)\AstroGrep\AstroGrep.exe" /spath="C:\Users\stu\Documents\Analysis\2016-02-23 RTDC Observations" /stypes="*4005*201609010*" /stext=" 00:.+((SYSTEM_STATE.+slice.+state.+changed )|(ment ac)|(system.+state.+changed )|(\|lc)|(penalty)|(\[timeout)|(PRM\|1\|D))" /e /r /s</v>
      </c>
      <c r="S51" s="176" t="str">
        <f t="shared" si="1"/>
        <v>4005</v>
      </c>
      <c r="T51" s="172">
        <f t="shared" si="2"/>
        <v>42614.003252314818</v>
      </c>
      <c r="U51" s="181" t="str">
        <f t="shared" si="6"/>
        <v>Other</v>
      </c>
      <c r="V51" s="181" t="str">
        <f t="shared" si="4"/>
        <v>KEEP</v>
      </c>
      <c r="W51" s="186" t="str">
        <f t="shared" si="9"/>
        <v>echo {"issue":{"subject":"","project_id":79,"tracker_id":40,"status_id":1,"priority_id":2,"assigned_to_id":23,"start_date":"2016-08-31","description":"","custom_fields":[{"id":1,"name":"Subdivision","value":"Other"},{"id":4,"name":"Milepost","value":"0.0001"},{"id":17,"name":"Train ID","value":"67-31"},{"id":16,"name":"Locomotive ID","value":"4005"},{"id":130,"name":"Impact","value":""},{"id":150,"name":"Time of Event (Mountain Time)","value":"18:04:41"},{"id":151,"name":"Denver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2" spans="1:23" x14ac:dyDescent="0.25">
      <c r="A52" s="172">
        <v>42613.156331018516</v>
      </c>
      <c r="B52" s="173" t="s">
        <v>351</v>
      </c>
      <c r="C52" s="173" t="s">
        <v>717</v>
      </c>
      <c r="D52" s="173" t="s">
        <v>49</v>
      </c>
      <c r="E52" s="173" t="s">
        <v>50</v>
      </c>
      <c r="F52" s="174">
        <v>0</v>
      </c>
      <c r="G52" s="174">
        <v>58</v>
      </c>
      <c r="H52" s="174">
        <v>1048</v>
      </c>
      <c r="I52" s="173" t="s">
        <v>51</v>
      </c>
      <c r="J52" s="174">
        <v>839</v>
      </c>
      <c r="K52" s="173" t="s">
        <v>53</v>
      </c>
      <c r="L52" s="175" t="str">
        <f>VLOOKUP(C52,'[3]Trips&amp;Operators'!$C$1:$E$9999,3,0)</f>
        <v>CHIONE</v>
      </c>
      <c r="M52" s="182" t="s">
        <v>86</v>
      </c>
      <c r="N52" s="177"/>
      <c r="P52" s="183" t="str">
        <f>VLOOKUP(C52,'[3]Train Runs'!$A$13:$AE$10013,31,0)</f>
        <v>aws s3 cp s3://rtdc.mdm.uploadarchive/RTDC4010/2016-08-31/ "%USERPROFILE%\AppData\Local\Temp\OnboardLogs"\RTDC4010\2016-08-31 --recursive &amp; "%USERPROFILE%\Documents\GitHub\mrs-test-scripts\Headless Mode &amp; Sideloading\WalkAndUnGZ.bat" "%USERPROFILE%\AppData\Local\Temp\OnboardLogs"\RTDC4010\2016-08-31 &amp; 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</v>
      </c>
      <c r="Q52" s="184" t="str">
        <f>VLOOKUP(C52,'[3]Train Runs'!$A$13:$AE$10013,22,0)</f>
        <v>https://search-rtdc-monitor-bjffxe2xuh6vdkpspy63sjmuny.us-east-1.es.amazonaws.com/_plugin/kibana/#/discover/Steve-Slow-Train-Analysis-(2080s-and-2083s)?_g=(refreshInterval:(display:Off,section:0,value:0),time:(from:'2016-08-31 02:15:54-0600',mode:absolute,to:'2016-08-31 04:44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52" s="185" t="str">
        <f t="shared" si="8"/>
        <v>"C:\Program Files (x86)\AstroGrep\AstroGrep.exe" /spath="C:\Users\stu\Documents\Analysis\2016-02-23 RTDC Observations" /stypes="*4010*201608310*" /stext=" 09:.+((SYSTEM_STATE.+slice.+state.+changed )|(ment ac)|(system.+state.+changed )|(\|lc)|(penalty)|(\[timeout)|(PRM\|1\|D))" /e /r /s</v>
      </c>
      <c r="S52" s="176" t="str">
        <f t="shared" si="1"/>
        <v>4010</v>
      </c>
      <c r="T52" s="172">
        <f t="shared" si="2"/>
        <v>42613.406331018516</v>
      </c>
      <c r="U52" s="181" t="str">
        <f t="shared" si="6"/>
        <v>Other</v>
      </c>
      <c r="V52" s="181" t="str">
        <f t="shared" si="4"/>
        <v>KEEP</v>
      </c>
      <c r="W52" s="186" t="str">
        <f t="shared" si="9"/>
        <v>echo {"issue":{"subject":"","project_id":79,"tracker_id":40,"status_id":1,"priority_id":2,"assigned_to_id":23,"start_date":"2016-08-31","description":"","custom_fields":[{"id":1,"name":"Subdivision","value":"Other"},{"id":4,"name":"Milepost","value":"0.0839"},{"id":17,"name":"Train ID","value":"50-31"},{"id":16,"name":"Locomotive ID","value":"4010"},{"id":130,"name":"Impact","value":""},{"id":150,"name":"Time of Event (Mountain Time)","value":"03:45:07"},{"id":151,"name":"Denver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3" spans="1:23" x14ac:dyDescent="0.25">
      <c r="A53" s="172">
        <v>42614.405578703707</v>
      </c>
      <c r="B53" s="173" t="s">
        <v>720</v>
      </c>
      <c r="C53" s="173" t="s">
        <v>721</v>
      </c>
      <c r="D53" s="173" t="s">
        <v>229</v>
      </c>
      <c r="E53" s="173" t="s">
        <v>206</v>
      </c>
      <c r="F53" s="174">
        <v>0</v>
      </c>
      <c r="G53" s="174">
        <v>131</v>
      </c>
      <c r="H53" s="174">
        <v>27211</v>
      </c>
      <c r="I53" s="173" t="s">
        <v>205</v>
      </c>
      <c r="J53" s="174">
        <v>27350</v>
      </c>
      <c r="K53" s="173" t="s">
        <v>53</v>
      </c>
      <c r="L53" s="175" t="str">
        <f>VLOOKUP(C53,'[6]Trips&amp;Operators'!$C$1:$E$9999,3,0)</f>
        <v>ARVIDSON</v>
      </c>
      <c r="M53" s="182" t="s">
        <v>86</v>
      </c>
      <c r="N53" s="177" t="s">
        <v>336</v>
      </c>
      <c r="P53" s="183" t="str">
        <f>VLOOKUP(C53,'[6]Train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53" s="184" t="str">
        <f>VLOOKUP(C53,'[6]Train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08:07:27-0600',mode:absolute,to:'2016-09-01 10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53" s="185" t="str">
        <f t="shared" ref="R53:R84" si="10">astrogrep_path&amp;" /spath="&amp;search_path&amp;" /stypes=""*"&amp;S53&amp;"*"&amp;TEXT(A53-utc_offset/24,"YYYYMMDD")&amp;LEFT(TEXT(A53-utc_offset/24,"HH"),1)&amp;"*"" /stext="" "&amp;TEXT(A53-utc_offset/24,"HH")&amp;search_regexp&amp;""" /e /r /s"</f>
        <v>"C:\Program Files (x86)\AstroGrep\AstroGrep.exe" /spath="C:\Users\stu\Documents\Analysis\2016-02-23 RTDC Observations" /stypes="*4008*201609011*" /stext=" 15:.+((SYSTEM_STATE.+slice.+state.+changed )|(ment ac)|(system.+state.+changed )|(\|lc)|(penalty)|(\[timeout)|(PRM\|1\|D))" /e /r /s</v>
      </c>
      <c r="S53" s="176" t="str">
        <f t="shared" si="1"/>
        <v>4008</v>
      </c>
      <c r="T53" s="172">
        <f t="shared" si="2"/>
        <v>42614.655578703707</v>
      </c>
      <c r="U53" s="181" t="str">
        <f t="shared" si="6"/>
        <v>EC</v>
      </c>
      <c r="V53" s="181" t="str">
        <f t="shared" si="4"/>
        <v>KEEP</v>
      </c>
      <c r="W53" s="186" t="str">
        <f t="shared" ref="W53:W84" si="11">"echo {""issue"":{""subject"":"""&amp;N53&amp;""",""project_id"":79,""tracker_id"":40,""status_id"":"&amp;redmine_status&amp;",""priority_id"":"&amp;redmine_priority&amp;",""assigned_to_id"":"&amp;redmine_assignee&amp;",""start_date"":"""&amp;TEXT(A53,"YYYY-mm-dd")&amp;""",""description"":"""&amp;X53&amp;""",""custom_fields"":[{""id"":1,""name"":""Subdivision"",""value"":"""&amp;U53&amp;"""},{""id"":4,""name"":""Milepost"",""value"":"""&amp;J53/10000&amp;"""},{""id"":17,""name"":""Train ID"",""value"":"""&amp;C53&amp;"""},{""id"":16,""name"":""Locomotive ID"",""value"":"""&amp;S53&amp;"""},{""id"":130,""name"":""Impact"",""value"":"""&amp;Y53&amp;"""},{""id"":150,""name"":""Time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Assigned"",""value"":"""&amp;Z53&amp;"""}]}}"&amp;"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arrival","project_id":79,"tracker_id":40,"status_id":1,"priority_id":2,"assigned_to_id":23,"start_date":"2016-09-01","description":"","custom_fields":[{"id":1,"name":"Subdivision","value":"EC"},{"id":4,"name":"Milepost","value":"2.735"},{"id":17,"name":"Train ID","value":"138-01"},{"id":16,"name":"Locomotive ID","value":"4008"},{"id":130,"name":"Impact","value":""},{"id":150,"name":"Time of Event (Mountain Time)","value":"09:44:02"},{"id":151,"name":"Denver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4" spans="1:23" x14ac:dyDescent="0.25">
      <c r="A54" s="172">
        <v>42614.456944444442</v>
      </c>
      <c r="B54" s="173" t="s">
        <v>245</v>
      </c>
      <c r="C54" s="173" t="s">
        <v>732</v>
      </c>
      <c r="D54" s="173" t="s">
        <v>49</v>
      </c>
      <c r="E54" s="173" t="s">
        <v>206</v>
      </c>
      <c r="F54" s="174">
        <v>320</v>
      </c>
      <c r="G54" s="174">
        <v>401</v>
      </c>
      <c r="H54" s="174">
        <v>34866</v>
      </c>
      <c r="I54" s="173" t="s">
        <v>205</v>
      </c>
      <c r="J54" s="174">
        <v>33257</v>
      </c>
      <c r="K54" s="173" t="s">
        <v>53</v>
      </c>
      <c r="L54" s="175" t="str">
        <f>VLOOKUP(C54,'[6]Trips&amp;Operators'!$C$1:$E$9999,3,0)</f>
        <v>MALAVE</v>
      </c>
      <c r="M54" s="182" t="s">
        <v>86</v>
      </c>
      <c r="N54" s="177" t="s">
        <v>336</v>
      </c>
      <c r="P54" s="183" t="str">
        <f>VLOOKUP(C54,'[6]Train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54" s="184" t="str">
        <f>VLOOKUP(C54,'[6]Train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09:23:44-0600',mode:absolute,to:'2016-09-01 12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54" s="185" t="str">
        <f t="shared" si="10"/>
        <v>"C:\Program Files (x86)\AstroGrep\AstroGrep.exe" /spath="C:\Users\stu\Documents\Analysis\2016-02-23 RTDC Observations" /stypes="*4017*201609011*" /stext=" 16:.+((SYSTEM_STATE.+slice.+state.+changed )|(ment ac)|(system.+state.+changed )|(\|lc)|(penalty)|(\[timeout)|(PRM\|1\|D))" /e /r /s</v>
      </c>
      <c r="S54" s="176" t="str">
        <f t="shared" si="1"/>
        <v>4017</v>
      </c>
      <c r="T54" s="172">
        <f t="shared" si="2"/>
        <v>42614.706944444442</v>
      </c>
      <c r="U54" s="181" t="str">
        <f t="shared" si="6"/>
        <v>EC</v>
      </c>
      <c r="V54" s="181" t="str">
        <f t="shared" si="4"/>
        <v>KEEP</v>
      </c>
      <c r="W54" s="186" t="str">
        <f t="shared" si="11"/>
        <v>echo {"issue":{"subject":"Early arrival","project_id":79,"tracker_id":40,"status_id":1,"priority_id":2,"assigned_to_id":23,"start_date":"2016-09-01","description":"","custom_fields":[{"id":1,"name":"Subdivision","value":"EC"},{"id":4,"name":"Milepost","value":"3.3257"},{"id":17,"name":"Train ID","value":"148-01"},{"id":16,"name":"Locomotive ID","value":"4017"},{"id":130,"name":"Impact","value":""},{"id":150,"name":"Time of Event (Mountain Time)","value":"10:58:00"},{"id":151,"name":"Denver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5" spans="1:23" x14ac:dyDescent="0.25">
      <c r="A55" s="172">
        <v>42614.601342592592</v>
      </c>
      <c r="B55" s="173" t="s">
        <v>201</v>
      </c>
      <c r="C55" s="173" t="s">
        <v>737</v>
      </c>
      <c r="D55" s="173" t="s">
        <v>110</v>
      </c>
      <c r="E55" s="173" t="s">
        <v>206</v>
      </c>
      <c r="F55" s="174">
        <v>350</v>
      </c>
      <c r="G55" s="174">
        <v>401</v>
      </c>
      <c r="H55" s="174">
        <v>42914</v>
      </c>
      <c r="I55" s="173" t="s">
        <v>205</v>
      </c>
      <c r="J55" s="174">
        <v>42779</v>
      </c>
      <c r="K55" s="173" t="s">
        <v>52</v>
      </c>
      <c r="L55" s="175" t="str">
        <f>VLOOKUP(C55,'[6]Trips&amp;Operators'!$C$1:$E$9999,3,0)</f>
        <v>SUR</v>
      </c>
      <c r="M55" s="182" t="s">
        <v>86</v>
      </c>
      <c r="N55" s="177" t="s">
        <v>336</v>
      </c>
      <c r="P55" s="183" t="str">
        <f>VLOOKUP(C55,'[6]Train Runs'!$A$13:$AE$10012,31,0)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Q55" s="184" t="str">
        <f>VLOOKUP(C55,'[6]Train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13:12:39-0600',mode:absolute,to:'2016-09-01 15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55" s="185" t="str">
        <f t="shared" si="10"/>
        <v>"C:\Program Files (x86)\AstroGrep\AstroGrep.exe" /spath="C:\Users\stu\Documents\Analysis\2016-02-23 RTDC Observations" /stypes="*4020*201609012*" /stext=" 20:.+((SYSTEM_STATE.+slice.+state.+changed )|(ment ac)|(system.+state.+changed )|(\|lc)|(penalty)|(\[timeout)|(PRM\|1\|D))" /e /r /s</v>
      </c>
      <c r="S55" s="176" t="str">
        <f t="shared" si="1"/>
        <v>4020</v>
      </c>
      <c r="T55" s="172">
        <f t="shared" si="2"/>
        <v>42614.851342592592</v>
      </c>
      <c r="U55" s="181" t="str">
        <f t="shared" si="6"/>
        <v>EC</v>
      </c>
      <c r="V55" s="181" t="str">
        <f t="shared" si="4"/>
        <v>KEEP</v>
      </c>
      <c r="W55" s="186" t="str">
        <f t="shared" si="11"/>
        <v>echo {"issue":{"subject":"Early arrival","project_id":79,"tracker_id":40,"status_id":1,"priority_id":2,"assigned_to_id":23,"start_date":"2016-09-01","description":"","custom_fields":[{"id":1,"name":"Subdivision","value":"EC"},{"id":4,"name":"Milepost","value":"4.2779"},{"id":17,"name":"Train ID","value":"185-01"},{"id":16,"name":"Locomotive ID","value":"4020"},{"id":130,"name":"Impact","value":""},{"id":150,"name":"Time of Event (Mountain Time)","value":"14:25:56"},{"id":151,"name":"Denver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6" spans="1:23" x14ac:dyDescent="0.25">
      <c r="A56" s="172">
        <v>42614.578622685185</v>
      </c>
      <c r="B56" s="173" t="s">
        <v>200</v>
      </c>
      <c r="C56" s="173" t="s">
        <v>734</v>
      </c>
      <c r="D56" s="173" t="s">
        <v>49</v>
      </c>
      <c r="E56" s="173" t="s">
        <v>206</v>
      </c>
      <c r="F56" s="174">
        <v>0</v>
      </c>
      <c r="G56" s="174">
        <v>560</v>
      </c>
      <c r="H56" s="174">
        <v>44771</v>
      </c>
      <c r="I56" s="173" t="s">
        <v>205</v>
      </c>
      <c r="J56" s="174">
        <v>42961</v>
      </c>
      <c r="K56" s="173" t="s">
        <v>53</v>
      </c>
      <c r="L56" s="175" t="str">
        <f>VLOOKUP(C56,'[6]Trips&amp;Operators'!$C$1:$E$9999,3,0)</f>
        <v>SUR</v>
      </c>
      <c r="M56" s="182" t="s">
        <v>86</v>
      </c>
      <c r="N56" s="177" t="s">
        <v>336</v>
      </c>
      <c r="P56" s="183" t="str">
        <f>VLOOKUP(C56,'[6]Train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56" s="184" t="str">
        <f>VLOOKUP(C56,'[6]Train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12:14:16-0600',mode:absolute,to:'2016-09-01 15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56" s="185" t="str">
        <f t="shared" si="10"/>
        <v>"C:\Program Files (x86)\AstroGrep\AstroGrep.exe" /spath="C:\Users\stu\Documents\Analysis\2016-02-23 RTDC Observations" /stypes="*4019*201609011*" /stext=" 19:.+((SYSTEM_STATE.+slice.+state.+changed )|(ment ac)|(system.+state.+changed )|(\|lc)|(penalty)|(\[timeout)|(PRM\|1\|D))" /e /r /s</v>
      </c>
      <c r="S56" s="176" t="str">
        <f t="shared" si="1"/>
        <v>4019</v>
      </c>
      <c r="T56" s="172">
        <f t="shared" si="2"/>
        <v>42614.828622685185</v>
      </c>
      <c r="U56" s="181" t="str">
        <f t="shared" si="6"/>
        <v>EC</v>
      </c>
      <c r="V56" s="181" t="str">
        <f t="shared" si="4"/>
        <v>KEEP</v>
      </c>
      <c r="W56" s="186" t="str">
        <f t="shared" si="11"/>
        <v>echo {"issue":{"subject":"Early arrival","project_id":79,"tracker_id":40,"status_id":1,"priority_id":2,"assigned_to_id":23,"start_date":"2016-09-01","description":"","custom_fields":[{"id":1,"name":"Subdivision","value":"EC"},{"id":4,"name":"Milepost","value":"4.2961"},{"id":17,"name":"Train ID","value":"172-01"},{"id":16,"name":"Locomotive ID","value":"4019"},{"id":130,"name":"Impact","value":""},{"id":150,"name":"Time of Event (Mountain Time)","value":"13:53:13"},{"id":151,"name":"Denver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7" spans="1:23" x14ac:dyDescent="0.25">
      <c r="A57" s="172">
        <v>42614.271053240744</v>
      </c>
      <c r="B57" s="173" t="s">
        <v>144</v>
      </c>
      <c r="C57" s="173" t="s">
        <v>745</v>
      </c>
      <c r="D57" s="173" t="s">
        <v>49</v>
      </c>
      <c r="E57" s="173" t="s">
        <v>206</v>
      </c>
      <c r="F57" s="174">
        <v>70</v>
      </c>
      <c r="G57" s="174">
        <v>121</v>
      </c>
      <c r="H57" s="174">
        <v>62905</v>
      </c>
      <c r="I57" s="173" t="s">
        <v>205</v>
      </c>
      <c r="J57" s="174">
        <v>63069</v>
      </c>
      <c r="K57" s="173" t="s">
        <v>52</v>
      </c>
      <c r="L57" s="175" t="str">
        <f>VLOOKUP(C57,'[6]Trips&amp;Operators'!$C$1:$E$9999,3,0)</f>
        <v>STRICKLAND</v>
      </c>
      <c r="M57" s="182" t="s">
        <v>86</v>
      </c>
      <c r="N57" s="177" t="s">
        <v>336</v>
      </c>
      <c r="P57" s="183" t="str">
        <f>VLOOKUP(C57,'[6]Train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57" s="184" t="str">
        <f>VLOOKUP(C57,'[6]Train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05:09:11-0600',mode:absolute,to:'2016-09-01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57" s="185" t="str">
        <f t="shared" si="10"/>
        <v>"C:\Program Files (x86)\AstroGrep\AstroGrep.exe" /spath="C:\Users\stu\Documents\Analysis\2016-02-23 RTDC Observations" /stypes="*4038*201609011*" /stext=" 12:.+((SYSTEM_STATE.+slice.+state.+changed )|(ment ac)|(system.+state.+changed )|(\|lc)|(penalty)|(\[timeout)|(PRM\|1\|D))" /e /r /s</v>
      </c>
      <c r="S57" s="176" t="str">
        <f t="shared" si="1"/>
        <v>4038</v>
      </c>
      <c r="T57" s="172">
        <f t="shared" si="2"/>
        <v>42614.521053240744</v>
      </c>
      <c r="U57" s="181" t="str">
        <f t="shared" si="6"/>
        <v>EC</v>
      </c>
      <c r="V57" s="181" t="str">
        <f t="shared" si="4"/>
        <v>KEEP</v>
      </c>
      <c r="W57" s="186" t="str">
        <f t="shared" si="11"/>
        <v>echo {"issue":{"subject":"Early arrival","project_id":79,"tracker_id":40,"status_id":1,"priority_id":2,"assigned_to_id":23,"start_date":"2016-09-01","description":"","custom_fields":[{"id":1,"name":"Subdivision","value":"EC"},{"id":4,"name":"Milepost","value":"6.3069"},{"id":17,"name":"Train ID","value":"121-01"},{"id":16,"name":"Locomotive ID","value":"4038"},{"id":130,"name":"Impact","value":""},{"id":150,"name":"Time of Event (Mountain Time)","value":"06:30:19"},{"id":151,"name":"Denver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8" spans="1:23" x14ac:dyDescent="0.25">
      <c r="A58" s="172">
        <v>42614.270509259259</v>
      </c>
      <c r="B58" s="173" t="s">
        <v>144</v>
      </c>
      <c r="C58" s="173" t="s">
        <v>745</v>
      </c>
      <c r="D58" s="173" t="s">
        <v>49</v>
      </c>
      <c r="E58" s="173" t="s">
        <v>206</v>
      </c>
      <c r="F58" s="174">
        <v>350</v>
      </c>
      <c r="G58" s="174">
        <v>551</v>
      </c>
      <c r="H58" s="174">
        <v>60735</v>
      </c>
      <c r="I58" s="173" t="s">
        <v>205</v>
      </c>
      <c r="J58" s="174">
        <v>63069</v>
      </c>
      <c r="K58" s="173" t="s">
        <v>52</v>
      </c>
      <c r="L58" s="175" t="str">
        <f>VLOOKUP(C58,'[6]Trips&amp;Operators'!$C$1:$E$9999,3,0)</f>
        <v>STRICKLAND</v>
      </c>
      <c r="M58" s="182" t="s">
        <v>86</v>
      </c>
      <c r="N58" s="177" t="s">
        <v>336</v>
      </c>
      <c r="P58" s="183" t="str">
        <f>VLOOKUP(C58,'[6]Train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58" s="184" t="str">
        <f>VLOOKUP(C58,'[6]Train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05:09:11-0600',mode:absolute,to:'2016-09-01 07:54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58" s="185" t="str">
        <f t="shared" si="10"/>
        <v>"C:\Program Files (x86)\AstroGrep\AstroGrep.exe" /spath="C:\Users\stu\Documents\Analysis\2016-02-23 RTDC Observations" /stypes="*4038*201609011*" /stext=" 12:.+((SYSTEM_STATE.+slice.+state.+changed )|(ment ac)|(system.+state.+changed )|(\|lc)|(penalty)|(\[timeout)|(PRM\|1\|D))" /e /r /s</v>
      </c>
      <c r="S58" s="176" t="str">
        <f t="shared" si="1"/>
        <v>4038</v>
      </c>
      <c r="T58" s="172">
        <f t="shared" si="2"/>
        <v>42614.520509259259</v>
      </c>
      <c r="U58" s="181" t="str">
        <f t="shared" si="6"/>
        <v>EC</v>
      </c>
      <c r="V58" s="181" t="str">
        <f t="shared" si="4"/>
        <v>KEEP</v>
      </c>
      <c r="W58" s="186" t="str">
        <f t="shared" si="11"/>
        <v>echo {"issue":{"subject":"Early arrival","project_id":79,"tracker_id":40,"status_id":1,"priority_id":2,"assigned_to_id":23,"start_date":"2016-09-01","description":"","custom_fields":[{"id":1,"name":"Subdivision","value":"EC"},{"id":4,"name":"Milepost","value":"6.3069"},{"id":17,"name":"Train ID","value":"121-01"},{"id":16,"name":"Locomotive ID","value":"4038"},{"id":130,"name":"Impact","value":""},{"id":150,"name":"Time of Event (Mountain Time)","value":"06:29:32"},{"id":151,"name":"Denver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59" spans="1:23" x14ac:dyDescent="0.25">
      <c r="A59" s="172">
        <v>42615.014189814814</v>
      </c>
      <c r="B59" s="173" t="s">
        <v>245</v>
      </c>
      <c r="C59" s="173" t="s">
        <v>748</v>
      </c>
      <c r="D59" s="173" t="s">
        <v>229</v>
      </c>
      <c r="E59" s="173" t="s">
        <v>206</v>
      </c>
      <c r="F59" s="174">
        <v>0</v>
      </c>
      <c r="G59" s="174">
        <v>109</v>
      </c>
      <c r="H59" s="174">
        <v>63205</v>
      </c>
      <c r="I59" s="173" t="s">
        <v>205</v>
      </c>
      <c r="J59" s="174">
        <v>63309</v>
      </c>
      <c r="K59" s="173" t="s">
        <v>53</v>
      </c>
      <c r="L59" s="175" t="str">
        <f>VLOOKUP(C59,'[6]Trips&amp;Operators'!$C$1:$E$9999,3,0)</f>
        <v>HILLS</v>
      </c>
      <c r="M59" s="182" t="s">
        <v>86</v>
      </c>
      <c r="N59" s="177" t="s">
        <v>336</v>
      </c>
      <c r="P59" s="183" t="str">
        <f>VLOOKUP(C59,'[6]Train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59" s="184" t="str">
        <f>VLOOKUP(C59,'[6]Train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22:45:53-0600',mode:absolute,to:'2016-09-02 01:40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59" s="185" t="str">
        <f t="shared" si="10"/>
        <v>"C:\Program Files (x86)\AstroGrep\AstroGrep.exe" /spath="C:\Users\stu\Documents\Analysis\2016-02-23 RTDC Observations" /stypes="*4017*201609020*" /stext=" 06:.+((SYSTEM_STATE.+slice.+state.+changed )|(ment ac)|(system.+state.+changed )|(\|lc)|(penalty)|(\[timeout)|(PRM\|1\|D))" /e /r /s</v>
      </c>
      <c r="S59" s="176" t="str">
        <f t="shared" si="1"/>
        <v>4017</v>
      </c>
      <c r="T59" s="172">
        <f t="shared" si="2"/>
        <v>42615.264189814814</v>
      </c>
      <c r="U59" s="181" t="str">
        <f t="shared" si="6"/>
        <v>EC</v>
      </c>
      <c r="V59" s="181" t="str">
        <f t="shared" si="4"/>
        <v>KEEP</v>
      </c>
      <c r="W59" s="186" t="str">
        <f t="shared" si="11"/>
        <v>echo {"issue":{"subject":"Early arrival","project_id":79,"tracker_id":40,"status_id":1,"priority_id":2,"assigned_to_id":23,"start_date":"2016-09-02","description":"","custom_fields":[{"id":1,"name":"Subdivision","value":"EC"},{"id":4,"name":"Milepost","value":"6.3309"},{"id":17,"name":"Train ID","value":"238-01"},{"id":16,"name":"Locomotive ID","value":"4017"},{"id":130,"name":"Impact","value":""},{"id":150,"name":"Time of Event (Mountain Time)","value":"00:20:26"},{"id":151,"name":"Denver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0" spans="1:23" x14ac:dyDescent="0.25">
      <c r="A60" s="172">
        <v>42614.597569444442</v>
      </c>
      <c r="B60" s="173" t="s">
        <v>245</v>
      </c>
      <c r="C60" s="173" t="s">
        <v>749</v>
      </c>
      <c r="D60" s="173" t="s">
        <v>49</v>
      </c>
      <c r="E60" s="173" t="s">
        <v>206</v>
      </c>
      <c r="F60" s="174">
        <v>250</v>
      </c>
      <c r="G60" s="174">
        <v>768</v>
      </c>
      <c r="H60" s="174">
        <v>68728</v>
      </c>
      <c r="I60" s="173" t="s">
        <v>205</v>
      </c>
      <c r="J60" s="174">
        <v>63309</v>
      </c>
      <c r="K60" s="173" t="s">
        <v>53</v>
      </c>
      <c r="L60" s="175" t="str">
        <f>VLOOKUP(C60,'[6]Trips&amp;Operators'!$C$1:$E$9999,3,0)</f>
        <v>SHOOK</v>
      </c>
      <c r="M60" s="182" t="s">
        <v>86</v>
      </c>
      <c r="N60" s="177" t="s">
        <v>336</v>
      </c>
      <c r="P60" s="183" t="str">
        <f>VLOOKUP(C60,'[6]Train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60" s="184" t="str">
        <f>VLOOKUP(C60,'[6]Train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12:49:14-0600',mode:absolute,to:'2016-09-01 15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60" s="185" t="str">
        <f t="shared" si="10"/>
        <v>"C:\Program Files (x86)\AstroGrep\AstroGrep.exe" /spath="C:\Users\stu\Documents\Analysis\2016-02-23 RTDC Observations" /stypes="*4017*201609012*" /stext=" 20:.+((SYSTEM_STATE.+slice.+state.+changed )|(ment ac)|(system.+state.+changed )|(\|lc)|(penalty)|(\[timeout)|(PRM\|1\|D))" /e /r /s</v>
      </c>
      <c r="S60" s="176" t="str">
        <f t="shared" si="1"/>
        <v>4017</v>
      </c>
      <c r="T60" s="172">
        <f t="shared" si="2"/>
        <v>42614.847569444442</v>
      </c>
      <c r="U60" s="181" t="str">
        <f t="shared" si="6"/>
        <v>EC</v>
      </c>
      <c r="V60" s="181" t="str">
        <f t="shared" si="4"/>
        <v>KEEP</v>
      </c>
      <c r="W60" s="186" t="str">
        <f t="shared" si="11"/>
        <v>echo {"issue":{"subject":"Early arrival","project_id":79,"tracker_id":40,"status_id":1,"priority_id":2,"assigned_to_id":23,"start_date":"2016-09-01","description":"","custom_fields":[{"id":1,"name":"Subdivision","value":"EC"},{"id":4,"name":"Milepost","value":"6.3309"},{"id":17,"name":"Train ID","value":"176-01"},{"id":16,"name":"Locomotive ID","value":"4017"},{"id":130,"name":"Impact","value":""},{"id":150,"name":"Time of Event (Mountain Time)","value":"14:20:30"},{"id":151,"name":"Denver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1" spans="1:23" x14ac:dyDescent="0.25">
      <c r="A61" s="172">
        <v>42614.388310185182</v>
      </c>
      <c r="B61" s="173" t="s">
        <v>139</v>
      </c>
      <c r="C61" s="173" t="s">
        <v>750</v>
      </c>
      <c r="D61" s="173" t="s">
        <v>110</v>
      </c>
      <c r="E61" s="173" t="s">
        <v>206</v>
      </c>
      <c r="F61" s="174">
        <v>400</v>
      </c>
      <c r="G61" s="174">
        <v>455</v>
      </c>
      <c r="H61" s="174">
        <v>78383</v>
      </c>
      <c r="I61" s="173" t="s">
        <v>205</v>
      </c>
      <c r="J61" s="174">
        <v>78469</v>
      </c>
      <c r="K61" s="173" t="s">
        <v>53</v>
      </c>
      <c r="L61" s="175" t="str">
        <f>VLOOKUP(C61,'[6]Trips&amp;Operators'!$C$1:$E$9999,3,0)</f>
        <v>STRICKLAND</v>
      </c>
      <c r="M61" s="182" t="s">
        <v>86</v>
      </c>
      <c r="N61" s="177" t="s">
        <v>336</v>
      </c>
      <c r="P61" s="183" t="str">
        <f>VLOOKUP(C61,'[6]Train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61" s="184" t="str">
        <f>VLOOKUP(C61,'[6]Train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07:50:24-0600',mode:absolute,to:'2016-09-01 10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61" s="185" t="str">
        <f t="shared" si="10"/>
        <v>"C:\Program Files (x86)\AstroGrep\AstroGrep.exe" /spath="C:\Users\stu\Documents\Analysis\2016-02-23 RTDC Observations" /stypes="*4037*201609011*" /stext=" 15:.+((SYSTEM_STATE.+slice.+state.+changed )|(ment ac)|(system.+state.+changed )|(\|lc)|(penalty)|(\[timeout)|(PRM\|1\|D))" /e /r /s</v>
      </c>
      <c r="S61" s="176" t="str">
        <f t="shared" si="1"/>
        <v>4037</v>
      </c>
      <c r="T61" s="172">
        <f t="shared" si="2"/>
        <v>42614.638310185182</v>
      </c>
      <c r="U61" s="181" t="str">
        <f t="shared" si="6"/>
        <v>EC</v>
      </c>
      <c r="V61" s="181" t="str">
        <f t="shared" si="4"/>
        <v>KEEP</v>
      </c>
      <c r="W61" s="186" t="str">
        <f t="shared" si="11"/>
        <v>echo {"issue":{"subject":"Early arrival","project_id":79,"tracker_id":40,"status_id":1,"priority_id":2,"assigned_to_id":23,"start_date":"2016-09-01","description":"","custom_fields":[{"id":1,"name":"Subdivision","value":"EC"},{"id":4,"name":"Milepost","value":"7.8469"},{"id":17,"name":"Train ID","value":"136-01"},{"id":16,"name":"Locomotive ID","value":"4037"},{"id":130,"name":"Impact","value":""},{"id":150,"name":"Time of Event (Mountain Time)","value":"09:19:10"},{"id":151,"name":"Denver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2" spans="1:23" x14ac:dyDescent="0.25">
      <c r="A62" s="172">
        <v>42614.75141203704</v>
      </c>
      <c r="B62" s="173" t="s">
        <v>200</v>
      </c>
      <c r="C62" s="173" t="s">
        <v>711</v>
      </c>
      <c r="D62" s="173" t="s">
        <v>110</v>
      </c>
      <c r="E62" s="173" t="s">
        <v>206</v>
      </c>
      <c r="F62" s="174">
        <v>0</v>
      </c>
      <c r="G62" s="174">
        <v>273</v>
      </c>
      <c r="H62" s="174">
        <v>109117</v>
      </c>
      <c r="I62" s="173" t="s">
        <v>205</v>
      </c>
      <c r="J62" s="174">
        <v>109135</v>
      </c>
      <c r="K62" s="173" t="s">
        <v>53</v>
      </c>
      <c r="L62" s="175" t="str">
        <f>VLOOKUP(C62,'[6]Trips&amp;Operators'!$C$1:$E$9999,3,0)</f>
        <v>SUR</v>
      </c>
      <c r="M62" s="182" t="s">
        <v>86</v>
      </c>
      <c r="N62" s="177" t="s">
        <v>336</v>
      </c>
      <c r="P62" s="183" t="str">
        <f>VLOOKUP(C62,'[6]Train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62" s="184" t="str">
        <f>VLOOKUP(C62,'[6]Train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16:31:56-0600',mode:absolute,to:'2016-09-01 19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62" s="185" t="str">
        <f t="shared" si="10"/>
        <v>"C:\Program Files (x86)\AstroGrep\AstroGrep.exe" /spath="C:\Users\stu\Documents\Analysis\2016-02-23 RTDC Observations" /stypes="*4019*201609020*" /stext=" 00:.+((SYSTEM_STATE.+slice.+state.+changed )|(ment ac)|(system.+state.+changed )|(\|lc)|(penalty)|(\[timeout)|(PRM\|1\|D))" /e /r /s</v>
      </c>
      <c r="S62" s="176" t="str">
        <f t="shared" si="1"/>
        <v>4019</v>
      </c>
      <c r="T62" s="172">
        <f t="shared" si="2"/>
        <v>42615.00141203704</v>
      </c>
      <c r="U62" s="181" t="str">
        <f t="shared" si="6"/>
        <v>EC</v>
      </c>
      <c r="V62" s="181" t="str">
        <f t="shared" si="4"/>
        <v>KEEP</v>
      </c>
      <c r="W62" s="186" t="str">
        <f t="shared" si="11"/>
        <v>echo {"issue":{"subject":"Early arrival","project_id":79,"tracker_id":40,"status_id":1,"priority_id":2,"assigned_to_id":23,"start_date":"2016-09-01","description":"","custom_fields":[{"id":1,"name":"Subdivision","value":"EC"},{"id":4,"name":"Milepost","value":"10.9135"},{"id":17,"name":"Train ID","value":"206-01"},{"id":16,"name":"Locomotive ID","value":"4019"},{"id":130,"name":"Impact","value":""},{"id":150,"name":"Time of Event (Mountain Time)","value":"18:02:02"},{"id":151,"name":"Denver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3" spans="1:23" x14ac:dyDescent="0.25">
      <c r="A63" s="172">
        <v>42614.334444444445</v>
      </c>
      <c r="B63" s="173" t="s">
        <v>720</v>
      </c>
      <c r="C63" s="173" t="s">
        <v>998</v>
      </c>
      <c r="D63" s="173" t="s">
        <v>49</v>
      </c>
      <c r="E63" s="173" t="s">
        <v>56</v>
      </c>
      <c r="F63" s="174">
        <v>450</v>
      </c>
      <c r="G63" s="174">
        <v>501</v>
      </c>
      <c r="H63" s="174">
        <v>15308</v>
      </c>
      <c r="I63" s="173" t="s">
        <v>57</v>
      </c>
      <c r="J63" s="174">
        <v>15167</v>
      </c>
      <c r="K63" s="173" t="s">
        <v>53</v>
      </c>
      <c r="L63" s="175" t="str">
        <f>VLOOKUP(C63,'[6]Trips&amp;Operators'!$C$1:$E$9999,3,0)</f>
        <v>ARVIDSON</v>
      </c>
      <c r="M63" s="182" t="s">
        <v>86</v>
      </c>
      <c r="N63" s="177"/>
      <c r="P63" s="183" t="str">
        <f>VLOOKUP(C63,'[6]Train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63" s="184" t="str">
        <f>VLOOKUP(C63,'[6]Train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06:23:56-0600',mode:absolute,to:'2016-09-01 09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63" s="185" t="str">
        <f t="shared" si="10"/>
        <v>"C:\Program Files (x86)\AstroGrep\AstroGrep.exe" /spath="C:\Users\stu\Documents\Analysis\2016-02-23 RTDC Observations" /stypes="*4008*201609011*" /stext=" 14:.+((SYSTEM_STATE.+slice.+state.+changed )|(ment ac)|(system.+state.+changed )|(\|lc)|(penalty)|(\[timeout)|(PRM\|1\|D))" /e /r /s</v>
      </c>
      <c r="S63" s="176" t="str">
        <f t="shared" si="1"/>
        <v>4008</v>
      </c>
      <c r="T63" s="172">
        <f t="shared" si="2"/>
        <v>42614.584444444445</v>
      </c>
      <c r="U63" s="181" t="str">
        <f t="shared" si="6"/>
        <v>EC</v>
      </c>
      <c r="V63" s="181" t="str">
        <f t="shared" si="4"/>
        <v>KEEP</v>
      </c>
      <c r="W63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{"issue":{"subject":"","project_id":79,"tracker_id":40,"status_id":1,"priority_id":2,"assigned_to_id":23,"start_date":"2016-09-01","description":"","custom_fields":[{"id":1,"name":"Subdivision","value":"EC"},{"id":4,"name":"Milepost","value":"1.5167"},{"id":17,"name":"Train ID","value":"124-01"},{"id":16,"name":"Locomotive ID","value":"4008"},{"id":130,"name":"Impact","value":""},{"id":150,"name":"Time of Event (Mountain Time)","value":"08:01:36"},{"id":151,"name":"Denver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4" spans="1:23" x14ac:dyDescent="0.25">
      <c r="A64" s="172">
        <v>42615.004374999997</v>
      </c>
      <c r="B64" s="173" t="s">
        <v>213</v>
      </c>
      <c r="C64" s="173" t="s">
        <v>1155</v>
      </c>
      <c r="D64" s="173" t="s">
        <v>49</v>
      </c>
      <c r="E64" s="173" t="s">
        <v>56</v>
      </c>
      <c r="F64" s="174">
        <v>300</v>
      </c>
      <c r="G64" s="174">
        <v>353</v>
      </c>
      <c r="H64" s="174">
        <v>20321</v>
      </c>
      <c r="I64" s="173" t="s">
        <v>57</v>
      </c>
      <c r="J64" s="174">
        <v>20338</v>
      </c>
      <c r="K64" s="173" t="s">
        <v>52</v>
      </c>
      <c r="L64" s="175" t="str">
        <f>VLOOKUP(C64,'[6]Trips&amp;Operators'!$C$1:$E$9999,3,0)</f>
        <v>STAMBAUGH</v>
      </c>
      <c r="M64" s="182" t="s">
        <v>86</v>
      </c>
      <c r="N64" s="177"/>
      <c r="P64" s="183" t="str">
        <f>VLOOKUP(C64,'[6]Train Runs'!$A$13:$AE$10012,31,0)</f>
        <v>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 &amp; 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</v>
      </c>
      <c r="Q64" s="184" t="str">
        <f>VLOOKUP(C64,'[6]Train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22:37:37-0600',mode:absolute,to:'2016-09-02 01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64" s="185" t="str">
        <f t="shared" si="10"/>
        <v>"C:\Program Files (x86)\AstroGrep\AstroGrep.exe" /spath="C:\Users\stu\Documents\Analysis\2016-02-23 RTDC Observations" /stypes="*4011*201609020*" /stext=" 06:.+((SYSTEM_STATE.+slice.+state.+changed )|(ment ac)|(system.+state.+changed )|(\|lc)|(penalty)|(\[timeout)|(PRM\|1\|D))" /e /r /s</v>
      </c>
      <c r="S64" s="176" t="str">
        <f t="shared" si="1"/>
        <v>4011</v>
      </c>
      <c r="T64" s="172">
        <f t="shared" si="2"/>
        <v>42615.254374999997</v>
      </c>
      <c r="U64" s="181" t="str">
        <f t="shared" si="6"/>
        <v>EC</v>
      </c>
      <c r="V64" s="181" t="str">
        <f t="shared" si="4"/>
        <v>KEEP</v>
      </c>
      <c r="W64" s="186" t="str">
        <f t="shared" si="11"/>
        <v>echo {"issue":{"subject":"","project_id":79,"tracker_id":40,"status_id":1,"priority_id":2,"assigned_to_id":23,"start_date":"2016-09-02","description":"","custom_fields":[{"id":1,"name":"Subdivision","value":"EC"},{"id":4,"name":"Milepost","value":"2.0338"},{"id":17,"name":"Train ID","value":"241-01"},{"id":16,"name":"Locomotive ID","value":"4011"},{"id":130,"name":"Impact","value":""},{"id":150,"name":"Time of Event (Mountain Time)","value":"00:06:18"},{"id":151,"name":"Denver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5" spans="1:23" x14ac:dyDescent="0.25">
      <c r="A65" s="172">
        <v>42614.312430555554</v>
      </c>
      <c r="B65" s="173" t="s">
        <v>245</v>
      </c>
      <c r="C65" s="173" t="s">
        <v>991</v>
      </c>
      <c r="D65" s="173" t="s">
        <v>49</v>
      </c>
      <c r="E65" s="173" t="s">
        <v>56</v>
      </c>
      <c r="F65" s="174">
        <v>300</v>
      </c>
      <c r="G65" s="174">
        <v>354</v>
      </c>
      <c r="H65" s="174">
        <v>22514</v>
      </c>
      <c r="I65" s="173" t="s">
        <v>57</v>
      </c>
      <c r="J65" s="174">
        <v>21848</v>
      </c>
      <c r="K65" s="173" t="s">
        <v>53</v>
      </c>
      <c r="L65" s="175" t="str">
        <f>VLOOKUP(C65,'[6]Trips&amp;Operators'!$C$1:$E$9999,3,0)</f>
        <v>MALAVE</v>
      </c>
      <c r="M65" s="182" t="s">
        <v>86</v>
      </c>
      <c r="N65" s="177"/>
      <c r="P65" s="183" t="str">
        <f>VLOOKUP(C65,'[6]Train Runs'!$A$13:$AE$10012,31,0)</f>
        <v>aws s3 cp s3://rtdc.mdm.uploadarchive/RTDC4017/2016-09-01/ "%USERPROFILE%\AppData\Local\Temp\OnboardLogs"\RTDC4017\2016-09-01 --recursive &amp; "%USERPROFILE%\Documents\GitHub\mrs-test-scripts\Headless Mode &amp; Sideloading\WalkAndUnGZ.bat" "%USERPROFILE%\AppData\Local\Temp\OnboardLogs"\RTDC4017\2016-09-01 &amp; aws s3 cp s3://rtdc.mdm.uploadarchive/RTDC4017/2016-09-02/ "%USERPROFILE%\AppData\Local\Temp\OnboardLogs"\RTDC4017\2016-09-02 --recursive &amp; "%USERPROFILE%\Documents\GitHub\mrs-test-scripts\Headless Mode &amp; Sideloading\WalkAndUnGZ.bat" "%USERPROFILE%\AppData\Local\Temp\OnboardLogs"\RTDC4017\2016-09-02</v>
      </c>
      <c r="Q65" s="184" t="str">
        <f>VLOOKUP(C65,'[6]Train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05:52:59-0600',mode:absolute,to:'2016-09-01 08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65" s="185" t="str">
        <f t="shared" si="10"/>
        <v>"C:\Program Files (x86)\AstroGrep\AstroGrep.exe" /spath="C:\Users\stu\Documents\Analysis\2016-02-23 RTDC Observations" /stypes="*4017*201609011*" /stext=" 13:.+((SYSTEM_STATE.+slice.+state.+changed )|(ment ac)|(system.+state.+changed )|(\|lc)|(penalty)|(\[timeout)|(PRM\|1\|D))" /e /r /s</v>
      </c>
      <c r="S65" s="176" t="str">
        <f t="shared" si="1"/>
        <v>4017</v>
      </c>
      <c r="T65" s="172">
        <f t="shared" si="2"/>
        <v>42614.562430555554</v>
      </c>
      <c r="U65" s="181" t="str">
        <f t="shared" si="6"/>
        <v>EC</v>
      </c>
      <c r="V65" s="181" t="str">
        <f t="shared" si="4"/>
        <v>KEEP</v>
      </c>
      <c r="W65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{"issue":{"subject":"","project_id":79,"tracker_id":40,"status_id":1,"priority_id":2,"assigned_to_id":23,"start_date":"2016-09-01","description":"","custom_fields":[{"id":1,"name":"Subdivision","value":"EC"},{"id":4,"name":"Milepost","value":"2.1848"},{"id":17,"name":"Train ID","value":"120-01"},{"id":16,"name":"Locomotive ID","value":"4017"},{"id":130,"name":"Impact","value":""},{"id":150,"name":"Time of Event (Mountain Time)","value":"07:29:54"},{"id":151,"name":"Denver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6" spans="1:23" x14ac:dyDescent="0.25">
      <c r="A66" s="172">
        <v>42614.551921296297</v>
      </c>
      <c r="B66" s="173" t="s">
        <v>720</v>
      </c>
      <c r="C66" s="173" t="s">
        <v>1050</v>
      </c>
      <c r="D66" s="173" t="s">
        <v>49</v>
      </c>
      <c r="E66" s="173" t="s">
        <v>56</v>
      </c>
      <c r="F66" s="174">
        <v>300</v>
      </c>
      <c r="G66" s="174">
        <v>416</v>
      </c>
      <c r="H66" s="174">
        <v>22931</v>
      </c>
      <c r="I66" s="173" t="s">
        <v>57</v>
      </c>
      <c r="J66" s="174">
        <v>21848</v>
      </c>
      <c r="K66" s="173" t="s">
        <v>53</v>
      </c>
      <c r="L66" s="175" t="str">
        <f>VLOOKUP(C66,'[6]Trips&amp;Operators'!$C$1:$E$9999,3,0)</f>
        <v>BROWN</v>
      </c>
      <c r="M66" s="182" t="s">
        <v>86</v>
      </c>
      <c r="N66" s="177"/>
      <c r="P66" s="183" t="str">
        <f>VLOOKUP(C66,'[6]Train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66" s="184" t="str">
        <f>VLOOKUP(C66,'[6]Train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11:22:44-0600',mode:absolute,to:'2016-09-01 14:21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66" s="185" t="str">
        <f t="shared" si="10"/>
        <v>"C:\Program Files (x86)\AstroGrep\AstroGrep.exe" /spath="C:\Users\stu\Documents\Analysis\2016-02-23 RTDC Observations" /stypes="*4008*201609011*" /stext=" 19:.+((SYSTEM_STATE.+slice.+state.+changed )|(ment ac)|(system.+state.+changed )|(\|lc)|(penalty)|(\[timeout)|(PRM\|1\|D))" /e /r /s</v>
      </c>
      <c r="S66" s="176" t="str">
        <f t="shared" ref="S66:S129" si="12">MID(B66,13,4)</f>
        <v>4008</v>
      </c>
      <c r="T66" s="172">
        <f t="shared" ref="T66:T129" si="13">A66+6/24</f>
        <v>42614.801921296297</v>
      </c>
      <c r="U66" s="181" t="str">
        <f t="shared" si="6"/>
        <v>EC</v>
      </c>
      <c r="V66" s="181" t="str">
        <f t="shared" ref="V66:V129" si="14">IF(AND(E66="TRACK WARRANT AUTHORITY",G66&lt;10),"OMIT","KEEP")</f>
        <v>KEEP</v>
      </c>
      <c r="W66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{"issue":{"subject":"","project_id":79,"tracker_id":40,"status_id":1,"priority_id":2,"assigned_to_id":23,"start_date":"2016-09-01","description":"","custom_fields":[{"id":1,"name":"Subdivision","value":"EC"},{"id":4,"name":"Milepost","value":"2.1848"},{"id":17,"name":"Train ID","value":"166-01"},{"id":16,"name":"Locomotive ID","value":"4008"},{"id":130,"name":"Impact","value":""},{"id":150,"name":"Time of Event (Mountain Time)","value":"13:14:46"},{"id":151,"name":"Denver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7" spans="1:23" x14ac:dyDescent="0.25">
      <c r="A67" s="172">
        <v>42614.339201388888</v>
      </c>
      <c r="B67" s="173" t="s">
        <v>144</v>
      </c>
      <c r="C67" s="173" t="s">
        <v>1005</v>
      </c>
      <c r="D67" s="173" t="s">
        <v>49</v>
      </c>
      <c r="E67" s="173" t="s">
        <v>56</v>
      </c>
      <c r="F67" s="174">
        <v>200</v>
      </c>
      <c r="G67" s="174">
        <v>255</v>
      </c>
      <c r="H67" s="174">
        <v>27207</v>
      </c>
      <c r="I67" s="173" t="s">
        <v>57</v>
      </c>
      <c r="J67" s="174">
        <v>27333</v>
      </c>
      <c r="K67" s="173" t="s">
        <v>52</v>
      </c>
      <c r="L67" s="175" t="str">
        <f>VLOOKUP(C67,'[6]Trips&amp;Operators'!$C$1:$E$9999,3,0)</f>
        <v>STRICKLAND</v>
      </c>
      <c r="M67" s="182" t="s">
        <v>86</v>
      </c>
      <c r="N67" s="177"/>
      <c r="P67" s="183" t="str">
        <f>VLOOKUP(C67,'[6]Train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67" s="184" t="str">
        <f>VLOOKUP(C67,'[6]Train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06:55:35-0600',mode:absolute,to:'2016-09-01 09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67" s="185" t="str">
        <f t="shared" si="10"/>
        <v>"C:\Program Files (x86)\AstroGrep\AstroGrep.exe" /spath="C:\Users\stu\Documents\Analysis\2016-02-23 RTDC Observations" /stypes="*4038*201609011*" /stext=" 14:.+((SYSTEM_STATE.+slice.+state.+changed )|(ment ac)|(system.+state.+changed )|(\|lc)|(penalty)|(\[timeout)|(PRM\|1\|D))" /e /r /s</v>
      </c>
      <c r="S67" s="176" t="str">
        <f t="shared" si="12"/>
        <v>4038</v>
      </c>
      <c r="T67" s="172">
        <f t="shared" si="13"/>
        <v>42614.589201388888</v>
      </c>
      <c r="U67" s="181" t="str">
        <f t="shared" ref="U67:U130" si="15">IF(VALUE(LEFT(IF(LEN(C67)=6,"0"&amp;C67,C67),2))&lt;=2,"EC",IF(OR(VALUE(LEFT(IF(LEN(C67)=6,"0"&amp;C67,C67),2))=8,VALUE(LEFT(IF(LEN(C67)=6,"0"&amp;C67,C67),2))=18),"NW","Other"))</f>
        <v>EC</v>
      </c>
      <c r="V67" s="181" t="str">
        <f t="shared" si="14"/>
        <v>KEEP</v>
      </c>
      <c r="W67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{"issue":{"subject":"","project_id":79,"tracker_id":40,"status_id":1,"priority_id":2,"assigned_to_id":23,"start_date":"2016-09-01","description":"","custom_fields":[{"id":1,"name":"Subdivision","value":"EC"},{"id":4,"name":"Milepost","value":"2.7333"},{"id":17,"name":"Train ID","value":"135-01"},{"id":16,"name":"Locomotive ID","value":"4038"},{"id":130,"name":"Impact","value":""},{"id":150,"name":"Time of Event (Mountain Time)","value":"08:08:27"},{"id":151,"name":"Denver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8" spans="1:23" x14ac:dyDescent="0.25">
      <c r="A68" s="172">
        <v>42614.203564814816</v>
      </c>
      <c r="B68" s="173" t="s">
        <v>144</v>
      </c>
      <c r="C68" s="173" t="s">
        <v>968</v>
      </c>
      <c r="D68" s="173" t="s">
        <v>49</v>
      </c>
      <c r="E68" s="173" t="s">
        <v>56</v>
      </c>
      <c r="F68" s="174">
        <v>400</v>
      </c>
      <c r="G68" s="174">
        <v>460</v>
      </c>
      <c r="H68" s="174">
        <v>115972</v>
      </c>
      <c r="I68" s="173" t="s">
        <v>57</v>
      </c>
      <c r="J68" s="174">
        <v>116838</v>
      </c>
      <c r="K68" s="173" t="s">
        <v>52</v>
      </c>
      <c r="L68" s="175" t="str">
        <f>VLOOKUP(C68,'[6]Trips&amp;Operators'!$C$1:$E$9999,3,0)</f>
        <v>STRICKLAND</v>
      </c>
      <c r="M68" s="182" t="s">
        <v>86</v>
      </c>
      <c r="N68" s="177"/>
      <c r="P68" s="183" t="str">
        <f>VLOOKUP(C68,'[6]Train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68" s="184" t="str">
        <f>VLOOKUP(C68,'[6]Train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03:22:56-0600',mode:absolute,to:'2016-09-01 06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68" s="185" t="str">
        <f t="shared" si="10"/>
        <v>"C:\Program Files (x86)\AstroGrep\AstroGrep.exe" /spath="C:\Users\stu\Documents\Analysis\2016-02-23 RTDC Observations" /stypes="*4038*201609011*" /stext=" 10:.+((SYSTEM_STATE.+slice.+state.+changed )|(ment ac)|(system.+state.+changed )|(\|lc)|(penalty)|(\[timeout)|(PRM\|1\|D))" /e /r /s</v>
      </c>
      <c r="S68" s="176" t="str">
        <f t="shared" si="12"/>
        <v>4038</v>
      </c>
      <c r="T68" s="172">
        <f t="shared" si="13"/>
        <v>42614.453564814816</v>
      </c>
      <c r="U68" s="181" t="str">
        <f t="shared" si="15"/>
        <v>EC</v>
      </c>
      <c r="V68" s="181" t="str">
        <f t="shared" si="14"/>
        <v>KEEP</v>
      </c>
      <c r="W68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{"issue":{"subject":"","project_id":79,"tracker_id":40,"status_id":1,"priority_id":2,"assigned_to_id":23,"start_date":"2016-09-01","description":"","custom_fields":[{"id":1,"name":"Subdivision","value":"EC"},{"id":4,"name":"Milepost","value":"11.6838"},{"id":17,"name":"Train ID","value":"107-01"},{"id":16,"name":"Locomotive ID","value":"4038"},{"id":130,"name":"Impact","value":""},{"id":150,"name":"Time of Event (Mountain Time)","value":"04:53:08"},{"id":151,"name":"Denver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69" spans="1:23" x14ac:dyDescent="0.25">
      <c r="A69" s="172">
        <v>42614.383321759262</v>
      </c>
      <c r="B69" s="173" t="s">
        <v>139</v>
      </c>
      <c r="C69" s="173" t="s">
        <v>750</v>
      </c>
      <c r="D69" s="173" t="s">
        <v>49</v>
      </c>
      <c r="E69" s="173" t="s">
        <v>56</v>
      </c>
      <c r="F69" s="174">
        <v>400</v>
      </c>
      <c r="G69" s="174">
        <v>574</v>
      </c>
      <c r="H69" s="174">
        <v>122582</v>
      </c>
      <c r="I69" s="173" t="s">
        <v>57</v>
      </c>
      <c r="J69" s="174">
        <v>119716</v>
      </c>
      <c r="K69" s="173" t="s">
        <v>53</v>
      </c>
      <c r="L69" s="175" t="str">
        <f>VLOOKUP(C69,'[6]Trips&amp;Operators'!$C$1:$E$9999,3,0)</f>
        <v>STRICKLAND</v>
      </c>
      <c r="M69" s="182" t="s">
        <v>86</v>
      </c>
      <c r="N69" s="177"/>
      <c r="P69" s="183" t="str">
        <f>VLOOKUP(C69,'[6]Train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69" s="184" t="str">
        <f>VLOOKUP(C69,'[6]Train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07:50:24-0600',mode:absolute,to:'2016-09-01 10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69" s="185" t="str">
        <f t="shared" si="10"/>
        <v>"C:\Program Files (x86)\AstroGrep\AstroGrep.exe" /spath="C:\Users\stu\Documents\Analysis\2016-02-23 RTDC Observations" /stypes="*4037*201609011*" /stext=" 15:.+((SYSTEM_STATE.+slice.+state.+changed )|(ment ac)|(system.+state.+changed )|(\|lc)|(penalty)|(\[timeout)|(PRM\|1\|D))" /e /r /s</v>
      </c>
      <c r="S69" s="176" t="str">
        <f t="shared" si="12"/>
        <v>4037</v>
      </c>
      <c r="T69" s="172">
        <f t="shared" si="13"/>
        <v>42614.633321759262</v>
      </c>
      <c r="U69" s="181" t="str">
        <f t="shared" si="15"/>
        <v>EC</v>
      </c>
      <c r="V69" s="181" t="str">
        <f t="shared" si="14"/>
        <v>KEEP</v>
      </c>
      <c r="W69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{"issue":{"subject":"","project_id":79,"tracker_id":40,"status_id":1,"priority_id":2,"assigned_to_id":23,"start_date":"2016-09-01","description":"","custom_fields":[{"id":1,"name":"Subdivision","value":"EC"},{"id":4,"name":"Milepost","value":"11.9716"},{"id":17,"name":"Train ID","value":"136-01"},{"id":16,"name":"Locomotive ID","value":"4037"},{"id":130,"name":"Impact","value":""},{"id":150,"name":"Time of Event (Mountain Time)","value":"09:11:59"},{"id":151,"name":"Denver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0" spans="1:23" x14ac:dyDescent="0.25">
      <c r="A70" s="172">
        <v>42614.308599537035</v>
      </c>
      <c r="B70" s="173" t="s">
        <v>139</v>
      </c>
      <c r="C70" s="173" t="s">
        <v>993</v>
      </c>
      <c r="D70" s="173" t="s">
        <v>49</v>
      </c>
      <c r="E70" s="173" t="s">
        <v>54</v>
      </c>
      <c r="F70" s="174">
        <v>0</v>
      </c>
      <c r="G70" s="174">
        <v>540</v>
      </c>
      <c r="H70" s="174">
        <v>131628</v>
      </c>
      <c r="I70" s="173" t="s">
        <v>55</v>
      </c>
      <c r="J70" s="174">
        <v>127587</v>
      </c>
      <c r="K70" s="173" t="s">
        <v>53</v>
      </c>
      <c r="L70" s="175" t="str">
        <f>VLOOKUP(C70,'[6]Trips&amp;Operators'!$C$1:$E$9999,3,0)</f>
        <v>STRICKLAND</v>
      </c>
      <c r="M70" s="182" t="s">
        <v>86</v>
      </c>
      <c r="N70" s="177" t="s">
        <v>1943</v>
      </c>
      <c r="P70" s="183" t="str">
        <f>VLOOKUP(C70,'[6]Train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70" s="184" t="str">
        <f>VLOOKUP(C70,'[6]Train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06:04:41-0600',mode:absolute,to:'2016-09-01 08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70" s="185" t="str">
        <f t="shared" si="10"/>
        <v>"C:\Program Files (x86)\AstroGrep\AstroGrep.exe" /spath="C:\Users\stu\Documents\Analysis\2016-02-23 RTDC Observations" /stypes="*4037*201609011*" /stext=" 13:.+((SYSTEM_STATE.+slice.+state.+changed )|(ment ac)|(system.+state.+changed )|(\|lc)|(penalty)|(\[timeout)|(PRM\|1\|D))" /e /r /s</v>
      </c>
      <c r="S70" s="176" t="str">
        <f t="shared" si="12"/>
        <v>4037</v>
      </c>
      <c r="T70" s="172">
        <f t="shared" si="13"/>
        <v>42614.558599537035</v>
      </c>
      <c r="U70" s="181" t="str">
        <f t="shared" si="15"/>
        <v>EC</v>
      </c>
      <c r="V70" s="181" t="str">
        <f t="shared" si="14"/>
        <v>KEEP</v>
      </c>
      <c r="W70" s="186" t="str">
        <f t="shared" si="11"/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ID","value":"122-01"},{"id":16,"name":"Locomotive ID","value":"4037"},{"id":130,"name":"Impact","value":""},{"id":150,"name":"Time of Event (Mountain Time)","value":"07:24:23"},{"id":151,"name":"Denver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1" spans="1:23" x14ac:dyDescent="0.25">
      <c r="A71" s="172">
        <v>42614.351006944446</v>
      </c>
      <c r="B71" s="173" t="s">
        <v>200</v>
      </c>
      <c r="C71" s="173" t="s">
        <v>1004</v>
      </c>
      <c r="D71" s="173" t="s">
        <v>49</v>
      </c>
      <c r="E71" s="173" t="s">
        <v>54</v>
      </c>
      <c r="F71" s="174">
        <v>0</v>
      </c>
      <c r="G71" s="174">
        <v>338</v>
      </c>
      <c r="H71" s="174">
        <v>128900</v>
      </c>
      <c r="I71" s="173" t="s">
        <v>55</v>
      </c>
      <c r="J71" s="174">
        <v>127587</v>
      </c>
      <c r="K71" s="173" t="s">
        <v>53</v>
      </c>
      <c r="L71" s="175" t="str">
        <f>VLOOKUP(C71,'[6]Trips&amp;Operators'!$C$1:$E$9999,3,0)</f>
        <v>SMITH</v>
      </c>
      <c r="M71" s="182" t="s">
        <v>86</v>
      </c>
      <c r="N71" s="177" t="s">
        <v>1943</v>
      </c>
      <c r="P71" s="183" t="str">
        <f>VLOOKUP(C71,'[6]Train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71" s="184" t="str">
        <f>VLOOKUP(C71,'[6]Train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1" s="185" t="str">
        <f t="shared" si="10"/>
        <v>"C:\Program Files (x86)\AstroGrep\AstroGrep.exe" /spath="C:\Users\stu\Documents\Analysis\2016-02-23 RTDC Observations" /stypes="*4019*201609011*" /stext=" 14:.+((SYSTEM_STATE.+slice.+state.+changed )|(ment ac)|(system.+state.+changed )|(\|lc)|(penalty)|(\[timeout)|(PRM\|1\|D))" /e /r /s</v>
      </c>
      <c r="S71" s="176" t="str">
        <f t="shared" si="12"/>
        <v>4019</v>
      </c>
      <c r="T71" s="172">
        <f t="shared" si="13"/>
        <v>42614.601006944446</v>
      </c>
      <c r="U71" s="181" t="str">
        <f t="shared" si="15"/>
        <v>EC</v>
      </c>
      <c r="V71" s="181" t="str">
        <f t="shared" si="14"/>
        <v>KEEP</v>
      </c>
      <c r="W71" s="186" t="str">
        <f t="shared" si="11"/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ID","value":"130-01"},{"id":16,"name":"Locomotive ID","value":"4019"},{"id":130,"name":"Impact","value":""},{"id":150,"name":"Time of Event (Mountain Time)","value":"08:25:27"},{"id":151,"name":"Denver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2" spans="1:23" x14ac:dyDescent="0.25">
      <c r="A72" s="172">
        <v>42614.351412037038</v>
      </c>
      <c r="B72" s="173" t="s">
        <v>200</v>
      </c>
      <c r="C72" s="173" t="s">
        <v>1004</v>
      </c>
      <c r="D72" s="173" t="s">
        <v>49</v>
      </c>
      <c r="E72" s="173" t="s">
        <v>54</v>
      </c>
      <c r="F72" s="174">
        <v>0</v>
      </c>
      <c r="G72" s="174">
        <v>67</v>
      </c>
      <c r="H72" s="174">
        <v>128108</v>
      </c>
      <c r="I72" s="173" t="s">
        <v>55</v>
      </c>
      <c r="J72" s="174">
        <v>127587</v>
      </c>
      <c r="K72" s="173" t="s">
        <v>53</v>
      </c>
      <c r="L72" s="175" t="str">
        <f>VLOOKUP(C72,'[6]Trips&amp;Operators'!$C$1:$E$9999,3,0)</f>
        <v>SMITH</v>
      </c>
      <c r="M72" s="182" t="s">
        <v>86</v>
      </c>
      <c r="N72" s="177" t="s">
        <v>1943</v>
      </c>
      <c r="P72" s="183" t="str">
        <f>VLOOKUP(C72,'[6]Train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72" s="184" t="str">
        <f>VLOOKUP(C72,'[6]Train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2" s="185" t="str">
        <f t="shared" si="10"/>
        <v>"C:\Program Files (x86)\AstroGrep\AstroGrep.exe" /spath="C:\Users\stu\Documents\Analysis\2016-02-23 RTDC Observations" /stypes="*4019*201609011*" /stext=" 14:.+((SYSTEM_STATE.+slice.+state.+changed )|(ment ac)|(system.+state.+changed )|(\|lc)|(penalty)|(\[timeout)|(PRM\|1\|D))" /e /r /s</v>
      </c>
      <c r="S72" s="176" t="str">
        <f t="shared" si="12"/>
        <v>4019</v>
      </c>
      <c r="T72" s="172">
        <f t="shared" si="13"/>
        <v>42614.601412037038</v>
      </c>
      <c r="U72" s="181" t="str">
        <f t="shared" si="15"/>
        <v>EC</v>
      </c>
      <c r="V72" s="181" t="str">
        <f t="shared" si="14"/>
        <v>KEEP</v>
      </c>
      <c r="W72" s="186" t="str">
        <f t="shared" si="11"/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ID","value":"130-01"},{"id":16,"name":"Locomotive ID","value":"4019"},{"id":130,"name":"Impact","value":""},{"id":150,"name":"Time of Event (Mountain Time)","value":"08:26:02"},{"id":151,"name":"Denver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3" spans="1:23" x14ac:dyDescent="0.25">
      <c r="A73" s="172">
        <v>42614.641967592594</v>
      </c>
      <c r="B73" s="173" t="s">
        <v>200</v>
      </c>
      <c r="C73" s="173" t="s">
        <v>1077</v>
      </c>
      <c r="D73" s="173" t="s">
        <v>49</v>
      </c>
      <c r="E73" s="173" t="s">
        <v>54</v>
      </c>
      <c r="F73" s="174">
        <v>0</v>
      </c>
      <c r="G73" s="174">
        <v>462</v>
      </c>
      <c r="H73" s="174">
        <v>130071</v>
      </c>
      <c r="I73" s="173" t="s">
        <v>55</v>
      </c>
      <c r="J73" s="174">
        <v>127587</v>
      </c>
      <c r="K73" s="173" t="s">
        <v>53</v>
      </c>
      <c r="L73" s="175" t="str">
        <f>VLOOKUP(C73,'[6]Trips&amp;Operators'!$C$1:$E$9999,3,0)</f>
        <v>SUR</v>
      </c>
      <c r="M73" s="182" t="s">
        <v>86</v>
      </c>
      <c r="N73" s="177" t="s">
        <v>1943</v>
      </c>
      <c r="P73" s="183" t="str">
        <f>VLOOKUP(C73,'[6]Train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73" s="184" t="str">
        <f>VLOOKUP(C73,'[6]Train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13:57:11-0600',mode:absolute,to:'2016-09-01 16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3" s="185" t="str">
        <f t="shared" si="10"/>
        <v>"C:\Program Files (x86)\AstroGrep\AstroGrep.exe" /spath="C:\Users\stu\Documents\Analysis\2016-02-23 RTDC Observations" /stypes="*4019*201609012*" /stext=" 21:.+((SYSTEM_STATE.+slice.+state.+changed )|(ment ac)|(system.+state.+changed )|(\|lc)|(penalty)|(\[timeout)|(PRM\|1\|D))" /e /r /s</v>
      </c>
      <c r="S73" s="176" t="str">
        <f t="shared" si="12"/>
        <v>4019</v>
      </c>
      <c r="T73" s="172">
        <f t="shared" si="13"/>
        <v>42614.891967592594</v>
      </c>
      <c r="U73" s="181" t="str">
        <f t="shared" si="15"/>
        <v>EC</v>
      </c>
      <c r="V73" s="181" t="str">
        <f t="shared" si="14"/>
        <v>KEEP</v>
      </c>
      <c r="W73" s="186" t="str">
        <f t="shared" si="11"/>
        <v>echo {"issue":{"subject":"40th 4S STOP, cleared shortly","project_id":79,"tracker_id":40,"status_id":1,"priority_id":2,"assigned_to_id":23,"start_date":"2016-09-01","description":"","custom_fields":[{"id":1,"name":"Subdivision","value":"EC"},{"id":4,"name":"Milepost","value":"12.7587"},{"id":17,"name":"Train ID","value":"186-01"},{"id":16,"name":"Locomotive ID","value":"4019"},{"id":130,"name":"Impact","value":""},{"id":150,"name":"Time of Event (Mountain Time)","value":"15:24:26"},{"id":151,"name":"Denver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4" spans="1:23" x14ac:dyDescent="0.25">
      <c r="A74" s="172">
        <v>42614.345138888886</v>
      </c>
      <c r="B74" s="173" t="s">
        <v>200</v>
      </c>
      <c r="C74" s="173" t="s">
        <v>1004</v>
      </c>
      <c r="D74" s="173" t="s">
        <v>49</v>
      </c>
      <c r="E74" s="173" t="s">
        <v>54</v>
      </c>
      <c r="F74" s="174">
        <v>0</v>
      </c>
      <c r="G74" s="174">
        <v>374</v>
      </c>
      <c r="H74" s="174">
        <v>193655</v>
      </c>
      <c r="I74" s="173" t="s">
        <v>55</v>
      </c>
      <c r="J74" s="174">
        <v>191723</v>
      </c>
      <c r="K74" s="173" t="s">
        <v>53</v>
      </c>
      <c r="L74" s="175" t="str">
        <f>VLOOKUP(C74,'[6]Trips&amp;Operators'!$C$1:$E$9999,3,0)</f>
        <v>SMITH</v>
      </c>
      <c r="M74" s="182" t="s">
        <v>86</v>
      </c>
      <c r="N74" s="177" t="s">
        <v>1944</v>
      </c>
      <c r="P74" s="183" t="str">
        <f>VLOOKUP(C74,'[6]Train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74" s="184" t="str">
        <f>VLOOKUP(C74,'[6]Train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06:53:15-0600',mode:absolute,to:'2016-09-01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4" s="185" t="str">
        <f t="shared" si="10"/>
        <v>"C:\Program Files (x86)\AstroGrep\AstroGrep.exe" /spath="C:\Users\stu\Documents\Analysis\2016-02-23 RTDC Observations" /stypes="*4019*201609011*" /stext=" 14:.+((SYSTEM_STATE.+slice.+state.+changed )|(ment ac)|(system.+state.+changed )|(\|lc)|(penalty)|(\[timeout)|(PRM\|1\|D))" /e /r /s</v>
      </c>
      <c r="S74" s="176" t="str">
        <f t="shared" si="12"/>
        <v>4019</v>
      </c>
      <c r="T74" s="172">
        <f t="shared" si="13"/>
        <v>42614.595138888886</v>
      </c>
      <c r="U74" s="181" t="str">
        <f t="shared" si="15"/>
        <v>EC</v>
      </c>
      <c r="V74" s="181" t="str">
        <f t="shared" si="14"/>
        <v>KEEP</v>
      </c>
      <c r="W74" s="186" t="str">
        <f t="shared" si="11"/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ID","value":"130-01"},{"id":16,"name":"Locomotive ID","value":"4019"},{"id":130,"name":"Impact","value":""},{"id":150,"name":"Time of Event (Mountain Time)","value":"08:17:00"},{"id":151,"name":"Denver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5" spans="1:23" x14ac:dyDescent="0.25">
      <c r="A75" s="172">
        <v>42614.407685185186</v>
      </c>
      <c r="B75" s="173" t="s">
        <v>226</v>
      </c>
      <c r="C75" s="173" t="s">
        <v>1018</v>
      </c>
      <c r="D75" s="173" t="s">
        <v>49</v>
      </c>
      <c r="E75" s="173" t="s">
        <v>54</v>
      </c>
      <c r="F75" s="174">
        <v>0</v>
      </c>
      <c r="G75" s="174">
        <v>306</v>
      </c>
      <c r="H75" s="174">
        <v>193916</v>
      </c>
      <c r="I75" s="173" t="s">
        <v>55</v>
      </c>
      <c r="J75" s="174">
        <v>191723</v>
      </c>
      <c r="K75" s="173" t="s">
        <v>53</v>
      </c>
      <c r="L75" s="175" t="str">
        <f>VLOOKUP(C75,'[6]Trips&amp;Operators'!$C$1:$E$9999,3,0)</f>
        <v>MAELZER</v>
      </c>
      <c r="M75" s="182" t="s">
        <v>86</v>
      </c>
      <c r="N75" s="177" t="s">
        <v>1944</v>
      </c>
      <c r="P75" s="183" t="str">
        <f>VLOOKUP(C75,'[6]Train Runs'!$A$13:$AE$10012,31,0)</f>
        <v>aws s3 cp s3://rtdc.mdm.uploadarchive/RTDC4043/2016-09-01/ "%USERPROFILE%\AppData\Local\Temp\OnboardLogs"\RTDC4043\2016-09-01 --recursive &amp; "%USERPROFILE%\Documents\GitHub\mrs-test-scripts\Headless Mode &amp; Sideloading\WalkAndUnGZ.bat" "%USERPROFILE%\AppData\Local\Temp\OnboardLogs"\RTDC4043\2016-09-01 &amp; aws s3 cp s3://rtdc.mdm.uploadarchive/RTDC4043/2016-09-02/ "%USERPROFILE%\AppData\Local\Temp\OnboardLogs"\RTDC4043\2016-09-02 --recursive &amp; "%USERPROFILE%\Documents\GitHub\mrs-test-scripts\Headless Mode &amp; Sideloading\WalkAndUnGZ.bat" "%USERPROFILE%\AppData\Local\Temp\OnboardLogs"\RTDC4043\2016-09-02</v>
      </c>
      <c r="Q75" s="184" t="str">
        <f>VLOOKUP(C75,'[6]Train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08:29:03-0600',mode:absolute,to:'2016-09-01 11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75" s="185" t="str">
        <f t="shared" si="10"/>
        <v>"C:\Program Files (x86)\AstroGrep\AstroGrep.exe" /spath="C:\Users\stu\Documents\Analysis\2016-02-23 RTDC Observations" /stypes="*4043*201609011*" /stext=" 15:.+((SYSTEM_STATE.+slice.+state.+changed )|(ment ac)|(system.+state.+changed )|(\|lc)|(penalty)|(\[timeout)|(PRM\|1\|D))" /e /r /s</v>
      </c>
      <c r="S75" s="176" t="str">
        <f t="shared" si="12"/>
        <v>4043</v>
      </c>
      <c r="T75" s="172">
        <f t="shared" si="13"/>
        <v>42614.657685185186</v>
      </c>
      <c r="U75" s="181" t="str">
        <f t="shared" si="15"/>
        <v>EC</v>
      </c>
      <c r="V75" s="181" t="str">
        <f t="shared" si="14"/>
        <v>KEEP</v>
      </c>
      <c r="W75" s="186" t="str">
        <f t="shared" si="11"/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ID","value":"142-01"},{"id":16,"name":"Locomotive ID","value":"4043"},{"id":130,"name":"Impact","value":""},{"id":150,"name":"Time of Event (Mountain Time)","value":"09:47:04"},{"id":151,"name":"Denver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6" spans="1:23" x14ac:dyDescent="0.25">
      <c r="A76" s="172">
        <v>42614.604895833334</v>
      </c>
      <c r="B76" s="173" t="s">
        <v>720</v>
      </c>
      <c r="C76" s="173" t="s">
        <v>1068</v>
      </c>
      <c r="D76" s="173" t="s">
        <v>49</v>
      </c>
      <c r="E76" s="173" t="s">
        <v>54</v>
      </c>
      <c r="F76" s="174">
        <v>0</v>
      </c>
      <c r="G76" s="174">
        <v>449</v>
      </c>
      <c r="H76" s="174">
        <v>194163</v>
      </c>
      <c r="I76" s="173" t="s">
        <v>55</v>
      </c>
      <c r="J76" s="174">
        <v>191723</v>
      </c>
      <c r="K76" s="173" t="s">
        <v>53</v>
      </c>
      <c r="L76" s="175" t="str">
        <f>VLOOKUP(C76,'[6]Trips&amp;Operators'!$C$1:$E$9999,3,0)</f>
        <v>BROWN</v>
      </c>
      <c r="M76" s="182" t="s">
        <v>86</v>
      </c>
      <c r="N76" s="177" t="s">
        <v>1944</v>
      </c>
      <c r="P76" s="183" t="str">
        <f>VLOOKUP(C76,'[6]Train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76" s="184" t="str">
        <f>VLOOKUP(C76,'[6]Train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13:08:27-0600',mode:absolute,to:'2016-09-01 16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76" s="185" t="str">
        <f t="shared" si="10"/>
        <v>"C:\Program Files (x86)\AstroGrep\AstroGrep.exe" /spath="C:\Users\stu\Documents\Analysis\2016-02-23 RTDC Observations" /stypes="*4008*201609012*" /stext=" 20:.+((SYSTEM_STATE.+slice.+state.+changed )|(ment ac)|(system.+state.+changed )|(\|lc)|(penalty)|(\[timeout)|(PRM\|1\|D))" /e /r /s</v>
      </c>
      <c r="S76" s="176" t="str">
        <f t="shared" si="12"/>
        <v>4008</v>
      </c>
      <c r="T76" s="172">
        <f t="shared" si="13"/>
        <v>42614.854895833334</v>
      </c>
      <c r="U76" s="181" t="str">
        <f t="shared" si="15"/>
        <v>EC</v>
      </c>
      <c r="V76" s="181" t="str">
        <f t="shared" si="14"/>
        <v>KEEP</v>
      </c>
      <c r="W76" s="186" t="str">
        <f t="shared" si="11"/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ID","value":"180-01"},{"id":16,"name":"Locomotive ID","value":"4008"},{"id":130,"name":"Impact","value":""},{"id":150,"name":"Time of Event (Mountain Time)","value":"14:31:03"},{"id":151,"name":"Denver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7" spans="1:23" x14ac:dyDescent="0.25">
      <c r="A77" s="172">
        <v>42614.605300925927</v>
      </c>
      <c r="B77" s="173" t="s">
        <v>720</v>
      </c>
      <c r="C77" s="173" t="s">
        <v>1068</v>
      </c>
      <c r="D77" s="173" t="s">
        <v>49</v>
      </c>
      <c r="E77" s="173" t="s">
        <v>54</v>
      </c>
      <c r="F77" s="174">
        <v>0</v>
      </c>
      <c r="G77" s="174">
        <v>10</v>
      </c>
      <c r="H77" s="174">
        <v>192873</v>
      </c>
      <c r="I77" s="173" t="s">
        <v>55</v>
      </c>
      <c r="J77" s="174">
        <v>191723</v>
      </c>
      <c r="K77" s="173" t="s">
        <v>53</v>
      </c>
      <c r="L77" s="175" t="str">
        <f>VLOOKUP(C77,'[6]Trips&amp;Operators'!$C$1:$E$9999,3,0)</f>
        <v>BROWN</v>
      </c>
      <c r="M77" s="182" t="s">
        <v>86</v>
      </c>
      <c r="N77" s="177" t="s">
        <v>1944</v>
      </c>
      <c r="P77" s="183" t="str">
        <f>VLOOKUP(C77,'[6]Train Runs'!$A$13:$AE$10012,31,0)</f>
        <v>aws s3 cp s3://rtdc.mdm.uploadarchive/RTDC4008/2016-09-01/ "%USERPROFILE%\AppData\Local\Temp\OnboardLogs"\RTDC4008\2016-09-01 --recursive &amp; "%USERPROFILE%\Documents\GitHub\mrs-test-scripts\Headless Mode &amp; Sideloading\WalkAndUnGZ.bat" "%USERPROFILE%\AppData\Local\Temp\OnboardLogs"\RTDC4008\2016-09-01 &amp; 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</v>
      </c>
      <c r="Q77" s="184" t="str">
        <f>VLOOKUP(C77,'[6]Train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13:08:27-0600',mode:absolute,to:'2016-09-01 16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77" s="185" t="str">
        <f t="shared" si="10"/>
        <v>"C:\Program Files (x86)\AstroGrep\AstroGrep.exe" /spath="C:\Users\stu\Documents\Analysis\2016-02-23 RTDC Observations" /stypes="*4008*201609012*" /stext=" 20:.+((SYSTEM_STATE.+slice.+state.+changed )|(ment ac)|(system.+state.+changed )|(\|lc)|(penalty)|(\[timeout)|(PRM\|1\|D))" /e /r /s</v>
      </c>
      <c r="S77" s="176" t="str">
        <f t="shared" si="12"/>
        <v>4008</v>
      </c>
      <c r="T77" s="172">
        <f t="shared" si="13"/>
        <v>42614.855300925927</v>
      </c>
      <c r="U77" s="181" t="str">
        <f t="shared" si="15"/>
        <v>EC</v>
      </c>
      <c r="V77" s="181" t="str">
        <f t="shared" si="14"/>
        <v>KEEP</v>
      </c>
      <c r="W77" s="186" t="str">
        <f t="shared" si="11"/>
        <v>echo {"issue":{"subject":"Pena 4S STOP, cleared shortly","project_id":79,"tracker_id":40,"status_id":1,"priority_id":2,"assigned_to_id":23,"start_date":"2016-09-01","description":"","custom_fields":[{"id":1,"name":"Subdivision","value":"EC"},{"id":4,"name":"Milepost","value":"19.1723"},{"id":17,"name":"Train ID","value":"180-01"},{"id":16,"name":"Locomotive ID","value":"4008"},{"id":130,"name":"Impact","value":""},{"id":150,"name":"Time of Event (Mountain Time)","value":"14:31:38"},{"id":151,"name":"Denver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8" spans="1:23" x14ac:dyDescent="0.25">
      <c r="A78" s="172">
        <v>42614.327962962961</v>
      </c>
      <c r="B78" s="173" t="s">
        <v>139</v>
      </c>
      <c r="C78" s="173" t="s">
        <v>993</v>
      </c>
      <c r="D78" s="173" t="s">
        <v>49</v>
      </c>
      <c r="E78" s="173" t="s">
        <v>50</v>
      </c>
      <c r="F78" s="174">
        <v>0</v>
      </c>
      <c r="G78" s="174">
        <v>61</v>
      </c>
      <c r="H78" s="174">
        <v>245</v>
      </c>
      <c r="I78" s="173" t="s">
        <v>51</v>
      </c>
      <c r="J78" s="174">
        <v>1</v>
      </c>
      <c r="K78" s="173" t="s">
        <v>53</v>
      </c>
      <c r="L78" s="175" t="str">
        <f>VLOOKUP(C78,'[6]Trips&amp;Operators'!$C$1:$E$9999,3,0)</f>
        <v>STRICKLAND</v>
      </c>
      <c r="M78" s="182" t="s">
        <v>86</v>
      </c>
      <c r="N78" s="177"/>
      <c r="P78" s="183" t="str">
        <f>VLOOKUP(C78,'[6]Train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78" s="184" t="str">
        <f>VLOOKUP(C78,'[6]Train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06:04:41-0600',mode:absolute,to:'2016-09-01 08:52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78" s="185" t="str">
        <f t="shared" si="10"/>
        <v>"C:\Program Files (x86)\AstroGrep\AstroGrep.exe" /spath="C:\Users\stu\Documents\Analysis\2016-02-23 RTDC Observations" /stypes="*4037*201609011*" /stext=" 13:.+((SYSTEM_STATE.+slice.+state.+changed )|(ment ac)|(system.+state.+changed )|(\|lc)|(penalty)|(\[timeout)|(PRM\|1\|D))" /e /r /s</v>
      </c>
      <c r="S78" s="176" t="str">
        <f t="shared" si="12"/>
        <v>4037</v>
      </c>
      <c r="T78" s="172">
        <f t="shared" si="13"/>
        <v>42614.577962962961</v>
      </c>
      <c r="U78" s="181" t="str">
        <f t="shared" si="15"/>
        <v>EC</v>
      </c>
      <c r="V78" s="181" t="str">
        <f t="shared" si="14"/>
        <v>KEEP</v>
      </c>
      <c r="W78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ID","value":"122-01"},{"id":16,"name":"Locomotive ID","value":"4037"},{"id":130,"name":"Impact","value":""},{"id":150,"name":"Time of Event (Mountain Time)","value":"07:52:16"},{"id":151,"name":"Denver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79" spans="1:23" x14ac:dyDescent="0.25">
      <c r="A79" s="172">
        <v>42614.346701388888</v>
      </c>
      <c r="B79" s="173" t="s">
        <v>349</v>
      </c>
      <c r="C79" s="173" t="s">
        <v>1001</v>
      </c>
      <c r="D79" s="173" t="s">
        <v>49</v>
      </c>
      <c r="E79" s="173" t="s">
        <v>50</v>
      </c>
      <c r="F79" s="174">
        <v>0</v>
      </c>
      <c r="G79" s="174">
        <v>82</v>
      </c>
      <c r="H79" s="174">
        <v>296</v>
      </c>
      <c r="I79" s="173" t="s">
        <v>51</v>
      </c>
      <c r="J79" s="174">
        <v>1</v>
      </c>
      <c r="K79" s="173" t="s">
        <v>53</v>
      </c>
      <c r="L79" s="175" t="str">
        <f>VLOOKUP(C79,'[6]Trips&amp;Operators'!$C$1:$E$9999,3,0)</f>
        <v>STARKS</v>
      </c>
      <c r="M79" s="182" t="s">
        <v>86</v>
      </c>
      <c r="N79" s="177"/>
      <c r="P79" s="183" t="str">
        <f>VLOOKUP(C79,'[6]Train Runs'!$A$13:$AE$10012,31,0)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Q79" s="184" t="str">
        <f>VLOOKUP(C79,'[6]Train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06:37:42-0600',mode:absolute,to:'2016-09-01 09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79" s="185" t="str">
        <f t="shared" si="10"/>
        <v>"C:\Program Files (x86)\AstroGrep\AstroGrep.exe" /spath="C:\Users\stu\Documents\Analysis\2016-02-23 RTDC Observations" /stypes="*4041*201609011*" /stext=" 14:.+((SYSTEM_STATE.+slice.+state.+changed )|(ment ac)|(system.+state.+changed )|(\|lc)|(penalty)|(\[timeout)|(PRM\|1\|D))" /e /r /s</v>
      </c>
      <c r="S79" s="176" t="str">
        <f t="shared" si="12"/>
        <v>4041</v>
      </c>
      <c r="T79" s="172">
        <f t="shared" si="13"/>
        <v>42614.596701388888</v>
      </c>
      <c r="U79" s="181" t="str">
        <f t="shared" si="15"/>
        <v>EC</v>
      </c>
      <c r="V79" s="181" t="str">
        <f t="shared" si="14"/>
        <v>KEEP</v>
      </c>
      <c r="W79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ID","value":"126-01"},{"id":16,"name":"Locomotive ID","value":"4041"},{"id":130,"name":"Impact","value":""},{"id":150,"name":"Time of Event (Mountain Time)","value":"08:19:15"},{"id":151,"name":"Denver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0" spans="1:23" x14ac:dyDescent="0.25">
      <c r="A80" s="172">
        <v>42614.473275462966</v>
      </c>
      <c r="B80" s="173" t="s">
        <v>139</v>
      </c>
      <c r="C80" s="173" t="s">
        <v>1027</v>
      </c>
      <c r="D80" s="173" t="s">
        <v>49</v>
      </c>
      <c r="E80" s="173" t="s">
        <v>50</v>
      </c>
      <c r="F80" s="174">
        <v>0</v>
      </c>
      <c r="G80" s="174">
        <v>51</v>
      </c>
      <c r="H80" s="174">
        <v>205</v>
      </c>
      <c r="I80" s="173" t="s">
        <v>51</v>
      </c>
      <c r="J80" s="174">
        <v>1</v>
      </c>
      <c r="K80" s="173" t="s">
        <v>53</v>
      </c>
      <c r="L80" s="175" t="str">
        <f>VLOOKUP(C80,'[6]Trips&amp;Operators'!$C$1:$E$9999,3,0)</f>
        <v>STRICKLAND</v>
      </c>
      <c r="M80" s="182" t="s">
        <v>86</v>
      </c>
      <c r="N80" s="177"/>
      <c r="P80" s="183" t="str">
        <f>VLOOKUP(C80,'[6]Train Runs'!$A$13:$AE$10012,31,0)</f>
        <v>aws s3 cp s3://rtdc.mdm.uploadarchive/RTDC4037/2016-09-01/ "%USERPROFILE%\AppData\Local\Temp\OnboardLogs"\RTDC4037\2016-09-01 --recursive &amp; "%USERPROFILE%\Documents\GitHub\mrs-test-scripts\Headless Mode &amp; Sideloading\WalkAndUnGZ.bat" "%USERPROFILE%\AppData\Local\Temp\OnboardLogs"\RTDC4037\2016-09-01 &amp; 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</v>
      </c>
      <c r="Q80" s="184" t="str">
        <f>VLOOKUP(C80,'[6]Train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09:32:38-0600',mode:absolute,to:'2016-09-01 12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80" s="185" t="str">
        <f t="shared" si="10"/>
        <v>"C:\Program Files (x86)\AstroGrep\AstroGrep.exe" /spath="C:\Users\stu\Documents\Analysis\2016-02-23 RTDC Observations" /stypes="*4037*201609011*" /stext=" 17:.+((SYSTEM_STATE.+slice.+state.+changed )|(ment ac)|(system.+state.+changed )|(\|lc)|(penalty)|(\[timeout)|(PRM\|1\|D))" /e /r /s</v>
      </c>
      <c r="S80" s="176" t="str">
        <f t="shared" si="12"/>
        <v>4037</v>
      </c>
      <c r="T80" s="172">
        <f t="shared" si="13"/>
        <v>42614.723275462966</v>
      </c>
      <c r="U80" s="181" t="str">
        <f t="shared" si="15"/>
        <v>EC</v>
      </c>
      <c r="V80" s="181" t="str">
        <f t="shared" si="14"/>
        <v>KEEP</v>
      </c>
      <c r="W80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ID","value":"150-01"},{"id":16,"name":"Locomotive ID","value":"4037"},{"id":130,"name":"Impact","value":""},{"id":150,"name":"Time of Event (Mountain Time)","value":"11:21:31"},{"id":151,"name":"Denver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1" spans="1:23" x14ac:dyDescent="0.25">
      <c r="A81" s="172">
        <v>42614.587025462963</v>
      </c>
      <c r="B81" s="173" t="s">
        <v>200</v>
      </c>
      <c r="C81" s="173" t="s">
        <v>734</v>
      </c>
      <c r="D81" s="173" t="s">
        <v>49</v>
      </c>
      <c r="E81" s="173" t="s">
        <v>50</v>
      </c>
      <c r="F81" s="174">
        <v>0</v>
      </c>
      <c r="G81" s="174">
        <v>72</v>
      </c>
      <c r="H81" s="174">
        <v>267</v>
      </c>
      <c r="I81" s="173" t="s">
        <v>51</v>
      </c>
      <c r="J81" s="174">
        <v>1</v>
      </c>
      <c r="K81" s="173" t="s">
        <v>53</v>
      </c>
      <c r="L81" s="175" t="str">
        <f>VLOOKUP(C81,'[6]Trips&amp;Operators'!$C$1:$E$9999,3,0)</f>
        <v>SUR</v>
      </c>
      <c r="M81" s="182" t="s">
        <v>86</v>
      </c>
      <c r="N81" s="177"/>
      <c r="P81" s="183" t="str">
        <f>VLOOKUP(C81,'[6]Train Runs'!$A$13:$AE$10012,31,0)</f>
        <v>aws s3 cp s3://rtdc.mdm.uploadarchive/RTDC4019/2016-09-01/ "%USERPROFILE%\AppData\Local\Temp\OnboardLogs"\RTDC4019\2016-09-01 --recursive &amp; "%USERPROFILE%\Documents\GitHub\mrs-test-scripts\Headless Mode &amp; Sideloading\WalkAndUnGZ.bat" "%USERPROFILE%\AppData\Local\Temp\OnboardLogs"\RTDC4019\2016-09-01 &amp; aws s3 cp s3://rtdc.mdm.uploadarchive/RTDC4019/2016-09-02/ "%USERPROFILE%\AppData\Local\Temp\OnboardLogs"\RTDC4019\2016-09-02 --recursive &amp; "%USERPROFILE%\Documents\GitHub\mrs-test-scripts\Headless Mode &amp; Sideloading\WalkAndUnGZ.bat" "%USERPROFILE%\AppData\Local\Temp\OnboardLogs"\RTDC4019\2016-09-02</v>
      </c>
      <c r="Q81" s="184" t="str">
        <f>VLOOKUP(C81,'[6]Train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12:14:16-0600',mode:absolute,to:'2016-09-01 15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81" s="185" t="str">
        <f t="shared" si="10"/>
        <v>"C:\Program Files (x86)\AstroGrep\AstroGrep.exe" /spath="C:\Users\stu\Documents\Analysis\2016-02-23 RTDC Observations" /stypes="*4019*201609012*" /stext=" 20:.+((SYSTEM_STATE.+slice.+state.+changed )|(ment ac)|(system.+state.+changed )|(\|lc)|(penalty)|(\[timeout)|(PRM\|1\|D))" /e /r /s</v>
      </c>
      <c r="S81" s="176" t="str">
        <f t="shared" si="12"/>
        <v>4019</v>
      </c>
      <c r="T81" s="172">
        <f t="shared" si="13"/>
        <v>42614.837025462963</v>
      </c>
      <c r="U81" s="181" t="str">
        <f t="shared" si="15"/>
        <v>EC</v>
      </c>
      <c r="V81" s="181" t="str">
        <f t="shared" si="14"/>
        <v>KEEP</v>
      </c>
      <c r="W81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ID","value":"172-01"},{"id":16,"name":"Locomotive ID","value":"4019"},{"id":130,"name":"Impact","value":""},{"id":150,"name":"Time of Event (Mountain Time)","value":"14:05:19"},{"id":151,"name":"Denver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2" spans="1:23" x14ac:dyDescent="0.25">
      <c r="A82" s="172">
        <v>42614.596770833334</v>
      </c>
      <c r="B82" s="173" t="s">
        <v>114</v>
      </c>
      <c r="C82" s="173" t="s">
        <v>1062</v>
      </c>
      <c r="D82" s="173" t="s">
        <v>49</v>
      </c>
      <c r="E82" s="173" t="s">
        <v>50</v>
      </c>
      <c r="F82" s="174">
        <v>0</v>
      </c>
      <c r="G82" s="174">
        <v>49</v>
      </c>
      <c r="H82" s="174">
        <v>178</v>
      </c>
      <c r="I82" s="173" t="s">
        <v>51</v>
      </c>
      <c r="J82" s="174">
        <v>1</v>
      </c>
      <c r="K82" s="173" t="s">
        <v>53</v>
      </c>
      <c r="L82" s="175" t="str">
        <f>VLOOKUP(C82,'[6]Trips&amp;Operators'!$C$1:$E$9999,3,0)</f>
        <v>BONDS</v>
      </c>
      <c r="M82" s="182" t="s">
        <v>86</v>
      </c>
      <c r="N82" s="177"/>
      <c r="P82" s="183" t="str">
        <f>VLOOKUP(C82,'[6]Train Runs'!$A$13:$AE$10012,31,0)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Q82" s="184" t="str">
        <f>VLOOKUP(C82,'[6]Train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12:37:36-0600',mode:absolute,to:'2016-09-01 15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82" s="185" t="str">
        <f t="shared" si="10"/>
        <v>"C:\Program Files (x86)\AstroGrep\AstroGrep.exe" /spath="C:\Users\stu\Documents\Analysis\2016-02-23 RTDC Observations" /stypes="*4032*201609012*" /stext=" 20:.+((SYSTEM_STATE.+slice.+state.+changed )|(ment ac)|(system.+state.+changed )|(\|lc)|(penalty)|(\[timeout)|(PRM\|1\|D))" /e /r /s</v>
      </c>
      <c r="S82" s="176" t="str">
        <f t="shared" si="12"/>
        <v>4032</v>
      </c>
      <c r="T82" s="172">
        <f t="shared" si="13"/>
        <v>42614.846770833334</v>
      </c>
      <c r="U82" s="181" t="str">
        <f t="shared" si="15"/>
        <v>EC</v>
      </c>
      <c r="V82" s="181" t="str">
        <f t="shared" si="14"/>
        <v>KEEP</v>
      </c>
      <c r="W82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ID","value":"174-01"},{"id":16,"name":"Locomotive ID","value":"4032"},{"id":130,"name":"Impact","value":""},{"id":150,"name":"Time of Event (Mountain Time)","value":"14:19:21"},{"id":151,"name":"Denver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3" spans="1:23" x14ac:dyDescent="0.25">
      <c r="A83" s="172">
        <v>42614.783831018518</v>
      </c>
      <c r="B83" s="173" t="s">
        <v>114</v>
      </c>
      <c r="C83" s="173" t="s">
        <v>1106</v>
      </c>
      <c r="D83" s="173" t="s">
        <v>49</v>
      </c>
      <c r="E83" s="173" t="s">
        <v>50</v>
      </c>
      <c r="F83" s="174">
        <v>0</v>
      </c>
      <c r="G83" s="174">
        <v>52</v>
      </c>
      <c r="H83" s="174">
        <v>196</v>
      </c>
      <c r="I83" s="173" t="s">
        <v>51</v>
      </c>
      <c r="J83" s="174">
        <v>1</v>
      </c>
      <c r="K83" s="173" t="s">
        <v>53</v>
      </c>
      <c r="L83" s="175" t="str">
        <f>VLOOKUP(C83,'[6]Trips&amp;Operators'!$C$1:$E$9999,3,0)</f>
        <v>KILLION</v>
      </c>
      <c r="M83" s="182" t="s">
        <v>86</v>
      </c>
      <c r="N83" s="177"/>
      <c r="P83" s="183" t="str">
        <f>VLOOKUP(C83,'[6]Train Runs'!$A$13:$AE$10012,31,0)</f>
        <v>aws s3 cp s3://rtdc.mdm.uploadarchive/RTDC4032/2016-09-01/ "%USERPROFILE%\AppData\Local\Temp\OnboardLogs"\RTDC4032\2016-09-01 --recursive &amp; "%USERPROFILE%\Documents\GitHub\mrs-test-scripts\Headless Mode &amp; Sideloading\WalkAndUnGZ.bat" "%USERPROFILE%\AppData\Local\Temp\OnboardLogs"\RTDC4032\2016-09-01 &amp; 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</v>
      </c>
      <c r="Q83" s="184" t="str">
        <f>VLOOKUP(C83,'[6]Train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17:02:21-0600',mode:absolute,to:'2016-09-01 19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83" s="185" t="str">
        <f t="shared" si="10"/>
        <v>"C:\Program Files (x86)\AstroGrep\AstroGrep.exe" /spath="C:\Users\stu\Documents\Analysis\2016-02-23 RTDC Observations" /stypes="*4032*201609020*" /stext=" 00:.+((SYSTEM_STATE.+slice.+state.+changed )|(ment ac)|(system.+state.+changed )|(\|lc)|(penalty)|(\[timeout)|(PRM\|1\|D))" /e /r /s</v>
      </c>
      <c r="S83" s="176" t="str">
        <f t="shared" si="12"/>
        <v>4032</v>
      </c>
      <c r="T83" s="172">
        <f t="shared" si="13"/>
        <v>42615.033831018518</v>
      </c>
      <c r="U83" s="181" t="str">
        <f t="shared" si="15"/>
        <v>EC</v>
      </c>
      <c r="V83" s="181" t="str">
        <f t="shared" si="14"/>
        <v>KEEP</v>
      </c>
      <c r="W83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ID","value":"208-01"},{"id":16,"name":"Locomotive ID","value":"4032"},{"id":130,"name":"Impact","value":""},{"id":150,"name":"Time of Event (Mountain Time)","value":"18:48:43"},{"id":151,"name":"Denver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4" spans="1:23" x14ac:dyDescent="0.25">
      <c r="A84" s="172">
        <v>42614.806805555556</v>
      </c>
      <c r="B84" s="173" t="s">
        <v>349</v>
      </c>
      <c r="C84" s="173" t="s">
        <v>1119</v>
      </c>
      <c r="D84" s="173" t="s">
        <v>49</v>
      </c>
      <c r="E84" s="173" t="s">
        <v>50</v>
      </c>
      <c r="F84" s="174">
        <v>0</v>
      </c>
      <c r="G84" s="174">
        <v>74</v>
      </c>
      <c r="H84" s="174">
        <v>271</v>
      </c>
      <c r="I84" s="173" t="s">
        <v>51</v>
      </c>
      <c r="J84" s="174">
        <v>1</v>
      </c>
      <c r="K84" s="173" t="s">
        <v>53</v>
      </c>
      <c r="L84" s="175" t="str">
        <f>VLOOKUP(C84,'[6]Trips&amp;Operators'!$C$1:$E$9999,3,0)</f>
        <v>COOLAHAN</v>
      </c>
      <c r="M84" s="182" t="s">
        <v>86</v>
      </c>
      <c r="N84" s="177"/>
      <c r="P84" s="183" t="str">
        <f>VLOOKUP(C84,'[6]Train Runs'!$A$13:$AE$10012,31,0)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Q84" s="184" t="str">
        <f>VLOOKUP(C84,'[6]Train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17:37:59-0600',mode:absolute,to:'2016-09-01 20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84" s="185" t="str">
        <f t="shared" si="10"/>
        <v>"C:\Program Files (x86)\AstroGrep\AstroGrep.exe" /spath="C:\Users\stu\Documents\Analysis\2016-02-23 RTDC Observations" /stypes="*4041*201609020*" /stext=" 01:.+((SYSTEM_STATE.+slice.+state.+changed )|(ment ac)|(system.+state.+changed )|(\|lc)|(penalty)|(\[timeout)|(PRM\|1\|D))" /e /r /s</v>
      </c>
      <c r="S84" s="176" t="str">
        <f t="shared" si="12"/>
        <v>4041</v>
      </c>
      <c r="T84" s="172">
        <f t="shared" si="13"/>
        <v>42615.056805555556</v>
      </c>
      <c r="U84" s="181" t="str">
        <f t="shared" si="15"/>
        <v>EC</v>
      </c>
      <c r="V84" s="181" t="str">
        <f t="shared" si="14"/>
        <v>KEEP</v>
      </c>
      <c r="W84" s="186" t="str">
        <f t="shared" si="11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ID","value":"214-01"},{"id":16,"name":"Locomotive ID","value":"4041"},{"id":130,"name":"Impact","value":""},{"id":150,"name":"Time of Event (Mountain Time)","value":"19:21:48"},{"id":151,"name":"Denver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5" spans="1:23" x14ac:dyDescent="0.25">
      <c r="A85" s="172">
        <v>42614.830370370371</v>
      </c>
      <c r="B85" s="173" t="s">
        <v>325</v>
      </c>
      <c r="C85" s="173" t="s">
        <v>1127</v>
      </c>
      <c r="D85" s="173" t="s">
        <v>49</v>
      </c>
      <c r="E85" s="173" t="s">
        <v>50</v>
      </c>
      <c r="F85" s="174">
        <v>0</v>
      </c>
      <c r="G85" s="174">
        <v>119</v>
      </c>
      <c r="H85" s="174">
        <v>296</v>
      </c>
      <c r="I85" s="173" t="s">
        <v>51</v>
      </c>
      <c r="J85" s="174">
        <v>1</v>
      </c>
      <c r="K85" s="173" t="s">
        <v>53</v>
      </c>
      <c r="L85" s="175" t="str">
        <f>VLOOKUP(C85,'[6]Trips&amp;Operators'!$C$1:$E$9999,3,0)</f>
        <v>STAMBAUGH</v>
      </c>
      <c r="M85" s="182" t="s">
        <v>86</v>
      </c>
      <c r="N85" s="177"/>
      <c r="P85" s="183" t="str">
        <f>VLOOKUP(C85,'[6]Train Runs'!$A$13:$AE$10012,31,0)</f>
        <v>aws s3 cp s3://rtdc.mdm.uploadarchive/RTDC4012/2016-09-01/ "%USERPROFILE%\AppData\Local\Temp\OnboardLogs"\RTDC4012\2016-09-01 --recursive &amp; "%USERPROFILE%\Documents\GitHub\mrs-test-scripts\Headless Mode &amp; Sideloading\WalkAndUnGZ.bat" "%USERPROFILE%\AppData\Local\Temp\OnboardLogs"\RTDC4012\2016-09-01 &amp; 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</v>
      </c>
      <c r="Q85" s="184" t="str">
        <f>VLOOKUP(C85,'[6]Train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18:16:27-0600',mode:absolute,to:'2016-09-01 20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85" s="185" t="str">
        <f t="shared" ref="R85:R114" si="16">astrogrep_path&amp;" /spath="&amp;search_path&amp;" /stypes=""*"&amp;S85&amp;"*"&amp;TEXT(A85-utc_offset/24,"YYYYMMDD")&amp;LEFT(TEXT(A85-utc_offset/24,"HH"),1)&amp;"*"" /stext="" "&amp;TEXT(A85-utc_offset/24,"HH")&amp;search_regexp&amp;""" /e /r /s"</f>
        <v>"C:\Program Files (x86)\AstroGrep\AstroGrep.exe" /spath="C:\Users\stu\Documents\Analysis\2016-02-23 RTDC Observations" /stypes="*4012*201609020*" /stext=" 01:.+((SYSTEM_STATE.+slice.+state.+changed )|(ment ac)|(system.+state.+changed )|(\|lc)|(penalty)|(\[timeout)|(PRM\|1\|D))" /e /r /s</v>
      </c>
      <c r="S85" s="176" t="str">
        <f t="shared" si="12"/>
        <v>4012</v>
      </c>
      <c r="T85" s="172">
        <f t="shared" si="13"/>
        <v>42615.080370370371</v>
      </c>
      <c r="U85" s="181" t="str">
        <f t="shared" si="15"/>
        <v>EC</v>
      </c>
      <c r="V85" s="181" t="str">
        <f t="shared" si="14"/>
        <v>KEEP</v>
      </c>
      <c r="W85" s="186" t="str">
        <f t="shared" ref="W85:W114" si="17">"echo {""issue"":{""subject"":"""&amp;N85&amp;""",""project_id"":79,""tracker_id"":40,""status_id"":"&amp;redmine_status&amp;",""priority_id"":"&amp;redmine_priority&amp;",""assigned_to_id"":"&amp;redmine_assignee&amp;",""start_date"":"""&amp;TEXT(A85,"YYYY-mm-dd")&amp;""",""description"":"""&amp;X85&amp;""",""custom_fields"":[{""id"":1,""name"":""Subdivision"",""value"":"""&amp;U85&amp;"""},{""id"":4,""name"":""Milepost"",""value"":"""&amp;J85/10000&amp;"""},{""id"":17,""name"":""Train ID"",""value"":"""&amp;C85&amp;"""},{""id"":16,""name"":""Locomotive ID"",""value"":"""&amp;S85&amp;"""},{""id"":130,""name"":""Impact"",""value"":"""&amp;Y85&amp;"""},{""id"":150,""name"":""Time of Event (Mountain Time)"",""value"":"""&amp;TEXT(A85,"hh:mm:ss")&amp;"""},{""id"":151,""name"":""Denver Issue ID"",""value"":"""&amp;"""},{""id"":178,""name"":""Operational Impact"",""value"":"""&amp;redmine_op_impact&amp;"""},{""id"":179,""name"":""Denver Segment Assigned"",""value"":"""&amp;Z85&amp;"""}]}}"&amp;"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ID","value":"218-01"},{"id":16,"name":"Locomotive ID","value":"4012"},{"id":130,"name":"Impact","value":""},{"id":150,"name":"Time of Event (Mountain Time)","value":"19:55:44"},{"id":151,"name":"Denver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6" spans="1:23" x14ac:dyDescent="0.25">
      <c r="A86" s="172">
        <v>42614.877233796295</v>
      </c>
      <c r="B86" s="173" t="s">
        <v>349</v>
      </c>
      <c r="C86" s="173" t="s">
        <v>1136</v>
      </c>
      <c r="D86" s="173" t="s">
        <v>49</v>
      </c>
      <c r="E86" s="173" t="s">
        <v>50</v>
      </c>
      <c r="F86" s="174">
        <v>0</v>
      </c>
      <c r="G86" s="174">
        <v>64</v>
      </c>
      <c r="H86" s="174">
        <v>229</v>
      </c>
      <c r="I86" s="173" t="s">
        <v>51</v>
      </c>
      <c r="J86" s="174">
        <v>1</v>
      </c>
      <c r="K86" s="173" t="s">
        <v>53</v>
      </c>
      <c r="L86" s="175" t="str">
        <f>VLOOKUP(C86,'[6]Trips&amp;Operators'!$C$1:$E$9999,3,0)</f>
        <v>COOLAHAN</v>
      </c>
      <c r="M86" s="182" t="s">
        <v>86</v>
      </c>
      <c r="N86" s="177"/>
      <c r="P86" s="183" t="str">
        <f>VLOOKUP(C86,'[6]Train Runs'!$A$13:$AE$10012,31,0)</f>
        <v>aws s3 cp s3://rtdc.mdm.uploadarchive/RTDC4041/2016-09-01/ "%USERPROFILE%\AppData\Local\Temp\OnboardLogs"\RTDC4041\2016-09-01 --recursive &amp; "%USERPROFILE%\Documents\GitHub\mrs-test-scripts\Headless Mode &amp; Sideloading\WalkAndUnGZ.bat" "%USERPROFILE%\AppData\Local\Temp\OnboardLogs"\RTDC4041\2016-09-01 &amp; aws s3 cp s3://rtdc.mdm.uploadarchive/RTDC4041/2016-09-02/ "%USERPROFILE%\AppData\Local\Temp\OnboardLogs"\RTDC4041\2016-09-02 --recursive &amp; "%USERPROFILE%\Documents\GitHub\mrs-test-scripts\Headless Mode &amp; Sideloading\WalkAndUnGZ.bat" "%USERPROFILE%\AppData\Local\Temp\OnboardLogs"\RTDC4041\2016-09-02</v>
      </c>
      <c r="Q86" s="184" t="str">
        <f>VLOOKUP(C86,'[6]Train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19:20:42-0600',mode:absolute,to:'2016-09-01 22:03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86" s="185" t="str">
        <f t="shared" si="16"/>
        <v>"C:\Program Files (x86)\AstroGrep\AstroGrep.exe" /spath="C:\Users\stu\Documents\Analysis\2016-02-23 RTDC Observations" /stypes="*4041*201609020*" /stext=" 03:.+((SYSTEM_STATE.+slice.+state.+changed )|(ment ac)|(system.+state.+changed )|(\|lc)|(penalty)|(\[timeout)|(PRM\|1\|D))" /e /r /s</v>
      </c>
      <c r="S86" s="176" t="str">
        <f t="shared" si="12"/>
        <v>4041</v>
      </c>
      <c r="T86" s="172">
        <f t="shared" si="13"/>
        <v>42615.127233796295</v>
      </c>
      <c r="U86" s="181" t="str">
        <f t="shared" si="15"/>
        <v>EC</v>
      </c>
      <c r="V86" s="181" t="str">
        <f t="shared" si="14"/>
        <v>KEEP</v>
      </c>
      <c r="W86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{"issue":{"subject":"","project_id":79,"tracker_id":40,"status_id":1,"priority_id":2,"assigned_to_id":23,"start_date":"2016-09-01","description":"","custom_fields":[{"id":1,"name":"Subdivision","value":"EC"},{"id":4,"name":"Milepost","value":"0.0001"},{"id":17,"name":"Train ID","value":"224-01"},{"id":16,"name":"Locomotive ID","value":"4041"},{"id":130,"name":"Impact","value":""},{"id":150,"name":"Time of Event (Mountain Time)","value":"21:03:13"},{"id":151,"name":"Denver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7" spans="1:23" x14ac:dyDescent="0.25">
      <c r="A87" s="172">
        <v>42615.064976851849</v>
      </c>
      <c r="B87" s="173" t="s">
        <v>325</v>
      </c>
      <c r="C87" s="173" t="s">
        <v>1161</v>
      </c>
      <c r="D87" s="173" t="s">
        <v>49</v>
      </c>
      <c r="E87" s="173" t="s">
        <v>50</v>
      </c>
      <c r="F87" s="174">
        <v>0</v>
      </c>
      <c r="G87" s="174">
        <v>53</v>
      </c>
      <c r="H87" s="174">
        <v>85</v>
      </c>
      <c r="I87" s="173" t="s">
        <v>51</v>
      </c>
      <c r="J87" s="174">
        <v>1</v>
      </c>
      <c r="K87" s="173" t="s">
        <v>53</v>
      </c>
      <c r="L87" s="175" t="str">
        <f>VLOOKUP(C87,'[6]Trips&amp;Operators'!$C$1:$E$9999,3,0)</f>
        <v>STAMBAUGH</v>
      </c>
      <c r="M87" s="182" t="s">
        <v>86</v>
      </c>
      <c r="N87" s="177"/>
      <c r="P87" s="183" t="str">
        <f>VLOOKUP(C87,'[6]Train Runs'!$A$13:$AE$10012,31,0)</f>
        <v>aws s3 cp s3://rtdc.mdm.uploadarchive/RTDC4012/2016-09-02/ "%USERPROFILE%\AppData\Local\Temp\OnboardLogs"\RTDC4012\2016-09-02 --recursive &amp; "%USERPROFILE%\Documents\GitHub\mrs-test-scripts\Headless Mode &amp; Sideloading\WalkAndUnGZ.bat" "%USERPROFILE%\AppData\Local\Temp\OnboardLogs"\RTDC4012\2016-09-02 &amp; 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</v>
      </c>
      <c r="Q87" s="184" t="str">
        <f>VLOOKUP(C87,'[6]Train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23:50:01-0600',mode:absolute,to:'2016-09-02 02:33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87" s="185" t="str">
        <f t="shared" si="16"/>
        <v>"C:\Program Files (x86)\AstroGrep\AstroGrep.exe" /spath="C:\Users\stu\Documents\Analysis\2016-02-23 RTDC Observations" /stypes="*4012*201609020*" /stext=" 07:.+((SYSTEM_STATE.+slice.+state.+changed )|(ment ac)|(system.+state.+changed )|(\|lc)|(penalty)|(\[timeout)|(PRM\|1\|D))" /e /r /s</v>
      </c>
      <c r="S87" s="176" t="str">
        <f t="shared" si="12"/>
        <v>4012</v>
      </c>
      <c r="T87" s="172">
        <f t="shared" si="13"/>
        <v>42615.314976851849</v>
      </c>
      <c r="U87" s="181" t="str">
        <f t="shared" si="15"/>
        <v>EC</v>
      </c>
      <c r="V87" s="181" t="str">
        <f t="shared" si="14"/>
        <v>KEEP</v>
      </c>
      <c r="W87" s="186" t="str">
        <f t="shared" si="17"/>
        <v>echo {"issue":{"subject":"","project_id":79,"tracker_id":40,"status_id":1,"priority_id":2,"assigned_to_id":23,"start_date":"2016-09-02","description":"","custom_fields":[{"id":1,"name":"Subdivision","value":"EC"},{"id":4,"name":"Milepost","value":"0.0001"},{"id":17,"name":"Train ID","value":"242-01"},{"id":16,"name":"Locomotive ID","value":"4012"},{"id":130,"name":"Impact","value":""},{"id":150,"name":"Time of Event (Mountain Time)","value":"01:33:34"},{"id":151,"name":"Denver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8" spans="1:23" x14ac:dyDescent="0.25">
      <c r="A88" s="172">
        <v>42614.181712962964</v>
      </c>
      <c r="B88" s="173" t="s">
        <v>201</v>
      </c>
      <c r="C88" s="173" t="s">
        <v>964</v>
      </c>
      <c r="D88" s="173" t="s">
        <v>49</v>
      </c>
      <c r="E88" s="173" t="s">
        <v>50</v>
      </c>
      <c r="F88" s="174">
        <v>0</v>
      </c>
      <c r="G88" s="174">
        <v>54</v>
      </c>
      <c r="H88" s="174">
        <v>233281</v>
      </c>
      <c r="I88" s="173" t="s">
        <v>51</v>
      </c>
      <c r="J88" s="174">
        <v>233491</v>
      </c>
      <c r="K88" s="173" t="s">
        <v>52</v>
      </c>
      <c r="L88" s="175" t="str">
        <f>VLOOKUP(C88,'[6]Trips&amp;Operators'!$C$1:$E$9999,3,0)</f>
        <v>SPECTOR</v>
      </c>
      <c r="M88" s="182" t="s">
        <v>86</v>
      </c>
      <c r="N88" s="177"/>
      <c r="P88" s="183" t="str">
        <f>VLOOKUP(C88,'[6]Train Runs'!$A$13:$AE$10012,31,0)</f>
        <v>aws s3 cp s3://rtdc.mdm.uploadarchive/RTDC4020/2016-09-01/ "%USERPROFILE%\AppData\Local\Temp\OnboardLogs"\RTDC4020\2016-09-01 --recursive &amp; "%USERPROFILE%\Documents\GitHub\mrs-test-scripts\Headless Mode &amp; Sideloading\WalkAndUnGZ.bat" "%USERPROFILE%\AppData\Local\Temp\OnboardLogs"\RTDC4020\2016-09-01 &amp; aws s3 cp s3://rtdc.mdm.uploadarchive/RTDC4020/2016-09-02/ "%USERPROFILE%\AppData\Local\Temp\OnboardLogs"\RTDC4020\2016-09-02 --recursive &amp; "%USERPROFILE%\Documents\GitHub\mrs-test-scripts\Headless Mode &amp; Sideloading\WalkAndUnGZ.bat" "%USERPROFILE%\AppData\Local\Temp\OnboardLogs"\RTDC4020\2016-09-02</v>
      </c>
      <c r="Q88" s="184" t="str">
        <f>VLOOKUP(C88,'[6]Train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02:42:24-0600',mode:absolute,to:'2016-09-01 05:21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88" s="185" t="str">
        <f t="shared" si="16"/>
        <v>"C:\Program Files (x86)\AstroGrep\AstroGrep.exe" /spath="C:\Users\stu\Documents\Analysis\2016-02-23 RTDC Observations" /stypes="*4020*201609011*" /stext=" 10:.+((SYSTEM_STATE.+slice.+state.+changed )|(ment ac)|(system.+state.+changed )|(\|lc)|(penalty)|(\[timeout)|(PRM\|1\|D))" /e /r /s</v>
      </c>
      <c r="S88" s="176" t="str">
        <f t="shared" si="12"/>
        <v>4020</v>
      </c>
      <c r="T88" s="172">
        <f t="shared" si="13"/>
        <v>42614.431712962964</v>
      </c>
      <c r="U88" s="181" t="str">
        <f t="shared" si="15"/>
        <v>EC</v>
      </c>
      <c r="V88" s="181" t="str">
        <f t="shared" si="14"/>
        <v>KEEP</v>
      </c>
      <c r="W88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ID","value":"103-01"},{"id":16,"name":"Locomotive ID","value":"4020"},{"id":130,"name":"Impact","value":""},{"id":150,"name":"Time of Event (Mountain Time)","value":"04:21:40"},{"id":151,"name":"Denver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89" spans="1:23" x14ac:dyDescent="0.25">
      <c r="A89" s="172">
        <v>42614.26494212963</v>
      </c>
      <c r="B89" s="173" t="s">
        <v>113</v>
      </c>
      <c r="C89" s="173" t="s">
        <v>978</v>
      </c>
      <c r="D89" s="173" t="s">
        <v>49</v>
      </c>
      <c r="E89" s="173" t="s">
        <v>50</v>
      </c>
      <c r="F89" s="174">
        <v>0</v>
      </c>
      <c r="G89" s="174">
        <v>44</v>
      </c>
      <c r="H89" s="174">
        <v>233328</v>
      </c>
      <c r="I89" s="173" t="s">
        <v>51</v>
      </c>
      <c r="J89" s="174">
        <v>233491</v>
      </c>
      <c r="K89" s="173" t="s">
        <v>52</v>
      </c>
      <c r="L89" s="175" t="str">
        <f>VLOOKUP(C89,'[6]Trips&amp;Operators'!$C$1:$E$9999,3,0)</f>
        <v>SPECTOR</v>
      </c>
      <c r="M89" s="182" t="s">
        <v>86</v>
      </c>
      <c r="N89" s="177"/>
      <c r="P89" s="183" t="str">
        <f>VLOOKUP(C89,'[6]Train Runs'!$A$13:$AE$10012,31,0)</f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Q89" s="184" t="str">
        <f>VLOOKUP(C89,'[6]Train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04:33:01-0600',mode:absolute,to:'2016-09-01 07:21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89" s="185" t="str">
        <f t="shared" si="16"/>
        <v>"C:\Program Files (x86)\AstroGrep\AstroGrep.exe" /spath="C:\Users\stu\Documents\Analysis\2016-02-23 RTDC Observations" /stypes="*4031*201609011*" /stext=" 12:.+((SYSTEM_STATE.+slice.+state.+changed )|(ment ac)|(system.+state.+changed )|(\|lc)|(penalty)|(\[timeout)|(PRM\|1\|D))" /e /r /s</v>
      </c>
      <c r="S89" s="176" t="str">
        <f t="shared" si="12"/>
        <v>4031</v>
      </c>
      <c r="T89" s="172">
        <f t="shared" si="13"/>
        <v>42614.51494212963</v>
      </c>
      <c r="U89" s="181" t="str">
        <f t="shared" si="15"/>
        <v>EC</v>
      </c>
      <c r="V89" s="181" t="str">
        <f t="shared" si="14"/>
        <v>KEEP</v>
      </c>
      <c r="W89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ID","value":"117-01"},{"id":16,"name":"Locomotive ID","value":"4031"},{"id":130,"name":"Impact","value":""},{"id":150,"name":"Time of Event (Mountain Time)","value":"06:21:31"},{"id":151,"name":"Denver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0" spans="1:23" x14ac:dyDescent="0.25">
      <c r="A90" s="172">
        <v>42614.276365740741</v>
      </c>
      <c r="B90" s="173" t="s">
        <v>247</v>
      </c>
      <c r="C90" s="173" t="s">
        <v>981</v>
      </c>
      <c r="D90" s="173" t="s">
        <v>49</v>
      </c>
      <c r="E90" s="173" t="s">
        <v>50</v>
      </c>
      <c r="F90" s="174">
        <v>0</v>
      </c>
      <c r="G90" s="174">
        <v>110</v>
      </c>
      <c r="H90" s="174">
        <v>232998</v>
      </c>
      <c r="I90" s="173" t="s">
        <v>51</v>
      </c>
      <c r="J90" s="174">
        <v>233491</v>
      </c>
      <c r="K90" s="173" t="s">
        <v>52</v>
      </c>
      <c r="L90" s="175" t="str">
        <f>VLOOKUP(C90,'[6]Trips&amp;Operators'!$C$1:$E$9999,3,0)</f>
        <v>MALAVE</v>
      </c>
      <c r="M90" s="182" t="s">
        <v>86</v>
      </c>
      <c r="N90" s="177"/>
      <c r="P90" s="183" t="str">
        <f>VLOOKUP(C90,'[6]Train Runs'!$A$13:$AE$10012,31,0)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Q90" s="184" t="str">
        <f>VLOOKUP(C90,'[6]Train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04:56:10-0600',mode:absolute,to:'2016-09-01 07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90" s="185" t="str">
        <f t="shared" si="16"/>
        <v>"C:\Program Files (x86)\AstroGrep\AstroGrep.exe" /spath="C:\Users\stu\Documents\Analysis\2016-02-23 RTDC Observations" /stypes="*4018*201609011*" /stext=" 12:.+((SYSTEM_STATE.+slice.+state.+changed )|(ment ac)|(system.+state.+changed )|(\|lc)|(penalty)|(\[timeout)|(PRM\|1\|D))" /e /r /s</v>
      </c>
      <c r="S90" s="176" t="str">
        <f t="shared" si="12"/>
        <v>4018</v>
      </c>
      <c r="T90" s="172">
        <f t="shared" si="13"/>
        <v>42614.526365740741</v>
      </c>
      <c r="U90" s="181" t="str">
        <f t="shared" si="15"/>
        <v>EC</v>
      </c>
      <c r="V90" s="181" t="str">
        <f t="shared" si="14"/>
        <v>KEEP</v>
      </c>
      <c r="W90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ID","value":"119-01"},{"id":16,"name":"Locomotive ID","value":"4018"},{"id":130,"name":"Impact","value":""},{"id":150,"name":"Time of Event (Mountain Time)","value":"06:37:58"},{"id":151,"name":"Denver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1" spans="1:23" x14ac:dyDescent="0.25">
      <c r="A91" s="172">
        <v>42614.360937500001</v>
      </c>
      <c r="B91" s="173" t="s">
        <v>144</v>
      </c>
      <c r="C91" s="173" t="s">
        <v>1005</v>
      </c>
      <c r="D91" s="173" t="s">
        <v>49</v>
      </c>
      <c r="E91" s="173" t="s">
        <v>50</v>
      </c>
      <c r="F91" s="174">
        <v>0</v>
      </c>
      <c r="G91" s="174">
        <v>37</v>
      </c>
      <c r="H91" s="174">
        <v>233304</v>
      </c>
      <c r="I91" s="173" t="s">
        <v>51</v>
      </c>
      <c r="J91" s="174">
        <v>233491</v>
      </c>
      <c r="K91" s="173" t="s">
        <v>52</v>
      </c>
      <c r="L91" s="175" t="str">
        <f>VLOOKUP(C91,'[6]Trips&amp;Operators'!$C$1:$E$9999,3,0)</f>
        <v>STRICKLAND</v>
      </c>
      <c r="M91" s="182" t="s">
        <v>86</v>
      </c>
      <c r="N91" s="177"/>
      <c r="P91" s="183" t="str">
        <f>VLOOKUP(C91,'[6]Train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91" s="184" t="str">
        <f>VLOOKUP(C91,'[6]Train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06:55:35-0600',mode:absolute,to:'2016-09-01 09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91" s="185" t="str">
        <f t="shared" si="16"/>
        <v>"C:\Program Files (x86)\AstroGrep\AstroGrep.exe" /spath="C:\Users\stu\Documents\Analysis\2016-02-23 RTDC Observations" /stypes="*4038*201609011*" /stext=" 14:.+((SYSTEM_STATE.+slice.+state.+changed )|(ment ac)|(system.+state.+changed )|(\|lc)|(penalty)|(\[timeout)|(PRM\|1\|D))" /e /r /s</v>
      </c>
      <c r="S91" s="176" t="str">
        <f t="shared" si="12"/>
        <v>4038</v>
      </c>
      <c r="T91" s="172">
        <f t="shared" si="13"/>
        <v>42614.610937500001</v>
      </c>
      <c r="U91" s="181" t="str">
        <f t="shared" si="15"/>
        <v>EC</v>
      </c>
      <c r="V91" s="181" t="str">
        <f t="shared" si="14"/>
        <v>KEEP</v>
      </c>
      <c r="W91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ID","value":"135-01"},{"id":16,"name":"Locomotive ID","value":"4038"},{"id":130,"name":"Impact","value":""},{"id":150,"name":"Time of Event (Mountain Time)","value":"08:39:45"},{"id":151,"name":"Denver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2" spans="1:23" x14ac:dyDescent="0.25">
      <c r="A92" s="172">
        <v>42614.379675925928</v>
      </c>
      <c r="B92" s="173" t="s">
        <v>418</v>
      </c>
      <c r="C92" s="173" t="s">
        <v>1009</v>
      </c>
      <c r="D92" s="173" t="s">
        <v>49</v>
      </c>
      <c r="E92" s="173" t="s">
        <v>50</v>
      </c>
      <c r="F92" s="174">
        <v>0</v>
      </c>
      <c r="G92" s="174">
        <v>54</v>
      </c>
      <c r="H92" s="174">
        <v>233287</v>
      </c>
      <c r="I92" s="173" t="s">
        <v>51</v>
      </c>
      <c r="J92" s="174">
        <v>233491</v>
      </c>
      <c r="K92" s="173" t="s">
        <v>52</v>
      </c>
      <c r="L92" s="175" t="str">
        <f>VLOOKUP(C92,'[6]Trips&amp;Operators'!$C$1:$E$9999,3,0)</f>
        <v>STARKS</v>
      </c>
      <c r="M92" s="182" t="s">
        <v>86</v>
      </c>
      <c r="N92" s="177"/>
      <c r="P92" s="183" t="str">
        <f>VLOOKUP(C92,'[6]Train Runs'!$A$13:$AE$10012,31,0)</f>
        <v>aws s3 cp s3://rtdc.mdm.uploadarchive/RTDC4042/2016-09-01/ "%USERPROFILE%\AppData\Local\Temp\OnboardLogs"\RTDC4042\2016-09-01 --recursive &amp; "%USERPROFILE%\Documents\GitHub\mrs-test-scripts\Headless Mode &amp; Sideloading\WalkAndUnGZ.bat" "%USERPROFILE%\AppData\Local\Temp\OnboardLogs"\RTDC4042\2016-09-01 &amp; aws s3 cp s3://rtdc.mdm.uploadarchive/RTDC4042/2016-09-02/ "%USERPROFILE%\AppData\Local\Temp\OnboardLogs"\RTDC4042\2016-09-02 --recursive &amp; "%USERPROFILE%\Documents\GitHub\mrs-test-scripts\Headless Mode &amp; Sideloading\WalkAndUnGZ.bat" "%USERPROFILE%\AppData\Local\Temp\OnboardLogs"\RTDC4042\2016-09-02</v>
      </c>
      <c r="Q92" s="184" t="str">
        <f>VLOOKUP(C92,'[6]Train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07:26:27-0600',mode:absolute,to:'2016-09-01 10:06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92" s="185" t="str">
        <f t="shared" si="16"/>
        <v>"C:\Program Files (x86)\AstroGrep\AstroGrep.exe" /spath="C:\Users\stu\Documents\Analysis\2016-02-23 RTDC Observations" /stypes="*4042*201609011*" /stext=" 15:.+((SYSTEM_STATE.+slice.+state.+changed )|(ment ac)|(system.+state.+changed )|(\|lc)|(penalty)|(\[timeout)|(PRM\|1\|D))" /e /r /s</v>
      </c>
      <c r="S92" s="176" t="str">
        <f t="shared" si="12"/>
        <v>4042</v>
      </c>
      <c r="T92" s="172">
        <f t="shared" si="13"/>
        <v>42614.629675925928</v>
      </c>
      <c r="U92" s="181" t="str">
        <f t="shared" si="15"/>
        <v>EC</v>
      </c>
      <c r="V92" s="181" t="str">
        <f t="shared" si="14"/>
        <v>KEEP</v>
      </c>
      <c r="W92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ID","value":"139-01"},{"id":16,"name":"Locomotive ID","value":"4042"},{"id":130,"name":"Impact","value":""},{"id":150,"name":"Time of Event (Mountain Time)","value":"09:06:44"},{"id":151,"name":"Denver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3" spans="1:23" x14ac:dyDescent="0.25">
      <c r="A93" s="172">
        <v>42614.494687500002</v>
      </c>
      <c r="B93" s="173" t="s">
        <v>247</v>
      </c>
      <c r="C93" s="173" t="s">
        <v>1036</v>
      </c>
      <c r="D93" s="173" t="s">
        <v>49</v>
      </c>
      <c r="E93" s="173" t="s">
        <v>50</v>
      </c>
      <c r="F93" s="174">
        <v>0</v>
      </c>
      <c r="G93" s="174">
        <v>33</v>
      </c>
      <c r="H93" s="174">
        <v>233387</v>
      </c>
      <c r="I93" s="173" t="s">
        <v>51</v>
      </c>
      <c r="J93" s="174">
        <v>233491</v>
      </c>
      <c r="K93" s="173" t="s">
        <v>52</v>
      </c>
      <c r="L93" s="175" t="str">
        <f>VLOOKUP(C93,'[6]Trips&amp;Operators'!$C$1:$E$9999,3,0)</f>
        <v>SHOOK</v>
      </c>
      <c r="M93" s="182" t="s">
        <v>86</v>
      </c>
      <c r="N93" s="177"/>
      <c r="P93" s="183" t="str">
        <f>VLOOKUP(C93,'[6]Train Runs'!$A$13:$AE$10012,31,0)</f>
        <v>aws s3 cp s3://rtdc.mdm.uploadarchive/RTDC4018/2016-09-01/ "%USERPROFILE%\AppData\Local\Temp\OnboardLogs"\RTDC4018\2016-09-01 --recursive &amp; "%USERPROFILE%\Documents\GitHub\mrs-test-scripts\Headless Mode &amp; Sideloading\WalkAndUnGZ.bat" "%USERPROFILE%\AppData\Local\Temp\OnboardLogs"\RTDC4018\2016-09-01 &amp; aws s3 cp s3://rtdc.mdm.uploadarchive/RTDC4018/2016-09-02/ "%USERPROFILE%\AppData\Local\Temp\OnboardLogs"\RTDC4018\2016-09-02 --recursive &amp; "%USERPROFILE%\Documents\GitHub\mrs-test-scripts\Headless Mode &amp; Sideloading\WalkAndUnGZ.bat" "%USERPROFILE%\AppData\Local\Temp\OnboardLogs"\RTDC4018\2016-09-02</v>
      </c>
      <c r="Q93" s="184" t="str">
        <f>VLOOKUP(C93,'[6]Train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10:10:14-0600',mode:absolute,to:'2016-09-01 12:52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93" s="185" t="str">
        <f t="shared" si="16"/>
        <v>"C:\Program Files (x86)\AstroGrep\AstroGrep.exe" /spath="C:\Users\stu\Documents\Analysis\2016-02-23 RTDC Observations" /stypes="*4018*201609011*" /stext=" 17:.+((SYSTEM_STATE.+slice.+state.+changed )|(ment ac)|(system.+state.+changed )|(\|lc)|(penalty)|(\[timeout)|(PRM\|1\|D))" /e /r /s</v>
      </c>
      <c r="S93" s="176" t="str">
        <f t="shared" si="12"/>
        <v>4018</v>
      </c>
      <c r="T93" s="172">
        <f t="shared" si="13"/>
        <v>42614.744687500002</v>
      </c>
      <c r="U93" s="181" t="str">
        <f t="shared" si="15"/>
        <v>EC</v>
      </c>
      <c r="V93" s="181" t="str">
        <f t="shared" si="14"/>
        <v>KEEP</v>
      </c>
      <c r="W93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ID","value":"161-01"},{"id":16,"name":"Locomotive ID","value":"4018"},{"id":130,"name":"Impact","value":""},{"id":150,"name":"Time of Event (Mountain Time)","value":"11:52:21"},{"id":151,"name":"Denver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4" spans="1:23" x14ac:dyDescent="0.25">
      <c r="A94" s="172">
        <v>42614.505277777775</v>
      </c>
      <c r="B94" s="173" t="s">
        <v>144</v>
      </c>
      <c r="C94" s="173" t="s">
        <v>1040</v>
      </c>
      <c r="D94" s="173" t="s">
        <v>49</v>
      </c>
      <c r="E94" s="173" t="s">
        <v>50</v>
      </c>
      <c r="F94" s="174">
        <v>0</v>
      </c>
      <c r="G94" s="174">
        <v>53</v>
      </c>
      <c r="H94" s="174">
        <v>233319</v>
      </c>
      <c r="I94" s="173" t="s">
        <v>51</v>
      </c>
      <c r="J94" s="174">
        <v>233491</v>
      </c>
      <c r="K94" s="173" t="s">
        <v>52</v>
      </c>
      <c r="L94" s="175" t="str">
        <f>VLOOKUP(C94,'[6]Trips&amp;Operators'!$C$1:$E$9999,3,0)</f>
        <v>MOSES</v>
      </c>
      <c r="M94" s="182" t="s">
        <v>86</v>
      </c>
      <c r="N94" s="177"/>
      <c r="P94" s="183" t="str">
        <f>VLOOKUP(C94,'[6]Train Runs'!$A$13:$AE$10012,31,0)</f>
        <v>aws s3 cp s3://rtdc.mdm.uploadarchive/RTDC4038/2016-09-01/ "%USERPROFILE%\AppData\Local\Temp\OnboardLogs"\RTDC4038\2016-09-01 --recursive &amp; "%USERPROFILE%\Documents\GitHub\mrs-test-scripts\Headless Mode &amp; Sideloading\WalkAndUnGZ.bat" "%USERPROFILE%\AppData\Local\Temp\OnboardLogs"\RTDC4038\2016-09-01 &amp; aws s3 cp s3://rtdc.mdm.uploadarchive/RTDC4038/2016-09-02/ "%USERPROFILE%\AppData\Local\Temp\OnboardLogs"\RTDC4038\2016-09-02 --recursive &amp; "%USERPROFILE%\Documents\GitHub\mrs-test-scripts\Headless Mode &amp; Sideloading\WalkAndUnGZ.bat" "%USERPROFILE%\AppData\Local\Temp\OnboardLogs"\RTDC4038\2016-09-02</v>
      </c>
      <c r="Q94" s="184" t="str">
        <f>VLOOKUP(C94,'[6]Train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10:25:09-0600',mode:absolute,to:'2016-09-01 13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94" s="185" t="str">
        <f t="shared" si="16"/>
        <v>"C:\Program Files (x86)\AstroGrep\AstroGrep.exe" /spath="C:\Users\stu\Documents\Analysis\2016-02-23 RTDC Observations" /stypes="*4038*201609011*" /stext=" 18:.+((SYSTEM_STATE.+slice.+state.+changed )|(ment ac)|(system.+state.+changed )|(\|lc)|(penalty)|(\[timeout)|(PRM\|1\|D))" /e /r /s</v>
      </c>
      <c r="S94" s="176" t="str">
        <f t="shared" si="12"/>
        <v>4038</v>
      </c>
      <c r="T94" s="172">
        <f t="shared" si="13"/>
        <v>42614.755277777775</v>
      </c>
      <c r="U94" s="181" t="str">
        <f t="shared" si="15"/>
        <v>EC</v>
      </c>
      <c r="V94" s="181" t="str">
        <f t="shared" si="14"/>
        <v>KEEP</v>
      </c>
      <c r="W94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ID","value":"163-01"},{"id":16,"name":"Locomotive ID","value":"4038"},{"id":130,"name":"Impact","value":""},{"id":150,"name":"Time of Event (Mountain Time)","value":"12:07:36"},{"id":151,"name":"Denver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5" spans="1:23" x14ac:dyDescent="0.25">
      <c r="A95" s="172">
        <v>42614.746562499997</v>
      </c>
      <c r="B95" s="173" t="s">
        <v>113</v>
      </c>
      <c r="C95" s="173" t="s">
        <v>1095</v>
      </c>
      <c r="D95" s="173" t="s">
        <v>49</v>
      </c>
      <c r="E95" s="173" t="s">
        <v>50</v>
      </c>
      <c r="F95" s="174">
        <v>0</v>
      </c>
      <c r="G95" s="174">
        <v>59</v>
      </c>
      <c r="H95" s="174">
        <v>233234</v>
      </c>
      <c r="I95" s="173" t="s">
        <v>51</v>
      </c>
      <c r="J95" s="174">
        <v>233491</v>
      </c>
      <c r="K95" s="173" t="s">
        <v>52</v>
      </c>
      <c r="L95" s="175" t="str">
        <f>VLOOKUP(C95,'[6]Trips&amp;Operators'!$C$1:$E$9999,3,0)</f>
        <v>KILLION</v>
      </c>
      <c r="M95" s="182" t="s">
        <v>86</v>
      </c>
      <c r="N95" s="177"/>
      <c r="P95" s="183" t="str">
        <f>VLOOKUP(C95,'[6]Train Runs'!$A$13:$AE$10012,31,0)</f>
        <v>aws s3 cp s3://rtdc.mdm.uploadarchive/RTDC4031/2016-09-01/ "%USERPROFILE%\AppData\Local\Temp\OnboardLogs"\RTDC4031\2016-09-01 --recursive &amp; "%USERPROFILE%\Documents\GitHub\mrs-test-scripts\Headless Mode &amp; Sideloading\WalkAndUnGZ.bat" "%USERPROFILE%\AppData\Local\Temp\OnboardLogs"\RTDC4031\2016-09-01 &amp; 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</v>
      </c>
      <c r="Q95" s="184" t="str">
        <f>VLOOKUP(C95,'[6]Train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15:52:18-0600',mode:absolute,to:'2016-09-01 18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95" s="185" t="str">
        <f t="shared" si="16"/>
        <v>"C:\Program Files (x86)\AstroGrep\AstroGrep.exe" /spath="C:\Users\stu\Documents\Analysis\2016-02-23 RTDC Observations" /stypes="*4031*201609012*" /stext=" 23:.+((SYSTEM_STATE.+slice.+state.+changed )|(ment ac)|(system.+state.+changed )|(\|lc)|(penalty)|(\[timeout)|(PRM\|1\|D))" /e /r /s</v>
      </c>
      <c r="S95" s="176" t="str">
        <f t="shared" si="12"/>
        <v>4031</v>
      </c>
      <c r="T95" s="172">
        <f t="shared" si="13"/>
        <v>42614.996562499997</v>
      </c>
      <c r="U95" s="181" t="str">
        <f t="shared" si="15"/>
        <v>EC</v>
      </c>
      <c r="V95" s="181" t="str">
        <f t="shared" si="14"/>
        <v>KEEP</v>
      </c>
      <c r="W95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ID","value":"205-01"},{"id":16,"name":"Locomotive ID","value":"4031"},{"id":130,"name":"Impact","value":""},{"id":150,"name":"Time of Event (Mountain Time)","value":"17:55:03"},{"id":151,"name":"Denver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6" spans="1:23" x14ac:dyDescent="0.25">
      <c r="A96" s="172">
        <v>42614.941307870373</v>
      </c>
      <c r="B96" s="173" t="s">
        <v>213</v>
      </c>
      <c r="C96" s="173" t="s">
        <v>1146</v>
      </c>
      <c r="D96" s="173" t="s">
        <v>49</v>
      </c>
      <c r="E96" s="173" t="s">
        <v>50</v>
      </c>
      <c r="F96" s="174">
        <v>0</v>
      </c>
      <c r="G96" s="174">
        <v>150</v>
      </c>
      <c r="H96" s="174">
        <v>232842</v>
      </c>
      <c r="I96" s="173" t="s">
        <v>51</v>
      </c>
      <c r="J96" s="174">
        <v>233491</v>
      </c>
      <c r="K96" s="173" t="s">
        <v>52</v>
      </c>
      <c r="L96" s="175" t="str">
        <f>VLOOKUP(C96,'[6]Trips&amp;Operators'!$C$1:$E$9999,3,0)</f>
        <v>STAMBAUGH</v>
      </c>
      <c r="M96" s="182" t="s">
        <v>86</v>
      </c>
      <c r="N96" s="177"/>
      <c r="P96" s="183" t="str">
        <f>VLOOKUP(C96,'[6]Train Runs'!$A$13:$AE$10012,31,0)</f>
        <v>aws s3 cp s3://rtdc.mdm.uploadarchive/RTDC4011/2016-09-01/ "%USERPROFILE%\AppData\Local\Temp\OnboardLogs"\RTDC4011\2016-09-01 --recursive &amp; "%USERPROFILE%\Documents\GitHub\mrs-test-scripts\Headless Mode &amp; Sideloading\WalkAndUnGZ.bat" "%USERPROFILE%\AppData\Local\Temp\OnboardLogs"\RTDC4011\2016-09-01 &amp; aws s3 cp s3://rtdc.mdm.uploadarchive/RTDC4011/2016-09-02/ "%USERPROFILE%\AppData\Local\Temp\OnboardLogs"\RTDC4011\2016-09-02 --recursive &amp; "%USERPROFILE%\Documents\GitHub\mrs-test-scripts\Headless Mode &amp; Sideloading\WalkAndUnGZ.bat" "%USERPROFILE%\AppData\Local\Temp\OnboardLogs"\RTDC4011\2016-09-02</v>
      </c>
      <c r="Q96" s="184" t="str">
        <f>VLOOKUP(C96,'[6]Train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20:50:35-0600',mode:absolute,to:'2016-09-01 23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96" s="185" t="str">
        <f t="shared" si="16"/>
        <v>"C:\Program Files (x86)\AstroGrep\AstroGrep.exe" /spath="C:\Users\stu\Documents\Analysis\2016-02-23 RTDC Observations" /stypes="*4011*201609020*" /stext=" 04:.+((SYSTEM_STATE.+slice.+state.+changed )|(ment ac)|(system.+state.+changed )|(\|lc)|(penalty)|(\[timeout)|(PRM\|1\|D))" /e /r /s</v>
      </c>
      <c r="S96" s="176" t="str">
        <f t="shared" si="12"/>
        <v>4011</v>
      </c>
      <c r="T96" s="172">
        <f t="shared" si="13"/>
        <v>42615.191307870373</v>
      </c>
      <c r="U96" s="181" t="str">
        <f t="shared" si="15"/>
        <v>EC</v>
      </c>
      <c r="V96" s="181" t="str">
        <f t="shared" si="14"/>
        <v>KEEP</v>
      </c>
      <c r="W96" s="186" t="str">
        <f t="shared" si="17"/>
        <v>echo {"issue":{"subject":"","project_id":79,"tracker_id":40,"status_id":1,"priority_id":2,"assigned_to_id":23,"start_date":"2016-09-01","description":"","custom_fields":[{"id":1,"name":"Subdivision","value":"EC"},{"id":4,"name":"Milepost","value":"23.3491"},{"id":17,"name":"Train ID","value":"233-01"},{"id":16,"name":"Locomotive ID","value":"4011"},{"id":130,"name":"Impact","value":""},{"id":150,"name":"Time of Event (Mountain Time)","value":"22:35:29"},{"id":151,"name":"Denver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7" spans="1:23" x14ac:dyDescent="0.25">
      <c r="A97" s="172">
        <v>42614.347905092596</v>
      </c>
      <c r="B97" s="173" t="s">
        <v>351</v>
      </c>
      <c r="C97" s="173" t="s">
        <v>715</v>
      </c>
      <c r="D97" s="173" t="s">
        <v>49</v>
      </c>
      <c r="E97" s="173" t="s">
        <v>206</v>
      </c>
      <c r="F97" s="174">
        <v>280</v>
      </c>
      <c r="G97" s="174">
        <v>480</v>
      </c>
      <c r="H97" s="174">
        <v>17160</v>
      </c>
      <c r="I97" s="173" t="s">
        <v>205</v>
      </c>
      <c r="J97" s="174">
        <v>15777</v>
      </c>
      <c r="K97" s="173" t="s">
        <v>53</v>
      </c>
      <c r="L97" s="175" t="str">
        <f>VLOOKUP(C97,'[6]Trips&amp;Operators'!$C$1:$E$9999,3,0)</f>
        <v>YORK</v>
      </c>
      <c r="M97" s="182" t="s">
        <v>86</v>
      </c>
      <c r="N97" s="177" t="s">
        <v>336</v>
      </c>
      <c r="P97" s="183" t="str">
        <f>VLOOKUP(C97,'[6]Train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97" s="184" t="str">
        <f>VLOOKUP(C97,'[6]Train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07:06:10-0600',mode:absolute,to:'2016-09-01 09:26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97" s="185" t="str">
        <f t="shared" si="16"/>
        <v>"C:\Program Files (x86)\AstroGrep\AstroGrep.exe" /spath="C:\Users\stu\Documents\Analysis\2016-02-23 RTDC Observations" /stypes="*4010*201609011*" /stext=" 14:.+((SYSTEM_STATE.+slice.+state.+changed )|(ment ac)|(system.+state.+changed )|(\|lc)|(penalty)|(\[timeout)|(PRM\|1\|D))" /e /r /s</v>
      </c>
      <c r="S97" s="176" t="str">
        <f t="shared" si="12"/>
        <v>4010</v>
      </c>
      <c r="T97" s="172">
        <f t="shared" si="13"/>
        <v>42614.597905092596</v>
      </c>
      <c r="U97" s="181" t="str">
        <f t="shared" si="15"/>
        <v>NW</v>
      </c>
      <c r="V97" s="181" t="str">
        <f t="shared" si="14"/>
        <v>KEEP</v>
      </c>
      <c r="W97" s="186" t="str">
        <f t="shared" si="17"/>
        <v>echo {"issue":{"subject":"Early arrival","project_id":79,"tracker_id":40,"status_id":1,"priority_id":2,"assigned_to_id":23,"start_date":"2016-09-01","description":"","custom_fields":[{"id":1,"name":"Subdivision","value":"NW"},{"id":4,"name":"Milepost","value":"1.5777"},{"id":17,"name":"Train ID","value":"810-01"},{"id":16,"name":"Locomotive ID","value":"4010"},{"id":130,"name":"Impact","value":""},{"id":150,"name":"Time of Event (Mountain Time)","value":"08:20:59"},{"id":151,"name":"Denver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8" spans="1:23" x14ac:dyDescent="0.25">
      <c r="A98" s="172">
        <v>42614.261481481481</v>
      </c>
      <c r="B98" s="173" t="s">
        <v>351</v>
      </c>
      <c r="C98" s="173" t="s">
        <v>983</v>
      </c>
      <c r="D98" s="173" t="s">
        <v>110</v>
      </c>
      <c r="E98" s="173" t="s">
        <v>56</v>
      </c>
      <c r="F98" s="174">
        <v>400</v>
      </c>
      <c r="G98" s="174">
        <v>453</v>
      </c>
      <c r="H98" s="174">
        <v>39100</v>
      </c>
      <c r="I98" s="173" t="s">
        <v>57</v>
      </c>
      <c r="J98" s="174">
        <v>40977</v>
      </c>
      <c r="K98" s="173" t="s">
        <v>53</v>
      </c>
      <c r="L98" s="175" t="str">
        <f>VLOOKUP(C98,'[6]Trips&amp;Operators'!$C$1:$E$9999,3,0)</f>
        <v>YORK</v>
      </c>
      <c r="M98" s="182" t="s">
        <v>86</v>
      </c>
      <c r="N98" s="177"/>
      <c r="P98" s="183" t="str">
        <f>VLOOKUP(C98,'[6]Train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98" s="184" t="str">
        <f>VLOOKUP(C98,'[6]Train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05:05:59-0600',mode:absolute,to:'2016-09-01 07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98" s="185" t="str">
        <f t="shared" si="16"/>
        <v>"C:\Program Files (x86)\AstroGrep\AstroGrep.exe" /spath="C:\Users\stu\Documents\Analysis\2016-02-23 RTDC Observations" /stypes="*4010*201609011*" /stext=" 12:.+((SYSTEM_STATE.+slice.+state.+changed )|(ment ac)|(system.+state.+changed )|(\|lc)|(penalty)|(\[timeout)|(PRM\|1\|D))" /e /r /s</v>
      </c>
      <c r="S98" s="176" t="str">
        <f t="shared" si="12"/>
        <v>4010</v>
      </c>
      <c r="T98" s="172">
        <f t="shared" si="13"/>
        <v>42614.511481481481</v>
      </c>
      <c r="U98" s="181" t="str">
        <f t="shared" si="15"/>
        <v>NW</v>
      </c>
      <c r="V98" s="181" t="str">
        <f t="shared" si="14"/>
        <v>KEEP</v>
      </c>
      <c r="W98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{"issue":{"subject":"","project_id":79,"tracker_id":40,"status_id":1,"priority_id":2,"assigned_to_id":23,"start_date":"2016-09-01","description":"","custom_fields":[{"id":1,"name":"Subdivision","value":"NW"},{"id":4,"name":"Milepost","value":"4.0977"},{"id":17,"name":"Train ID","value":"802-01"},{"id":16,"name":"Locomotive ID","value":"4010"},{"id":130,"name":"Impact","value":""},{"id":150,"name":"Time of Event (Mountain Time)","value":"06:16:32"},{"id":151,"name":"Denver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9" spans="1:23" x14ac:dyDescent="0.25">
      <c r="A99" s="172">
        <v>42614.605740740742</v>
      </c>
      <c r="B99" s="173" t="s">
        <v>111</v>
      </c>
      <c r="C99" s="173" t="s">
        <v>1069</v>
      </c>
      <c r="D99" s="173" t="s">
        <v>49</v>
      </c>
      <c r="E99" s="173" t="s">
        <v>56</v>
      </c>
      <c r="F99" s="174">
        <v>400</v>
      </c>
      <c r="G99" s="174">
        <v>451</v>
      </c>
      <c r="H99" s="174">
        <v>47727</v>
      </c>
      <c r="I99" s="173" t="s">
        <v>57</v>
      </c>
      <c r="J99" s="174">
        <v>47808</v>
      </c>
      <c r="K99" s="173" t="s">
        <v>52</v>
      </c>
      <c r="L99" s="175" t="str">
        <f>VLOOKUP(C99,'[6]Trips&amp;Operators'!$C$1:$E$9999,3,0)</f>
        <v>MAHAN</v>
      </c>
      <c r="M99" s="182" t="s">
        <v>86</v>
      </c>
      <c r="N99" s="177"/>
      <c r="P99" s="183" t="str">
        <f>VLOOKUP(C99,'[6]Train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99" s="184" t="str">
        <f>VLOOKUP(C99,'[6]Train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13:14:48-0600',mode:absolute,to:'2016-09-01 15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99" s="185" t="str">
        <f t="shared" si="16"/>
        <v>"C:\Program Files (x86)\AstroGrep\AstroGrep.exe" /spath="C:\Users\stu\Documents\Analysis\2016-02-23 RTDC Observations" /stypes="*4014*201609012*" /stext=" 20:.+((SYSTEM_STATE.+slice.+state.+changed )|(ment ac)|(system.+state.+changed )|(\|lc)|(penalty)|(\[timeout)|(PRM\|1\|D))" /e /r /s</v>
      </c>
      <c r="S99" s="176" t="str">
        <f t="shared" si="12"/>
        <v>4014</v>
      </c>
      <c r="T99" s="172">
        <f t="shared" si="13"/>
        <v>42614.855740740742</v>
      </c>
      <c r="U99" s="181" t="str">
        <f t="shared" si="15"/>
        <v>NW</v>
      </c>
      <c r="V99" s="181" t="str">
        <f t="shared" si="14"/>
        <v>KEEP</v>
      </c>
      <c r="W99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{"issue":{"subject":"","project_id":79,"tracker_id":40,"status_id":1,"priority_id":2,"assigned_to_id":23,"start_date":"2016-09-01","description":"","custom_fields":[{"id":1,"name":"Subdivision","value":"NW"},{"id":4,"name":"Milepost","value":"4.7808"},{"id":17,"name":"Train ID","value":"823-01"},{"id":16,"name":"Locomotive ID","value":"4014"},{"id":130,"name":"Impact","value":""},{"id":150,"name":"Time of Event (Mountain Time)","value":"14:32:16"},{"id":151,"name":"Denver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" spans="1:23" x14ac:dyDescent="0.25">
      <c r="A100" s="172">
        <v>42614.43886574074</v>
      </c>
      <c r="B100" s="173" t="s">
        <v>111</v>
      </c>
      <c r="C100" s="173" t="s">
        <v>1025</v>
      </c>
      <c r="D100" s="173" t="s">
        <v>49</v>
      </c>
      <c r="E100" s="173" t="s">
        <v>56</v>
      </c>
      <c r="F100" s="174">
        <v>150</v>
      </c>
      <c r="G100" s="174">
        <v>340</v>
      </c>
      <c r="H100" s="174">
        <v>56038</v>
      </c>
      <c r="I100" s="173" t="s">
        <v>57</v>
      </c>
      <c r="J100" s="174">
        <v>57008</v>
      </c>
      <c r="K100" s="173" t="s">
        <v>52</v>
      </c>
      <c r="L100" s="175" t="str">
        <f>VLOOKUP(C100,'[6]Trips&amp;Operators'!$C$1:$E$9999,3,0)</f>
        <v>GEBRETEKLE</v>
      </c>
      <c r="M100" s="182" t="s">
        <v>86</v>
      </c>
      <c r="N100" s="177"/>
      <c r="P100" s="183" t="str">
        <f>VLOOKUP(C100,'[6]Train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100" s="184" t="str">
        <f>VLOOKUP(C100,'[6]Train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09:18:06-0600',mode:absolute,to:'2016-09-01 11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00" s="185" t="str">
        <f t="shared" si="16"/>
        <v>"C:\Program Files (x86)\AstroGrep\AstroGrep.exe" /spath="C:\Users\stu\Documents\Analysis\2016-02-23 RTDC Observations" /stypes="*4014*201609011*" /stext=" 16:.+((SYSTEM_STATE.+slice.+state.+changed )|(ment ac)|(system.+state.+changed )|(\|lc)|(penalty)|(\[timeout)|(PRM\|1\|D))" /e /r /s</v>
      </c>
      <c r="S100" s="176" t="str">
        <f t="shared" si="12"/>
        <v>4014</v>
      </c>
      <c r="T100" s="172">
        <f t="shared" si="13"/>
        <v>42614.68886574074</v>
      </c>
      <c r="U100" s="181" t="str">
        <f t="shared" si="15"/>
        <v>NW</v>
      </c>
      <c r="V100" s="181" t="str">
        <f t="shared" si="14"/>
        <v>KEEP</v>
      </c>
      <c r="W100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ID","value":"815-01"},{"id":16,"name":"Locomotive ID","value":"4014"},{"id":130,"name":"Impact","value":""},{"id":150,"name":"Time of Event (Mountain Time)","value":"10:31:58"},{"id":151,"name":"Denver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" spans="1:23" x14ac:dyDescent="0.25">
      <c r="A101" s="172">
        <v>42614.48097222222</v>
      </c>
      <c r="B101" s="173" t="s">
        <v>111</v>
      </c>
      <c r="C101" s="173" t="s">
        <v>1038</v>
      </c>
      <c r="D101" s="173" t="s">
        <v>49</v>
      </c>
      <c r="E101" s="173" t="s">
        <v>56</v>
      </c>
      <c r="F101" s="174">
        <v>150</v>
      </c>
      <c r="G101" s="174">
        <v>322</v>
      </c>
      <c r="H101" s="174">
        <v>56145</v>
      </c>
      <c r="I101" s="173" t="s">
        <v>57</v>
      </c>
      <c r="J101" s="174">
        <v>57008</v>
      </c>
      <c r="K101" s="173" t="s">
        <v>52</v>
      </c>
      <c r="L101" s="175" t="str">
        <f>VLOOKUP(C101,'[6]Trips&amp;Operators'!$C$1:$E$9999,3,0)</f>
        <v>GEBRETEKLE</v>
      </c>
      <c r="M101" s="182" t="s">
        <v>86</v>
      </c>
      <c r="N101" s="177"/>
      <c r="P101" s="183" t="str">
        <f>VLOOKUP(C101,'[6]Train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101" s="184" t="str">
        <f>VLOOKUP(C101,'[6]Train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10:18:12-0600',mode:absolute,to:'2016-09-01 12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01" s="185" t="str">
        <f t="shared" si="16"/>
        <v>"C:\Program Files (x86)\AstroGrep\AstroGrep.exe" /spath="C:\Users\stu\Documents\Analysis\2016-02-23 RTDC Observations" /stypes="*4014*201609011*" /stext=" 17:.+((SYSTEM_STATE.+slice.+state.+changed )|(ment ac)|(system.+state.+changed )|(\|lc)|(penalty)|(\[timeout)|(PRM\|1\|D))" /e /r /s</v>
      </c>
      <c r="S101" s="176" t="str">
        <f t="shared" si="12"/>
        <v>4014</v>
      </c>
      <c r="T101" s="172">
        <f t="shared" si="13"/>
        <v>42614.73097222222</v>
      </c>
      <c r="U101" s="181" t="str">
        <f t="shared" si="15"/>
        <v>NW</v>
      </c>
      <c r="V101" s="181" t="str">
        <f t="shared" si="14"/>
        <v>KEEP</v>
      </c>
      <c r="W101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ID","value":"817-01"},{"id":16,"name":"Locomotive ID","value":"4014"},{"id":130,"name":"Impact","value":""},{"id":150,"name":"Time of Event (Mountain Time)","value":"11:32:36"},{"id":151,"name":"Denver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" spans="1:23" x14ac:dyDescent="0.25">
      <c r="A102" s="172">
        <v>42614.565034722225</v>
      </c>
      <c r="B102" s="173" t="s">
        <v>111</v>
      </c>
      <c r="C102" s="173" t="s">
        <v>1060</v>
      </c>
      <c r="D102" s="173" t="s">
        <v>49</v>
      </c>
      <c r="E102" s="173" t="s">
        <v>56</v>
      </c>
      <c r="F102" s="174">
        <v>150</v>
      </c>
      <c r="G102" s="174">
        <v>310</v>
      </c>
      <c r="H102" s="174">
        <v>56255</v>
      </c>
      <c r="I102" s="173" t="s">
        <v>57</v>
      </c>
      <c r="J102" s="174">
        <v>57008</v>
      </c>
      <c r="K102" s="173" t="s">
        <v>52</v>
      </c>
      <c r="L102" s="175" t="str">
        <f>VLOOKUP(C102,'[6]Trips&amp;Operators'!$C$1:$E$9999,3,0)</f>
        <v>MAHAN</v>
      </c>
      <c r="M102" s="182" t="s">
        <v>86</v>
      </c>
      <c r="N102" s="177"/>
      <c r="P102" s="183" t="str">
        <f>VLOOKUP(C102,'[6]Train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102" s="184" t="str">
        <f>VLOOKUP(C102,'[6]Train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12:15:34-0600',mode:absolute,to:'2016-09-01 14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02" s="185" t="str">
        <f t="shared" si="16"/>
        <v>"C:\Program Files (x86)\AstroGrep\AstroGrep.exe" /spath="C:\Users\stu\Documents\Analysis\2016-02-23 RTDC Observations" /stypes="*4014*201609011*" /stext=" 19:.+((SYSTEM_STATE.+slice.+state.+changed )|(ment ac)|(system.+state.+changed )|(\|lc)|(penalty)|(\[timeout)|(PRM\|1\|D))" /e /r /s</v>
      </c>
      <c r="S102" s="176" t="str">
        <f t="shared" si="12"/>
        <v>4014</v>
      </c>
      <c r="T102" s="172">
        <f t="shared" si="13"/>
        <v>42614.815034722225</v>
      </c>
      <c r="U102" s="181" t="str">
        <f t="shared" si="15"/>
        <v>NW</v>
      </c>
      <c r="V102" s="181" t="str">
        <f t="shared" si="14"/>
        <v>KEEP</v>
      </c>
      <c r="W102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ID","value":"821-01"},{"id":16,"name":"Locomotive ID","value":"4014"},{"id":130,"name":"Impact","value":""},{"id":150,"name":"Time of Event (Mountain Time)","value":"13:33:39"},{"id":151,"name":"Denver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" spans="1:23" x14ac:dyDescent="0.25">
      <c r="A103" s="172">
        <v>42614.667685185188</v>
      </c>
      <c r="B103" s="173" t="s">
        <v>151</v>
      </c>
      <c r="C103" s="173" t="s">
        <v>1087</v>
      </c>
      <c r="D103" s="173" t="s">
        <v>49</v>
      </c>
      <c r="E103" s="173" t="s">
        <v>56</v>
      </c>
      <c r="F103" s="174">
        <v>150</v>
      </c>
      <c r="G103" s="174">
        <v>338</v>
      </c>
      <c r="H103" s="174">
        <v>56196</v>
      </c>
      <c r="I103" s="173" t="s">
        <v>57</v>
      </c>
      <c r="J103" s="174">
        <v>57008</v>
      </c>
      <c r="K103" s="173" t="s">
        <v>52</v>
      </c>
      <c r="L103" s="175" t="str">
        <f>VLOOKUP(C103,'[6]Trips&amp;Operators'!$C$1:$E$9999,3,0)</f>
        <v>YANAI</v>
      </c>
      <c r="M103" s="182" t="s">
        <v>86</v>
      </c>
      <c r="N103" s="177"/>
      <c r="P103" s="183" t="str">
        <f>VLOOKUP(C103,'[6]Train Runs'!$A$13:$AE$10012,31,0)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Q103" s="184" t="str">
        <f>VLOOKUP(C103,'[6]Train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14:44:52-0600',mode:absolute,to:'2016-09-01 17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103" s="185" t="str">
        <f t="shared" si="16"/>
        <v>"C:\Program Files (x86)\AstroGrep\AstroGrep.exe" /spath="C:\Users\stu\Documents\Analysis\2016-02-23 RTDC Observations" /stypes="*4009*201609012*" /stext=" 22:.+((SYSTEM_STATE.+slice.+state.+changed )|(ment ac)|(system.+state.+changed )|(\|lc)|(penalty)|(\[timeout)|(PRM\|1\|D))" /e /r /s</v>
      </c>
      <c r="S103" s="176" t="str">
        <f t="shared" si="12"/>
        <v>4009</v>
      </c>
      <c r="T103" s="172">
        <f t="shared" si="13"/>
        <v>42614.917685185188</v>
      </c>
      <c r="U103" s="181" t="str">
        <f t="shared" si="15"/>
        <v>NW</v>
      </c>
      <c r="V103" s="181" t="str">
        <f t="shared" si="14"/>
        <v>KEEP</v>
      </c>
      <c r="W103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{"issue":{"subject":"","project_id":79,"tracker_id":40,"status_id":1,"priority_id":2,"assigned_to_id":23,"start_date":"2016-09-01","description":"","custom_fields":[{"id":1,"name":"Subdivision","value":"NW"},{"id":4,"name":"Milepost","value":"5.7008"},{"id":17,"name":"Train ID","value":"827-01"},{"id":16,"name":"Locomotive ID","value":"4009"},{"id":130,"name":"Impact","value":""},{"id":150,"name":"Time of Event (Mountain Time)","value":"16:01:28"},{"id":151,"name":"Denver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" spans="1:23" x14ac:dyDescent="0.25">
      <c r="A104" s="172">
        <v>42614.755520833336</v>
      </c>
      <c r="B104" s="173" t="s">
        <v>351</v>
      </c>
      <c r="C104" s="173" t="s">
        <v>1109</v>
      </c>
      <c r="D104" s="173" t="s">
        <v>110</v>
      </c>
      <c r="E104" s="173" t="s">
        <v>56</v>
      </c>
      <c r="F104" s="174">
        <v>150</v>
      </c>
      <c r="G104" s="174">
        <v>200</v>
      </c>
      <c r="H104" s="174">
        <v>58125</v>
      </c>
      <c r="I104" s="173" t="s">
        <v>57</v>
      </c>
      <c r="J104" s="174">
        <v>59050</v>
      </c>
      <c r="K104" s="173" t="s">
        <v>53</v>
      </c>
      <c r="L104" s="175" t="str">
        <f>VLOOKUP(C104,'[6]Trips&amp;Operators'!$C$1:$E$9999,3,0)</f>
        <v>YANAI</v>
      </c>
      <c r="M104" s="182" t="s">
        <v>86</v>
      </c>
      <c r="N104" s="177"/>
      <c r="P104" s="183" t="str">
        <f>VLOOKUP(C104,'[6]Train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104" s="184" t="str">
        <f>VLOOKUP(C104,'[6]Train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17:05:20-0600',mode:absolute,to:'2016-09-01 19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04" s="185" t="str">
        <f t="shared" si="16"/>
        <v>"C:\Program Files (x86)\AstroGrep\AstroGrep.exe" /spath="C:\Users\stu\Documents\Analysis\2016-02-23 RTDC Observations" /stypes="*4010*201609020*" /stext=" 00:.+((SYSTEM_STATE.+slice.+state.+changed )|(ment ac)|(system.+state.+changed )|(\|lc)|(penalty)|(\[timeout)|(PRM\|1\|D))" /e /r /s</v>
      </c>
      <c r="S104" s="176" t="str">
        <f t="shared" si="12"/>
        <v>4010</v>
      </c>
      <c r="T104" s="172">
        <f t="shared" si="13"/>
        <v>42615.005520833336</v>
      </c>
      <c r="U104" s="181" t="str">
        <f t="shared" si="15"/>
        <v>NW</v>
      </c>
      <c r="V104" s="181" t="str">
        <f t="shared" si="14"/>
        <v>KEEP</v>
      </c>
      <c r="W104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{"issue":{"subject":"","project_id":79,"tracker_id":40,"status_id":1,"priority_id":2,"assigned_to_id":23,"start_date":"2016-09-01","description":"","custom_fields":[{"id":1,"name":"Subdivision","value":"NW"},{"id":4,"name":"Milepost","value":"5.905"},{"id":17,"name":"Train ID","value":"836-01"},{"id":16,"name":"Locomotive ID","value":"4010"},{"id":130,"name":"Impact","value":""},{"id":150,"name":"Time of Event (Mountain Time)","value":"18:07:57"},{"id":151,"name":"Denver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" spans="1:23" x14ac:dyDescent="0.25">
      <c r="A105" s="172">
        <v>42614.328680555554</v>
      </c>
      <c r="B105" s="173" t="s">
        <v>90</v>
      </c>
      <c r="C105" s="173" t="s">
        <v>1000</v>
      </c>
      <c r="D105" s="173" t="s">
        <v>49</v>
      </c>
      <c r="E105" s="173" t="s">
        <v>54</v>
      </c>
      <c r="F105" s="174">
        <v>0</v>
      </c>
      <c r="G105" s="174">
        <v>117</v>
      </c>
      <c r="H105" s="174">
        <v>5119</v>
      </c>
      <c r="I105" s="173" t="s">
        <v>55</v>
      </c>
      <c r="J105" s="174">
        <v>4790</v>
      </c>
      <c r="K105" s="173" t="s">
        <v>53</v>
      </c>
      <c r="L105" s="175" t="str">
        <f>VLOOKUP(C105,'[6]Trips&amp;Operators'!$C$1:$E$9999,3,0)</f>
        <v>BEAM</v>
      </c>
      <c r="M105" s="182" t="s">
        <v>86</v>
      </c>
      <c r="N105" s="177" t="s">
        <v>1945</v>
      </c>
      <c r="P105" s="183" t="str">
        <f>VLOOKUP(C105,'[6]Train Runs'!$A$13:$AE$10012,31,0)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Q105" s="184" t="str">
        <f>VLOOKUP(C105,'[6]Train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06:36:36-0600',mode:absolute,to:'2016-09-01 08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05" s="185" t="str">
        <f t="shared" si="16"/>
        <v>"C:\Program Files (x86)\AstroGrep\AstroGrep.exe" /spath="C:\Users\stu\Documents\Analysis\2016-02-23 RTDC Observations" /stypes="*4013*201609011*" /stext=" 13:.+((SYSTEM_STATE.+slice.+state.+changed )|(ment ac)|(system.+state.+changed )|(\|lc)|(penalty)|(\[timeout)|(PRM\|1\|D))" /e /r /s</v>
      </c>
      <c r="S105" s="176" t="str">
        <f t="shared" si="12"/>
        <v>4013</v>
      </c>
      <c r="T105" s="172">
        <f t="shared" si="13"/>
        <v>42614.578680555554</v>
      </c>
      <c r="U105" s="181" t="str">
        <f t="shared" si="15"/>
        <v>NW</v>
      </c>
      <c r="V105" s="181" t="str">
        <f t="shared" si="14"/>
        <v>KEEP</v>
      </c>
      <c r="W105" s="186" t="str">
        <f t="shared" si="17"/>
        <v>echo {"issue":{"subject":"DUS 28S was STOP, cleared shortly","project_id":79,"tracker_id":40,"status_id":1,"priority_id":2,"assigned_to_id":23,"start_date":"2016-09-01","description":"","custom_fields":[{"id":1,"name":"Subdivision","value":"NW"},{"id":4,"name":"Milepost","value":"0.479"},{"id":17,"name":"Train ID","value":"808-01"},{"id":16,"name":"Locomotive ID","value":"4013"},{"id":130,"name":"Impact","value":""},{"id":150,"name":"Time of Event (Mountain Time)","value":"07:53:18"},{"id":151,"name":"Denver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" spans="1:23" x14ac:dyDescent="0.25">
      <c r="A106" s="172">
        <v>42614.755914351852</v>
      </c>
      <c r="B106" s="173" t="s">
        <v>351</v>
      </c>
      <c r="C106" s="173" t="s">
        <v>1109</v>
      </c>
      <c r="D106" s="173" t="s">
        <v>49</v>
      </c>
      <c r="E106" s="173" t="s">
        <v>54</v>
      </c>
      <c r="F106" s="174">
        <v>0</v>
      </c>
      <c r="G106" s="174">
        <v>61</v>
      </c>
      <c r="H106" s="174">
        <v>57806</v>
      </c>
      <c r="I106" s="173" t="s">
        <v>55</v>
      </c>
      <c r="J106" s="174">
        <v>41769</v>
      </c>
      <c r="K106" s="173" t="s">
        <v>53</v>
      </c>
      <c r="L106" s="175" t="str">
        <f>VLOOKUP(C106,'[6]Trips&amp;Operators'!$C$1:$E$9999,3,0)</f>
        <v>YANAI</v>
      </c>
      <c r="M106" s="182" t="s">
        <v>86</v>
      </c>
      <c r="N106" s="177" t="s">
        <v>1946</v>
      </c>
      <c r="P106" s="183" t="str">
        <f>VLOOKUP(C106,'[6]Train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106" s="184" t="str">
        <f>VLOOKUP(C106,'[6]Train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17:05:20-0600',mode:absolute,to:'2016-09-01 19:25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06" s="185" t="str">
        <f t="shared" si="16"/>
        <v>"C:\Program Files (x86)\AstroGrep\AstroGrep.exe" /spath="C:\Users\stu\Documents\Analysis\2016-02-23 RTDC Observations" /stypes="*4010*201609020*" /stext=" 00:.+((SYSTEM_STATE.+slice.+state.+changed )|(ment ac)|(system.+state.+changed )|(\|lc)|(penalty)|(\[timeout)|(PRM\|1\|D))" /e /r /s</v>
      </c>
      <c r="S106" s="176" t="str">
        <f t="shared" si="12"/>
        <v>4010</v>
      </c>
      <c r="T106" s="172">
        <f t="shared" si="13"/>
        <v>42615.005914351852</v>
      </c>
      <c r="U106" s="181" t="str">
        <f t="shared" si="15"/>
        <v>NW</v>
      </c>
      <c r="V106" s="181" t="str">
        <f t="shared" si="14"/>
        <v>KEEP</v>
      </c>
      <c r="W106" s="186" t="str">
        <f t="shared" si="17"/>
        <v>echo {"issue":{"subject":"Pecos 6S  was STOP, cleared shortly","project_id":79,"tracker_id":40,"status_id":1,"priority_id":2,"assigned_to_id":23,"start_date":"2016-09-01","description":"","custom_fields":[{"id":1,"name":"Subdivision","value":"NW"},{"id":4,"name":"Milepost","value":"4.1769"},{"id":17,"name":"Train ID","value":"836-01"},{"id":16,"name":"Locomotive ID","value":"4010"},{"id":130,"name":"Impact","value":""},{"id":150,"name":"Time of Event (Mountain Time)","value":"18:08:31"},{"id":151,"name":"Denver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" spans="1:23" x14ac:dyDescent="0.25">
      <c r="A107" s="172">
        <v>42614.722314814811</v>
      </c>
      <c r="B107" s="173" t="s">
        <v>351</v>
      </c>
      <c r="C107" s="173" t="s">
        <v>1099</v>
      </c>
      <c r="D107" s="173" t="s">
        <v>49</v>
      </c>
      <c r="E107" s="173" t="s">
        <v>326</v>
      </c>
      <c r="F107" s="174">
        <v>100</v>
      </c>
      <c r="G107" s="174">
        <v>286</v>
      </c>
      <c r="H107" s="174">
        <v>12113</v>
      </c>
      <c r="I107" s="173" t="s">
        <v>205</v>
      </c>
      <c r="J107" s="174">
        <v>11000</v>
      </c>
      <c r="K107" s="173" t="s">
        <v>53</v>
      </c>
      <c r="L107" s="175" t="str">
        <f>VLOOKUP(C107,'[6]Trips&amp;Operators'!$C$1:$E$9999,3,0)</f>
        <v>YANAI</v>
      </c>
      <c r="M107" s="182" t="s">
        <v>86</v>
      </c>
      <c r="N107" s="177"/>
      <c r="P107" s="183" t="str">
        <f>VLOOKUP(C107,'[6]Train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107" s="184" t="str">
        <f>VLOOKUP(C107,'[6]Train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16:05:19-0600',mode:absolute,to:'2016-09-01 18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07" s="185" t="str">
        <f t="shared" si="16"/>
        <v>"C:\Program Files (x86)\AstroGrep\AstroGrep.exe" /spath="C:\Users\stu\Documents\Analysis\2016-02-23 RTDC Observations" /stypes="*4010*201609012*" /stext=" 23:.+((SYSTEM_STATE.+slice.+state.+changed )|(ment ac)|(system.+state.+changed )|(\|lc)|(penalty)|(\[timeout)|(PRM\|1\|D))" /e /r /s</v>
      </c>
      <c r="S107" s="176" t="str">
        <f t="shared" si="12"/>
        <v>4010</v>
      </c>
      <c r="T107" s="172">
        <f t="shared" si="13"/>
        <v>42614.972314814811</v>
      </c>
      <c r="U107" s="181" t="str">
        <f t="shared" si="15"/>
        <v>NW</v>
      </c>
      <c r="V107" s="181" t="str">
        <f t="shared" si="14"/>
        <v>KEEP</v>
      </c>
      <c r="W107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{"issue":{"subject":"","project_id":79,"tracker_id":40,"status_id":1,"priority_id":2,"assigned_to_id":23,"start_date":"2016-09-01","description":"","custom_fields":[{"id":1,"name":"Subdivision","value":"NW"},{"id":4,"name":"Milepost","value":"1.1"},{"id":17,"name":"Train ID","value":"832-01"},{"id":16,"name":"Locomotive ID","value":"4010"},{"id":130,"name":"Impact","value":""},{"id":150,"name":"Time of Event (Mountain Time)","value":"17:20:08"},{"id":151,"name":"Denver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" spans="1:23" x14ac:dyDescent="0.25">
      <c r="A108" s="172">
        <v>42614.684016203704</v>
      </c>
      <c r="B108" s="173" t="s">
        <v>351</v>
      </c>
      <c r="C108" s="173" t="s">
        <v>1091</v>
      </c>
      <c r="D108" s="173" t="s">
        <v>49</v>
      </c>
      <c r="E108" s="173" t="s">
        <v>50</v>
      </c>
      <c r="F108" s="174">
        <v>0</v>
      </c>
      <c r="G108" s="174">
        <v>42</v>
      </c>
      <c r="H108" s="174">
        <v>663</v>
      </c>
      <c r="I108" s="173" t="s">
        <v>51</v>
      </c>
      <c r="J108" s="174">
        <v>575</v>
      </c>
      <c r="K108" s="173" t="s">
        <v>53</v>
      </c>
      <c r="L108" s="175" t="str">
        <f>VLOOKUP(C108,'[6]Trips&amp;Operators'!$C$1:$E$9999,3,0)</f>
        <v>YANAI</v>
      </c>
      <c r="M108" s="182" t="s">
        <v>86</v>
      </c>
      <c r="N108" s="177"/>
      <c r="P108" s="183" t="str">
        <f>VLOOKUP(C108,'[6]Train Runs'!$A$13:$AE$10012,31,0)</f>
        <v>aws s3 cp s3://rtdc.mdm.uploadarchive/RTDC4010/2016-09-01/ "%USERPROFILE%\AppData\Local\Temp\OnboardLogs"\RTDC4010\2016-09-01 --recursive &amp; "%USERPROFILE%\Documents\GitHub\mrs-test-scripts\Headless Mode &amp; Sideloading\WalkAndUnGZ.bat" "%USERPROFILE%\AppData\Local\Temp\OnboardLogs"\RTDC4010\2016-09-01 &amp; 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</v>
      </c>
      <c r="Q108" s="184" t="str">
        <f>VLOOKUP(C108,'[6]Train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15:05:37-0600',mode:absolute,to:'2016-09-01 17:24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08" s="185" t="str">
        <f t="shared" si="16"/>
        <v>"C:\Program Files (x86)\AstroGrep\AstroGrep.exe" /spath="C:\Users\stu\Documents\Analysis\2016-02-23 RTDC Observations" /stypes="*4010*201609012*" /stext=" 22:.+((SYSTEM_STATE.+slice.+state.+changed )|(ment ac)|(system.+state.+changed )|(\|lc)|(penalty)|(\[timeout)|(PRM\|1\|D))" /e /r /s</v>
      </c>
      <c r="S108" s="176" t="str">
        <f t="shared" si="12"/>
        <v>4010</v>
      </c>
      <c r="T108" s="172">
        <f t="shared" si="13"/>
        <v>42614.934016203704</v>
      </c>
      <c r="U108" s="181" t="str">
        <f t="shared" si="15"/>
        <v>NW</v>
      </c>
      <c r="V108" s="181" t="str">
        <f t="shared" si="14"/>
        <v>KEEP</v>
      </c>
      <c r="W108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{"issue":{"subject":"","project_id":79,"tracker_id":40,"status_id":1,"priority_id":2,"assigned_to_id":23,"start_date":"2016-09-01","description":"","custom_fields":[{"id":1,"name":"Subdivision","value":"NW"},{"id":4,"name":"Milepost","value":"0.0575"},{"id":17,"name":"Train ID","value":"828-01"},{"id":16,"name":"Locomotive ID","value":"4010"},{"id":130,"name":"Impact","value":""},{"id":150,"name":"Time of Event (Mountain Time)","value":"16:24:59"},{"id":151,"name":"Denver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" spans="1:23" x14ac:dyDescent="0.25">
      <c r="A109" s="172">
        <v>42614.524502314816</v>
      </c>
      <c r="B109" s="173" t="s">
        <v>111</v>
      </c>
      <c r="C109" s="173" t="s">
        <v>1049</v>
      </c>
      <c r="D109" s="173" t="s">
        <v>49</v>
      </c>
      <c r="E109" s="173" t="s">
        <v>50</v>
      </c>
      <c r="F109" s="174">
        <v>0</v>
      </c>
      <c r="G109" s="174">
        <v>11</v>
      </c>
      <c r="H109" s="174">
        <v>59012</v>
      </c>
      <c r="I109" s="173" t="s">
        <v>51</v>
      </c>
      <c r="J109" s="174">
        <v>59048</v>
      </c>
      <c r="K109" s="173" t="s">
        <v>52</v>
      </c>
      <c r="L109" s="175" t="str">
        <f>VLOOKUP(C109,'[6]Trips&amp;Operators'!$C$1:$E$9999,3,0)</f>
        <v>GEBRETEKLE</v>
      </c>
      <c r="M109" s="182" t="s">
        <v>86</v>
      </c>
      <c r="N109" s="177"/>
      <c r="P109" s="183" t="str">
        <f>VLOOKUP(C109,'[6]Train Runs'!$A$13:$AE$10012,31,0)</f>
        <v>aws s3 cp s3://rtdc.mdm.uploadarchive/RTDC4014/2016-09-01/ "%USERPROFILE%\AppData\Local\Temp\OnboardLogs"\RTDC4014\2016-09-01 --recursive &amp; "%USERPROFILE%\Documents\GitHub\mrs-test-scripts\Headless Mode &amp; Sideloading\WalkAndUnGZ.bat" "%USERPROFILE%\AppData\Local\Temp\OnboardLogs"\RTDC4014\2016-09-01 &amp; aws s3 cp s3://rtdc.mdm.uploadarchive/RTDC4014/2016-09-02/ "%USERPROFILE%\AppData\Local\Temp\OnboardLogs"\RTDC4014\2016-09-02 --recursive &amp; "%USERPROFILE%\Documents\GitHub\mrs-test-scripts\Headless Mode &amp; Sideloading\WalkAndUnGZ.bat" "%USERPROFILE%\AppData\Local\Temp\OnboardLogs"\RTDC4014\2016-09-02</v>
      </c>
      <c r="Q109" s="184" t="str">
        <f>VLOOKUP(C109,'[6]Train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11:17:21-0600',mode:absolute,to:'2016-09-01 13:35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09" s="185" t="str">
        <f t="shared" si="16"/>
        <v>"C:\Program Files (x86)\AstroGrep\AstroGrep.exe" /spath="C:\Users\stu\Documents\Analysis\2016-02-23 RTDC Observations" /stypes="*4014*201609011*" /stext=" 18:.+((SYSTEM_STATE.+slice.+state.+changed )|(ment ac)|(system.+state.+changed )|(\|lc)|(penalty)|(\[timeout)|(PRM\|1\|D))" /e /r /s</v>
      </c>
      <c r="S109" s="176" t="str">
        <f t="shared" si="12"/>
        <v>4014</v>
      </c>
      <c r="T109" s="172">
        <f t="shared" si="13"/>
        <v>42614.774502314816</v>
      </c>
      <c r="U109" s="181" t="str">
        <f t="shared" si="15"/>
        <v>NW</v>
      </c>
      <c r="V109" s="181" t="str">
        <f t="shared" si="14"/>
        <v>KEEP</v>
      </c>
      <c r="W109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{"issue":{"subject":"","project_id":79,"tracker_id":40,"status_id":1,"priority_id":2,"assigned_to_id":23,"start_date":"2016-09-01","description":"","custom_fields":[{"id":1,"name":"Subdivision","value":"NW"},{"id":4,"name":"Milepost","value":"5.9048"},{"id":17,"name":"Train ID","value":"819-01"},{"id":16,"name":"Locomotive ID","value":"4014"},{"id":130,"name":"Impact","value":""},{"id":150,"name":"Time of Event (Mountain Time)","value":"12:35:17"},{"id":151,"name":"Denver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" spans="1:23" x14ac:dyDescent="0.25">
      <c r="A110" s="172">
        <v>42614.794432870367</v>
      </c>
      <c r="B110" s="173" t="s">
        <v>151</v>
      </c>
      <c r="C110" s="173" t="s">
        <v>1123</v>
      </c>
      <c r="D110" s="173" t="s">
        <v>49</v>
      </c>
      <c r="E110" s="173" t="s">
        <v>50</v>
      </c>
      <c r="F110" s="174">
        <v>0</v>
      </c>
      <c r="G110" s="174">
        <v>38</v>
      </c>
      <c r="H110" s="174">
        <v>58975</v>
      </c>
      <c r="I110" s="173" t="s">
        <v>51</v>
      </c>
      <c r="J110" s="174">
        <v>59048</v>
      </c>
      <c r="K110" s="173" t="s">
        <v>52</v>
      </c>
      <c r="L110" s="175" t="str">
        <f>VLOOKUP(C110,'[6]Trips&amp;Operators'!$C$1:$E$9999,3,0)</f>
        <v>YANAI</v>
      </c>
      <c r="M110" s="182" t="s">
        <v>86</v>
      </c>
      <c r="N110" s="177"/>
      <c r="P110" s="183" t="str">
        <f>VLOOKUP(C110,'[6]Train Runs'!$A$13:$AE$10012,31,0)</f>
        <v>aws s3 cp s3://rtdc.mdm.uploadarchive/RTDC4009/2016-09-01/ "%USERPROFILE%\AppData\Local\Temp\OnboardLogs"\RTDC4009\2016-09-01 --recursive &amp; "%USERPROFILE%\Documents\GitHub\mrs-test-scripts\Headless Mode &amp; Sideloading\WalkAndUnGZ.bat" "%USERPROFILE%\AppData\Local\Temp\OnboardLogs"\RTDC4009\2016-09-01 &amp; 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</v>
      </c>
      <c r="Q110" s="184" t="str">
        <f>VLOOKUP(C110,'[6]Train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17:46:36-0600',mode:absolute,to:'2016-09-01 20:03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110" s="185" t="str">
        <f t="shared" si="16"/>
        <v>"C:\Program Files (x86)\AstroGrep\AstroGrep.exe" /spath="C:\Users\stu\Documents\Analysis\2016-02-23 RTDC Observations" /stypes="*4009*201609020*" /stext=" 01:.+((SYSTEM_STATE.+slice.+state.+changed )|(ment ac)|(system.+state.+changed )|(\|lc)|(penalty)|(\[timeout)|(PRM\|1\|D))" /e /r /s</v>
      </c>
      <c r="S110" s="176" t="str">
        <f t="shared" si="12"/>
        <v>4009</v>
      </c>
      <c r="T110" s="172">
        <f t="shared" si="13"/>
        <v>42615.044432870367</v>
      </c>
      <c r="U110" s="181" t="str">
        <f t="shared" si="15"/>
        <v>NW</v>
      </c>
      <c r="V110" s="181" t="str">
        <f t="shared" si="14"/>
        <v>KEEP</v>
      </c>
      <c r="W110" s="186" t="str">
        <f t="shared" si="17"/>
        <v>echo {"issue":{"subject":"","project_id":79,"tracker_id":40,"status_id":1,"priority_id":2,"assigned_to_id":23,"start_date":"2016-09-01","description":"","custom_fields":[{"id":1,"name":"Subdivision","value":"NW"},{"id":4,"name":"Milepost","value":"5.9048"},{"id":17,"name":"Train ID","value":"839-01"},{"id":16,"name":"Locomotive ID","value":"4009"},{"id":130,"name":"Impact","value":""},{"id":150,"name":"Time of Event (Mountain Time)","value":"19:03:59"},{"id":151,"name":"Denver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" spans="1:23" x14ac:dyDescent="0.25">
      <c r="A111" s="172">
        <v>42614.250601851854</v>
      </c>
      <c r="B111" s="173" t="s">
        <v>90</v>
      </c>
      <c r="C111" s="173" t="s">
        <v>716</v>
      </c>
      <c r="D111" s="173" t="s">
        <v>49</v>
      </c>
      <c r="E111" s="173" t="s">
        <v>206</v>
      </c>
      <c r="F111" s="174">
        <v>280</v>
      </c>
      <c r="G111" s="174">
        <v>467</v>
      </c>
      <c r="H111" s="174">
        <v>17067</v>
      </c>
      <c r="I111" s="173" t="s">
        <v>205</v>
      </c>
      <c r="J111" s="174">
        <v>15777</v>
      </c>
      <c r="K111" s="173" t="s">
        <v>53</v>
      </c>
      <c r="L111" s="175" t="str">
        <f>VLOOKUP(C111,'[6]Trips&amp;Operators'!$C$1:$E$9999,3,0)</f>
        <v>GEBRETEKLE</v>
      </c>
      <c r="M111" s="182" t="s">
        <v>86</v>
      </c>
      <c r="N111" s="177"/>
      <c r="P111" s="183" t="str">
        <f>VLOOKUP(C111,'[6]Train Runs'!$A$13:$AE$10012,31,0)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Q111" s="184" t="str">
        <f>VLOOKUP(C111,'[6]Train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04:52:25-0600',mode:absolute,to:'2016-09-01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11" s="185" t="str">
        <f t="shared" si="16"/>
        <v>"C:\Program Files (x86)\AstroGrep\AstroGrep.exe" /spath="C:\Users\stu\Documents\Analysis\2016-02-23 RTDC Observations" /stypes="*4013*201609011*" /stext=" 12:.+((SYSTEM_STATE.+slice.+state.+changed )|(ment ac)|(system.+state.+changed )|(\|lc)|(penalty)|(\[timeout)|(PRM\|1\|D))" /e /r /s</v>
      </c>
      <c r="S111" s="176" t="str">
        <f t="shared" si="12"/>
        <v>4013</v>
      </c>
      <c r="T111" s="172">
        <f t="shared" si="13"/>
        <v>42614.500601851854</v>
      </c>
      <c r="U111" s="181" t="str">
        <f t="shared" si="15"/>
        <v>Other</v>
      </c>
      <c r="V111" s="181" t="str">
        <f t="shared" si="14"/>
        <v>KEEP</v>
      </c>
      <c r="W111" s="186" t="str">
        <f t="shared" si="17"/>
        <v>echo {"issue":{"subject":"","project_id":79,"tracker_id":40,"status_id":1,"priority_id":2,"assigned_to_id":23,"start_date":"2016-09-01","description":"","custom_fields":[{"id":1,"name":"Subdivision","value":"Other"},{"id":4,"name":"Milepost","value":"1.5777"},{"id":17,"name":"Train ID","value":"902-01"},{"id":16,"name":"Locomotive ID","value":"4013"},{"id":130,"name":"Impact","value":""},{"id":150,"name":"Time of Event (Mountain Time)","value":"06:00:52"},{"id":151,"name":"Denver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" spans="1:23" x14ac:dyDescent="0.25">
      <c r="A112" s="172">
        <v>42615.070763888885</v>
      </c>
      <c r="B112" s="173" t="s">
        <v>327</v>
      </c>
      <c r="C112" s="173" t="s">
        <v>1158</v>
      </c>
      <c r="D112" s="173" t="s">
        <v>49</v>
      </c>
      <c r="E112" s="173" t="s">
        <v>54</v>
      </c>
      <c r="F112" s="174">
        <v>0</v>
      </c>
      <c r="G112" s="174">
        <v>591</v>
      </c>
      <c r="H112" s="174">
        <v>103798</v>
      </c>
      <c r="I112" s="173" t="s">
        <v>55</v>
      </c>
      <c r="J112" s="174">
        <v>107939</v>
      </c>
      <c r="K112" s="173" t="s">
        <v>52</v>
      </c>
      <c r="L112" s="175" t="str">
        <f>VLOOKUP(C112,'[6]Trips&amp;Operators'!$C$1:$E$9999,3,0)</f>
        <v>GOLIGHTLY</v>
      </c>
      <c r="M112" s="182" t="s">
        <v>86</v>
      </c>
      <c r="N112" s="177"/>
      <c r="P112" s="183" t="str">
        <f>VLOOKUP(C112,'[6]Train Runs'!$A$13:$AE$10012,31,0)</f>
        <v>aws s3 cp s3://rtdc.mdm.uploadarchive/RTDC4051/2016-09-02/ "%USERPROFILE%\AppData\Local\Temp\OnboardLogs"\RTDC4051\2016-09-02 --recursive &amp; "%USERPROFILE%\Documents\GitHub\mrs-test-scripts\Headless Mode &amp; Sideloading\WalkAndUnGZ.bat" "%USERPROFILE%\AppData\Local\Temp\OnboardLogs"\RTDC4051\2016-09-02 &amp; aws s3 cp s3://rtdc.mdm.uploadarchive/RTDC4051/2016-09-03/ "%USERPROFILE%\AppData\Local\Temp\OnboardLogs"\RTDC4051\2016-09-03 --recursive &amp; "%USERPROFILE%\Documents\GitHub\mrs-test-scripts\Headless Mode &amp; Sideloading\WalkAndUnGZ.bat" "%USERPROFILE%\AppData\Local\Temp\OnboardLogs"\RTDC4051\2016-09-03</v>
      </c>
      <c r="Q112" s="184" t="str">
        <f>VLOOKUP(C112,'[6]Train Runs'!$A$13:$AE$10012,22,0)</f>
        <v>https://search-rtdc-monitor-bjffxe2xuh6vdkpspy63sjmuny.us-east-1.es.amazonaws.com/_plugin/kibana/#/discover/Steve-Slow-Train-Analysis-(2080s-and-2083s)?_g=(refreshInterval:(display:Off,section:0,value:0),time:(from:'2016-09-02 01:29:20-0600',mode:absolute,to:'2016-09-02 03:57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R112" s="185" t="str">
        <f t="shared" si="16"/>
        <v>"C:\Program Files (x86)\AstroGrep\AstroGrep.exe" /spath="C:\Users\stu\Documents\Analysis\2016-02-23 RTDC Observations" /stypes="*4051*201609020*" /stext=" 07:.+((SYSTEM_STATE.+slice.+state.+changed )|(ment ac)|(system.+state.+changed )|(\|lc)|(penalty)|(\[timeout)|(PRM\|1\|D))" /e /r /s</v>
      </c>
      <c r="S112" s="176" t="str">
        <f t="shared" si="12"/>
        <v>4051</v>
      </c>
      <c r="T112" s="172">
        <f t="shared" si="13"/>
        <v>42615.320763888885</v>
      </c>
      <c r="U112" s="181" t="str">
        <f t="shared" si="15"/>
        <v>Other</v>
      </c>
      <c r="V112" s="181" t="str">
        <f t="shared" si="14"/>
        <v>KEEP</v>
      </c>
      <c r="W112" s="186" t="str">
        <f t="shared" si="17"/>
        <v>echo {"issue":{"subject":"","project_id":79,"tracker_id":40,"status_id":1,"priority_id":2,"assigned_to_id":23,"start_date":"2016-09-02","description":"","custom_fields":[{"id":1,"name":"Subdivision","value":"Other"},{"id":4,"name":"Milepost","value":"10.7939"},{"id":17,"name":"Train ID","value":"57-01"},{"id":16,"name":"Locomotive ID","value":"4051"},{"id":130,"name":"Impact","value":""},{"id":150,"name":"Time of Event (Mountain Time)","value":"01:41:54"},{"id":151,"name":"Denver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" spans="1:23" x14ac:dyDescent="0.25">
      <c r="A113" s="172">
        <v>42615.070069444446</v>
      </c>
      <c r="B113" s="173" t="s">
        <v>213</v>
      </c>
      <c r="C113" s="173" t="s">
        <v>1164</v>
      </c>
      <c r="D113" s="173" t="s">
        <v>49</v>
      </c>
      <c r="E113" s="173" t="s">
        <v>326</v>
      </c>
      <c r="F113" s="174">
        <v>100</v>
      </c>
      <c r="G113" s="174">
        <v>364</v>
      </c>
      <c r="H113" s="174">
        <v>7902</v>
      </c>
      <c r="I113" s="173" t="s">
        <v>205</v>
      </c>
      <c r="J113" s="174">
        <v>10701</v>
      </c>
      <c r="K113" s="173" t="s">
        <v>52</v>
      </c>
      <c r="L113" s="175" t="str">
        <f>VLOOKUP(C113,'[6]Trips&amp;Operators'!$C$1:$E$9999,3,0)</f>
        <v>STAMBAUGH</v>
      </c>
      <c r="M113" s="182" t="s">
        <v>86</v>
      </c>
      <c r="N113" s="177"/>
      <c r="P113" s="183" t="str">
        <f>VLOOKUP(C113,'[6]Train Runs'!$A$13:$AE$10012,31,0)</f>
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</c>
      <c r="Q113" s="184" t="str">
        <f>VLOOKUP(C113,'[6]Train Runs'!$A$13:$AE$10012,22,0)</f>
        <v>https://search-rtdc-monitor-bjffxe2xuh6vdkpspy63sjmuny.us-east-1.es.amazonaws.com/_plugin/kibana/#/discover/Steve-Slow-Train-Analysis-(2080s-and-2083s)?_g=(refreshInterval:(display:Off,section:0,value:0),time:(from:'2016-09-02 00:36:17-0600',mode:absolute,to:'1970-01-01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113" s="185" t="str">
        <f t="shared" si="16"/>
        <v>"C:\Program Files (x86)\AstroGrep\AstroGrep.exe" /spath="C:\Users\stu\Documents\Analysis\2016-02-23 RTDC Observations" /stypes="*4011*201609020*" /stext=" 07:.+((SYSTEM_STATE.+slice.+state.+changed )|(ment ac)|(system.+state.+changed )|(\|lc)|(penalty)|(\[timeout)|(PRM\|1\|D))" /e /r /s</v>
      </c>
      <c r="S113" s="176" t="str">
        <f t="shared" si="12"/>
        <v>4011</v>
      </c>
      <c r="T113" s="172">
        <f t="shared" si="13"/>
        <v>42615.320069444446</v>
      </c>
      <c r="U113" s="181" t="str">
        <f t="shared" si="15"/>
        <v>Other</v>
      </c>
      <c r="V113" s="181" t="str">
        <f t="shared" si="14"/>
        <v>KEEP</v>
      </c>
      <c r="W113" s="186" t="str">
        <f t="shared" si="17"/>
        <v>echo {"issue":{"subject":"","project_id":79,"tracker_id":40,"status_id":1,"priority_id":2,"assigned_to_id":23,"start_date":"2016-09-02","description":"","custom_fields":[{"id":1,"name":"Subdivision","value":"Other"},{"id":4,"name":"Milepost","value":"1.0701"},{"id":17,"name":"Train ID","value":"313-01"},{"id":16,"name":"Locomotive ID","value":"4011"},{"id":130,"name":"Impact","value":""},{"id":150,"name":"Time of Event (Mountain Time)","value":"01:40:54"},{"id":151,"name":"Denver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" spans="1:23" x14ac:dyDescent="0.25">
      <c r="A114" s="172">
        <v>42614.256284722222</v>
      </c>
      <c r="B114" s="173" t="s">
        <v>90</v>
      </c>
      <c r="C114" s="173" t="s">
        <v>716</v>
      </c>
      <c r="D114" s="173" t="s">
        <v>49</v>
      </c>
      <c r="E114" s="173" t="s">
        <v>50</v>
      </c>
      <c r="F114" s="174">
        <v>0</v>
      </c>
      <c r="G114" s="174">
        <v>28</v>
      </c>
      <c r="H114" s="174">
        <v>668</v>
      </c>
      <c r="I114" s="173" t="s">
        <v>51</v>
      </c>
      <c r="J114" s="174">
        <v>575</v>
      </c>
      <c r="K114" s="173" t="s">
        <v>53</v>
      </c>
      <c r="L114" s="175" t="str">
        <f>VLOOKUP(C114,'[6]Trips&amp;Operators'!$C$1:$E$9999,3,0)</f>
        <v>GEBRETEKLE</v>
      </c>
      <c r="M114" s="182" t="s">
        <v>86</v>
      </c>
      <c r="N114" s="177"/>
      <c r="P114" s="183" t="str">
        <f>VLOOKUP(C114,'[6]Train Runs'!$A$13:$AE$10012,31,0)</f>
        <v>aws s3 cp s3://rtdc.mdm.uploadarchive/RTDC4013/2016-09-01/ "%USERPROFILE%\AppData\Local\Temp\OnboardLogs"\RTDC4013\2016-09-01 --recursive &amp; "%USERPROFILE%\Documents\GitHub\mrs-test-scripts\Headless Mode &amp; Sideloading\WalkAndUnGZ.bat" "%USERPROFILE%\AppData\Local\Temp\OnboardLogs"\RTDC4013\2016-09-01 &amp; aws s3 cp s3://rtdc.mdm.uploadarchive/RTDC4013/2016-09-02/ "%USERPROFILE%\AppData\Local\Temp\OnboardLogs"\RTDC4013\2016-09-02 --recursive &amp; "%USERPROFILE%\Documents\GitHub\mrs-test-scripts\Headless Mode &amp; Sideloading\WalkAndUnGZ.bat" "%USERPROFILE%\AppData\Local\Temp\OnboardLogs"\RTDC4013\2016-09-02</v>
      </c>
      <c r="Q114" s="184" t="str">
        <f>VLOOKUP(C114,'[6]Train Runs'!$A$13:$AE$10012,22,0)</f>
        <v>https://search-rtdc-monitor-bjffxe2xuh6vdkpspy63sjmuny.us-east-1.es.amazonaws.com/_plugin/kibana/#/discover/Steve-Slow-Train-Analysis-(2080s-and-2083s)?_g=(refreshInterval:(display:Off,section:0,value:0),time:(from:'2016-09-01 04:52:25-0600',mode:absolute,to:'2016-09-01 07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14" s="185" t="str">
        <f t="shared" si="16"/>
        <v>"C:\Program Files (x86)\AstroGrep\AstroGrep.exe" /spath="C:\Users\stu\Documents\Analysis\2016-02-23 RTDC Observations" /stypes="*4013*201609011*" /stext=" 12:.+((SYSTEM_STATE.+slice.+state.+changed )|(ment ac)|(system.+state.+changed )|(\|lc)|(penalty)|(\[timeout)|(PRM\|1\|D))" /e /r /s</v>
      </c>
      <c r="S114" s="176" t="str">
        <f t="shared" si="12"/>
        <v>4013</v>
      </c>
      <c r="T114" s="172">
        <f t="shared" si="13"/>
        <v>42614.506284722222</v>
      </c>
      <c r="U114" s="181" t="str">
        <f t="shared" si="15"/>
        <v>Other</v>
      </c>
      <c r="V114" s="181" t="str">
        <f t="shared" si="14"/>
        <v>KEEP</v>
      </c>
      <c r="W114" s="186" t="str">
        <f t="shared" si="17"/>
        <v>echo {"issue":{"subject":"","project_id":79,"tracker_id":40,"status_id":1,"priority_id":2,"assigned_to_id":23,"start_date":"2016-09-01","description":"","custom_fields":[{"id":1,"name":"Subdivision","value":"Other"},{"id":4,"name":"Milepost","value":"0.0575"},{"id":17,"name":"Train ID","value":"902-01"},{"id":16,"name":"Locomotive ID","value":"4013"},{"id":130,"name":"Impact","value":""},{"id":150,"name":"Time of Event (Mountain Time)","value":"06:09:03"},{"id":151,"name":"Denver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" spans="1:23" x14ac:dyDescent="0.25">
      <c r="A115" s="172">
        <v>42615.276643518519</v>
      </c>
      <c r="B115" s="173" t="s">
        <v>113</v>
      </c>
      <c r="C115" s="173" t="s">
        <v>730</v>
      </c>
      <c r="D115" s="173" t="s">
        <v>229</v>
      </c>
      <c r="E115" s="173" t="s">
        <v>206</v>
      </c>
      <c r="F115" s="174">
        <v>0</v>
      </c>
      <c r="G115" s="174">
        <v>284</v>
      </c>
      <c r="H115" s="174">
        <v>33189</v>
      </c>
      <c r="I115" s="173" t="s">
        <v>205</v>
      </c>
      <c r="J115" s="174">
        <v>33137</v>
      </c>
      <c r="K115" s="173" t="s">
        <v>52</v>
      </c>
      <c r="L115" s="175" t="str">
        <f>VLOOKUP(C115,'[7]Trips&amp;Operators'!$C$1:$E$9999,3,0)</f>
        <v>GEBRETEKLE</v>
      </c>
      <c r="M115" s="182" t="s">
        <v>86</v>
      </c>
      <c r="N115" s="177" t="s">
        <v>336</v>
      </c>
      <c r="P115" s="183" t="str">
        <f>VLOOKUP(C115,'[7]Train Runs'!$A$13:$AE$10015,31,0)</f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Q115" s="184" t="str">
        <f>VLOOKUP(C115,'[7]Train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05:26:12-0600',mode:absolute,to:'2016-09-02 08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115" s="185" t="str">
        <f t="shared" ref="R115:R160" si="18">astrogrep_path&amp;" /spath="&amp;search_path&amp;" /stypes=""*"&amp;S115&amp;"*"&amp;TEXT(A115-utc_offset/24,"YYYYMMDD")&amp;LEFT(TEXT(A115-utc_offset/24,"HH"),1)&amp;"*"" /stext="" "&amp;TEXT(A115-utc_offset/24,"HH")&amp;search_regexp&amp;""" /e /r /s"</f>
        <v>"C:\Program Files (x86)\AstroGrep\AstroGrep.exe" /spath="C:\Users\stu\Documents\Analysis\2016-02-23 RTDC Observations" /stypes="*4031*201609021*" /stext=" 12:.+((SYSTEM_STATE.+slice.+state.+changed )|(ment ac)|(system.+state.+changed )|(\|lc)|(penalty)|(\[timeout)|(PRM\|1\|D))" /e /r /s</v>
      </c>
      <c r="S115" s="176" t="str">
        <f t="shared" si="12"/>
        <v>4031</v>
      </c>
      <c r="T115" s="172">
        <f t="shared" si="13"/>
        <v>42615.526643518519</v>
      </c>
      <c r="U115" s="181" t="str">
        <f t="shared" si="15"/>
        <v>EC</v>
      </c>
      <c r="V115" s="181" t="str">
        <f t="shared" si="14"/>
        <v>KEEP</v>
      </c>
      <c r="W115" s="186" t="str">
        <f t="shared" ref="W115:W160" si="19">"echo {""issue"":{""subject"":"""&amp;N115&amp;""",""project_id"":79,""tracker_id"":40,""status_id"":"&amp;redmine_status&amp;",""priority_id"":"&amp;redmine_priority&amp;",""assigned_to_id"":"&amp;redmine_assignee&amp;",""start_date"":"""&amp;TEXT(A115,"YYYY-mm-dd")&amp;""",""description"":"""&amp;X115&amp;""",""custom_fields"":[{""id"":1,""name"":""Subdivision"",""value"":"""&amp;U115&amp;"""},{""id"":4,""name"":""Milepost"",""value"":"""&amp;J115/10000&amp;"""},{""id"":17,""name"":""Train ID"",""value"":"""&amp;C115&amp;"""},{""id"":16,""name"":""Locomotive ID"",""value"":"""&amp;S115&amp;"""},{""id"":130,""name"":""Impact"",""value"":"""&amp;Y115&amp;"""},{""id"":150,""name"":""Time of Event (Mountain Time)"",""value"":"""&amp;TEXT(A115,"hh:mm:ss")&amp;"""},{""id"":151,""name"":""Denver Issue ID"",""value"":"""&amp;"""},{""id"":178,""name"":""Operational Impact"",""value"":"""&amp;redmine_op_impact&amp;"""},{""id"":179,""name"":""Denver Segment Assigned"",""value"":"""&amp;Z115&amp;"""}]}}"&amp;"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arrival","project_id":79,"tracker_id":40,"status_id":1,"priority_id":2,"assigned_to_id":23,"start_date":"2016-09-02","description":"","custom_fields":[{"id":1,"name":"Subdivision","value":"EC"},{"id":4,"name":"Milepost","value":"3.3137"},{"id":17,"name":"Train ID","value":"123-02"},{"id":16,"name":"Locomotive ID","value":"4031"},{"id":130,"name":"Impact","value":""},{"id":150,"name":"Time of Event (Mountain Time)","value":"06:38:22"},{"id":151,"name":"Denver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" spans="1:23" x14ac:dyDescent="0.25">
      <c r="A116" s="172">
        <v>42615.749884259261</v>
      </c>
      <c r="B116" s="173" t="s">
        <v>351</v>
      </c>
      <c r="C116" s="173" t="s">
        <v>736</v>
      </c>
      <c r="D116" s="173" t="s">
        <v>49</v>
      </c>
      <c r="E116" s="173" t="s">
        <v>206</v>
      </c>
      <c r="F116" s="174">
        <v>0</v>
      </c>
      <c r="G116" s="174">
        <v>118</v>
      </c>
      <c r="H116" s="174">
        <v>43558</v>
      </c>
      <c r="I116" s="173" t="s">
        <v>205</v>
      </c>
      <c r="J116" s="174">
        <v>42961</v>
      </c>
      <c r="K116" s="173" t="s">
        <v>53</v>
      </c>
      <c r="L116" s="175" t="str">
        <f>VLOOKUP(C116,'[7]Trips&amp;Operators'!$C$1:$E$9999,3,0)</f>
        <v>CLARK</v>
      </c>
      <c r="M116" s="182" t="s">
        <v>86</v>
      </c>
      <c r="N116" s="177" t="s">
        <v>1941</v>
      </c>
      <c r="P116" s="183" t="str">
        <f>VLOOKUP(C116,'[7]Train Runs'!$A$13:$AE$10015,31,0)</f>
        <v>aws s3 cp s3://rtdc.mdm.uploadarchive/RTDC4010/2016-09-02/ "%USERPROFILE%\AppData\Local\Temp\OnboardLogs"\RTDC4010\2016-09-02 --recursive &amp; "%USERPROFILE%\Documents\GitHub\mrs-test-scripts\Headless Mode &amp; Sideloading\WalkAndUnGZ.bat" "%USERPROFILE%\AppData\Local\Temp\OnboardLogs"\RTDC4010\2016-09-02 &amp; aws s3 cp s3://rtdc.mdm.uploadarchive/RTDC4010/2016-09-03/ "%USERPROFILE%\AppData\Local\Temp\OnboardLogs"\RTDC4010\2016-09-03 --recursive &amp; "%USERPROFILE%\Documents\GitHub\mrs-test-scripts\Headless Mode &amp; Sideloading\WalkAndUnGZ.bat" "%USERPROFILE%\AppData\Local\Temp\OnboardLogs"\RTDC4010\2016-09-03</v>
      </c>
      <c r="Q116" s="184" t="str">
        <f>VLOOKUP(C116,'[7]Train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16:19:33-0600',mode:absolute,to:'2016-09-02 19:13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16" s="185" t="str">
        <f t="shared" si="18"/>
        <v>"C:\Program Files (x86)\AstroGrep\AstroGrep.exe" /spath="C:\Users\stu\Documents\Analysis\2016-02-23 RTDC Observations" /stypes="*4010*201609022*" /stext=" 23:.+((SYSTEM_STATE.+slice.+state.+changed )|(ment ac)|(system.+state.+changed )|(\|lc)|(penalty)|(\[timeout)|(PRM\|1\|D))" /e /r /s</v>
      </c>
      <c r="S116" s="176" t="str">
        <f t="shared" si="12"/>
        <v>4010</v>
      </c>
      <c r="T116" s="172">
        <f t="shared" si="13"/>
        <v>42615.999884259261</v>
      </c>
      <c r="U116" s="181" t="str">
        <f t="shared" si="15"/>
        <v>EC</v>
      </c>
      <c r="V116" s="181" t="str">
        <f t="shared" si="14"/>
        <v>KEEP</v>
      </c>
      <c r="W116" s="186" t="str">
        <f t="shared" si="19"/>
        <v>echo {"issue":{"subject":"Form C","project_id":79,"tracker_id":40,"status_id":1,"priority_id":2,"assigned_to_id":23,"start_date":"2016-09-02","description":"","custom_fields":[{"id":1,"name":"Subdivision","value":"EC"},{"id":4,"name":"Milepost","value":"4.2961"},{"id":17,"name":"Train ID","value":"204-02"},{"id":16,"name":"Locomotive ID","value":"4010"},{"id":130,"name":"Impact","value":""},{"id":150,"name":"Time of Event (Mountain Time)","value":"17:59:50"},{"id":151,"name":"Denver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" spans="1:23" x14ac:dyDescent="0.25">
      <c r="A117" s="172">
        <v>42615.332754629628</v>
      </c>
      <c r="B117" s="173" t="s">
        <v>712</v>
      </c>
      <c r="C117" s="173" t="s">
        <v>713</v>
      </c>
      <c r="D117" s="173" t="s">
        <v>49</v>
      </c>
      <c r="E117" s="173" t="s">
        <v>206</v>
      </c>
      <c r="F117" s="174">
        <v>0</v>
      </c>
      <c r="G117" s="174">
        <v>313</v>
      </c>
      <c r="H117" s="174">
        <v>109199</v>
      </c>
      <c r="I117" s="173" t="s">
        <v>205</v>
      </c>
      <c r="J117" s="174">
        <v>109135</v>
      </c>
      <c r="K117" s="173" t="s">
        <v>53</v>
      </c>
      <c r="L117" s="175" t="str">
        <f>VLOOKUP(C117,'[7]Trips&amp;Operators'!$C$1:$E$9999,3,0)</f>
        <v>SPECTOR</v>
      </c>
      <c r="M117" s="182" t="s">
        <v>86</v>
      </c>
      <c r="N117" s="177" t="s">
        <v>336</v>
      </c>
      <c r="P117" s="183" t="str">
        <f>VLOOKUP(C117,'[7]Train Runs'!$A$13:$AE$10015,31,0)</f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Q117" s="184" t="str">
        <f>VLOOKUP(C117,'[7]Train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06:29:42-0600',mode:absolute,to:'2016-09-02 09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117" s="185" t="str">
        <f t="shared" si="18"/>
        <v>"C:\Program Files (x86)\AstroGrep\AstroGrep.exe" /spath="C:\Users\stu\Documents\Analysis\2016-02-23 RTDC Observations" /stypes="*4054*201609021*" /stext=" 13:.+((SYSTEM_STATE.+slice.+state.+changed )|(ment ac)|(system.+state.+changed )|(\|lc)|(penalty)|(\[timeout)|(PRM\|1\|D))" /e /r /s</v>
      </c>
      <c r="S117" s="176" t="str">
        <f t="shared" si="12"/>
        <v>4054</v>
      </c>
      <c r="T117" s="172">
        <f t="shared" si="13"/>
        <v>42615.582754629628</v>
      </c>
      <c r="U117" s="181" t="str">
        <f t="shared" si="15"/>
        <v>EC</v>
      </c>
      <c r="V117" s="181" t="str">
        <f t="shared" si="14"/>
        <v>KEEP</v>
      </c>
      <c r="W117" s="186" t="str">
        <f t="shared" si="19"/>
        <v>echo {"issue":{"subject":"Early arrival","project_id":79,"tracker_id":40,"status_id":1,"priority_id":2,"assigned_to_id":23,"start_date":"2016-09-02","description":"","custom_fields":[{"id":1,"name":"Subdivision","value":"EC"},{"id":4,"name":"Milepost","value":"10.9135"},{"id":17,"name":"Train ID","value":"126-02"},{"id":16,"name":"Locomotive ID","value":"4054"},{"id":130,"name":"Impact","value":""},{"id":150,"name":"Time of Event (Mountain Time)","value":"07:59:10"},{"id":151,"name":"Denver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" spans="1:23" x14ac:dyDescent="0.25">
      <c r="A118" s="172">
        <v>42615.338750000003</v>
      </c>
      <c r="B118" s="173" t="s">
        <v>92</v>
      </c>
      <c r="C118" s="173" t="s">
        <v>1205</v>
      </c>
      <c r="D118" s="173" t="s">
        <v>49</v>
      </c>
      <c r="E118" s="173" t="s">
        <v>56</v>
      </c>
      <c r="F118" s="174">
        <v>450</v>
      </c>
      <c r="G118" s="174">
        <v>625</v>
      </c>
      <c r="H118" s="174">
        <v>158798</v>
      </c>
      <c r="I118" s="173" t="s">
        <v>57</v>
      </c>
      <c r="J118" s="174">
        <v>156300</v>
      </c>
      <c r="K118" s="173" t="s">
        <v>53</v>
      </c>
      <c r="L118" s="175" t="str">
        <f>VLOOKUP(C118,'[7]Trips&amp;Operators'!$C$1:$E$9999,3,0)</f>
        <v>MAELZER</v>
      </c>
      <c r="M118" s="182" t="s">
        <v>86</v>
      </c>
      <c r="N118" s="177"/>
      <c r="P118" s="183" t="str">
        <f>VLOOKUP(C118,'[7]Train Runs'!$A$13:$AE$10015,31,0)</f>
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</c>
      <c r="Q118" s="184" t="str">
        <f>VLOOKUP(C118,'[7]Train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06:44:54-0600',mode:absolute,to:'2016-09-02 09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118" s="185" t="str">
        <f t="shared" si="18"/>
        <v>"C:\Program Files (x86)\AstroGrep\AstroGrep.exe" /spath="C:\Users\stu\Documents\Analysis\2016-02-23 RTDC Observations" /stypes="*4030*201609021*" /stext=" 14:.+((SYSTEM_STATE.+slice.+state.+changed )|(ment ac)|(system.+state.+changed )|(\|lc)|(penalty)|(\[timeout)|(PRM\|1\|D))" /e /r /s</v>
      </c>
      <c r="S118" s="176" t="str">
        <f t="shared" si="12"/>
        <v>4030</v>
      </c>
      <c r="T118" s="172">
        <f t="shared" si="13"/>
        <v>42615.588750000003</v>
      </c>
      <c r="U118" s="181" t="str">
        <f t="shared" si="15"/>
        <v>EC</v>
      </c>
      <c r="V118" s="181" t="str">
        <f t="shared" si="14"/>
        <v>KEEP</v>
      </c>
      <c r="W118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{"issue":{"subject":"","project_id":79,"tracker_id":40,"status_id":1,"priority_id":2,"assigned_to_id":23,"start_date":"2016-09-02","description":"","custom_fields":[{"id":1,"name":"Subdivision","value":"EC"},{"id":4,"name":"Milepost","value":"15.63"},{"id":17,"name":"Train ID","value":"128-02"},{"id":16,"name":"Locomotive ID","value":"4030"},{"id":130,"name":"Impact","value":""},{"id":150,"name":"Time of Event (Mountain Time)","value":"08:07:48"},{"id":151,"name":"Denver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" spans="1:23" x14ac:dyDescent="0.25">
      <c r="A119" s="172">
        <v>42615.483900462961</v>
      </c>
      <c r="B119" s="173" t="s">
        <v>92</v>
      </c>
      <c r="C119" s="173" t="s">
        <v>1246</v>
      </c>
      <c r="D119" s="173" t="s">
        <v>110</v>
      </c>
      <c r="E119" s="173" t="s">
        <v>56</v>
      </c>
      <c r="F119" s="174">
        <v>700</v>
      </c>
      <c r="G119" s="174">
        <v>750</v>
      </c>
      <c r="H119" s="174">
        <v>165170</v>
      </c>
      <c r="I119" s="173" t="s">
        <v>57</v>
      </c>
      <c r="J119" s="174">
        <v>183829</v>
      </c>
      <c r="K119" s="173" t="s">
        <v>53</v>
      </c>
      <c r="L119" s="175" t="str">
        <f>VLOOKUP(C119,'[7]Trips&amp;Operators'!$C$1:$E$9999,3,0)</f>
        <v>STRICKLAND</v>
      </c>
      <c r="M119" s="182" t="s">
        <v>86</v>
      </c>
      <c r="N119" s="177"/>
      <c r="P119" s="183" t="str">
        <f>VLOOKUP(C119,'[7]Train Runs'!$A$13:$AE$10015,31,0)</f>
        <v>aws s3 cp s3://rtdc.mdm.uploadarchive/RTDC4030/2016-09-02/ "%USERPROFILE%\AppData\Local\Temp\OnboardLogs"\RTDC4030\2016-09-02 --recursive &amp; "%USERPROFILE%\Documents\GitHub\mrs-test-scripts\Headless Mode &amp; Sideloading\WalkAndUnGZ.bat" "%USERPROFILE%\AppData\Local\Temp\OnboardLogs"\RTDC4030\2016-09-02 &amp; 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</v>
      </c>
      <c r="Q119" s="184" t="str">
        <f>VLOOKUP(C119,'[7]Train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10:19:48-0600',mode:absolute,to:'2016-09-02 13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119" s="185" t="str">
        <f t="shared" si="18"/>
        <v>"C:\Program Files (x86)\AstroGrep\AstroGrep.exe" /spath="C:\Users\stu\Documents\Analysis\2016-02-23 RTDC Observations" /stypes="*4030*201609021*" /stext=" 17:.+((SYSTEM_STATE.+slice.+state.+changed )|(ment ac)|(system.+state.+changed )|(\|lc)|(penalty)|(\[timeout)|(PRM\|1\|D))" /e /r /s</v>
      </c>
      <c r="S119" s="176" t="str">
        <f t="shared" si="12"/>
        <v>4030</v>
      </c>
      <c r="T119" s="172">
        <f t="shared" si="13"/>
        <v>42615.733900462961</v>
      </c>
      <c r="U119" s="181" t="str">
        <f t="shared" si="15"/>
        <v>EC</v>
      </c>
      <c r="V119" s="181" t="str">
        <f t="shared" si="14"/>
        <v>KEEP</v>
      </c>
      <c r="W119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{"issue":{"subject":"","project_id":79,"tracker_id":40,"status_id":1,"priority_id":2,"assigned_to_id":23,"start_date":"2016-09-02","description":"","custom_fields":[{"id":1,"name":"Subdivision","value":"EC"},{"id":4,"name":"Milepost","value":"18.3829"},{"id":17,"name":"Train ID","value":"156-02"},{"id":16,"name":"Locomotive ID","value":"4030"},{"id":130,"name":"Impact","value":""},{"id":150,"name":"Time of Event (Mountain Time)","value":"11:36:49"},{"id":151,"name":"Denver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" spans="1:23" x14ac:dyDescent="0.25">
      <c r="A120" s="172">
        <v>42615.764386574076</v>
      </c>
      <c r="B120" s="173" t="s">
        <v>712</v>
      </c>
      <c r="C120" s="173" t="s">
        <v>1321</v>
      </c>
      <c r="D120" s="173" t="s">
        <v>110</v>
      </c>
      <c r="E120" s="173" t="s">
        <v>56</v>
      </c>
      <c r="F120" s="174">
        <v>600</v>
      </c>
      <c r="G120" s="174">
        <v>653</v>
      </c>
      <c r="H120" s="174">
        <v>184369</v>
      </c>
      <c r="I120" s="173" t="s">
        <v>57</v>
      </c>
      <c r="J120" s="174">
        <v>190834</v>
      </c>
      <c r="K120" s="173" t="s">
        <v>53</v>
      </c>
      <c r="L120" s="175" t="str">
        <f>VLOOKUP(C120,'[7]Trips&amp;Operators'!$C$1:$E$9999,3,0)</f>
        <v>ISHMAEL</v>
      </c>
      <c r="M120" s="182" t="s">
        <v>86</v>
      </c>
      <c r="N120" s="177"/>
      <c r="P120" s="183" t="str">
        <f>VLOOKUP(C120,'[7]Train Runs'!$A$13:$AE$10015,31,0)</f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Q120" s="184" t="str">
        <f>VLOOKUP(C120,'[7]Train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17:02:42-0600',mode:absolute,to:'2016-09-02 19:56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120" s="185" t="str">
        <f t="shared" si="18"/>
        <v>"C:\Program Files (x86)\AstroGrep\AstroGrep.exe" /spath="C:\Users\stu\Documents\Analysis\2016-02-23 RTDC Observations" /stypes="*4054*201609030*" /stext=" 00:.+((SYSTEM_STATE.+slice.+state.+changed )|(ment ac)|(system.+state.+changed )|(\|lc)|(penalty)|(\[timeout)|(PRM\|1\|D))" /e /r /s</v>
      </c>
      <c r="S120" s="176" t="str">
        <f t="shared" si="12"/>
        <v>4054</v>
      </c>
      <c r="T120" s="172">
        <f t="shared" si="13"/>
        <v>42616.014386574076</v>
      </c>
      <c r="U120" s="181" t="str">
        <f t="shared" si="15"/>
        <v>EC</v>
      </c>
      <c r="V120" s="181" t="str">
        <f t="shared" si="14"/>
        <v>KEEP</v>
      </c>
      <c r="W120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{"issue":{"subject":"","project_id":79,"tracker_id":40,"status_id":1,"priority_id":2,"assigned_to_id":23,"start_date":"2016-09-02","description":"","custom_fields":[{"id":1,"name":"Subdivision","value":"EC"},{"id":4,"name":"Milepost","value":"19.0834"},{"id":17,"name":"Train ID","value":"210-02"},{"id":16,"name":"Locomotive ID","value":"4054"},{"id":130,"name":"Impact","value":""},{"id":150,"name":"Time of Event (Mountain Time)","value":"18:20:43"},{"id":151,"name":"Denver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" spans="1:23" x14ac:dyDescent="0.25">
      <c r="A121" s="172">
        <v>42615.578402777777</v>
      </c>
      <c r="B121" s="173" t="s">
        <v>113</v>
      </c>
      <c r="C121" s="173" t="s">
        <v>1270</v>
      </c>
      <c r="D121" s="173" t="s">
        <v>49</v>
      </c>
      <c r="E121" s="173" t="s">
        <v>54</v>
      </c>
      <c r="F121" s="174">
        <v>0</v>
      </c>
      <c r="G121" s="174">
        <v>553</v>
      </c>
      <c r="H121" s="174">
        <v>122021</v>
      </c>
      <c r="I121" s="173" t="s">
        <v>55</v>
      </c>
      <c r="J121" s="174">
        <v>126585</v>
      </c>
      <c r="K121" s="173" t="s">
        <v>52</v>
      </c>
      <c r="L121" s="175" t="str">
        <f>VLOOKUP(C121,'[7]Trips&amp;Operators'!$C$1:$E$9999,3,0)</f>
        <v>MOSES</v>
      </c>
      <c r="M121" s="182" t="s">
        <v>243</v>
      </c>
      <c r="N121" s="177" t="s">
        <v>337</v>
      </c>
      <c r="P121" s="183" t="str">
        <f>VLOOKUP(C121,'[7]Train Runs'!$A$13:$AE$10015,31,0)</f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Q121" s="184" t="str">
        <f>VLOOKUP(C121,'[7]Train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12:25:10-0600',mode:absolute,to:'2016-09-02 15:09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121" s="185" t="str">
        <f t="shared" si="18"/>
        <v>"C:\Program Files (x86)\AstroGrep\AstroGrep.exe" /spath="C:\Users\stu\Documents\Analysis\2016-02-23 RTDC Observations" /stypes="*4031*201609021*" /stext=" 19:.+((SYSTEM_STATE.+slice.+state.+changed )|(ment ac)|(system.+state.+changed )|(\|lc)|(penalty)|(\[timeout)|(PRM\|1\|D))" /e /r /s</v>
      </c>
      <c r="S121" s="176" t="str">
        <f t="shared" si="12"/>
        <v>4031</v>
      </c>
      <c r="T121" s="172">
        <f t="shared" si="13"/>
        <v>42615.828402777777</v>
      </c>
      <c r="U121" s="181" t="str">
        <f t="shared" si="15"/>
        <v>EC</v>
      </c>
      <c r="V121" s="181" t="str">
        <f t="shared" si="14"/>
        <v>KEEP</v>
      </c>
      <c r="W121" s="186" t="str">
        <f t="shared" si="19"/>
        <v>echo {"issue":{"subject":"Wi-MAX outage","project_id":79,"tracker_id":40,"status_id":1,"priority_id":2,"assigned_to_id":23,"start_date":"2016-09-02","description":"","custom_fields":[{"id":1,"name":"Subdivision","value":"EC"},{"id":4,"name":"Milepost","value":"12.6585"},{"id":17,"name":"Train ID","value":"179-02"},{"id":16,"name":"Locomotive ID","value":"4031"},{"id":130,"name":"Impact","value":""},{"id":150,"name":"Time of Event (Mountain Time)","value":"13:52:54"},{"id":151,"name":"Denver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" spans="1:23" x14ac:dyDescent="0.25">
      <c r="A122" s="172">
        <v>42615.578240740739</v>
      </c>
      <c r="B122" s="173" t="s">
        <v>746</v>
      </c>
      <c r="C122" s="173" t="s">
        <v>1271</v>
      </c>
      <c r="D122" s="173" t="s">
        <v>49</v>
      </c>
      <c r="E122" s="173" t="s">
        <v>54</v>
      </c>
      <c r="F122" s="174">
        <v>0</v>
      </c>
      <c r="G122" s="174">
        <v>492</v>
      </c>
      <c r="H122" s="174">
        <v>150888</v>
      </c>
      <c r="I122" s="173" t="s">
        <v>55</v>
      </c>
      <c r="J122" s="174">
        <v>149700</v>
      </c>
      <c r="K122" s="173" t="s">
        <v>53</v>
      </c>
      <c r="L122" s="175" t="str">
        <f>VLOOKUP(C122,'[7]Trips&amp;Operators'!$C$1:$E$9999,3,0)</f>
        <v>STEWART</v>
      </c>
      <c r="M122" s="182" t="s">
        <v>243</v>
      </c>
      <c r="N122" s="177" t="s">
        <v>337</v>
      </c>
      <c r="P122" s="183" t="str">
        <f>VLOOKUP(C122,'[7]Train Runs'!$A$13:$AE$10015,31,0)</f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Q122" s="184" t="str">
        <f>VLOOKUP(C122,'[7]Train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12:36:40-0600',mode:absolute,to:'2016-09-02 15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122" s="185" t="str">
        <f t="shared" si="18"/>
        <v>"C:\Program Files (x86)\AstroGrep\AstroGrep.exe" /spath="C:\Users\stu\Documents\Analysis\2016-02-23 RTDC Observations" /stypes="*4015*201609021*" /stext=" 19:.+((SYSTEM_STATE.+slice.+state.+changed )|(ment ac)|(system.+state.+changed )|(\|lc)|(penalty)|(\[timeout)|(PRM\|1\|D))" /e /r /s</v>
      </c>
      <c r="S122" s="176" t="str">
        <f t="shared" si="12"/>
        <v>4015</v>
      </c>
      <c r="T122" s="172">
        <f t="shared" si="13"/>
        <v>42615.828240740739</v>
      </c>
      <c r="U122" s="181" t="str">
        <f t="shared" si="15"/>
        <v>EC</v>
      </c>
      <c r="V122" s="181" t="str">
        <f t="shared" si="14"/>
        <v>KEEP</v>
      </c>
      <c r="W122" s="186" t="str">
        <f t="shared" si="19"/>
        <v>echo {"issue":{"subject":"Wi-MAX outage","project_id":79,"tracker_id":40,"status_id":1,"priority_id":2,"assigned_to_id":23,"start_date":"2016-09-02","description":"","custom_fields":[{"id":1,"name":"Subdivision","value":"EC"},{"id":4,"name":"Milepost","value":"14.97"},{"id":17,"name":"Train ID","value":"174-02"},{"id":16,"name":"Locomotive ID","value":"4015"},{"id":130,"name":"Impact","value":""},{"id":150,"name":"Time of Event (Mountain Time)","value":"13:52:40"},{"id":151,"name":"Denver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" spans="1:23" x14ac:dyDescent="0.25">
      <c r="A123" s="172">
        <v>42615.224108796298</v>
      </c>
      <c r="B123" s="173" t="s">
        <v>227</v>
      </c>
      <c r="C123" s="173" t="s">
        <v>1177</v>
      </c>
      <c r="D123" s="173" t="s">
        <v>49</v>
      </c>
      <c r="E123" s="173" t="s">
        <v>54</v>
      </c>
      <c r="F123" s="174">
        <v>0</v>
      </c>
      <c r="G123" s="174">
        <v>147</v>
      </c>
      <c r="H123" s="174">
        <v>157779</v>
      </c>
      <c r="I123" s="173" t="s">
        <v>55</v>
      </c>
      <c r="J123" s="174">
        <v>157300</v>
      </c>
      <c r="K123" s="173" t="s">
        <v>53</v>
      </c>
      <c r="L123" s="175" t="str">
        <f>VLOOKUP(C123,'[7]Trips&amp;Operators'!$C$1:$E$9999,3,0)</f>
        <v>MALAVE</v>
      </c>
      <c r="M123" s="182" t="s">
        <v>243</v>
      </c>
      <c r="N123" s="177" t="s">
        <v>337</v>
      </c>
      <c r="P123" s="183" t="str">
        <f>VLOOKUP(C123,'[7]Train Runs'!$A$13:$AE$10015,31,0)</f>
        <v>aws s3 cp s3://rtdc.mdm.uploadarchive/RTDC4001/2016-09-02/ "%USERPROFILE%\AppData\Local\Temp\OnboardLogs"\RTDC4001\2016-09-02 --recursive &amp; "%USERPROFILE%\Documents\GitHub\mrs-test-scripts\Headless Mode &amp; Sideloading\WalkAndUnGZ.bat" "%USERPROFILE%\AppData\Local\Temp\OnboardLogs"\RTDC4001\2016-09-02 &amp; 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</v>
      </c>
      <c r="Q123" s="184" t="str">
        <f>VLOOKUP(C123,'[7]Train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03:35:03-0600',mode:absolute,to:'2016-09-02 06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23" s="185" t="str">
        <f t="shared" si="18"/>
        <v>"C:\Program Files (x86)\AstroGrep\AstroGrep.exe" /spath="C:\Users\stu\Documents\Analysis\2016-02-23 RTDC Observations" /stypes="*4001*201609021*" /stext=" 11:.+((SYSTEM_STATE.+slice.+state.+changed )|(ment ac)|(system.+state.+changed )|(\|lc)|(penalty)|(\[timeout)|(PRM\|1\|D))" /e /r /s</v>
      </c>
      <c r="S123" s="176" t="str">
        <f t="shared" si="12"/>
        <v>4001</v>
      </c>
      <c r="T123" s="172">
        <f t="shared" si="13"/>
        <v>42615.474108796298</v>
      </c>
      <c r="U123" s="181" t="str">
        <f t="shared" si="15"/>
        <v>EC</v>
      </c>
      <c r="V123" s="181" t="str">
        <f t="shared" si="14"/>
        <v>KEEP</v>
      </c>
      <c r="W123" s="186" t="str">
        <f t="shared" si="19"/>
        <v>echo {"issue":{"subject":"Wi-MAX outage","project_id":79,"tracker_id":40,"status_id":1,"priority_id":2,"assigned_to_id":23,"start_date":"2016-09-02","description":"","custom_fields":[{"id":1,"name":"Subdivision","value":"EC"},{"id":4,"name":"Milepost","value":"15.73"},{"id":17,"name":"Train ID","value":"106-02"},{"id":16,"name":"Locomotive ID","value":"4001"},{"id":130,"name":"Impact","value":""},{"id":150,"name":"Time of Event (Mountain Time)","value":"05:22:43"},{"id":151,"name":"Denver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" spans="1:23" x14ac:dyDescent="0.25">
      <c r="A124" s="172">
        <v>42615.22252314815</v>
      </c>
      <c r="B124" s="173" t="s">
        <v>227</v>
      </c>
      <c r="C124" s="173" t="s">
        <v>1177</v>
      </c>
      <c r="D124" s="173" t="s">
        <v>49</v>
      </c>
      <c r="E124" s="173" t="s">
        <v>54</v>
      </c>
      <c r="F124" s="174">
        <v>0</v>
      </c>
      <c r="G124" s="174">
        <v>683</v>
      </c>
      <c r="H124" s="174">
        <v>162765</v>
      </c>
      <c r="I124" s="173" t="s">
        <v>55</v>
      </c>
      <c r="J124" s="174">
        <v>162262</v>
      </c>
      <c r="K124" s="173" t="s">
        <v>53</v>
      </c>
      <c r="L124" s="175" t="str">
        <f>VLOOKUP(C124,'[7]Trips&amp;Operators'!$C$1:$E$9999,3,0)</f>
        <v>MALAVE</v>
      </c>
      <c r="M124" s="182" t="s">
        <v>243</v>
      </c>
      <c r="N124" s="177" t="s">
        <v>337</v>
      </c>
      <c r="P124" s="183" t="str">
        <f>VLOOKUP(C124,'[7]Train Runs'!$A$13:$AE$10015,31,0)</f>
        <v>aws s3 cp s3://rtdc.mdm.uploadarchive/RTDC4001/2016-09-02/ "%USERPROFILE%\AppData\Local\Temp\OnboardLogs"\RTDC4001\2016-09-02 --recursive &amp; "%USERPROFILE%\Documents\GitHub\mrs-test-scripts\Headless Mode &amp; Sideloading\WalkAndUnGZ.bat" "%USERPROFILE%\AppData\Local\Temp\OnboardLogs"\RTDC4001\2016-09-02 &amp; 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</v>
      </c>
      <c r="Q124" s="184" t="str">
        <f>VLOOKUP(C124,'[7]Train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03:35:03-0600',mode:absolute,to:'2016-09-02 06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24" s="185" t="str">
        <f t="shared" si="18"/>
        <v>"C:\Program Files (x86)\AstroGrep\AstroGrep.exe" /spath="C:\Users\stu\Documents\Analysis\2016-02-23 RTDC Observations" /stypes="*4001*201609021*" /stext=" 11:.+((SYSTEM_STATE.+slice.+state.+changed )|(ment ac)|(system.+state.+changed )|(\|lc)|(penalty)|(\[timeout)|(PRM\|1\|D))" /e /r /s</v>
      </c>
      <c r="S124" s="176" t="str">
        <f t="shared" si="12"/>
        <v>4001</v>
      </c>
      <c r="T124" s="172">
        <f t="shared" si="13"/>
        <v>42615.47252314815</v>
      </c>
      <c r="U124" s="181" t="str">
        <f t="shared" si="15"/>
        <v>EC</v>
      </c>
      <c r="V124" s="181" t="str">
        <f t="shared" si="14"/>
        <v>KEEP</v>
      </c>
      <c r="W124" s="186" t="str">
        <f t="shared" si="19"/>
        <v>echo {"issue":{"subject":"Wi-MAX outage","project_id":79,"tracker_id":40,"status_id":1,"priority_id":2,"assigned_to_id":23,"start_date":"2016-09-02","description":"","custom_fields":[{"id":1,"name":"Subdivision","value":"EC"},{"id":4,"name":"Milepost","value":"16.2262"},{"id":17,"name":"Train ID","value":"106-02"},{"id":16,"name":"Locomotive ID","value":"4001"},{"id":130,"name":"Impact","value":""},{"id":150,"name":"Time of Event (Mountain Time)","value":"05:20:26"},{"id":151,"name":"Denver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" spans="1:23" x14ac:dyDescent="0.25">
      <c r="A125" s="172">
        <v>42615.428067129629</v>
      </c>
      <c r="B125" s="173" t="s">
        <v>746</v>
      </c>
      <c r="C125" s="173" t="s">
        <v>1230</v>
      </c>
      <c r="D125" s="173" t="s">
        <v>49</v>
      </c>
      <c r="E125" s="173" t="s">
        <v>54</v>
      </c>
      <c r="F125" s="174">
        <v>0</v>
      </c>
      <c r="G125" s="174">
        <v>407</v>
      </c>
      <c r="H125" s="174">
        <v>193897</v>
      </c>
      <c r="I125" s="173" t="s">
        <v>55</v>
      </c>
      <c r="J125" s="174">
        <v>191723</v>
      </c>
      <c r="K125" s="173" t="s">
        <v>53</v>
      </c>
      <c r="L125" s="175" t="str">
        <f>VLOOKUP(C125,'[7]Trips&amp;Operators'!$C$1:$E$9999,3,0)</f>
        <v>DAVIS</v>
      </c>
      <c r="M125" s="182" t="s">
        <v>86</v>
      </c>
      <c r="N125" s="177" t="s">
        <v>1944</v>
      </c>
      <c r="P125" s="183" t="str">
        <f>VLOOKUP(C125,'[7]Train Runs'!$A$13:$AE$10015,31,0)</f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Q125" s="184" t="str">
        <f>VLOOKUP(C125,'[7]Train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09:02:27-0600',mode:absolute,to:'2016-09-02 11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125" s="185" t="str">
        <f t="shared" si="18"/>
        <v>"C:\Program Files (x86)\AstroGrep\AstroGrep.exe" /spath="C:\Users\stu\Documents\Analysis\2016-02-23 RTDC Observations" /stypes="*4015*201609021*" /stext=" 16:.+((SYSTEM_STATE.+slice.+state.+changed )|(ment ac)|(system.+state.+changed )|(\|lc)|(penalty)|(\[timeout)|(PRM\|1\|D))" /e /r /s</v>
      </c>
      <c r="S125" s="176" t="str">
        <f t="shared" si="12"/>
        <v>4015</v>
      </c>
      <c r="T125" s="172">
        <f t="shared" si="13"/>
        <v>42615.678067129629</v>
      </c>
      <c r="U125" s="181" t="str">
        <f t="shared" si="15"/>
        <v>EC</v>
      </c>
      <c r="V125" s="181" t="str">
        <f t="shared" si="14"/>
        <v>KEEP</v>
      </c>
      <c r="W125" s="186" t="str">
        <f t="shared" si="19"/>
        <v>echo {"issue":{"subject":"Pena 4S STOP, cleared shortly","project_id":79,"tracker_id":40,"status_id":1,"priority_id":2,"assigned_to_id":23,"start_date":"2016-09-02","description":"","custom_fields":[{"id":1,"name":"Subdivision","value":"EC"},{"id":4,"name":"Milepost","value":"19.1723"},{"id":17,"name":"Train ID","value":"146-02"},{"id":16,"name":"Locomotive ID","value":"4015"},{"id":130,"name":"Impact","value":""},{"id":150,"name":"Time of Event (Mountain Time)","value":"10:16:25"},{"id":151,"name":"Denver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" spans="1:23" x14ac:dyDescent="0.25">
      <c r="A126" s="172">
        <v>42615.532569444447</v>
      </c>
      <c r="B126" s="173" t="s">
        <v>114</v>
      </c>
      <c r="C126" s="173" t="s">
        <v>1261</v>
      </c>
      <c r="D126" s="173" t="s">
        <v>49</v>
      </c>
      <c r="E126" s="173" t="s">
        <v>54</v>
      </c>
      <c r="F126" s="174">
        <v>0</v>
      </c>
      <c r="G126" s="174">
        <v>447</v>
      </c>
      <c r="H126" s="174">
        <v>194194</v>
      </c>
      <c r="I126" s="173" t="s">
        <v>55</v>
      </c>
      <c r="J126" s="174">
        <v>191723</v>
      </c>
      <c r="K126" s="173" t="s">
        <v>53</v>
      </c>
      <c r="L126" s="175" t="str">
        <f>VLOOKUP(C126,'[7]Trips&amp;Operators'!$C$1:$E$9999,3,0)</f>
        <v>MOSES</v>
      </c>
      <c r="M126" s="182" t="s">
        <v>86</v>
      </c>
      <c r="N126" s="177" t="s">
        <v>1944</v>
      </c>
      <c r="P126" s="183" t="str">
        <f>VLOOKUP(C126,'[7]Train Runs'!$A$13:$AE$10015,31,0)</f>
        <v>aws s3 cp s3://rtdc.mdm.uploadarchive/RTDC4032/2016-09-02/ "%USERPROFILE%\AppData\Local\Temp\OnboardLogs"\RTDC4032\2016-09-02 --recursive &amp; "%USERPROFILE%\Documents\GitHub\mrs-test-scripts\Headless Mode &amp; Sideloading\WalkAndUnGZ.bat" "%USERPROFILE%\AppData\Local\Temp\OnboardLogs"\RTDC4032\2016-09-02 &amp; aws s3 cp s3://rtdc.mdm.uploadarchive/RTDC4032/2016-09-03/ "%USERPROFILE%\AppData\Local\Temp\OnboardLogs"\RTDC4032\2016-09-03 --recursive &amp; "%USERPROFILE%\Documents\GitHub\mrs-test-scripts\Headless Mode &amp; Sideloading\WalkAndUnGZ.bat" "%USERPROFILE%\AppData\Local\Temp\OnboardLogs"\RTDC4032\2016-09-03</v>
      </c>
      <c r="Q126" s="184" t="str">
        <f>VLOOKUP(C126,'[7]Train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11:33:43-0600',mode:absolute,to:'2016-09-02 14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126" s="185" t="str">
        <f t="shared" si="18"/>
        <v>"C:\Program Files (x86)\AstroGrep\AstroGrep.exe" /spath="C:\Users\stu\Documents\Analysis\2016-02-23 RTDC Observations" /stypes="*4032*201609021*" /stext=" 18:.+((SYSTEM_STATE.+slice.+state.+changed )|(ment ac)|(system.+state.+changed )|(\|lc)|(penalty)|(\[timeout)|(PRM\|1\|D))" /e /r /s</v>
      </c>
      <c r="S126" s="176" t="str">
        <f t="shared" si="12"/>
        <v>4032</v>
      </c>
      <c r="T126" s="172">
        <f t="shared" si="13"/>
        <v>42615.782569444447</v>
      </c>
      <c r="U126" s="181" t="str">
        <f t="shared" si="15"/>
        <v>EC</v>
      </c>
      <c r="V126" s="181" t="str">
        <f t="shared" si="14"/>
        <v>KEEP</v>
      </c>
      <c r="W126" s="186" t="str">
        <f t="shared" si="19"/>
        <v>echo {"issue":{"subject":"Pena 4S STOP, cleared shortly","project_id":79,"tracker_id":40,"status_id":1,"priority_id":2,"assigned_to_id":23,"start_date":"2016-09-02","description":"","custom_fields":[{"id":1,"name":"Subdivision","value":"EC"},{"id":4,"name":"Milepost","value":"19.1723"},{"id":17,"name":"Train ID","value":"166-02"},{"id":16,"name":"Locomotive ID","value":"4032"},{"id":130,"name":"Impact","value":""},{"id":150,"name":"Time of Event (Mountain Time)","value":"12:46:54"},{"id":151,"name":"Denver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" spans="1:23" x14ac:dyDescent="0.25">
      <c r="A127" s="172">
        <v>42615.750937500001</v>
      </c>
      <c r="B127" s="173" t="s">
        <v>724</v>
      </c>
      <c r="C127" s="173" t="s">
        <v>1319</v>
      </c>
      <c r="D127" s="173" t="s">
        <v>110</v>
      </c>
      <c r="E127" s="173" t="s">
        <v>333</v>
      </c>
      <c r="F127" s="174">
        <v>0</v>
      </c>
      <c r="G127" s="174">
        <v>138</v>
      </c>
      <c r="H127" s="174">
        <v>2123</v>
      </c>
      <c r="I127" s="173" t="s">
        <v>334</v>
      </c>
      <c r="J127" s="174">
        <v>1692</v>
      </c>
      <c r="K127" s="173" t="s">
        <v>52</v>
      </c>
      <c r="L127" s="175" t="str">
        <f>VLOOKUP(C127,'[7]Trips&amp;Operators'!$C$1:$E$9999,3,0)</f>
        <v>WEBSTER</v>
      </c>
      <c r="M127" s="182" t="s">
        <v>243</v>
      </c>
      <c r="N127" s="177" t="s">
        <v>337</v>
      </c>
      <c r="P127" s="183" t="str">
        <f>VLOOKUP(C127,'[7]Train Runs'!$A$13:$AE$10015,31,0)</f>
        <v>aws s3 cp s3://rtdc.mdm.uploadarchive/RTDC4016/2016-09-02/ "%USERPROFILE%\AppData\Local\Temp\OnboardLogs"\RTDC4016\2016-09-02 --recursive &amp; "%USERPROFILE%\Documents\GitHub\mrs-test-scripts\Headless Mode &amp; Sideloading\WalkAndUnGZ.bat" "%USERPROFILE%\AppData\Local\Temp\OnboardLogs"\RTDC4016\2016-09-02 &amp; aws s3 cp s3://rtdc.mdm.uploadarchive/RTDC4016/2016-09-03/ "%USERPROFILE%\AppData\Local\Temp\OnboardLogs"\RTDC4016\2016-09-03 --recursive &amp; "%USERPROFILE%\Documents\GitHub\mrs-test-scripts\Headless Mode &amp; Sideloading\WalkAndUnGZ.bat" "%USERPROFILE%\AppData\Local\Temp\OnboardLogs"\RTDC4016\2016-09-03</v>
      </c>
      <c r="Q127" s="184" t="str">
        <f>VLOOKUP(C127,'[7]Train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16:55:08-0600',mode:absolute,to:'2016-09-02 19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127" s="185" t="str">
        <f t="shared" si="18"/>
        <v>"C:\Program Files (x86)\AstroGrep\AstroGrep.exe" /spath="C:\Users\stu\Documents\Analysis\2016-02-23 RTDC Observations" /stypes="*4016*201609030*" /stext=" 00:.+((SYSTEM_STATE.+slice.+state.+changed )|(ment ac)|(system.+state.+changed )|(\|lc)|(penalty)|(\[timeout)|(PRM\|1\|D))" /e /r /s</v>
      </c>
      <c r="S127" s="176" t="str">
        <f t="shared" si="12"/>
        <v>4016</v>
      </c>
      <c r="T127" s="172">
        <f t="shared" si="13"/>
        <v>42616.000937500001</v>
      </c>
      <c r="U127" s="181" t="str">
        <f t="shared" si="15"/>
        <v>EC</v>
      </c>
      <c r="V127" s="181" t="str">
        <f t="shared" si="14"/>
        <v>KEEP</v>
      </c>
      <c r="W127" s="186" t="str">
        <f t="shared" si="19"/>
        <v>echo {"issue":{"subject":"Wi-MAX outage","project_id":79,"tracker_id":40,"status_id":1,"priority_id":2,"assigned_to_id":23,"start_date":"2016-09-02","description":"","custom_fields":[{"id":1,"name":"Subdivision","value":"EC"},{"id":4,"name":"Milepost","value":"0.1692"},{"id":17,"name":"Train ID","value":"215-02"},{"id":16,"name":"Locomotive ID","value":"4016"},{"id":130,"name":"Impact","value":""},{"id":150,"name":"Time of Event (Mountain Time)","value":"18:01:21"},{"id":151,"name":"Denver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8" spans="1:23" x14ac:dyDescent="0.25">
      <c r="A128" s="172">
        <v>42615.34815972222</v>
      </c>
      <c r="B128" s="173" t="s">
        <v>712</v>
      </c>
      <c r="C128" s="173" t="s">
        <v>713</v>
      </c>
      <c r="D128" s="173" t="s">
        <v>49</v>
      </c>
      <c r="E128" s="173" t="s">
        <v>50</v>
      </c>
      <c r="F128" s="174">
        <v>0</v>
      </c>
      <c r="G128" s="174">
        <v>33</v>
      </c>
      <c r="H128" s="174">
        <v>141</v>
      </c>
      <c r="I128" s="173" t="s">
        <v>51</v>
      </c>
      <c r="J128" s="174">
        <v>1</v>
      </c>
      <c r="K128" s="173" t="s">
        <v>53</v>
      </c>
      <c r="L128" s="175" t="str">
        <f>VLOOKUP(C128,'[7]Trips&amp;Operators'!$C$1:$E$9999,3,0)</f>
        <v>SPECTOR</v>
      </c>
      <c r="M128" s="182" t="s">
        <v>86</v>
      </c>
      <c r="N128" s="177"/>
      <c r="P128" s="183" t="str">
        <f>VLOOKUP(C128,'[7]Train Runs'!$A$13:$AE$10015,31,0)</f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Q128" s="184" t="str">
        <f>VLOOKUP(C128,'[7]Train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06:29:42-0600',mode:absolute,to:'2016-09-02 09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128" s="185" t="str">
        <f t="shared" si="18"/>
        <v>"C:\Program Files (x86)\AstroGrep\AstroGrep.exe" /spath="C:\Users\stu\Documents\Analysis\2016-02-23 RTDC Observations" /stypes="*4054*201609021*" /stext=" 14:.+((SYSTEM_STATE.+slice.+state.+changed )|(ment ac)|(system.+state.+changed )|(\|lc)|(penalty)|(\[timeout)|(PRM\|1\|D))" /e /r /s</v>
      </c>
      <c r="S128" s="176" t="str">
        <f t="shared" si="12"/>
        <v>4054</v>
      </c>
      <c r="T128" s="172">
        <f t="shared" si="13"/>
        <v>42615.59815972222</v>
      </c>
      <c r="U128" s="181" t="str">
        <f t="shared" si="15"/>
        <v>EC</v>
      </c>
      <c r="V128" s="181" t="str">
        <f t="shared" si="14"/>
        <v>KEEP</v>
      </c>
      <c r="W128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{"issue":{"subject":"","project_id":79,"tracker_id":40,"status_id":1,"priority_id":2,"assigned_to_id":23,"start_date":"2016-09-02","description":"","custom_fields":[{"id":1,"name":"Subdivision","value":"EC"},{"id":4,"name":"Milepost","value":"0.0001"},{"id":17,"name":"Train ID","value":"126-02"},{"id":16,"name":"Locomotive ID","value":"4054"},{"id":130,"name":"Impact","value":""},{"id":150,"name":"Time of Event (Mountain Time)","value":"08:21:21"},{"id":151,"name":"Denver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9" spans="1:23" x14ac:dyDescent="0.25">
      <c r="A129" s="172">
        <v>42615.421747685185</v>
      </c>
      <c r="B129" s="173" t="s">
        <v>712</v>
      </c>
      <c r="C129" s="173" t="s">
        <v>1223</v>
      </c>
      <c r="D129" s="173" t="s">
        <v>49</v>
      </c>
      <c r="E129" s="173" t="s">
        <v>50</v>
      </c>
      <c r="F129" s="174">
        <v>0</v>
      </c>
      <c r="G129" s="174">
        <v>55</v>
      </c>
      <c r="H129" s="174">
        <v>176</v>
      </c>
      <c r="I129" s="173" t="s">
        <v>51</v>
      </c>
      <c r="J129" s="174">
        <v>1</v>
      </c>
      <c r="K129" s="173" t="s">
        <v>53</v>
      </c>
      <c r="L129" s="175" t="str">
        <f>VLOOKUP(C129,'[7]Trips&amp;Operators'!$C$1:$E$9999,3,0)</f>
        <v>SPECTOR</v>
      </c>
      <c r="M129" s="182" t="s">
        <v>86</v>
      </c>
      <c r="N129" s="177"/>
      <c r="P129" s="183" t="str">
        <f>VLOOKUP(C129,'[7]Train Runs'!$A$13:$AE$10015,31,0)</f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Q129" s="184" t="str">
        <f>VLOOKUP(C129,'[7]Train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08:16:58-0600',mode:absolute,to:'2016-09-02 11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129" s="185" t="str">
        <f t="shared" si="18"/>
        <v>"C:\Program Files (x86)\AstroGrep\AstroGrep.exe" /spath="C:\Users\stu\Documents\Analysis\2016-02-23 RTDC Observations" /stypes="*4054*201609021*" /stext=" 16:.+((SYSTEM_STATE.+slice.+state.+changed )|(ment ac)|(system.+state.+changed )|(\|lc)|(penalty)|(\[timeout)|(PRM\|1\|D))" /e /r /s</v>
      </c>
      <c r="S129" s="176" t="str">
        <f t="shared" si="12"/>
        <v>4054</v>
      </c>
      <c r="T129" s="172">
        <f t="shared" si="13"/>
        <v>42615.671747685185</v>
      </c>
      <c r="U129" s="181" t="str">
        <f t="shared" si="15"/>
        <v>EC</v>
      </c>
      <c r="V129" s="181" t="str">
        <f t="shared" si="14"/>
        <v>KEEP</v>
      </c>
      <c r="W129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{"issue":{"subject":"","project_id":79,"tracker_id":40,"status_id":1,"priority_id":2,"assigned_to_id":23,"start_date":"2016-09-02","description":"","custom_fields":[{"id":1,"name":"Subdivision","value":"EC"},{"id":4,"name":"Milepost","value":"0.0001"},{"id":17,"name":"Train ID","value":"140-02"},{"id":16,"name":"Locomotive ID","value":"4054"},{"id":130,"name":"Impact","value":""},{"id":150,"name":"Time of Event (Mountain Time)","value":"10:07:19"},{"id":151,"name":"Denver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0" spans="1:23" x14ac:dyDescent="0.25">
      <c r="A130" s="172">
        <v>42615.493136574078</v>
      </c>
      <c r="B130" s="173" t="s">
        <v>712</v>
      </c>
      <c r="C130" s="173" t="s">
        <v>1243</v>
      </c>
      <c r="D130" s="173" t="s">
        <v>49</v>
      </c>
      <c r="E130" s="173" t="s">
        <v>50</v>
      </c>
      <c r="F130" s="174">
        <v>0</v>
      </c>
      <c r="G130" s="174">
        <v>38</v>
      </c>
      <c r="H130" s="174">
        <v>130</v>
      </c>
      <c r="I130" s="173" t="s">
        <v>51</v>
      </c>
      <c r="J130" s="174">
        <v>1</v>
      </c>
      <c r="K130" s="173" t="s">
        <v>53</v>
      </c>
      <c r="L130" s="175" t="str">
        <f>VLOOKUP(C130,'[7]Trips&amp;Operators'!$C$1:$E$9999,3,0)</f>
        <v>SPECTOR</v>
      </c>
      <c r="M130" s="182" t="s">
        <v>86</v>
      </c>
      <c r="N130" s="177"/>
      <c r="P130" s="183" t="str">
        <f>VLOOKUP(C130,'[7]Train Runs'!$A$13:$AE$10015,31,0)</f>
        <v>aws s3 cp s3://rtdc.mdm.uploadarchive/RTDC4054/2016-09-02/ "%USERPROFILE%\AppData\Local\Temp\OnboardLogs"\RTDC4054\2016-09-02 --recursive &amp; "%USERPROFILE%\Documents\GitHub\mrs-test-scripts\Headless Mode &amp; Sideloading\WalkAndUnGZ.bat" "%USERPROFILE%\AppData\Local\Temp\OnboardLogs"\RTDC4054\2016-09-02 &amp; aws s3 cp s3://rtdc.mdm.uploadarchive/RTDC4054/2016-09-03/ "%USERPROFILE%\AppData\Local\Temp\OnboardLogs"\RTDC4054\2016-09-03 --recursive &amp; "%USERPROFILE%\Documents\GitHub\mrs-test-scripts\Headless Mode &amp; Sideloading\WalkAndUnGZ.bat" "%USERPROFILE%\AppData\Local\Temp\OnboardLogs"\RTDC4054\2016-09-03</v>
      </c>
      <c r="Q130" s="184" t="str">
        <f>VLOOKUP(C130,'[7]Train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10:02:20-0600',mode:absolute,to:'2016-09-02 12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130" s="185" t="str">
        <f t="shared" si="18"/>
        <v>"C:\Program Files (x86)\AstroGrep\AstroGrep.exe" /spath="C:\Users\stu\Documents\Analysis\2016-02-23 RTDC Observations" /stypes="*4054*201609021*" /stext=" 17:.+((SYSTEM_STATE.+slice.+state.+changed )|(ment ac)|(system.+state.+changed )|(\|lc)|(penalty)|(\[timeout)|(PRM\|1\|D))" /e /r /s</v>
      </c>
      <c r="S130" s="176" t="str">
        <f t="shared" ref="S130:S193" si="20">MID(B130,13,4)</f>
        <v>4054</v>
      </c>
      <c r="T130" s="172">
        <f t="shared" ref="T130:T193" si="21">A130+6/24</f>
        <v>42615.743136574078</v>
      </c>
      <c r="U130" s="181" t="str">
        <f t="shared" si="15"/>
        <v>EC</v>
      </c>
      <c r="V130" s="181" t="str">
        <f t="shared" ref="V130:V193" si="22">IF(AND(E130="TRACK WARRANT AUTHORITY",G130&lt;10),"OMIT","KEEP")</f>
        <v>KEEP</v>
      </c>
      <c r="W130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{"issue":{"subject":"","project_id":79,"tracker_id":40,"status_id":1,"priority_id":2,"assigned_to_id":23,"start_date":"2016-09-02","description":"","custom_fields":[{"id":1,"name":"Subdivision","value":"EC"},{"id":4,"name":"Milepost","value":"0.0001"},{"id":17,"name":"Train ID","value":"154-02"},{"id":16,"name":"Locomotive ID","value":"4054"},{"id":130,"name":"Impact","value":""},{"id":150,"name":"Time of Event (Mountain Time)","value":"11:50:07"},{"id":151,"name":"Denver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1" spans="1:23" x14ac:dyDescent="0.25">
      <c r="A131" s="172">
        <v>42615.818414351852</v>
      </c>
      <c r="B131" s="173" t="s">
        <v>746</v>
      </c>
      <c r="C131" s="173" t="s">
        <v>1332</v>
      </c>
      <c r="D131" s="173" t="s">
        <v>49</v>
      </c>
      <c r="E131" s="173" t="s">
        <v>50</v>
      </c>
      <c r="F131" s="174">
        <v>0</v>
      </c>
      <c r="G131" s="174">
        <v>40</v>
      </c>
      <c r="H131" s="174">
        <v>956</v>
      </c>
      <c r="I131" s="173" t="s">
        <v>51</v>
      </c>
      <c r="J131" s="174">
        <v>839</v>
      </c>
      <c r="K131" s="173" t="s">
        <v>53</v>
      </c>
      <c r="L131" s="175" t="str">
        <f>VLOOKUP(C131,'[7]Trips&amp;Operators'!$C$1:$E$9999,3,0)</f>
        <v>WEBSTER</v>
      </c>
      <c r="M131" s="182" t="s">
        <v>86</v>
      </c>
      <c r="N131" s="177"/>
      <c r="P131" s="183" t="str">
        <f>VLOOKUP(C131,'[7]Train Runs'!$A$13:$AE$10015,31,0)</f>
        <v>aws s3 cp s3://rtdc.mdm.uploadarchive/RTDC4015/2016-09-02/ "%USERPROFILE%\AppData\Local\Temp\OnboardLogs"\RTDC4015\2016-09-02 --recursive &amp; "%USERPROFILE%\Documents\GitHub\mrs-test-scripts\Headless Mode &amp; Sideloading\WalkAndUnGZ.bat" "%USERPROFILE%\AppData\Local\Temp\OnboardLogs"\RTDC4015\2016-09-02 &amp; aws s3 cp s3://rtdc.mdm.uploadarchive/RTDC4015/2016-09-03/ "%USERPROFILE%\AppData\Local\Temp\OnboardLogs"\RTDC4015\2016-09-03 --recursive &amp; "%USERPROFILE%\Documents\GitHub\mrs-test-scripts\Headless Mode &amp; Sideloading\WalkAndUnGZ.bat" "%USERPROFILE%\AppData\Local\Temp\OnboardLogs"\RTDC4015\2016-09-03</v>
      </c>
      <c r="Q131" s="184" t="str">
        <f>VLOOKUP(C131,'[7]Train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17:52:48-0600',mode:absolute,to:'2016-09-02 20:38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131" s="185" t="str">
        <f t="shared" si="18"/>
        <v>"C:\Program Files (x86)\AstroGrep\AstroGrep.exe" /spath="C:\Users\stu\Documents\Analysis\2016-02-23 RTDC Observations" /stypes="*4015*201609030*" /stext=" 01:.+((SYSTEM_STATE.+slice.+state.+changed )|(ment ac)|(system.+state.+changed )|(\|lc)|(penalty)|(\[timeout)|(PRM\|1\|D))" /e /r /s</v>
      </c>
      <c r="S131" s="176" t="str">
        <f t="shared" si="20"/>
        <v>4015</v>
      </c>
      <c r="T131" s="172">
        <f t="shared" si="21"/>
        <v>42616.068414351852</v>
      </c>
      <c r="U131" s="181" t="str">
        <f t="shared" ref="U131:U194" si="23">IF(VALUE(LEFT(IF(LEN(C131)=6,"0"&amp;C131,C131),2))&lt;=2,"EC",IF(OR(VALUE(LEFT(IF(LEN(C131)=6,"0"&amp;C131,C131),2))=8,VALUE(LEFT(IF(LEN(C131)=6,"0"&amp;C131,C131),2))=18),"NW","Other"))</f>
        <v>EC</v>
      </c>
      <c r="V131" s="181" t="str">
        <f t="shared" si="22"/>
        <v>KEEP</v>
      </c>
      <c r="W131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{"issue":{"subject":"","project_id":79,"tracker_id":40,"status_id":1,"priority_id":2,"assigned_to_id":23,"start_date":"2016-09-02","description":"","custom_fields":[{"id":1,"name":"Subdivision","value":"EC"},{"id":4,"name":"Milepost","value":"0.0839"},{"id":17,"name":"Train ID","value":"216-02"},{"id":16,"name":"Locomotive ID","value":"4015"},{"id":130,"name":"Impact","value":""},{"id":150,"name":"Time of Event (Mountain Time)","value":"19:38:31"},{"id":151,"name":"Denver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2" spans="1:23" x14ac:dyDescent="0.25">
      <c r="A132" s="172">
        <v>42615.899756944447</v>
      </c>
      <c r="B132" s="173" t="s">
        <v>139</v>
      </c>
      <c r="C132" s="173" t="s">
        <v>1349</v>
      </c>
      <c r="D132" s="173" t="s">
        <v>49</v>
      </c>
      <c r="E132" s="173" t="s">
        <v>50</v>
      </c>
      <c r="F132" s="174">
        <v>0</v>
      </c>
      <c r="G132" s="174">
        <v>86</v>
      </c>
      <c r="H132" s="174">
        <v>1143</v>
      </c>
      <c r="I132" s="173" t="s">
        <v>51</v>
      </c>
      <c r="J132" s="174">
        <v>839</v>
      </c>
      <c r="K132" s="173" t="s">
        <v>53</v>
      </c>
      <c r="L132" s="175" t="str">
        <f>VLOOKUP(C132,'[7]Trips&amp;Operators'!$C$1:$E$9999,3,0)</f>
        <v>OUN</v>
      </c>
      <c r="M132" s="182" t="s">
        <v>86</v>
      </c>
      <c r="N132" s="177"/>
      <c r="P132" s="183" t="str">
        <f>VLOOKUP(C132,'[7]Train Runs'!$A$13:$AE$10015,31,0)</f>
        <v>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 &amp; aws s3 cp s3://rtdc.mdm.uploadarchive/RTDC4037/2016-09-03/ "%USERPROFILE%\AppData\Local\Temp\OnboardLogs"\RTDC4037\2016-09-03 --recursive &amp; "%USERPROFILE%\Documents\GitHub\mrs-test-scripts\Headless Mode &amp; Sideloading\WalkAndUnGZ.bat" "%USERPROFILE%\AppData\Local\Temp\OnboardLogs"\RTDC4037\2016-09-03</v>
      </c>
      <c r="Q132" s="184" t="str">
        <f>VLOOKUP(C132,'[7]Train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19:49:02-0600',mode:absolute,to:'2016-09-02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132" s="185" t="str">
        <f t="shared" si="18"/>
        <v>"C:\Program Files (x86)\AstroGrep\AstroGrep.exe" /spath="C:\Users\stu\Documents\Analysis\2016-02-23 RTDC Observations" /stypes="*4037*201609030*" /stext=" 03:.+((SYSTEM_STATE.+slice.+state.+changed )|(ment ac)|(system.+state.+changed )|(\|lc)|(penalty)|(\[timeout)|(PRM\|1\|D))" /e /r /s</v>
      </c>
      <c r="S132" s="176" t="str">
        <f t="shared" si="20"/>
        <v>4037</v>
      </c>
      <c r="T132" s="172">
        <f t="shared" si="21"/>
        <v>42616.149756944447</v>
      </c>
      <c r="U132" s="181" t="str">
        <f t="shared" si="23"/>
        <v>EC</v>
      </c>
      <c r="V132" s="181" t="str">
        <f t="shared" si="22"/>
        <v>KEEP</v>
      </c>
      <c r="W132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{"issue":{"subject":"","project_id":79,"tracker_id":40,"status_id":1,"priority_id":2,"assigned_to_id":23,"start_date":"2016-09-02","description":"","custom_fields":[{"id":1,"name":"Subdivision","value":"EC"},{"id":4,"name":"Milepost","value":"0.0839"},{"id":17,"name":"Train ID","value":"226-02"},{"id":16,"name":"Locomotive ID","value":"4037"},{"id":130,"name":"Impact","value":""},{"id":150,"name":"Time of Event (Mountain Time)","value":"21:35:39"},{"id":151,"name":"Denver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3" spans="1:23" x14ac:dyDescent="0.25">
      <c r="A133" s="172">
        <v>42615.900300925925</v>
      </c>
      <c r="B133" s="173" t="s">
        <v>139</v>
      </c>
      <c r="C133" s="173" t="s">
        <v>1349</v>
      </c>
      <c r="D133" s="173" t="s">
        <v>49</v>
      </c>
      <c r="E133" s="173" t="s">
        <v>50</v>
      </c>
      <c r="F133" s="174">
        <v>0</v>
      </c>
      <c r="G133" s="174">
        <v>36</v>
      </c>
      <c r="H133" s="174">
        <v>930</v>
      </c>
      <c r="I133" s="173" t="s">
        <v>51</v>
      </c>
      <c r="J133" s="174">
        <v>839</v>
      </c>
      <c r="K133" s="173" t="s">
        <v>53</v>
      </c>
      <c r="L133" s="175" t="str">
        <f>VLOOKUP(C133,'[7]Trips&amp;Operators'!$C$1:$E$9999,3,0)</f>
        <v>OUN</v>
      </c>
      <c r="M133" s="182" t="s">
        <v>86</v>
      </c>
      <c r="N133" s="177"/>
      <c r="P133" s="183" t="str">
        <f>VLOOKUP(C133,'[7]Train Runs'!$A$13:$AE$10015,31,0)</f>
        <v>aws s3 cp s3://rtdc.mdm.uploadarchive/RTDC4037/2016-09-02/ "%USERPROFILE%\AppData\Local\Temp\OnboardLogs"\RTDC4037\2016-09-02 --recursive &amp; "%USERPROFILE%\Documents\GitHub\mrs-test-scripts\Headless Mode &amp; Sideloading\WalkAndUnGZ.bat" "%USERPROFILE%\AppData\Local\Temp\OnboardLogs"\RTDC4037\2016-09-02 &amp; aws s3 cp s3://rtdc.mdm.uploadarchive/RTDC4037/2016-09-03/ "%USERPROFILE%\AppData\Local\Temp\OnboardLogs"\RTDC4037\2016-09-03 --recursive &amp; "%USERPROFILE%\Documents\GitHub\mrs-test-scripts\Headless Mode &amp; Sideloading\WalkAndUnGZ.bat" "%USERPROFILE%\AppData\Local\Temp\OnboardLogs"\RTDC4037\2016-09-03</v>
      </c>
      <c r="Q133" s="184" t="str">
        <f>VLOOKUP(C133,'[7]Train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19:49:02-0600',mode:absolute,to:'2016-09-02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133" s="185" t="str">
        <f t="shared" si="18"/>
        <v>"C:\Program Files (x86)\AstroGrep\AstroGrep.exe" /spath="C:\Users\stu\Documents\Analysis\2016-02-23 RTDC Observations" /stypes="*4037*201609030*" /stext=" 03:.+((SYSTEM_STATE.+slice.+state.+changed )|(ment ac)|(system.+state.+changed )|(\|lc)|(penalty)|(\[timeout)|(PRM\|1\|D))" /e /r /s</v>
      </c>
      <c r="S133" s="176" t="str">
        <f t="shared" si="20"/>
        <v>4037</v>
      </c>
      <c r="T133" s="172">
        <f t="shared" si="21"/>
        <v>42616.150300925925</v>
      </c>
      <c r="U133" s="181" t="str">
        <f t="shared" si="23"/>
        <v>EC</v>
      </c>
      <c r="V133" s="181" t="str">
        <f t="shared" si="22"/>
        <v>KEEP</v>
      </c>
      <c r="W133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{"issue":{"subject":"","project_id":79,"tracker_id":40,"status_id":1,"priority_id":2,"assigned_to_id":23,"start_date":"2016-09-02","description":"","custom_fields":[{"id":1,"name":"Subdivision","value":"EC"},{"id":4,"name":"Milepost","value":"0.0839"},{"id":17,"name":"Train ID","value":"226-02"},{"id":16,"name":"Locomotive ID","value":"4037"},{"id":130,"name":"Impact","value":""},{"id":150,"name":"Time of Event (Mountain Time)","value":"21:36:26"},{"id":151,"name":"Denver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4" spans="1:23" x14ac:dyDescent="0.25">
      <c r="A134" s="172">
        <v>42615.161782407406</v>
      </c>
      <c r="B134" s="173" t="s">
        <v>1167</v>
      </c>
      <c r="C134" s="173" t="s">
        <v>1168</v>
      </c>
      <c r="D134" s="173" t="s">
        <v>49</v>
      </c>
      <c r="E134" s="173" t="s">
        <v>50</v>
      </c>
      <c r="F134" s="174">
        <v>0</v>
      </c>
      <c r="G134" s="174">
        <v>146</v>
      </c>
      <c r="H134" s="174">
        <v>232879</v>
      </c>
      <c r="I134" s="173" t="s">
        <v>51</v>
      </c>
      <c r="J134" s="174">
        <v>233491</v>
      </c>
      <c r="K134" s="173" t="s">
        <v>52</v>
      </c>
      <c r="L134" s="175" t="str">
        <f>VLOOKUP(C134,'[7]Trips&amp;Operators'!$C$1:$E$9999,3,0)</f>
        <v>MAELZER</v>
      </c>
      <c r="M134" s="182" t="s">
        <v>86</v>
      </c>
      <c r="N134" s="177"/>
      <c r="P134" s="183" t="str">
        <f>VLOOKUP(C134,'[7]Train Runs'!$A$13:$AE$10015,31,0)</f>
        <v>aws s3 cp s3://rtdc.mdm.uploadarchive/RTDC4053/2016-09-02/ "%USERPROFILE%\AppData\Local\Temp\OnboardLogs"\RTDC4053\2016-09-02 --recursive &amp; "%USERPROFILE%\Documents\GitHub\mrs-test-scripts\Headless Mode &amp; Sideloading\WalkAndUnGZ.bat" "%USERPROFILE%\AppData\Local\Temp\OnboardLogs"\RTDC4053\2016-09-02 &amp; aws s3 cp s3://rtdc.mdm.uploadarchive/RTDC4053/2016-09-03/ "%USERPROFILE%\AppData\Local\Temp\OnboardLogs"\RTDC4053\2016-09-03 --recursive &amp; "%USERPROFILE%\Documents\GitHub\mrs-test-scripts\Headless Mode &amp; Sideloading\WalkAndUnGZ.bat" "%USERPROFILE%\AppData\Local\Temp\OnboardLogs"\RTDC4053\2016-09-03</v>
      </c>
      <c r="Q134" s="184" t="str">
        <f>VLOOKUP(C134,'[7]Train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02:05:15-0600',mode:absolute,to:'2016-09-02 04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4053%22')),sort:!(Time,asc))</v>
      </c>
      <c r="R134" s="185" t="str">
        <f t="shared" si="18"/>
        <v>"C:\Program Files (x86)\AstroGrep\AstroGrep.exe" /spath="C:\Users\stu\Documents\Analysis\2016-02-23 RTDC Observations" /stypes="*4053*201609020*" /stext=" 09:.+((SYSTEM_STATE.+slice.+state.+changed )|(ment ac)|(system.+state.+changed )|(\|lc)|(penalty)|(\[timeout)|(PRM\|1\|D))" /e /r /s</v>
      </c>
      <c r="S134" s="176" t="str">
        <f t="shared" si="20"/>
        <v>4053</v>
      </c>
      <c r="T134" s="172">
        <f t="shared" si="21"/>
        <v>42615.411782407406</v>
      </c>
      <c r="U134" s="181" t="str">
        <f t="shared" si="23"/>
        <v>EC</v>
      </c>
      <c r="V134" s="181" t="str">
        <f t="shared" si="22"/>
        <v>KEEP</v>
      </c>
      <c r="W134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{"issue":{"subject":"","project_id":79,"tracker_id":40,"status_id":1,"priority_id":2,"assigned_to_id":23,"start_date":"2016-09-02","description":"","custom_fields":[{"id":1,"name":"Subdivision","value":"EC"},{"id":4,"name":"Milepost","value":"23.3491"},{"id":17,"name":"Train ID","value":"101-02"},{"id":16,"name":"Locomotive ID","value":"4053"},{"id":130,"name":"Impact","value":""},{"id":150,"name":"Time of Event (Mountain Time)","value":"03:52:58"},{"id":151,"name":"Denver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5" spans="1:23" x14ac:dyDescent="0.25">
      <c r="A135" s="172">
        <v>42615.495034722226</v>
      </c>
      <c r="B135" s="173" t="s">
        <v>151</v>
      </c>
      <c r="C135" s="173" t="s">
        <v>1244</v>
      </c>
      <c r="D135" s="173" t="s">
        <v>49</v>
      </c>
      <c r="E135" s="173" t="s">
        <v>50</v>
      </c>
      <c r="F135" s="174">
        <v>0</v>
      </c>
      <c r="G135" s="174">
        <v>73</v>
      </c>
      <c r="H135" s="174">
        <v>233200</v>
      </c>
      <c r="I135" s="173" t="s">
        <v>51</v>
      </c>
      <c r="J135" s="174">
        <v>233491</v>
      </c>
      <c r="K135" s="173" t="s">
        <v>52</v>
      </c>
      <c r="L135" s="175" t="str">
        <f>VLOOKUP(C135,'[7]Trips&amp;Operators'!$C$1:$E$9999,3,0)</f>
        <v>CLARK</v>
      </c>
      <c r="M135" s="182" t="s">
        <v>86</v>
      </c>
      <c r="N135" s="177"/>
      <c r="P135" s="183" t="str">
        <f>VLOOKUP(C135,'[7]Train Runs'!$A$13:$AE$10015,31,0)</f>
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</c>
      <c r="Q135" s="184" t="str">
        <f>VLOOKUP(C135,'[7]Train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10:08:29-0600',mode:absolute,to:'2016-09-02 12:52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135" s="185" t="str">
        <f t="shared" si="18"/>
        <v>"C:\Program Files (x86)\AstroGrep\AstroGrep.exe" /spath="C:\Users\stu\Documents\Analysis\2016-02-23 RTDC Observations" /stypes="*4009*201609021*" /stext=" 17:.+((SYSTEM_STATE.+slice.+state.+changed )|(ment ac)|(system.+state.+changed )|(\|lc)|(penalty)|(\[timeout)|(PRM\|1\|D))" /e /r /s</v>
      </c>
      <c r="S135" s="176" t="str">
        <f t="shared" si="20"/>
        <v>4009</v>
      </c>
      <c r="T135" s="172">
        <f t="shared" si="21"/>
        <v>42615.745034722226</v>
      </c>
      <c r="U135" s="181" t="str">
        <f t="shared" si="23"/>
        <v>EC</v>
      </c>
      <c r="V135" s="181" t="str">
        <f t="shared" si="22"/>
        <v>KEEP</v>
      </c>
      <c r="W135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{"issue":{"subject":"","project_id":79,"tracker_id":40,"status_id":1,"priority_id":2,"assigned_to_id":23,"start_date":"2016-09-02","description":"","custom_fields":[{"id":1,"name":"Subdivision","value":"EC"},{"id":4,"name":"Milepost","value":"23.3491"},{"id":17,"name":"Train ID","value":"161-02"},{"id":16,"name":"Locomotive ID","value":"4009"},{"id":130,"name":"Impact","value":""},{"id":150,"name":"Time of Event (Mountain Time)","value":"11:52:51"},{"id":151,"name":"Denver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6" spans="1:23" x14ac:dyDescent="0.25">
      <c r="A136" s="172">
        <v>42615.713530092595</v>
      </c>
      <c r="B136" s="173" t="s">
        <v>151</v>
      </c>
      <c r="C136" s="173" t="s">
        <v>1302</v>
      </c>
      <c r="D136" s="173" t="s">
        <v>49</v>
      </c>
      <c r="E136" s="173" t="s">
        <v>50</v>
      </c>
      <c r="F136" s="174">
        <v>0</v>
      </c>
      <c r="G136" s="174">
        <v>92</v>
      </c>
      <c r="H136" s="174">
        <v>233086</v>
      </c>
      <c r="I136" s="173" t="s">
        <v>51</v>
      </c>
      <c r="J136" s="174">
        <v>233491</v>
      </c>
      <c r="K136" s="173" t="s">
        <v>52</v>
      </c>
      <c r="L136" s="175" t="str">
        <f>VLOOKUP(C136,'[7]Trips&amp;Operators'!$C$1:$E$9999,3,0)</f>
        <v>CLARK</v>
      </c>
      <c r="M136" s="182" t="s">
        <v>86</v>
      </c>
      <c r="N136" s="177"/>
      <c r="P136" s="183" t="str">
        <f>VLOOKUP(C136,'[7]Train Runs'!$A$13:$AE$10015,31,0)</f>
        <v>aws s3 cp s3://rtdc.mdm.uploadarchive/RTDC4009/2016-09-02/ "%USERPROFILE%\AppData\Local\Temp\OnboardLogs"\RTDC4009\2016-09-02 --recursive &amp; "%USERPROFILE%\Documents\GitHub\mrs-test-scripts\Headless Mode &amp; Sideloading\WalkAndUnGZ.bat" "%USERPROFILE%\AppData\Local\Temp\OnboardLogs"\RTDC4009\2016-09-02 &amp; aws s3 cp s3://rtdc.mdm.uploadarchive/RTDC4009/2016-09-03/ "%USERPROFILE%\AppData\Local\Temp\OnboardLogs"\RTDC4009\2016-09-03 --recursive &amp; "%USERPROFILE%\Documents\GitHub\mrs-test-scripts\Headless Mode &amp; Sideloading\WalkAndUnGZ.bat" "%USERPROFILE%\AppData\Local\Temp\OnboardLogs"\RTDC4009\2016-09-03</v>
      </c>
      <c r="Q136" s="184" t="str">
        <f>VLOOKUP(C136,'[7]Train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15:28:15-0600',mode:absolute,to:'2016-09-02 18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136" s="185" t="str">
        <f t="shared" si="18"/>
        <v>"C:\Program Files (x86)\AstroGrep\AstroGrep.exe" /spath="C:\Users\stu\Documents\Analysis\2016-02-23 RTDC Observations" /stypes="*4009*201609022*" /stext=" 23:.+((SYSTEM_STATE.+slice.+state.+changed )|(ment ac)|(system.+state.+changed )|(\|lc)|(penalty)|(\[timeout)|(PRM\|1\|D))" /e /r /s</v>
      </c>
      <c r="S136" s="176" t="str">
        <f t="shared" si="20"/>
        <v>4009</v>
      </c>
      <c r="T136" s="172">
        <f t="shared" si="21"/>
        <v>42615.963530092595</v>
      </c>
      <c r="U136" s="181" t="str">
        <f t="shared" si="23"/>
        <v>EC</v>
      </c>
      <c r="V136" s="181" t="str">
        <f t="shared" si="22"/>
        <v>KEEP</v>
      </c>
      <c r="W136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{"issue":{"subject":"","project_id":79,"tracker_id":40,"status_id":1,"priority_id":2,"assigned_to_id":23,"start_date":"2016-09-02","description":"","custom_fields":[{"id":1,"name":"Subdivision","value":"EC"},{"id":4,"name":"Milepost","value":"23.3491"},{"id":17,"name":"Train ID","value":"203-02"},{"id":16,"name":"Locomotive ID","value":"4009"},{"id":130,"name":"Impact","value":""},{"id":150,"name":"Time of Event (Mountain Time)","value":"17:07:29"},{"id":151,"name":"Denver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7" spans="1:23" x14ac:dyDescent="0.25">
      <c r="A137" s="172">
        <v>42615.723981481482</v>
      </c>
      <c r="B137" s="173" t="s">
        <v>228</v>
      </c>
      <c r="C137" s="173" t="s">
        <v>1306</v>
      </c>
      <c r="D137" s="173" t="s">
        <v>49</v>
      </c>
      <c r="E137" s="173" t="s">
        <v>50</v>
      </c>
      <c r="F137" s="174">
        <v>0</v>
      </c>
      <c r="G137" s="174">
        <v>55</v>
      </c>
      <c r="H137" s="174">
        <v>233297</v>
      </c>
      <c r="I137" s="173" t="s">
        <v>51</v>
      </c>
      <c r="J137" s="174">
        <v>233491</v>
      </c>
      <c r="K137" s="173" t="s">
        <v>52</v>
      </c>
      <c r="L137" s="175" t="str">
        <f>VLOOKUP(C137,'[7]Trips&amp;Operators'!$C$1:$E$9999,3,0)</f>
        <v>BONDS</v>
      </c>
      <c r="M137" s="182" t="s">
        <v>86</v>
      </c>
      <c r="N137" s="177"/>
      <c r="P137" s="183" t="str">
        <f>VLOOKUP(C137,'[7]Train Runs'!$A$13:$AE$10015,31,0)</f>
        <v>aws s3 cp s3://rtdc.mdm.uploadarchive/RTDC4044/2016-09-02/ "%USERPROFILE%\AppData\Local\Temp\OnboardLogs"\RTDC4044\2016-09-02 --recursive &amp; "%USERPROFILE%\Documents\GitHub\mrs-test-scripts\Headless Mode &amp; Sideloading\WalkAndUnGZ.bat" "%USERPROFILE%\AppData\Local\Temp\OnboardLogs"\RTDC4044\2016-09-02 &amp; 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</v>
      </c>
      <c r="Q137" s="184" t="str">
        <f>VLOOKUP(C137,'[7]Train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15:38:58-0600',mode:absolute,to:'2016-09-02 18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137" s="185" t="str">
        <f t="shared" si="18"/>
        <v>"C:\Program Files (x86)\AstroGrep\AstroGrep.exe" /spath="C:\Users\stu\Documents\Analysis\2016-02-23 RTDC Observations" /stypes="*4044*201609022*" /stext=" 23:.+((SYSTEM_STATE.+slice.+state.+changed )|(ment ac)|(system.+state.+changed )|(\|lc)|(penalty)|(\[timeout)|(PRM\|1\|D))" /e /r /s</v>
      </c>
      <c r="S137" s="176" t="str">
        <f t="shared" si="20"/>
        <v>4044</v>
      </c>
      <c r="T137" s="172">
        <f t="shared" si="21"/>
        <v>42615.973981481482</v>
      </c>
      <c r="U137" s="181" t="str">
        <f t="shared" si="23"/>
        <v>EC</v>
      </c>
      <c r="V137" s="181" t="str">
        <f t="shared" si="22"/>
        <v>KEEP</v>
      </c>
      <c r="W137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{"issue":{"subject":"","project_id":79,"tracker_id":40,"status_id":1,"priority_id":2,"assigned_to_id":23,"start_date":"2016-09-02","description":"","custom_fields":[{"id":1,"name":"Subdivision","value":"EC"},{"id":4,"name":"Milepost","value":"23.3491"},{"id":17,"name":"Train ID","value":"205-02"},{"id":16,"name":"Locomotive ID","value":"4044"},{"id":130,"name":"Impact","value":""},{"id":150,"name":"Time of Event (Mountain Time)","value":"17:22:32"},{"id":151,"name":"Denver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8" spans="1:23" x14ac:dyDescent="0.25">
      <c r="A138" s="172">
        <v>42615.823425925926</v>
      </c>
      <c r="B138" s="173" t="s">
        <v>113</v>
      </c>
      <c r="C138" s="173" t="s">
        <v>1331</v>
      </c>
      <c r="D138" s="173" t="s">
        <v>49</v>
      </c>
      <c r="E138" s="173" t="s">
        <v>50</v>
      </c>
      <c r="F138" s="174">
        <v>0</v>
      </c>
      <c r="G138" s="174">
        <v>56</v>
      </c>
      <c r="H138" s="174">
        <v>233291</v>
      </c>
      <c r="I138" s="173" t="s">
        <v>51</v>
      </c>
      <c r="J138" s="174">
        <v>233491</v>
      </c>
      <c r="K138" s="173" t="s">
        <v>52</v>
      </c>
      <c r="L138" s="175" t="str">
        <f>VLOOKUP(C138,'[7]Trips&amp;Operators'!$C$1:$E$9999,3,0)</f>
        <v>HAITHCOX</v>
      </c>
      <c r="M138" s="182" t="s">
        <v>86</v>
      </c>
      <c r="N138" s="177"/>
      <c r="P138" s="183" t="str">
        <f>VLOOKUP(C138,'[7]Train Runs'!$A$13:$AE$10015,31,0)</f>
        <v>aws s3 cp s3://rtdc.mdm.uploadarchive/RTDC4031/2016-09-02/ "%USERPROFILE%\AppData\Local\Temp\OnboardLogs"\RTDC4031\2016-09-02 --recursive &amp; "%USERPROFILE%\Documents\GitHub\mrs-test-scripts\Headless Mode &amp; Sideloading\WalkAndUnGZ.bat" "%USERPROFILE%\AppData\Local\Temp\OnboardLogs"\RTDC4031\2016-09-02 &amp; 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</v>
      </c>
      <c r="Q138" s="184" t="str">
        <f>VLOOKUP(C138,'[7]Train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17:53:30-0600',mode:absolute,to:'2016-09-02 20:45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138" s="185" t="str">
        <f t="shared" si="18"/>
        <v>"C:\Program Files (x86)\AstroGrep\AstroGrep.exe" /spath="C:\Users\stu\Documents\Analysis\2016-02-23 RTDC Observations" /stypes="*4031*201609030*" /stext=" 01:.+((SYSTEM_STATE.+slice.+state.+changed )|(ment ac)|(system.+state.+changed )|(\|lc)|(penalty)|(\[timeout)|(PRM\|1\|D))" /e /r /s</v>
      </c>
      <c r="S138" s="176" t="str">
        <f t="shared" si="20"/>
        <v>4031</v>
      </c>
      <c r="T138" s="172">
        <f t="shared" si="21"/>
        <v>42616.073425925926</v>
      </c>
      <c r="U138" s="181" t="str">
        <f t="shared" si="23"/>
        <v>EC</v>
      </c>
      <c r="V138" s="181" t="str">
        <f t="shared" si="22"/>
        <v>KEEP</v>
      </c>
      <c r="W138" s="186" t="str">
        <f t="shared" si="19"/>
        <v>echo {"issue":{"subject":"","project_id":79,"tracker_id":40,"status_id":1,"priority_id":2,"assigned_to_id":23,"start_date":"2016-09-02","description":"","custom_fields":[{"id":1,"name":"Subdivision","value":"EC"},{"id":4,"name":"Milepost","value":"23.3491"},{"id":17,"name":"Train ID","value":"221-02"},{"id":16,"name":"Locomotive ID","value":"4031"},{"id":130,"name":"Impact","value":""},{"id":150,"name":"Time of Event (Mountain Time)","value":"19:45:44"},{"id":151,"name":"Denver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39" spans="1:23" x14ac:dyDescent="0.25">
      <c r="A139" s="172">
        <v>42615.328726851854</v>
      </c>
      <c r="B139" s="173" t="s">
        <v>781</v>
      </c>
      <c r="C139" s="173" t="s">
        <v>1204</v>
      </c>
      <c r="D139" s="173" t="s">
        <v>110</v>
      </c>
      <c r="E139" s="173" t="s">
        <v>56</v>
      </c>
      <c r="F139" s="174">
        <v>150</v>
      </c>
      <c r="G139" s="174">
        <v>203</v>
      </c>
      <c r="H139" s="174">
        <v>5470</v>
      </c>
      <c r="I139" s="173" t="s">
        <v>57</v>
      </c>
      <c r="J139" s="174">
        <v>574</v>
      </c>
      <c r="K139" s="173" t="s">
        <v>52</v>
      </c>
      <c r="L139" s="175" t="str">
        <f>VLOOKUP(C139,'[7]Trips&amp;Operators'!$C$1:$E$9999,3,0)</f>
        <v>STRICKLAND</v>
      </c>
      <c r="M139" s="182" t="s">
        <v>86</v>
      </c>
      <c r="N139" s="177"/>
      <c r="P139" s="183" t="str">
        <f>VLOOKUP(C139,'[7]Train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139" s="184" t="str">
        <f>VLOOKUP(C139,'[7]Train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06:43:51-0600',mode:absolute,to:'2016-09-02 09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39" s="185" t="str">
        <f t="shared" si="18"/>
        <v>"C:\Program Files (x86)\AstroGrep\AstroGrep.exe" /spath="C:\Users\stu\Documents\Analysis\2016-02-23 RTDC Observations" /stypes="*4007*201609021*" /stext=" 13:.+((SYSTEM_STATE.+slice.+state.+changed )|(ment ac)|(system.+state.+changed )|(\|lc)|(penalty)|(\[timeout)|(PRM\|1\|D))" /e /r /s</v>
      </c>
      <c r="S139" s="176" t="str">
        <f t="shared" si="20"/>
        <v>4007</v>
      </c>
      <c r="T139" s="172">
        <f t="shared" si="21"/>
        <v>42615.578726851854</v>
      </c>
      <c r="U139" s="181" t="str">
        <f t="shared" si="23"/>
        <v>NW</v>
      </c>
      <c r="V139" s="181" t="str">
        <f t="shared" si="22"/>
        <v>KEEP</v>
      </c>
      <c r="W139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{"issue":{"subject":"","project_id":79,"tracker_id":40,"status_id":1,"priority_id":2,"assigned_to_id":23,"start_date":"2016-09-02","description":"","custom_fields":[{"id":1,"name":"Subdivision","value":"NW"},{"id":4,"name":"Milepost","value":"0.0574"},{"id":17,"name":"Train ID","value":"809-02"},{"id":16,"name":"Locomotive ID","value":"4007"},{"id":130,"name":"Impact","value":""},{"id":150,"name":"Time of Event (Mountain Time)","value":"07:53:22"},{"id":151,"name":"Denver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0" spans="1:23" x14ac:dyDescent="0.25">
      <c r="A140" s="172">
        <v>42615.3356712963</v>
      </c>
      <c r="B140" s="173" t="s">
        <v>781</v>
      </c>
      <c r="C140" s="173" t="s">
        <v>1204</v>
      </c>
      <c r="D140" s="173" t="s">
        <v>110</v>
      </c>
      <c r="E140" s="173" t="s">
        <v>56</v>
      </c>
      <c r="F140" s="174">
        <v>300</v>
      </c>
      <c r="G140" s="174">
        <v>351</v>
      </c>
      <c r="H140" s="174">
        <v>41164</v>
      </c>
      <c r="I140" s="173" t="s">
        <v>57</v>
      </c>
      <c r="J140" s="174">
        <v>39716</v>
      </c>
      <c r="K140" s="173" t="s">
        <v>52</v>
      </c>
      <c r="L140" s="175" t="str">
        <f>VLOOKUP(C140,'[7]Trips&amp;Operators'!$C$1:$E$9999,3,0)</f>
        <v>STRICKLAND</v>
      </c>
      <c r="M140" s="182" t="s">
        <v>86</v>
      </c>
      <c r="N140" s="177"/>
      <c r="P140" s="183" t="str">
        <f>VLOOKUP(C140,'[7]Train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140" s="184" t="str">
        <f>VLOOKUP(C140,'[7]Train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06:43:51-0600',mode:absolute,to:'2016-09-02 09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40" s="185" t="str">
        <f t="shared" si="18"/>
        <v>"C:\Program Files (x86)\AstroGrep\AstroGrep.exe" /spath="C:\Users\stu\Documents\Analysis\2016-02-23 RTDC Observations" /stypes="*4007*201609021*" /stext=" 14:.+((SYSTEM_STATE.+slice.+state.+changed )|(ment ac)|(system.+state.+changed )|(\|lc)|(penalty)|(\[timeout)|(PRM\|1\|D))" /e /r /s</v>
      </c>
      <c r="S140" s="176" t="str">
        <f t="shared" si="20"/>
        <v>4007</v>
      </c>
      <c r="T140" s="172">
        <f t="shared" si="21"/>
        <v>42615.5856712963</v>
      </c>
      <c r="U140" s="181" t="str">
        <f t="shared" si="23"/>
        <v>NW</v>
      </c>
      <c r="V140" s="181" t="str">
        <f t="shared" si="22"/>
        <v>KEEP</v>
      </c>
      <c r="W140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{"issue":{"subject":"","project_id":79,"tracker_id":40,"status_id":1,"priority_id":2,"assigned_to_id":23,"start_date":"2016-09-02","description":"","custom_fields":[{"id":1,"name":"Subdivision","value":"NW"},{"id":4,"name":"Milepost","value":"3.9716"},{"id":17,"name":"Train ID","value":"809-02"},{"id":16,"name":"Locomotive ID","value":"4007"},{"id":130,"name":"Impact","value":""},{"id":150,"name":"Time of Event (Mountain Time)","value":"08:03:22"},{"id":151,"name":"Denver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1" spans="1:23" x14ac:dyDescent="0.25">
      <c r="A141" s="172">
        <v>42615.293715277781</v>
      </c>
      <c r="B141" s="173" t="s">
        <v>781</v>
      </c>
      <c r="C141" s="173" t="s">
        <v>1194</v>
      </c>
      <c r="D141" s="173" t="s">
        <v>49</v>
      </c>
      <c r="E141" s="173" t="s">
        <v>56</v>
      </c>
      <c r="F141" s="174">
        <v>150</v>
      </c>
      <c r="G141" s="174">
        <v>304</v>
      </c>
      <c r="H141" s="174">
        <v>56270</v>
      </c>
      <c r="I141" s="173" t="s">
        <v>57</v>
      </c>
      <c r="J141" s="174">
        <v>57008</v>
      </c>
      <c r="K141" s="173" t="s">
        <v>52</v>
      </c>
      <c r="L141" s="175" t="str">
        <f>VLOOKUP(C141,'[7]Trips&amp;Operators'!$C$1:$E$9999,3,0)</f>
        <v>STRICKLAND</v>
      </c>
      <c r="M141" s="182" t="s">
        <v>86</v>
      </c>
      <c r="N141" s="177"/>
      <c r="P141" s="183" t="str">
        <f>VLOOKUP(C141,'[7]Train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141" s="184" t="str">
        <f>VLOOKUP(C141,'[7]Train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05:41:43-0600',mode:absolute,to:'2016-09-02 08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41" s="185" t="str">
        <f t="shared" si="18"/>
        <v>"C:\Program Files (x86)\AstroGrep\AstroGrep.exe" /spath="C:\Users\stu\Documents\Analysis\2016-02-23 RTDC Observations" /stypes="*4007*201609021*" /stext=" 13:.+((SYSTEM_STATE.+slice.+state.+changed )|(ment ac)|(system.+state.+changed )|(\|lc)|(penalty)|(\[timeout)|(PRM\|1\|D))" /e /r /s</v>
      </c>
      <c r="S141" s="176" t="str">
        <f t="shared" si="20"/>
        <v>4007</v>
      </c>
      <c r="T141" s="172">
        <f t="shared" si="21"/>
        <v>42615.543715277781</v>
      </c>
      <c r="U141" s="181" t="str">
        <f t="shared" si="23"/>
        <v>NW</v>
      </c>
      <c r="V141" s="181" t="str">
        <f t="shared" si="22"/>
        <v>KEEP</v>
      </c>
      <c r="W141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{"issue":{"subject":"","project_id":79,"tracker_id":40,"status_id":1,"priority_id":2,"assigned_to_id":23,"start_date":"2016-09-02","description":"","custom_fields":[{"id":1,"name":"Subdivision","value":"NW"},{"id":4,"name":"Milepost","value":"5.7008"},{"id":17,"name":"Train ID","value":"805-02"},{"id":16,"name":"Locomotive ID","value":"4007"},{"id":130,"name":"Impact","value":""},{"id":150,"name":"Time of Event (Mountain Time)","value":"07:02:57"},{"id":151,"name":"Denver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2" spans="1:23" x14ac:dyDescent="0.25">
      <c r="A142" s="172">
        <v>42615.564282407409</v>
      </c>
      <c r="B142" s="173" t="s">
        <v>257</v>
      </c>
      <c r="C142" s="173" t="s">
        <v>1268</v>
      </c>
      <c r="D142" s="173" t="s">
        <v>49</v>
      </c>
      <c r="E142" s="173" t="s">
        <v>56</v>
      </c>
      <c r="F142" s="174">
        <v>150</v>
      </c>
      <c r="G142" s="174">
        <v>405</v>
      </c>
      <c r="H142" s="174">
        <v>55642</v>
      </c>
      <c r="I142" s="173" t="s">
        <v>57</v>
      </c>
      <c r="J142" s="174">
        <v>57008</v>
      </c>
      <c r="K142" s="173" t="s">
        <v>52</v>
      </c>
      <c r="L142" s="175" t="str">
        <f>VLOOKUP(C142,'[7]Trips&amp;Operators'!$C$1:$E$9999,3,0)</f>
        <v>MAHAN</v>
      </c>
      <c r="M142" s="182" t="s">
        <v>86</v>
      </c>
      <c r="N142" s="177"/>
      <c r="P142" s="183" t="str">
        <f>VLOOKUP(C142,'[7]Train Runs'!$A$13:$AE$10015,31,0)</f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Q142" s="184" t="str">
        <f>VLOOKUP(C142,'[7]Train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12:17:02-0600',mode:absolute,to:'2016-09-02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42" s="185" t="str">
        <f t="shared" si="18"/>
        <v>"C:\Program Files (x86)\AstroGrep\AstroGrep.exe" /spath="C:\Users\stu\Documents\Analysis\2016-02-23 RTDC Observations" /stypes="*4025*201609021*" /stext=" 19:.+((SYSTEM_STATE.+slice.+state.+changed )|(ment ac)|(system.+state.+changed )|(\|lc)|(penalty)|(\[timeout)|(PRM\|1\|D))" /e /r /s</v>
      </c>
      <c r="S142" s="176" t="str">
        <f t="shared" si="20"/>
        <v>4025</v>
      </c>
      <c r="T142" s="172">
        <f t="shared" si="21"/>
        <v>42615.814282407409</v>
      </c>
      <c r="U142" s="181" t="str">
        <f t="shared" si="23"/>
        <v>NW</v>
      </c>
      <c r="V142" s="181" t="str">
        <f t="shared" si="22"/>
        <v>KEEP</v>
      </c>
      <c r="W142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{"issue":{"subject":"","project_id":79,"tracker_id":40,"status_id":1,"priority_id":2,"assigned_to_id":23,"start_date":"2016-09-02","description":"","custom_fields":[{"id":1,"name":"Subdivision","value":"NW"},{"id":4,"name":"Milepost","value":"5.7008"},{"id":17,"name":"Train ID","value":"821-02"},{"id":16,"name":"Locomotive ID","value":"4025"},{"id":130,"name":"Impact","value":""},{"id":150,"name":"Time of Event (Mountain Time)","value":"13:32:34"},{"id":151,"name":"Denver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3" spans="1:23" x14ac:dyDescent="0.25">
      <c r="A143" s="172">
        <v>42615.606388888889</v>
      </c>
      <c r="B143" s="173" t="s">
        <v>257</v>
      </c>
      <c r="C143" s="173" t="s">
        <v>1278</v>
      </c>
      <c r="D143" s="173" t="s">
        <v>49</v>
      </c>
      <c r="E143" s="173" t="s">
        <v>56</v>
      </c>
      <c r="F143" s="174">
        <v>150</v>
      </c>
      <c r="G143" s="174">
        <v>445</v>
      </c>
      <c r="H143" s="174">
        <v>54990</v>
      </c>
      <c r="I143" s="173" t="s">
        <v>57</v>
      </c>
      <c r="J143" s="174">
        <v>57008</v>
      </c>
      <c r="K143" s="173" t="s">
        <v>52</v>
      </c>
      <c r="L143" s="175" t="str">
        <f>VLOOKUP(C143,'[7]Trips&amp;Operators'!$C$1:$E$9999,3,0)</f>
        <v>MAHAN</v>
      </c>
      <c r="M143" s="182" t="s">
        <v>86</v>
      </c>
      <c r="N143" s="177"/>
      <c r="P143" s="183" t="str">
        <f>VLOOKUP(C143,'[7]Train Runs'!$A$13:$AE$10015,31,0)</f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Q143" s="184" t="str">
        <f>VLOOKUP(C143,'[7]Train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13:16:39-0600',mode:absolute,to:'2016-09-02 15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43" s="185" t="str">
        <f t="shared" si="18"/>
        <v>"C:\Program Files (x86)\AstroGrep\AstroGrep.exe" /spath="C:\Users\stu\Documents\Analysis\2016-02-23 RTDC Observations" /stypes="*4025*201609022*" /stext=" 20:.+((SYSTEM_STATE.+slice.+state.+changed )|(ment ac)|(system.+state.+changed )|(\|lc)|(penalty)|(\[timeout)|(PRM\|1\|D))" /e /r /s</v>
      </c>
      <c r="S143" s="176" t="str">
        <f t="shared" si="20"/>
        <v>4025</v>
      </c>
      <c r="T143" s="172">
        <f t="shared" si="21"/>
        <v>42615.856388888889</v>
      </c>
      <c r="U143" s="181" t="str">
        <f t="shared" si="23"/>
        <v>NW</v>
      </c>
      <c r="V143" s="181" t="str">
        <f t="shared" si="22"/>
        <v>KEEP</v>
      </c>
      <c r="W143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{"issue":{"subject":"","project_id":79,"tracker_id":40,"status_id":1,"priority_id":2,"assigned_to_id":23,"start_date":"2016-09-02","description":"","custom_fields":[{"id":1,"name":"Subdivision","value":"NW"},{"id":4,"name":"Milepost","value":"5.7008"},{"id":17,"name":"Train ID","value":"823-02"},{"id":16,"name":"Locomotive ID","value":"4025"},{"id":130,"name":"Impact","value":""},{"id":150,"name":"Time of Event (Mountain Time)","value":"14:33:12"},{"id":151,"name":"Denver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4" spans="1:23" x14ac:dyDescent="0.25">
      <c r="A144" s="172">
        <v>42615.689375000002</v>
      </c>
      <c r="B144" s="173" t="s">
        <v>257</v>
      </c>
      <c r="C144" s="173" t="s">
        <v>1300</v>
      </c>
      <c r="D144" s="173" t="s">
        <v>49</v>
      </c>
      <c r="E144" s="173" t="s">
        <v>56</v>
      </c>
      <c r="F144" s="174">
        <v>150</v>
      </c>
      <c r="G144" s="174">
        <v>218</v>
      </c>
      <c r="H144" s="174">
        <v>56896</v>
      </c>
      <c r="I144" s="173" t="s">
        <v>57</v>
      </c>
      <c r="J144" s="174">
        <v>57008</v>
      </c>
      <c r="K144" s="173" t="s">
        <v>52</v>
      </c>
      <c r="L144" s="175" t="str">
        <f>VLOOKUP(C144,'[7]Trips&amp;Operators'!$C$1:$E$9999,3,0)</f>
        <v>MAHAN</v>
      </c>
      <c r="M144" s="182" t="s">
        <v>86</v>
      </c>
      <c r="N144" s="177"/>
      <c r="P144" s="183" t="str">
        <f>VLOOKUP(C144,'[7]Train Runs'!$A$13:$AE$10015,31,0)</f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Q144" s="184" t="str">
        <f>VLOOKUP(C144,'[7]Train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15:16:18-0600',mode:absolute,to:'2016-09-02 17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44" s="185" t="str">
        <f t="shared" si="18"/>
        <v>"C:\Program Files (x86)\AstroGrep\AstroGrep.exe" /spath="C:\Users\stu\Documents\Analysis\2016-02-23 RTDC Observations" /stypes="*4025*201609022*" /stext=" 22:.+((SYSTEM_STATE.+slice.+state.+changed )|(ment ac)|(system.+state.+changed )|(\|lc)|(penalty)|(\[timeout)|(PRM\|1\|D))" /e /r /s</v>
      </c>
      <c r="S144" s="176" t="str">
        <f t="shared" si="20"/>
        <v>4025</v>
      </c>
      <c r="T144" s="172">
        <f t="shared" si="21"/>
        <v>42615.939375000002</v>
      </c>
      <c r="U144" s="181" t="str">
        <f t="shared" si="23"/>
        <v>NW</v>
      </c>
      <c r="V144" s="181" t="str">
        <f t="shared" si="22"/>
        <v>KEEP</v>
      </c>
      <c r="W144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{"issue":{"subject":"","project_id":79,"tracker_id":40,"status_id":1,"priority_id":2,"assigned_to_id":23,"start_date":"2016-09-02","description":"","custom_fields":[{"id":1,"name":"Subdivision","value":"NW"},{"id":4,"name":"Milepost","value":"5.7008"},{"id":17,"name":"Train ID","value":"829-02"},{"id":16,"name":"Locomotive ID","value":"4025"},{"id":130,"name":"Impact","value":""},{"id":150,"name":"Time of Event (Mountain Time)","value":"16:32:42"},{"id":151,"name":"Denver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5" spans="1:23" x14ac:dyDescent="0.25">
      <c r="A145" s="172">
        <v>42615.217905092592</v>
      </c>
      <c r="B145" s="173" t="s">
        <v>720</v>
      </c>
      <c r="C145" s="173" t="s">
        <v>1175</v>
      </c>
      <c r="D145" s="173" t="s">
        <v>110</v>
      </c>
      <c r="E145" s="173" t="s">
        <v>56</v>
      </c>
      <c r="F145" s="174">
        <v>150</v>
      </c>
      <c r="G145" s="174">
        <v>201</v>
      </c>
      <c r="H145" s="174">
        <v>56646</v>
      </c>
      <c r="I145" s="173" t="s">
        <v>57</v>
      </c>
      <c r="J145" s="174">
        <v>59050</v>
      </c>
      <c r="K145" s="173" t="s">
        <v>53</v>
      </c>
      <c r="L145" s="175" t="str">
        <f>VLOOKUP(C145,'[7]Trips&amp;Operators'!$C$1:$E$9999,3,0)</f>
        <v>STRICKLAND</v>
      </c>
      <c r="M145" s="182" t="s">
        <v>86</v>
      </c>
      <c r="N145" s="177"/>
      <c r="P145" s="183" t="str">
        <f>VLOOKUP(C145,'[7]Train Runs'!$A$13:$AE$10015,31,0)</f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Q145" s="184" t="str">
        <f>VLOOKUP(C145,'[7]Train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03:53:03-0600',mode:absolute,to:'2016-09-02 06:26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45" s="185" t="str">
        <f t="shared" si="18"/>
        <v>"C:\Program Files (x86)\AstroGrep\AstroGrep.exe" /spath="C:\Users\stu\Documents\Analysis\2016-02-23 RTDC Observations" /stypes="*4008*201609021*" /stext=" 11:.+((SYSTEM_STATE.+slice.+state.+changed )|(ment ac)|(system.+state.+changed )|(\|lc)|(penalty)|(\[timeout)|(PRM\|1\|D))" /e /r /s</v>
      </c>
      <c r="S145" s="176" t="str">
        <f t="shared" si="20"/>
        <v>4008</v>
      </c>
      <c r="T145" s="172">
        <f t="shared" si="21"/>
        <v>42615.467905092592</v>
      </c>
      <c r="U145" s="181" t="str">
        <f t="shared" si="23"/>
        <v>NW</v>
      </c>
      <c r="V145" s="181" t="str">
        <f t="shared" si="22"/>
        <v>KEEP</v>
      </c>
      <c r="W145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{"issue":{"subject":"","project_id":79,"tracker_id":40,"status_id":1,"priority_id":2,"assigned_to_id":23,"start_date":"2016-09-02","description":"","custom_fields":[{"id":1,"name":"Subdivision","value":"NW"},{"id":4,"name":"Milepost","value":"5.905"},{"id":17,"name":"Train ID","value":"800-02"},{"id":16,"name":"Locomotive ID","value":"4008"},{"id":130,"name":"Impact","value":""},{"id":150,"name":"Time of Event (Mountain Time)","value":"05:13:47"},{"id":151,"name":"Denver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6" spans="1:23" x14ac:dyDescent="0.25">
      <c r="A146" s="172">
        <v>42615.767210648148</v>
      </c>
      <c r="B146" s="173" t="s">
        <v>720</v>
      </c>
      <c r="C146" s="173" t="s">
        <v>1322</v>
      </c>
      <c r="D146" s="173" t="s">
        <v>49</v>
      </c>
      <c r="E146" s="173" t="s">
        <v>54</v>
      </c>
      <c r="F146" s="174">
        <v>0</v>
      </c>
      <c r="G146" s="174">
        <v>93</v>
      </c>
      <c r="H146" s="174">
        <v>5111</v>
      </c>
      <c r="I146" s="173" t="s">
        <v>55</v>
      </c>
      <c r="J146" s="174">
        <v>4790</v>
      </c>
      <c r="K146" s="173" t="s">
        <v>53</v>
      </c>
      <c r="L146" s="175" t="str">
        <f>VLOOKUP(C146,'[7]Trips&amp;Operators'!$C$1:$E$9999,3,0)</f>
        <v>BROWN</v>
      </c>
      <c r="M146" s="182" t="s">
        <v>243</v>
      </c>
      <c r="N146" s="177" t="s">
        <v>337</v>
      </c>
      <c r="P146" s="183" t="str">
        <f>VLOOKUP(C146,'[7]Train Runs'!$A$13:$AE$10015,31,0)</f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Q146" s="184" t="str">
        <f>VLOOKUP(C146,'[7]Train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17:07:09-0600',mode:absolute,to:'2016-09-02 19:26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46" s="185" t="str">
        <f t="shared" si="18"/>
        <v>"C:\Program Files (x86)\AstroGrep\AstroGrep.exe" /spath="C:\Users\stu\Documents\Analysis\2016-02-23 RTDC Observations" /stypes="*4008*201609030*" /stext=" 00:.+((SYSTEM_STATE.+slice.+state.+changed )|(ment ac)|(system.+state.+changed )|(\|lc)|(penalty)|(\[timeout)|(PRM\|1\|D))" /e /r /s</v>
      </c>
      <c r="S146" s="176" t="str">
        <f t="shared" si="20"/>
        <v>4008</v>
      </c>
      <c r="T146" s="172">
        <f t="shared" si="21"/>
        <v>42616.017210648148</v>
      </c>
      <c r="U146" s="181" t="str">
        <f t="shared" si="23"/>
        <v>NW</v>
      </c>
      <c r="V146" s="181" t="str">
        <f t="shared" si="22"/>
        <v>KEEP</v>
      </c>
      <c r="W146" s="186" t="str">
        <f t="shared" si="19"/>
        <v>echo {"issue":{"subject":"Wi-MAX outage","project_id":79,"tracker_id":40,"status_id":1,"priority_id":2,"assigned_to_id":23,"start_date":"2016-09-02","description":"","custom_fields":[{"id":1,"name":"Subdivision","value":"NW"},{"id":4,"name":"Milepost","value":"0.479"},{"id":17,"name":"Train ID","value":"836-02"},{"id":16,"name":"Locomotive ID","value":"4008"},{"id":130,"name":"Impact","value":""},{"id":150,"name":"Time of Event (Mountain Time)","value":"18:24:47"},{"id":151,"name":"Denver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7" spans="1:23" x14ac:dyDescent="0.25">
      <c r="A147" s="172">
        <v>42615.786238425928</v>
      </c>
      <c r="B147" s="173" t="s">
        <v>260</v>
      </c>
      <c r="C147" s="173" t="s">
        <v>1329</v>
      </c>
      <c r="D147" s="173" t="s">
        <v>110</v>
      </c>
      <c r="E147" s="173" t="s">
        <v>54</v>
      </c>
      <c r="F147" s="174">
        <v>200</v>
      </c>
      <c r="G147" s="174">
        <v>251</v>
      </c>
      <c r="H147" s="174">
        <v>9245</v>
      </c>
      <c r="I147" s="173" t="s">
        <v>55</v>
      </c>
      <c r="J147" s="174">
        <v>9680</v>
      </c>
      <c r="K147" s="173" t="s">
        <v>53</v>
      </c>
      <c r="L147" s="175" t="str">
        <f>VLOOKUP(C147,'[7]Trips&amp;Operators'!$C$1:$E$9999,3,0)</f>
        <v>MAHAN</v>
      </c>
      <c r="M147" s="182" t="s">
        <v>86</v>
      </c>
      <c r="N147" s="177" t="s">
        <v>1947</v>
      </c>
      <c r="P147" s="183" t="str">
        <f>VLOOKUP(C147,'[7]Train Runs'!$A$13:$AE$10015,31,0)</f>
        <v>aws s3 cp s3://rtdc.mdm.uploadarchive/RTDC4026/2016-09-02/ "%USERPROFILE%\AppData\Local\Temp\OnboardLogs"\RTDC4026\2016-09-02 --recursive &amp; "%USERPROFILE%\Documents\GitHub\mrs-test-scripts\Headless Mode &amp; Sideloading\WalkAndUnGZ.bat" "%USERPROFILE%\AppData\Local\Temp\OnboardLogs"\RTDC4026\2016-09-02 &amp; aws s3 cp s3://rtdc.mdm.uploadarchive/RTDC4026/2016-09-03/ "%USERPROFILE%\AppData\Local\Temp\OnboardLogs"\RTDC4026\2016-09-03 --recursive &amp; "%USERPROFILE%\Documents\GitHub\mrs-test-scripts\Headless Mode &amp; Sideloading\WalkAndUnGZ.bat" "%USERPROFILE%\AppData\Local\Temp\OnboardLogs"\RTDC4026\2016-09-03</v>
      </c>
      <c r="Q147" s="184" t="str">
        <f>VLOOKUP(C147,'[7]Train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17:38:49-0600',mode:absolute,to:'2016-09-02 19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147" s="185" t="str">
        <f t="shared" si="18"/>
        <v>"C:\Program Files (x86)\AstroGrep\AstroGrep.exe" /spath="C:\Users\stu\Documents\Analysis\2016-02-23 RTDC Observations" /stypes="*4026*201609030*" /stext=" 00:.+((SYSTEM_STATE.+slice.+state.+changed )|(ment ac)|(system.+state.+changed )|(\|lc)|(penalty)|(\[timeout)|(PRM\|1\|D))" /e /r /s</v>
      </c>
      <c r="S147" s="176" t="str">
        <f t="shared" si="20"/>
        <v>4026</v>
      </c>
      <c r="T147" s="172">
        <f t="shared" si="21"/>
        <v>42616.036238425928</v>
      </c>
      <c r="U147" s="181" t="str">
        <f t="shared" si="23"/>
        <v>NW</v>
      </c>
      <c r="V147" s="181" t="str">
        <f t="shared" si="22"/>
        <v>KEEP</v>
      </c>
      <c r="W147" s="186" t="str">
        <f t="shared" si="19"/>
        <v>echo {"issue":{"subject":"Overspeed","project_id":79,"tracker_id":40,"status_id":1,"priority_id":2,"assigned_to_id":23,"start_date":"2016-09-02","description":"","custom_fields":[{"id":1,"name":"Subdivision","value":"NW"},{"id":4,"name":"Milepost","value":"0.968"},{"id":17,"name":"Train ID","value":"838-02"},{"id":16,"name":"Locomotive ID","value":"4026"},{"id":130,"name":"Impact","value":""},{"id":150,"name":"Time of Event (Mountain Time)","value":"18:52:11"},{"id":151,"name":"Denver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8" spans="1:23" x14ac:dyDescent="0.25">
      <c r="A148" s="172">
        <v>42615.300335648149</v>
      </c>
      <c r="B148" s="173" t="s">
        <v>720</v>
      </c>
      <c r="C148" s="173" t="s">
        <v>1196</v>
      </c>
      <c r="D148" s="173" t="s">
        <v>49</v>
      </c>
      <c r="E148" s="173" t="s">
        <v>54</v>
      </c>
      <c r="F148" s="174">
        <v>0</v>
      </c>
      <c r="G148" s="174">
        <v>27</v>
      </c>
      <c r="H148" s="174">
        <v>58234</v>
      </c>
      <c r="I148" s="173" t="s">
        <v>55</v>
      </c>
      <c r="J148" s="174">
        <v>48773</v>
      </c>
      <c r="K148" s="173" t="s">
        <v>53</v>
      </c>
      <c r="L148" s="175" t="str">
        <f>VLOOKUP(C148,'[7]Trips&amp;Operators'!$C$1:$E$9999,3,0)</f>
        <v>STRICKLAND</v>
      </c>
      <c r="M148" s="182" t="s">
        <v>243</v>
      </c>
      <c r="N148" s="177" t="s">
        <v>335</v>
      </c>
      <c r="P148" s="183" t="str">
        <f>VLOOKUP(C148,'[7]Train Runs'!$A$13:$AE$10015,31,0)</f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Q148" s="184" t="str">
        <f>VLOOKUP(C148,'[7]Train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06:07:15-0600',mode:absolute,to:'2016-09-02 08:13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48" s="185" t="str">
        <f t="shared" si="18"/>
        <v>"C:\Program Files (x86)\AstroGrep\AstroGrep.exe" /spath="C:\Users\stu\Documents\Analysis\2016-02-23 RTDC Observations" /stypes="*4008*201609021*" /stext=" 13:.+((SYSTEM_STATE.+slice.+state.+changed )|(ment ac)|(system.+state.+changed )|(\|lc)|(penalty)|(\[timeout)|(PRM\|1\|D))" /e /r /s</v>
      </c>
      <c r="S148" s="176" t="str">
        <f t="shared" si="20"/>
        <v>4008</v>
      </c>
      <c r="T148" s="172">
        <f t="shared" si="21"/>
        <v>42615.550335648149</v>
      </c>
      <c r="U148" s="181" t="str">
        <f t="shared" si="23"/>
        <v>NW</v>
      </c>
      <c r="V148" s="181" t="str">
        <f t="shared" si="22"/>
        <v>KEEP</v>
      </c>
      <c r="W148" s="186" t="str">
        <f t="shared" si="19"/>
        <v>echo {"issue":{"subject":"Onboard in-route failure","project_id":79,"tracker_id":40,"status_id":1,"priority_id":2,"assigned_to_id":23,"start_date":"2016-09-02","description":"","custom_fields":[{"id":1,"name":"Subdivision","value":"NW"},{"id":4,"name":"Milepost","value":"4.8773"},{"id":17,"name":"Train ID","value":"806-02"},{"id":16,"name":"Locomotive ID","value":"4008"},{"id":130,"name":"Impact","value":""},{"id":150,"name":"Time of Event (Mountain Time)","value":"07:12:29"},{"id":151,"name":"Denver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49" spans="1:23" x14ac:dyDescent="0.25">
      <c r="A149" s="172">
        <v>42615.684618055559</v>
      </c>
      <c r="B149" s="173" t="s">
        <v>720</v>
      </c>
      <c r="C149" s="173" t="s">
        <v>1298</v>
      </c>
      <c r="D149" s="173" t="s">
        <v>49</v>
      </c>
      <c r="E149" s="173" t="s">
        <v>50</v>
      </c>
      <c r="F149" s="174">
        <v>0</v>
      </c>
      <c r="G149" s="174">
        <v>55</v>
      </c>
      <c r="H149" s="174">
        <v>745</v>
      </c>
      <c r="I149" s="173" t="s">
        <v>51</v>
      </c>
      <c r="J149" s="174">
        <v>575</v>
      </c>
      <c r="K149" s="173" t="s">
        <v>53</v>
      </c>
      <c r="L149" s="175" t="str">
        <f>VLOOKUP(C149,'[7]Trips&amp;Operators'!$C$1:$E$9999,3,0)</f>
        <v>BROWN</v>
      </c>
      <c r="M149" s="182" t="s">
        <v>86</v>
      </c>
      <c r="N149" s="177"/>
      <c r="P149" s="183" t="str">
        <f>VLOOKUP(C149,'[7]Train Runs'!$A$13:$AE$10015,31,0)</f>
        <v>aws s3 cp s3://rtdc.mdm.uploadarchive/RTDC4008/2016-09-02/ "%USERPROFILE%\AppData\Local\Temp\OnboardLogs"\RTDC4008\2016-09-02 --recursive &amp; "%USERPROFILE%\Documents\GitHub\mrs-test-scripts\Headless Mode &amp; Sideloading\WalkAndUnGZ.bat" "%USERPROFILE%\AppData\Local\Temp\OnboardLogs"\RTDC4008\2016-09-02 &amp; aws s3 cp s3://rtdc.mdm.uploadarchive/RTDC4008/2016-09-03/ "%USERPROFILE%\AppData\Local\Temp\OnboardLogs"\RTDC4008\2016-09-03 --recursive &amp; "%USERPROFILE%\Documents\GitHub\mrs-test-scripts\Headless Mode &amp; Sideloading\WalkAndUnGZ.bat" "%USERPROFILE%\AppData\Local\Temp\OnboardLogs"\RTDC4008\2016-09-03</v>
      </c>
      <c r="Q149" s="184" t="str">
        <f>VLOOKUP(C149,'[7]Train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15:07:20-0600',mode:absolute,to:'2016-09-02 17:25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49" s="185" t="str">
        <f t="shared" si="18"/>
        <v>"C:\Program Files (x86)\AstroGrep\AstroGrep.exe" /spath="C:\Users\stu\Documents\Analysis\2016-02-23 RTDC Observations" /stypes="*4008*201609022*" /stext=" 22:.+((SYSTEM_STATE.+slice.+state.+changed )|(ment ac)|(system.+state.+changed )|(\|lc)|(penalty)|(\[timeout)|(PRM\|1\|D))" /e /r /s</v>
      </c>
      <c r="S149" s="176" t="str">
        <f t="shared" si="20"/>
        <v>4008</v>
      </c>
      <c r="T149" s="172">
        <f t="shared" si="21"/>
        <v>42615.934618055559</v>
      </c>
      <c r="U149" s="181" t="str">
        <f t="shared" si="23"/>
        <v>NW</v>
      </c>
      <c r="V149" s="181" t="str">
        <f t="shared" si="22"/>
        <v>KEEP</v>
      </c>
      <c r="W149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{"issue":{"subject":"","project_id":79,"tracker_id":40,"status_id":1,"priority_id":2,"assigned_to_id":23,"start_date":"2016-09-02","description":"","custom_fields":[{"id":1,"name":"Subdivision","value":"NW"},{"id":4,"name":"Milepost","value":"0.0575"},{"id":17,"name":"Train ID","value":"828-02"},{"id":16,"name":"Locomotive ID","value":"4008"},{"id":130,"name":"Impact","value":""},{"id":150,"name":"Time of Event (Mountain Time)","value":"16:25:51"},{"id":151,"name":"Denver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0" spans="1:23" x14ac:dyDescent="0.25">
      <c r="A150" s="172">
        <v>42615.253750000003</v>
      </c>
      <c r="B150" s="173" t="s">
        <v>781</v>
      </c>
      <c r="C150" s="173" t="s">
        <v>1183</v>
      </c>
      <c r="D150" s="173" t="s">
        <v>49</v>
      </c>
      <c r="E150" s="173" t="s">
        <v>50</v>
      </c>
      <c r="F150" s="174">
        <v>0</v>
      </c>
      <c r="G150" s="174">
        <v>155</v>
      </c>
      <c r="H150" s="174">
        <v>58264</v>
      </c>
      <c r="I150" s="173" t="s">
        <v>51</v>
      </c>
      <c r="J150" s="174">
        <v>59048</v>
      </c>
      <c r="K150" s="173" t="s">
        <v>52</v>
      </c>
      <c r="L150" s="175" t="str">
        <f>VLOOKUP(C150,'[7]Trips&amp;Operators'!$C$1:$E$9999,3,0)</f>
        <v>STRICKLAND</v>
      </c>
      <c r="M150" s="182" t="s">
        <v>86</v>
      </c>
      <c r="N150" s="177"/>
      <c r="P150" s="183" t="str">
        <f>VLOOKUP(C150,'[7]Train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150" s="184" t="str">
        <f>VLOOKUP(C150,'[7]Train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04:42:13-0600',mode:absolute,to:'2016-09-02 07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50" s="185" t="str">
        <f t="shared" si="18"/>
        <v>"C:\Program Files (x86)\AstroGrep\AstroGrep.exe" /spath="C:\Users\stu\Documents\Analysis\2016-02-23 RTDC Observations" /stypes="*4007*201609021*" /stext=" 12:.+((SYSTEM_STATE.+slice.+state.+changed )|(ment ac)|(system.+state.+changed )|(\|lc)|(penalty)|(\[timeout)|(PRM\|1\|D))" /e /r /s</v>
      </c>
      <c r="S150" s="176" t="str">
        <f t="shared" si="20"/>
        <v>4007</v>
      </c>
      <c r="T150" s="172">
        <f t="shared" si="21"/>
        <v>42615.503750000003</v>
      </c>
      <c r="U150" s="181" t="str">
        <f t="shared" si="23"/>
        <v>NW</v>
      </c>
      <c r="V150" s="181" t="str">
        <f t="shared" si="22"/>
        <v>KEEP</v>
      </c>
      <c r="W150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ID","value":"801-02"},{"id":16,"name":"Locomotive ID","value":"4007"},{"id":130,"name":"Impact","value":""},{"id":150,"name":"Time of Event (Mountain Time)","value":"06:05:24"},{"id":151,"name":"Denver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1" spans="1:23" x14ac:dyDescent="0.25">
      <c r="A151" s="172">
        <v>42615.295520833337</v>
      </c>
      <c r="B151" s="173" t="s">
        <v>781</v>
      </c>
      <c r="C151" s="173" t="s">
        <v>1194</v>
      </c>
      <c r="D151" s="173" t="s">
        <v>49</v>
      </c>
      <c r="E151" s="173" t="s">
        <v>50</v>
      </c>
      <c r="F151" s="174">
        <v>0</v>
      </c>
      <c r="G151" s="174">
        <v>66</v>
      </c>
      <c r="H151" s="174">
        <v>58824</v>
      </c>
      <c r="I151" s="173" t="s">
        <v>51</v>
      </c>
      <c r="J151" s="174">
        <v>59048</v>
      </c>
      <c r="K151" s="173" t="s">
        <v>52</v>
      </c>
      <c r="L151" s="175" t="str">
        <f>VLOOKUP(C151,'[7]Trips&amp;Operators'!$C$1:$E$9999,3,0)</f>
        <v>STRICKLAND</v>
      </c>
      <c r="M151" s="182" t="s">
        <v>86</v>
      </c>
      <c r="N151" s="177"/>
      <c r="P151" s="183" t="str">
        <f>VLOOKUP(C151,'[7]Train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151" s="184" t="str">
        <f>VLOOKUP(C151,'[7]Train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05:41:43-0600',mode:absolute,to:'2016-09-02 08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51" s="185" t="str">
        <f t="shared" si="18"/>
        <v>"C:\Program Files (x86)\AstroGrep\AstroGrep.exe" /spath="C:\Users\stu\Documents\Analysis\2016-02-23 RTDC Observations" /stypes="*4007*201609021*" /stext=" 13:.+((SYSTEM_STATE.+slice.+state.+changed )|(ment ac)|(system.+state.+changed )|(\|lc)|(penalty)|(\[timeout)|(PRM\|1\|D))" /e /r /s</v>
      </c>
      <c r="S151" s="176" t="str">
        <f t="shared" si="20"/>
        <v>4007</v>
      </c>
      <c r="T151" s="172">
        <f t="shared" si="21"/>
        <v>42615.545520833337</v>
      </c>
      <c r="U151" s="181" t="str">
        <f t="shared" si="23"/>
        <v>NW</v>
      </c>
      <c r="V151" s="181" t="str">
        <f t="shared" si="22"/>
        <v>KEEP</v>
      </c>
      <c r="W151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ID","value":"805-02"},{"id":16,"name":"Locomotive ID","value":"4007"},{"id":130,"name":"Impact","value":""},{"id":150,"name":"Time of Event (Mountain Time)","value":"07:05:33"},{"id":151,"name":"Denver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2" spans="1:23" x14ac:dyDescent="0.25">
      <c r="A152" s="172">
        <v>42615.566203703704</v>
      </c>
      <c r="B152" s="173" t="s">
        <v>257</v>
      </c>
      <c r="C152" s="173" t="s">
        <v>1268</v>
      </c>
      <c r="D152" s="173" t="s">
        <v>49</v>
      </c>
      <c r="E152" s="173" t="s">
        <v>50</v>
      </c>
      <c r="F152" s="174">
        <v>0</v>
      </c>
      <c r="G152" s="174">
        <v>101</v>
      </c>
      <c r="H152" s="174">
        <v>58655</v>
      </c>
      <c r="I152" s="173" t="s">
        <v>51</v>
      </c>
      <c r="J152" s="174">
        <v>59048</v>
      </c>
      <c r="K152" s="173" t="s">
        <v>52</v>
      </c>
      <c r="L152" s="175" t="str">
        <f>VLOOKUP(C152,'[7]Trips&amp;Operators'!$C$1:$E$9999,3,0)</f>
        <v>MAHAN</v>
      </c>
      <c r="M152" s="182" t="s">
        <v>86</v>
      </c>
      <c r="N152" s="177"/>
      <c r="P152" s="183" t="str">
        <f>VLOOKUP(C152,'[7]Train Runs'!$A$13:$AE$10015,31,0)</f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Q152" s="184" t="str">
        <f>VLOOKUP(C152,'[7]Train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12:17:02-0600',mode:absolute,to:'2016-09-02 14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52" s="185" t="str">
        <f t="shared" si="18"/>
        <v>"C:\Program Files (x86)\AstroGrep\AstroGrep.exe" /spath="C:\Users\stu\Documents\Analysis\2016-02-23 RTDC Observations" /stypes="*4025*201609021*" /stext=" 19:.+((SYSTEM_STATE.+slice.+state.+changed )|(ment ac)|(system.+state.+changed )|(\|lc)|(penalty)|(\[timeout)|(PRM\|1\|D))" /e /r /s</v>
      </c>
      <c r="S152" s="176" t="str">
        <f t="shared" si="20"/>
        <v>4025</v>
      </c>
      <c r="T152" s="172">
        <f t="shared" si="21"/>
        <v>42615.816203703704</v>
      </c>
      <c r="U152" s="181" t="str">
        <f t="shared" si="23"/>
        <v>NW</v>
      </c>
      <c r="V152" s="181" t="str">
        <f t="shared" si="22"/>
        <v>KEEP</v>
      </c>
      <c r="W152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ID","value":"821-02"},{"id":16,"name":"Locomotive ID","value":"4025"},{"id":130,"name":"Impact","value":""},{"id":150,"name":"Time of Event (Mountain Time)","value":"13:35:20"},{"id":151,"name":"Denver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3" spans="1:23" x14ac:dyDescent="0.25">
      <c r="A153" s="172">
        <v>42615.75408564815</v>
      </c>
      <c r="B153" s="173" t="s">
        <v>781</v>
      </c>
      <c r="C153" s="173" t="s">
        <v>1315</v>
      </c>
      <c r="D153" s="173" t="s">
        <v>49</v>
      </c>
      <c r="E153" s="173" t="s">
        <v>50</v>
      </c>
      <c r="F153" s="174">
        <v>0</v>
      </c>
      <c r="G153" s="174">
        <v>53</v>
      </c>
      <c r="H153" s="174">
        <v>58920</v>
      </c>
      <c r="I153" s="173" t="s">
        <v>51</v>
      </c>
      <c r="J153" s="174">
        <v>59048</v>
      </c>
      <c r="K153" s="173" t="s">
        <v>52</v>
      </c>
      <c r="L153" s="175" t="str">
        <f>VLOOKUP(C153,'[7]Trips&amp;Operators'!$C$1:$E$9999,3,0)</f>
        <v>BROWN</v>
      </c>
      <c r="M153" s="182" t="s">
        <v>86</v>
      </c>
      <c r="N153" s="177"/>
      <c r="P153" s="183" t="str">
        <f>VLOOKUP(C153,'[7]Train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153" s="184" t="str">
        <f>VLOOKUP(C153,'[7]Train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16:28:57-0600',mode:absolute,to:'2016-09-02 19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53" s="185" t="str">
        <f t="shared" si="18"/>
        <v>"C:\Program Files (x86)\AstroGrep\AstroGrep.exe" /spath="C:\Users\stu\Documents\Analysis\2016-02-23 RTDC Observations" /stypes="*4007*201609030*" /stext=" 00:.+((SYSTEM_STATE.+slice.+state.+changed )|(ment ac)|(system.+state.+changed )|(\|lc)|(penalty)|(\[timeout)|(PRM\|1\|D))" /e /r /s</v>
      </c>
      <c r="S153" s="176" t="str">
        <f t="shared" si="20"/>
        <v>4007</v>
      </c>
      <c r="T153" s="172">
        <f t="shared" si="21"/>
        <v>42616.00408564815</v>
      </c>
      <c r="U153" s="181" t="str">
        <f t="shared" si="23"/>
        <v>NW</v>
      </c>
      <c r="V153" s="181" t="str">
        <f t="shared" si="22"/>
        <v>KEEP</v>
      </c>
      <c r="W153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ID","value":"835-02"},{"id":16,"name":"Locomotive ID","value":"4007"},{"id":130,"name":"Impact","value":""},{"id":150,"name":"Time of Event (Mountain Time)","value":"18:05:53"},{"id":151,"name":"Denver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4" spans="1:23" x14ac:dyDescent="0.25">
      <c r="A154" s="172">
        <v>42615.795671296299</v>
      </c>
      <c r="B154" s="173" t="s">
        <v>781</v>
      </c>
      <c r="C154" s="173" t="s">
        <v>1327</v>
      </c>
      <c r="D154" s="173" t="s">
        <v>110</v>
      </c>
      <c r="E154" s="173" t="s">
        <v>50</v>
      </c>
      <c r="F154" s="174">
        <v>0</v>
      </c>
      <c r="G154" s="174">
        <v>19</v>
      </c>
      <c r="H154" s="174">
        <v>59048</v>
      </c>
      <c r="I154" s="173" t="s">
        <v>51</v>
      </c>
      <c r="J154" s="174">
        <v>59048</v>
      </c>
      <c r="K154" s="173" t="s">
        <v>52</v>
      </c>
      <c r="L154" s="175" t="str">
        <f>VLOOKUP(C154,'[7]Trips&amp;Operators'!$C$1:$E$9999,3,0)</f>
        <v>BROWN</v>
      </c>
      <c r="M154" s="182" t="s">
        <v>86</v>
      </c>
      <c r="N154" s="177"/>
      <c r="P154" s="183" t="str">
        <f>VLOOKUP(C154,'[7]Train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154" s="184" t="str">
        <f>VLOOKUP(C154,'[7]Train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17:29:41-0600',mode:absolute,to:'2016-09-02 20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54" s="185" t="str">
        <f t="shared" si="18"/>
        <v>"C:\Program Files (x86)\AstroGrep\AstroGrep.exe" /spath="C:\Users\stu\Documents\Analysis\2016-02-23 RTDC Observations" /stypes="*4007*201609030*" /stext=" 01:.+((SYSTEM_STATE.+slice.+state.+changed )|(ment ac)|(system.+state.+changed )|(\|lc)|(penalty)|(\[timeout)|(PRM\|1\|D))" /e /r /s</v>
      </c>
      <c r="S154" s="176" t="str">
        <f t="shared" si="20"/>
        <v>4007</v>
      </c>
      <c r="T154" s="172">
        <f t="shared" si="21"/>
        <v>42616.045671296299</v>
      </c>
      <c r="U154" s="181" t="str">
        <f t="shared" si="23"/>
        <v>NW</v>
      </c>
      <c r="V154" s="181" t="str">
        <f t="shared" si="22"/>
        <v>KEEP</v>
      </c>
      <c r="W154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ID","value":"839-02"},{"id":16,"name":"Locomotive ID","value":"4007"},{"id":130,"name":"Impact","value":""},{"id":150,"name":"Time of Event (Mountain Time)","value":"19:05:46"},{"id":151,"name":"Denver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5" spans="1:23" x14ac:dyDescent="0.25">
      <c r="A155" s="172">
        <v>42615.899444444447</v>
      </c>
      <c r="B155" s="173" t="s">
        <v>257</v>
      </c>
      <c r="C155" s="173" t="s">
        <v>1351</v>
      </c>
      <c r="D155" s="173" t="s">
        <v>49</v>
      </c>
      <c r="E155" s="173" t="s">
        <v>50</v>
      </c>
      <c r="F155" s="174">
        <v>0</v>
      </c>
      <c r="G155" s="174">
        <v>33</v>
      </c>
      <c r="H155" s="174">
        <v>58993</v>
      </c>
      <c r="I155" s="173" t="s">
        <v>51</v>
      </c>
      <c r="J155" s="174">
        <v>59048</v>
      </c>
      <c r="K155" s="173" t="s">
        <v>52</v>
      </c>
      <c r="L155" s="175" t="str">
        <f>VLOOKUP(C155,'[7]Trips&amp;Operators'!$C$1:$E$9999,3,0)</f>
        <v>BROWN</v>
      </c>
      <c r="M155" s="182" t="s">
        <v>86</v>
      </c>
      <c r="N155" s="177"/>
      <c r="P155" s="183" t="str">
        <f>VLOOKUP(C155,'[7]Train Runs'!$A$13:$AE$10015,31,0)</f>
        <v>aws s3 cp s3://rtdc.mdm.uploadarchive/RTDC4025/2016-09-02/ "%USERPROFILE%\AppData\Local\Temp\OnboardLogs"\RTDC4025\2016-09-02 --recursive &amp; "%USERPROFILE%\Documents\GitHub\mrs-test-scripts\Headless Mode &amp; Sideloading\WalkAndUnGZ.bat" "%USERPROFILE%\AppData\Local\Temp\OnboardLogs"\RTDC4025\2016-09-02 &amp; aws s3 cp s3://rtdc.mdm.uploadarchive/RTDC4025/2016-09-03/ "%USERPROFILE%\AppData\Local\Temp\OnboardLogs"\RTDC4025\2016-09-03 --recursive &amp; "%USERPROFILE%\Documents\GitHub\mrs-test-scripts\Headless Mode &amp; Sideloading\WalkAndUnGZ.bat" "%USERPROFILE%\AppData\Local\Temp\OnboardLogs"\RTDC4025\2016-09-03</v>
      </c>
      <c r="Q155" s="184" t="str">
        <f>VLOOKUP(C155,'[7]Train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20:11:14-0600',mode:absolute,to:'2016-09-02 22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55" s="185" t="str">
        <f t="shared" si="18"/>
        <v>"C:\Program Files (x86)\AstroGrep\AstroGrep.exe" /spath="C:\Users\stu\Documents\Analysis\2016-02-23 RTDC Observations" /stypes="*4025*201609030*" /stext=" 03:.+((SYSTEM_STATE.+slice.+state.+changed )|(ment ac)|(system.+state.+changed )|(\|lc)|(penalty)|(\[timeout)|(PRM\|1\|D))" /e /r /s</v>
      </c>
      <c r="S155" s="176" t="str">
        <f t="shared" si="20"/>
        <v>4025</v>
      </c>
      <c r="T155" s="172">
        <f t="shared" si="21"/>
        <v>42616.149444444447</v>
      </c>
      <c r="U155" s="181" t="str">
        <f t="shared" si="23"/>
        <v>NW</v>
      </c>
      <c r="V155" s="181" t="str">
        <f t="shared" si="22"/>
        <v>KEEP</v>
      </c>
      <c r="W155" s="186" t="str">
        <f t="shared" si="19"/>
        <v>echo {"issue":{"subject":"","project_id":79,"tracker_id":40,"status_id":1,"priority_id":2,"assigned_to_id":23,"start_date":"2016-09-02","description":"","custom_fields":[{"id":1,"name":"Subdivision","value":"NW"},{"id":4,"name":"Milepost","value":"5.9048"},{"id":17,"name":"Train ID","value":"845-02"},{"id":16,"name":"Locomotive ID","value":"4025"},{"id":130,"name":"Impact","value":""},{"id":150,"name":"Time of Event (Mountain Time)","value":"21:35:12"},{"id":151,"name":"Denver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6" spans="1:23" x14ac:dyDescent="0.25">
      <c r="A156" s="172">
        <v>42615.461736111109</v>
      </c>
      <c r="B156" s="173" t="s">
        <v>909</v>
      </c>
      <c r="C156" s="173" t="s">
        <v>1242</v>
      </c>
      <c r="D156" s="173" t="s">
        <v>49</v>
      </c>
      <c r="E156" s="173" t="s">
        <v>54</v>
      </c>
      <c r="F156" s="174">
        <v>0</v>
      </c>
      <c r="G156" s="174">
        <v>73</v>
      </c>
      <c r="H156" s="174">
        <v>24318</v>
      </c>
      <c r="I156" s="173" t="s">
        <v>55</v>
      </c>
      <c r="J156" s="174">
        <v>24235</v>
      </c>
      <c r="K156" s="173" t="s">
        <v>53</v>
      </c>
      <c r="L156" s="175" t="str">
        <f>VLOOKUP(C156,'[7]Trips&amp;Operators'!$C$1:$E$9999,3,0)</f>
        <v>MOSES</v>
      </c>
      <c r="M156" s="182" t="s">
        <v>86</v>
      </c>
      <c r="N156" s="177"/>
      <c r="P156" s="183" t="str">
        <f>VLOOKUP(C156,'[7]Train Runs'!$A$13:$AE$10015,31,0)</f>
        <v>aws s3 cp s3://rtdc.mdm.uploadarchive/RTDC4005/2016-09-02/ "%USERPROFILE%\AppData\Local\Temp\OnboardLogs"\RTDC4005\2016-09-02 --recursive &amp; "%USERPROFILE%\Documents\GitHub\mrs-test-scripts\Headless Mode &amp; Sideloading\WalkAndUnGZ.bat" "%USERPROFILE%\AppData\Local\Temp\OnboardLogs"\RTDC4005\2016-09-02 &amp; 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</v>
      </c>
      <c r="Q156" s="184" t="str">
        <f>VLOOKUP(C156,'[7]Train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10:00:45-0600',mode:absolute,to:'2016-09-02 12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R156" s="185" t="str">
        <f t="shared" si="18"/>
        <v>"C:\Program Files (x86)\AstroGrep\AstroGrep.exe" /spath="C:\Users\stu\Documents\Analysis\2016-02-23 RTDC Observations" /stypes="*4005*201609021*" /stext=" 17:.+((SYSTEM_STATE.+slice.+state.+changed )|(ment ac)|(system.+state.+changed )|(\|lc)|(penalty)|(\[timeout)|(PRM\|1\|D))" /e /r /s</v>
      </c>
      <c r="S156" s="176" t="str">
        <f t="shared" si="20"/>
        <v>4005</v>
      </c>
      <c r="T156" s="172">
        <f t="shared" si="21"/>
        <v>42615.711736111109</v>
      </c>
      <c r="U156" s="181" t="str">
        <f t="shared" si="23"/>
        <v>Other</v>
      </c>
      <c r="V156" s="181" t="str">
        <f t="shared" si="22"/>
        <v>KEEP</v>
      </c>
      <c r="W156" s="186" t="str">
        <f t="shared" si="19"/>
        <v>echo {"issue":{"subject":"","project_id":79,"tracker_id":40,"status_id":1,"priority_id":2,"assigned_to_id":23,"start_date":"2016-09-02","description":"","custom_fields":[{"id":1,"name":"Subdivision","value":"Other"},{"id":4,"name":"Milepost","value":"2.4235"},{"id":17,"name":"Train ID","value":"52-02"},{"id":16,"name":"Locomotive ID","value":"4005"},{"id":130,"name":"Impact","value":""},{"id":150,"name":"Time of Event (Mountain Time)","value":"11:04:54"},{"id":151,"name":"Denver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7" spans="1:23" x14ac:dyDescent="0.25">
      <c r="A157" s="172">
        <v>42615.769386574073</v>
      </c>
      <c r="B157" s="173" t="s">
        <v>909</v>
      </c>
      <c r="C157" s="173" t="s">
        <v>1326</v>
      </c>
      <c r="D157" s="173" t="s">
        <v>49</v>
      </c>
      <c r="E157" s="173" t="s">
        <v>54</v>
      </c>
      <c r="F157" s="174">
        <v>0</v>
      </c>
      <c r="G157" s="174">
        <v>62</v>
      </c>
      <c r="H157" s="174">
        <v>24339</v>
      </c>
      <c r="I157" s="173" t="s">
        <v>55</v>
      </c>
      <c r="J157" s="174">
        <v>24235</v>
      </c>
      <c r="K157" s="173" t="s">
        <v>53</v>
      </c>
      <c r="L157" s="175" t="str">
        <f>VLOOKUP(C157,'[7]Trips&amp;Operators'!$C$1:$E$9999,3,0)</f>
        <v>HAITHCOX</v>
      </c>
      <c r="M157" s="182" t="s">
        <v>86</v>
      </c>
      <c r="N157" s="177"/>
      <c r="P157" s="183" t="str">
        <f>VLOOKUP(C157,'[7]Train Runs'!$A$13:$AE$10015,31,0)</f>
        <v>aws s3 cp s3://rtdc.mdm.uploadarchive/RTDC4005/2016-09-02/ "%USERPROFILE%\AppData\Local\Temp\OnboardLogs"\RTDC4005\2016-09-02 --recursive &amp; "%USERPROFILE%\Documents\GitHub\mrs-test-scripts\Headless Mode &amp; Sideloading\WalkAndUnGZ.bat" "%USERPROFILE%\AppData\Local\Temp\OnboardLogs"\RTDC4005\2016-09-02 &amp; 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</v>
      </c>
      <c r="Q157" s="184" t="str">
        <f>VLOOKUP(C157,'[7]Train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17:24:19-0600',mode:absolute,to:'2016-09-02 19:27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R157" s="185" t="str">
        <f t="shared" si="18"/>
        <v>"C:\Program Files (x86)\AstroGrep\AstroGrep.exe" /spath="C:\Users\stu\Documents\Analysis\2016-02-23 RTDC Observations" /stypes="*4005*201609030*" /stext=" 00:.+((SYSTEM_STATE.+slice.+state.+changed )|(ment ac)|(system.+state.+changed )|(\|lc)|(penalty)|(\[timeout)|(PRM\|1\|D))" /e /r /s</v>
      </c>
      <c r="S157" s="176" t="str">
        <f t="shared" si="20"/>
        <v>4005</v>
      </c>
      <c r="T157" s="172">
        <f t="shared" si="21"/>
        <v>42616.019386574073</v>
      </c>
      <c r="U157" s="181" t="str">
        <f t="shared" si="23"/>
        <v>Other</v>
      </c>
      <c r="V157" s="181" t="str">
        <f t="shared" si="22"/>
        <v>KEEP</v>
      </c>
      <c r="W157" s="186" t="str">
        <f t="shared" si="19"/>
        <v>echo {"issue":{"subject":"","project_id":79,"tracker_id":40,"status_id":1,"priority_id":2,"assigned_to_id":23,"start_date":"2016-09-02","description":"","custom_fields":[{"id":1,"name":"Subdivision","value":"Other"},{"id":4,"name":"Milepost","value":"2.4235"},{"id":17,"name":"Train ID","value":"70-02"},{"id":16,"name":"Locomotive ID","value":"4005"},{"id":130,"name":"Impact","value":""},{"id":150,"name":"Time of Event (Mountain Time)","value":"18:27:55"},{"id":151,"name":"Denver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8" spans="1:23" x14ac:dyDescent="0.25">
      <c r="A158" s="172">
        <v>42615.362557870372</v>
      </c>
      <c r="B158" s="173" t="s">
        <v>781</v>
      </c>
      <c r="C158" s="173" t="s">
        <v>1213</v>
      </c>
      <c r="D158" s="173" t="s">
        <v>49</v>
      </c>
      <c r="E158" s="173" t="s">
        <v>54</v>
      </c>
      <c r="F158" s="174">
        <v>0</v>
      </c>
      <c r="G158" s="174">
        <v>72</v>
      </c>
      <c r="H158" s="174">
        <v>25397</v>
      </c>
      <c r="I158" s="173" t="s">
        <v>55</v>
      </c>
      <c r="J158" s="174">
        <v>25696</v>
      </c>
      <c r="K158" s="173" t="s">
        <v>52</v>
      </c>
      <c r="L158" s="175" t="str">
        <f>VLOOKUP(C158,'[7]Trips&amp;Operators'!$C$1:$E$9999,3,0)</f>
        <v>STRICKLAND</v>
      </c>
      <c r="M158" s="182" t="s">
        <v>86</v>
      </c>
      <c r="N158" s="177"/>
      <c r="P158" s="183" t="str">
        <f>VLOOKUP(C158,'[7]Train Runs'!$A$13:$AE$10015,31,0)</f>
        <v>aws s3 cp s3://rtdc.mdm.uploadarchive/RTDC4007/2016-09-02/ "%USERPROFILE%\AppData\Local\Temp\OnboardLogs"\RTDC4007\2016-09-02 --recursive &amp; "%USERPROFILE%\Documents\GitHub\mrs-test-scripts\Headless Mode &amp; Sideloading\WalkAndUnGZ.bat" "%USERPROFILE%\AppData\Local\Temp\OnboardLogs"\RTDC4007\2016-09-02 &amp; aws s3 cp s3://rtdc.mdm.uploadarchive/RTDC4007/2016-09-03/ "%USERPROFILE%\AppData\Local\Temp\OnboardLogs"\RTDC4007\2016-09-03 --recursive &amp; "%USERPROFILE%\Documents\GitHub\mrs-test-scripts\Headless Mode &amp; Sideloading\WalkAndUnGZ.bat" "%USERPROFILE%\AppData\Local\Temp\OnboardLogs"\RTDC4007\2016-09-03</v>
      </c>
      <c r="Q158" s="184" t="str">
        <f>VLOOKUP(C158,'[7]Train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07:29:04-0600',mode:absolute,to:'2016-09-02 09:42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158" s="185" t="str">
        <f t="shared" si="18"/>
        <v>"C:\Program Files (x86)\AstroGrep\AstroGrep.exe" /spath="C:\Users\stu\Documents\Analysis\2016-02-23 RTDC Observations" /stypes="*4007*201609021*" /stext=" 14:.+((SYSTEM_STATE.+slice.+state.+changed )|(ment ac)|(system.+state.+changed )|(\|lc)|(penalty)|(\[timeout)|(PRM\|1\|D))" /e /r /s</v>
      </c>
      <c r="S158" s="176" t="str">
        <f t="shared" si="20"/>
        <v>4007</v>
      </c>
      <c r="T158" s="172">
        <f t="shared" si="21"/>
        <v>42615.612557870372</v>
      </c>
      <c r="U158" s="181" t="str">
        <f t="shared" si="23"/>
        <v>Other</v>
      </c>
      <c r="V158" s="181" t="str">
        <f t="shared" si="22"/>
        <v>KEEP</v>
      </c>
      <c r="W158" s="186" t="str">
        <f t="shared" si="19"/>
        <v>echo {"issue":{"subject":"","project_id":79,"tracker_id":40,"status_id":1,"priority_id":2,"assigned_to_id":23,"start_date":"2016-09-02","description":"","custom_fields":[{"id":1,"name":"Subdivision","value":"Other"},{"id":4,"name":"Milepost","value":"2.5696"},{"id":17,"name":"Train ID","value":"903-02"},{"id":16,"name":"Locomotive ID","value":"4007"},{"id":130,"name":"Impact","value":""},{"id":150,"name":"Time of Event (Mountain Time)","value":"08:42:05"},{"id":151,"name":"Denver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59" spans="1:23" x14ac:dyDescent="0.25">
      <c r="A159" s="172">
        <v>42615.477013888885</v>
      </c>
      <c r="B159" s="173" t="s">
        <v>491</v>
      </c>
      <c r="C159" s="173" t="s">
        <v>1245</v>
      </c>
      <c r="D159" s="173" t="s">
        <v>49</v>
      </c>
      <c r="E159" s="173" t="s">
        <v>1948</v>
      </c>
      <c r="F159" s="174">
        <v>0</v>
      </c>
      <c r="G159" s="174">
        <v>83</v>
      </c>
      <c r="H159" s="174">
        <v>24625</v>
      </c>
      <c r="I159" s="173" t="s">
        <v>334</v>
      </c>
      <c r="J159" s="174">
        <v>24235</v>
      </c>
      <c r="K159" s="173" t="s">
        <v>1949</v>
      </c>
      <c r="L159" s="175" t="str">
        <f>VLOOKUP(C159,'[7]Trips&amp;Operators'!$C$1:$E$9999,3,0)</f>
        <v>DAVIS</v>
      </c>
      <c r="M159" s="182" t="s">
        <v>86</v>
      </c>
      <c r="N159" s="177"/>
      <c r="P159" s="183" t="str">
        <f>VLOOKUP(C159,'[7]Train Runs'!$A$13:$AE$10015,31,0)</f>
        <v>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 &amp; aws s3 cp s3://rtdc.mdm.uploadarchive/RTDC4022/2016-09-03/ "%USERPROFILE%\AppData\Local\Temp\OnboardLogs"\RTDC4022\2016-09-03 --recursive &amp; "%USERPROFILE%\Documents\GitHub\mrs-test-scripts\Headless Mode &amp; Sideloading\WalkAndUnGZ.bat" "%USERPROFILE%\AppData\Local\Temp\OnboardLogs"\RTDC4022\2016-09-03</v>
      </c>
      <c r="Q159" s="184" t="str">
        <f>VLOOKUP(C159,'[7]Train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10:09:53-0600',mode:absolute,to:'2016-09-02 12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R159" s="185" t="str">
        <f t="shared" si="18"/>
        <v>"C:\Program Files (x86)\AstroGrep\AstroGrep.exe" /spath="C:\Users\stu\Documents\Analysis\2016-02-23 RTDC Observations" /stypes="*4022*201609021*" /stext=" 17:.+((SYSTEM_STATE.+slice.+state.+changed )|(ment ac)|(system.+state.+changed )|(\|lc)|(penalty)|(\[timeout)|(PRM\|1\|D))" /e /r /s</v>
      </c>
      <c r="S159" s="176" t="str">
        <f t="shared" si="20"/>
        <v>4022</v>
      </c>
      <c r="T159" s="172">
        <f t="shared" si="21"/>
        <v>42615.727013888885</v>
      </c>
      <c r="U159" s="181" t="str">
        <f t="shared" si="23"/>
        <v>Other</v>
      </c>
      <c r="V159" s="181" t="str">
        <f t="shared" si="22"/>
        <v>KEEP</v>
      </c>
      <c r="W159" s="186" t="str">
        <f t="shared" si="19"/>
        <v>echo {"issue":{"subject":"","project_id":79,"tracker_id":40,"status_id":1,"priority_id":2,"assigned_to_id":23,"start_date":"2016-09-02","description":"","custom_fields":[{"id":1,"name":"Subdivision","value":"Other"},{"id":4,"name":"Milepost","value":"2.4235"},{"id":17,"name":"Train ID","value":"51-02"},{"id":16,"name":"Locomotive ID","value":"4022"},{"id":130,"name":"Impact","value":""},{"id":150,"name":"Time of Event (Mountain Time)","value":"11:26:54"},{"id":151,"name":"Denver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0" spans="1:23" x14ac:dyDescent="0.25">
      <c r="A160" s="172">
        <v>42615.477939814817</v>
      </c>
      <c r="B160" s="173" t="s">
        <v>491</v>
      </c>
      <c r="C160" s="173" t="s">
        <v>1245</v>
      </c>
      <c r="D160" s="173" t="s">
        <v>229</v>
      </c>
      <c r="E160" s="173" t="s">
        <v>1950</v>
      </c>
      <c r="F160" s="174">
        <v>0</v>
      </c>
      <c r="G160" s="174">
        <v>29</v>
      </c>
      <c r="H160" s="174">
        <v>25434</v>
      </c>
      <c r="I160" s="173" t="s">
        <v>1951</v>
      </c>
      <c r="J160" s="174">
        <v>0</v>
      </c>
      <c r="K160" s="173" t="s">
        <v>52</v>
      </c>
      <c r="L160" s="175" t="str">
        <f>VLOOKUP(C160,'[7]Trips&amp;Operators'!$C$1:$E$9999,3,0)</f>
        <v>DAVIS</v>
      </c>
      <c r="M160" s="182" t="s">
        <v>86</v>
      </c>
      <c r="N160" s="177"/>
      <c r="P160" s="183" t="str">
        <f>VLOOKUP(C160,'[7]Train Runs'!$A$13:$AE$10015,31,0)</f>
        <v>aws s3 cp s3://rtdc.mdm.uploadarchive/RTDC4022/2016-09-02/ "%USERPROFILE%\AppData\Local\Temp\OnboardLogs"\RTDC4022\2016-09-02 --recursive &amp; "%USERPROFILE%\Documents\GitHub\mrs-test-scripts\Headless Mode &amp; Sideloading\WalkAndUnGZ.bat" "%USERPROFILE%\AppData\Local\Temp\OnboardLogs"\RTDC4022\2016-09-02 &amp; aws s3 cp s3://rtdc.mdm.uploadarchive/RTDC4022/2016-09-03/ "%USERPROFILE%\AppData\Local\Temp\OnboardLogs"\RTDC4022\2016-09-03 --recursive &amp; "%USERPROFILE%\Documents\GitHub\mrs-test-scripts\Headless Mode &amp; Sideloading\WalkAndUnGZ.bat" "%USERPROFILE%\AppData\Local\Temp\OnboardLogs"\RTDC4022\2016-09-03</v>
      </c>
      <c r="Q160" s="184" t="str">
        <f>VLOOKUP(C160,'[7]Train Runs'!$A$13:$AE$10015,22,0)</f>
        <v>https://search-rtdc-monitor-bjffxe2xuh6vdkpspy63sjmuny.us-east-1.es.amazonaws.com/_plugin/kibana/#/discover/Steve-Slow-Train-Analysis-(2080s-and-2083s)?_g=(refreshInterval:(display:Off,section:0,value:0),time:(from:'2016-09-02 10:09:53-0600',mode:absolute,to:'2016-09-02 12:26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R160" s="185" t="str">
        <f t="shared" si="18"/>
        <v>"C:\Program Files (x86)\AstroGrep\AstroGrep.exe" /spath="C:\Users\stu\Documents\Analysis\2016-02-23 RTDC Observations" /stypes="*4022*201609021*" /stext=" 17:.+((SYSTEM_STATE.+slice.+state.+changed )|(ment ac)|(system.+state.+changed )|(\|lc)|(penalty)|(\[timeout)|(PRM\|1\|D))" /e /r /s</v>
      </c>
      <c r="S160" s="176" t="str">
        <f t="shared" si="20"/>
        <v>4022</v>
      </c>
      <c r="T160" s="172">
        <f t="shared" si="21"/>
        <v>42615.727939814817</v>
      </c>
      <c r="U160" s="181" t="str">
        <f t="shared" si="23"/>
        <v>Other</v>
      </c>
      <c r="V160" s="181" t="str">
        <f t="shared" si="22"/>
        <v>KEEP</v>
      </c>
      <c r="W160" s="186" t="str">
        <f t="shared" si="19"/>
        <v>echo {"issue":{"subject":"","project_id":79,"tracker_id":40,"status_id":1,"priority_id":2,"assigned_to_id":23,"start_date":"2016-09-02","description":"","custom_fields":[{"id":1,"name":"Subdivision","value":"Other"},{"id":4,"name":"Milepost","value":"0"},{"id":17,"name":"Train ID","value":"51-02"},{"id":16,"name":"Locomotive ID","value":"4022"},{"id":130,"name":"Impact","value":""},{"id":150,"name":"Time of Event (Mountain Time)","value":"11:28:14"},{"id":151,"name":"Denver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1" spans="1:23" x14ac:dyDescent="0.25">
      <c r="A161" s="172">
        <v>42616.219293981485</v>
      </c>
      <c r="B161" s="173" t="s">
        <v>227</v>
      </c>
      <c r="C161" s="173" t="s">
        <v>718</v>
      </c>
      <c r="D161" s="173" t="s">
        <v>229</v>
      </c>
      <c r="E161" s="173" t="s">
        <v>206</v>
      </c>
      <c r="F161" s="174">
        <v>40</v>
      </c>
      <c r="G161" s="174">
        <v>164</v>
      </c>
      <c r="H161" s="174">
        <v>27124</v>
      </c>
      <c r="I161" s="173" t="s">
        <v>205</v>
      </c>
      <c r="J161" s="174">
        <v>27350</v>
      </c>
      <c r="K161" s="173" t="s">
        <v>53</v>
      </c>
      <c r="L161" s="175" t="str">
        <f>VLOOKUP(C161,'[8]Trips&amp;Operators'!$C$1:$E$9999,3,0)</f>
        <v>MALAVE</v>
      </c>
      <c r="M161" s="182" t="s">
        <v>86</v>
      </c>
      <c r="N161" s="177" t="s">
        <v>336</v>
      </c>
      <c r="P161" s="183" t="str">
        <f>VLOOKUP(C161,'[8]Train Runs'!$A$13:$AE$10006,31,0)</f>
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</c>
      <c r="Q161" s="184" t="str">
        <f>VLOOKUP(C161,'[8]Train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03:38:42-0600',mode:absolute,to:'2016-09-03 06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61" s="185" t="str">
        <f t="shared" ref="R161:R194" si="24">astrogrep_path&amp;" /spath="&amp;search_path&amp;" /stypes=""*"&amp;S161&amp;"*"&amp;TEXT(A161-utc_offset/24,"YYYYMMDD")&amp;LEFT(TEXT(A161-utc_offset/24,"HH"),1)&amp;"*"" /stext="" "&amp;TEXT(A161-utc_offset/24,"HH")&amp;search_regexp&amp;""" /e /r /s"</f>
        <v>"C:\Program Files (x86)\AstroGrep\AstroGrep.exe" /spath="C:\Users\stu\Documents\Analysis\2016-02-23 RTDC Observations" /stypes="*4001*201609031*" /stext=" 11:.+((SYSTEM_STATE.+slice.+state.+changed )|(ment ac)|(system.+state.+changed )|(\|lc)|(penalty)|(\[timeout)|(PRM\|1\|D))" /e /r /s</v>
      </c>
      <c r="S161" s="176" t="str">
        <f t="shared" si="20"/>
        <v>4001</v>
      </c>
      <c r="T161" s="172">
        <f t="shared" si="21"/>
        <v>42616.469293981485</v>
      </c>
      <c r="U161" s="181" t="str">
        <f t="shared" si="23"/>
        <v>EC</v>
      </c>
      <c r="V161" s="181" t="str">
        <f t="shared" si="22"/>
        <v>KEEP</v>
      </c>
      <c r="W161" s="186" t="str">
        <f t="shared" ref="W161:W194" si="25">"echo {""issue"":{""subject"":"""&amp;N161&amp;""",""project_id"":79,""tracker_id"":40,""status_id"":"&amp;redmine_status&amp;",""priority_id"":"&amp;redmine_priority&amp;",""assigned_to_id"":"&amp;redmine_assignee&amp;",""start_date"":"""&amp;TEXT(A161,"YYYY-mm-dd")&amp;""",""description"":"""&amp;X161&amp;""",""custom_fields"":[{""id"":1,""name"":""Subdivision"",""value"":"""&amp;U161&amp;"""},{""id"":4,""name"":""Milepost"",""value"":"""&amp;J161/10000&amp;"""},{""id"":17,""name"":""Train ID"",""value"":"""&amp;C161&amp;"""},{""id"":16,""name"":""Locomotive ID"",""value"":"""&amp;S161&amp;"""},{""id"":130,""name"":""Impact"",""value"":"""&amp;Y161&amp;"""},{""id"":150,""name"":""Time of Event (Mountain Time)"",""value"":"""&amp;TEXT(A161,"hh:mm:ss")&amp;"""},{""id"":151,""name"":""Denver Issue ID"",""value"":"""&amp;"""},{""id"":178,""name"":""Operational Impact"",""value"":"""&amp;redmine_op_impact&amp;"""},{""id"":179,""name"":""Denver Segment Assigned"",""value"":"""&amp;Z161&amp;"""}]}}"&amp;"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arrival","project_id":79,"tracker_id":40,"status_id":1,"priority_id":2,"assigned_to_id":23,"start_date":"2016-09-03","description":"","custom_fields":[{"id":1,"name":"Subdivision","value":"EC"},{"id":4,"name":"Milepost","value":"2.735"},{"id":17,"name":"Train ID","value":"104-03"},{"id":16,"name":"Locomotive ID","value":"4001"},{"id":130,"name":"Impact","value":""},{"id":150,"name":"Time of Event (Mountain Time)","value":"05:15:47"},{"id":151,"name":"Denver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2" spans="1:23" x14ac:dyDescent="0.25">
      <c r="A162" s="172">
        <v>42616.216805555552</v>
      </c>
      <c r="B162" s="173" t="s">
        <v>227</v>
      </c>
      <c r="C162" s="173" t="s">
        <v>718</v>
      </c>
      <c r="D162" s="173" t="s">
        <v>49</v>
      </c>
      <c r="E162" s="173" t="s">
        <v>206</v>
      </c>
      <c r="F162" s="174">
        <v>310</v>
      </c>
      <c r="G162" s="174">
        <v>388</v>
      </c>
      <c r="H162" s="174">
        <v>35103</v>
      </c>
      <c r="I162" s="173" t="s">
        <v>205</v>
      </c>
      <c r="J162" s="174">
        <v>33257</v>
      </c>
      <c r="K162" s="173" t="s">
        <v>53</v>
      </c>
      <c r="L162" s="175" t="str">
        <f>VLOOKUP(C162,'[8]Trips&amp;Operators'!$C$1:$E$9999,3,0)</f>
        <v>MALAVE</v>
      </c>
      <c r="M162" s="182" t="s">
        <v>86</v>
      </c>
      <c r="N162" s="177" t="s">
        <v>336</v>
      </c>
      <c r="P162" s="183" t="str">
        <f>VLOOKUP(C162,'[8]Train Runs'!$A$13:$AE$10006,31,0)</f>
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</c>
      <c r="Q162" s="184" t="str">
        <f>VLOOKUP(C162,'[8]Train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03:38:42-0600',mode:absolute,to:'2016-09-03 06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62" s="185" t="str">
        <f t="shared" si="24"/>
        <v>"C:\Program Files (x86)\AstroGrep\AstroGrep.exe" /spath="C:\Users\stu\Documents\Analysis\2016-02-23 RTDC Observations" /stypes="*4001*201609031*" /stext=" 11:.+((SYSTEM_STATE.+slice.+state.+changed )|(ment ac)|(system.+state.+changed )|(\|lc)|(penalty)|(\[timeout)|(PRM\|1\|D))" /e /r /s</v>
      </c>
      <c r="S162" s="176" t="str">
        <f t="shared" si="20"/>
        <v>4001</v>
      </c>
      <c r="T162" s="172">
        <f t="shared" si="21"/>
        <v>42616.466805555552</v>
      </c>
      <c r="U162" s="181" t="str">
        <f t="shared" si="23"/>
        <v>EC</v>
      </c>
      <c r="V162" s="181" t="str">
        <f t="shared" si="22"/>
        <v>KEEP</v>
      </c>
      <c r="W162" s="186" t="str">
        <f t="shared" si="25"/>
        <v>echo {"issue":{"subject":"Early arrival","project_id":79,"tracker_id":40,"status_id":1,"priority_id":2,"assigned_to_id":23,"start_date":"2016-09-03","description":"","custom_fields":[{"id":1,"name":"Subdivision","value":"EC"},{"id":4,"name":"Milepost","value":"3.3257"},{"id":17,"name":"Train ID","value":"104-03"},{"id":16,"name":"Locomotive ID","value":"4001"},{"id":130,"name":"Impact","value":""},{"id":150,"name":"Time of Event (Mountain Time)","value":"05:12:12"},{"id":151,"name":"Denver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3" spans="1:23" x14ac:dyDescent="0.25">
      <c r="A163" s="172">
        <v>42616.623414351852</v>
      </c>
      <c r="B163" s="173" t="s">
        <v>726</v>
      </c>
      <c r="C163" s="173" t="s">
        <v>733</v>
      </c>
      <c r="D163" s="173" t="s">
        <v>229</v>
      </c>
      <c r="E163" s="173" t="s">
        <v>206</v>
      </c>
      <c r="F163" s="174">
        <v>0</v>
      </c>
      <c r="G163" s="174">
        <v>211</v>
      </c>
      <c r="H163" s="174">
        <v>42825</v>
      </c>
      <c r="I163" s="173" t="s">
        <v>205</v>
      </c>
      <c r="J163" s="174">
        <v>42779</v>
      </c>
      <c r="K163" s="173" t="s">
        <v>52</v>
      </c>
      <c r="L163" s="175" t="str">
        <f>VLOOKUP(C163,'[8]Trips&amp;Operators'!$C$1:$E$9999,3,0)</f>
        <v>STAMBAUGH</v>
      </c>
      <c r="M163" s="182" t="s">
        <v>86</v>
      </c>
      <c r="N163" s="177" t="s">
        <v>336</v>
      </c>
      <c r="P163" s="183" t="str">
        <f>VLOOKUP(C163,'[8]Train Runs'!$A$13:$AE$10006,31,0)</f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Q163" s="184" t="str">
        <f>VLOOKUP(C163,'[8]Train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13:35:35-0600',mode:absolute,to:'2016-09-03 16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163" s="185" t="str">
        <f t="shared" si="24"/>
        <v>"C:\Program Files (x86)\AstroGrep\AstroGrep.exe" /spath="C:\Users\stu\Documents\Analysis\2016-02-23 RTDC Observations" /stypes="*4040*201609032*" /stext=" 20:.+((SYSTEM_STATE.+slice.+state.+changed )|(ment ac)|(system.+state.+changed )|(\|lc)|(penalty)|(\[timeout)|(PRM\|1\|D))" /e /r /s</v>
      </c>
      <c r="S163" s="176" t="str">
        <f t="shared" si="20"/>
        <v>4040</v>
      </c>
      <c r="T163" s="172">
        <f t="shared" si="21"/>
        <v>42616.873414351852</v>
      </c>
      <c r="U163" s="181" t="str">
        <f t="shared" si="23"/>
        <v>EC</v>
      </c>
      <c r="V163" s="181" t="str">
        <f t="shared" si="22"/>
        <v>KEEP</v>
      </c>
      <c r="W163" s="186" t="str">
        <f t="shared" si="25"/>
        <v>echo {"issue":{"subject":"Early arrival","project_id":79,"tracker_id":40,"status_id":1,"priority_id":2,"assigned_to_id":23,"start_date":"2016-09-03","description":"","custom_fields":[{"id":1,"name":"Subdivision","value":"EC"},{"id":4,"name":"Milepost","value":"4.2779"},{"id":17,"name":"Train ID","value":"189-03"},{"id":16,"name":"Locomotive ID","value":"4040"},{"id":130,"name":"Impact","value":""},{"id":150,"name":"Time of Event (Mountain Time)","value":"14:57:43"},{"id":151,"name":"Denver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4" spans="1:23" x14ac:dyDescent="0.25">
      <c r="A164" s="172">
        <v>42616.385787037034</v>
      </c>
      <c r="B164" s="173" t="s">
        <v>111</v>
      </c>
      <c r="C164" s="173" t="s">
        <v>744</v>
      </c>
      <c r="D164" s="173" t="s">
        <v>49</v>
      </c>
      <c r="E164" s="173" t="s">
        <v>206</v>
      </c>
      <c r="F164" s="174">
        <v>70</v>
      </c>
      <c r="G164" s="174">
        <v>145</v>
      </c>
      <c r="H164" s="174">
        <v>62665</v>
      </c>
      <c r="I164" s="173" t="s">
        <v>205</v>
      </c>
      <c r="J164" s="174">
        <v>63069</v>
      </c>
      <c r="K164" s="173" t="s">
        <v>52</v>
      </c>
      <c r="L164" s="175" t="str">
        <f>VLOOKUP(C164,'[8]Trips&amp;Operators'!$C$1:$E$9999,3,0)</f>
        <v>STRICKLAND</v>
      </c>
      <c r="M164" s="182" t="s">
        <v>86</v>
      </c>
      <c r="N164" s="177" t="s">
        <v>336</v>
      </c>
      <c r="P164" s="183" t="str">
        <f>VLOOKUP(C164,'[8]Train Runs'!$A$13:$AE$10006,31,0)</f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Q164" s="184" t="str">
        <f>VLOOKUP(C164,'[8]Train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07:52:59-0600',mode:absolute,to:'2016-09-03 10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64" s="185" t="str">
        <f t="shared" si="24"/>
        <v>"C:\Program Files (x86)\AstroGrep\AstroGrep.exe" /spath="C:\Users\stu\Documents\Analysis\2016-02-23 RTDC Observations" /stypes="*4014*201609031*" /stext=" 15:.+((SYSTEM_STATE.+slice.+state.+changed )|(ment ac)|(system.+state.+changed )|(\|lc)|(penalty)|(\[timeout)|(PRM\|1\|D))" /e /r /s</v>
      </c>
      <c r="S164" s="176" t="str">
        <f t="shared" si="20"/>
        <v>4014</v>
      </c>
      <c r="T164" s="172">
        <f t="shared" si="21"/>
        <v>42616.635787037034</v>
      </c>
      <c r="U164" s="181" t="str">
        <f t="shared" si="23"/>
        <v>EC</v>
      </c>
      <c r="V164" s="181" t="str">
        <f t="shared" si="22"/>
        <v>KEEP</v>
      </c>
      <c r="W164" s="186" t="str">
        <f t="shared" si="25"/>
        <v>echo {"issue":{"subject":"Early arrival","project_id":79,"tracker_id":40,"status_id":1,"priority_id":2,"assigned_to_id":23,"start_date":"2016-09-03","description":"","custom_fields":[{"id":1,"name":"Subdivision","value":"EC"},{"id":4,"name":"Milepost","value":"6.3069"},{"id":17,"name":"Train ID","value":"143-03"},{"id":16,"name":"Locomotive ID","value":"4014"},{"id":130,"name":"Impact","value":""},{"id":150,"name":"Time of Event (Mountain Time)","value":"09:15:32"},{"id":151,"name":"Denver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5" spans="1:23" x14ac:dyDescent="0.25">
      <c r="A165" s="172">
        <v>42616.385312500002</v>
      </c>
      <c r="B165" s="173" t="s">
        <v>111</v>
      </c>
      <c r="C165" s="173" t="s">
        <v>744</v>
      </c>
      <c r="D165" s="173" t="s">
        <v>49</v>
      </c>
      <c r="E165" s="173" t="s">
        <v>206</v>
      </c>
      <c r="F165" s="174">
        <v>320</v>
      </c>
      <c r="G165" s="174">
        <v>478</v>
      </c>
      <c r="H165" s="174">
        <v>60921</v>
      </c>
      <c r="I165" s="173" t="s">
        <v>205</v>
      </c>
      <c r="J165" s="174">
        <v>63069</v>
      </c>
      <c r="K165" s="173" t="s">
        <v>52</v>
      </c>
      <c r="L165" s="175" t="str">
        <f>VLOOKUP(C165,'[8]Trips&amp;Operators'!$C$1:$E$9999,3,0)</f>
        <v>STRICKLAND</v>
      </c>
      <c r="M165" s="182" t="s">
        <v>86</v>
      </c>
      <c r="N165" s="177" t="s">
        <v>336</v>
      </c>
      <c r="P165" s="183" t="str">
        <f>VLOOKUP(C165,'[8]Train Runs'!$A$13:$AE$10006,31,0)</f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Q165" s="184" t="str">
        <f>VLOOKUP(C165,'[8]Train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07:52:59-0600',mode:absolute,to:'2016-09-03 10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65" s="185" t="str">
        <f t="shared" si="24"/>
        <v>"C:\Program Files (x86)\AstroGrep\AstroGrep.exe" /spath="C:\Users\stu\Documents\Analysis\2016-02-23 RTDC Observations" /stypes="*4014*201609031*" /stext=" 15:.+((SYSTEM_STATE.+slice.+state.+changed )|(ment ac)|(system.+state.+changed )|(\|lc)|(penalty)|(\[timeout)|(PRM\|1\|D))" /e /r /s</v>
      </c>
      <c r="S165" s="176" t="str">
        <f t="shared" si="20"/>
        <v>4014</v>
      </c>
      <c r="T165" s="172">
        <f t="shared" si="21"/>
        <v>42616.635312500002</v>
      </c>
      <c r="U165" s="181" t="str">
        <f t="shared" si="23"/>
        <v>EC</v>
      </c>
      <c r="V165" s="181" t="str">
        <f t="shared" si="22"/>
        <v>KEEP</v>
      </c>
      <c r="W165" s="186" t="str">
        <f t="shared" si="25"/>
        <v>echo {"issue":{"subject":"Early arrival","project_id":79,"tracker_id":40,"status_id":1,"priority_id":2,"assigned_to_id":23,"start_date":"2016-09-03","description":"","custom_fields":[{"id":1,"name":"Subdivision","value":"EC"},{"id":4,"name":"Milepost","value":"6.3069"},{"id":17,"name":"Train ID","value":"143-03"},{"id":16,"name":"Locomotive ID","value":"4014"},{"id":130,"name":"Impact","value":""},{"id":150,"name":"Time of Event (Mountain Time)","value":"09:14:51"},{"id":151,"name":"Denver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6" spans="1:23" x14ac:dyDescent="0.25">
      <c r="A166" s="172">
        <v>42616.785567129627</v>
      </c>
      <c r="B166" s="173" t="s">
        <v>200</v>
      </c>
      <c r="C166" s="173" t="s">
        <v>1515</v>
      </c>
      <c r="D166" s="173" t="s">
        <v>49</v>
      </c>
      <c r="E166" s="173" t="s">
        <v>56</v>
      </c>
      <c r="F166" s="174">
        <v>200</v>
      </c>
      <c r="G166" s="174">
        <v>253</v>
      </c>
      <c r="H166" s="174">
        <v>5936</v>
      </c>
      <c r="I166" s="173" t="s">
        <v>57</v>
      </c>
      <c r="J166" s="174">
        <v>5439</v>
      </c>
      <c r="K166" s="173" t="s">
        <v>53</v>
      </c>
      <c r="L166" s="175" t="str">
        <f>VLOOKUP(C166,'[8]Trips&amp;Operators'!$C$1:$E$9999,3,0)</f>
        <v>BRUDER</v>
      </c>
      <c r="M166" s="182" t="s">
        <v>86</v>
      </c>
      <c r="N166" s="177"/>
      <c r="P166" s="183" t="str">
        <f>VLOOKUP(C166,'[8]Train Runs'!$A$13:$AE$10006,31,0)</f>
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</c>
      <c r="Q166" s="184" t="str">
        <f>VLOOKUP(C166,'[8]Train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17:02:21-0600',mode:absolute,to:'2016-09-03 19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66" s="185" t="str">
        <f t="shared" si="24"/>
        <v>"C:\Program Files (x86)\AstroGrep\AstroGrep.exe" /spath="C:\Users\stu\Documents\Analysis\2016-02-23 RTDC Observations" /stypes="*4019*201609040*" /stext=" 00:.+((SYSTEM_STATE.+slice.+state.+changed )|(ment ac)|(system.+state.+changed )|(\|lc)|(penalty)|(\[timeout)|(PRM\|1\|D))" /e /r /s</v>
      </c>
      <c r="S166" s="176" t="str">
        <f t="shared" si="20"/>
        <v>4019</v>
      </c>
      <c r="T166" s="172">
        <f t="shared" si="21"/>
        <v>42617.035567129627</v>
      </c>
      <c r="U166" s="181" t="str">
        <f t="shared" si="23"/>
        <v>EC</v>
      </c>
      <c r="V166" s="181" t="str">
        <f t="shared" si="22"/>
        <v>KEEP</v>
      </c>
      <c r="W166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{"issue":{"subject":"","project_id":79,"tracker_id":40,"status_id":1,"priority_id":2,"assigned_to_id":23,"start_date":"2016-09-03","description":"","custom_fields":[{"id":1,"name":"Subdivision","value":"EC"},{"id":4,"name":"Milepost","value":"0.5439"},{"id":17,"name":"Train ID","value":"210-03"},{"id":16,"name":"Locomotive ID","value":"4019"},{"id":130,"name":"Impact","value":""},{"id":150,"name":"Time of Event (Mountain Time)","value":"18:51:13"},{"id":151,"name":"Denver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7" spans="1:23" x14ac:dyDescent="0.25">
      <c r="A167" s="172">
        <v>42616.618113425924</v>
      </c>
      <c r="B167" s="173" t="s">
        <v>726</v>
      </c>
      <c r="C167" s="173" t="s">
        <v>733</v>
      </c>
      <c r="D167" s="173" t="s">
        <v>49</v>
      </c>
      <c r="E167" s="173" t="s">
        <v>56</v>
      </c>
      <c r="F167" s="174">
        <v>400</v>
      </c>
      <c r="G167" s="174">
        <v>547</v>
      </c>
      <c r="H167" s="174">
        <v>15956</v>
      </c>
      <c r="I167" s="173" t="s">
        <v>57</v>
      </c>
      <c r="J167" s="174">
        <v>17867</v>
      </c>
      <c r="K167" s="173" t="s">
        <v>52</v>
      </c>
      <c r="L167" s="175" t="str">
        <f>VLOOKUP(C167,'[8]Trips&amp;Operators'!$C$1:$E$9999,3,0)</f>
        <v>STAMBAUGH</v>
      </c>
      <c r="M167" s="182" t="s">
        <v>86</v>
      </c>
      <c r="N167" s="177"/>
      <c r="P167" s="183" t="str">
        <f>VLOOKUP(C167,'[8]Train Runs'!$A$13:$AE$10006,31,0)</f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Q167" s="184" t="str">
        <f>VLOOKUP(C167,'[8]Train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13:35:35-0600',mode:absolute,to:'2016-09-03 16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167" s="185" t="str">
        <f t="shared" si="24"/>
        <v>"C:\Program Files (x86)\AstroGrep\AstroGrep.exe" /spath="C:\Users\stu\Documents\Analysis\2016-02-23 RTDC Observations" /stypes="*4040*201609032*" /stext=" 20:.+((SYSTEM_STATE.+slice.+state.+changed )|(ment ac)|(system.+state.+changed )|(\|lc)|(penalty)|(\[timeout)|(PRM\|1\|D))" /e /r /s</v>
      </c>
      <c r="S167" s="176" t="str">
        <f t="shared" si="20"/>
        <v>4040</v>
      </c>
      <c r="T167" s="172">
        <f t="shared" si="21"/>
        <v>42616.868113425924</v>
      </c>
      <c r="U167" s="181" t="str">
        <f t="shared" si="23"/>
        <v>EC</v>
      </c>
      <c r="V167" s="181" t="str">
        <f t="shared" si="22"/>
        <v>KEEP</v>
      </c>
      <c r="W167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{"issue":{"subject":"","project_id":79,"tracker_id":40,"status_id":1,"priority_id":2,"assigned_to_id":23,"start_date":"2016-09-03","description":"","custom_fields":[{"id":1,"name":"Subdivision","value":"EC"},{"id":4,"name":"Milepost","value":"1.7867"},{"id":17,"name":"Train ID","value":"189-03"},{"id":16,"name":"Locomotive ID","value":"4040"},{"id":130,"name":"Impact","value":""},{"id":150,"name":"Time of Event (Mountain Time)","value":"14:50:05"},{"id":151,"name":"Denver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8" spans="1:23" x14ac:dyDescent="0.25">
      <c r="A168" s="172">
        <v>42616.701331018521</v>
      </c>
      <c r="B168" s="173" t="s">
        <v>111</v>
      </c>
      <c r="C168" s="173" t="s">
        <v>1499</v>
      </c>
      <c r="D168" s="173" t="s">
        <v>49</v>
      </c>
      <c r="E168" s="173" t="s">
        <v>56</v>
      </c>
      <c r="F168" s="174">
        <v>400</v>
      </c>
      <c r="G168" s="174">
        <v>465</v>
      </c>
      <c r="H168" s="174">
        <v>17368</v>
      </c>
      <c r="I168" s="173" t="s">
        <v>57</v>
      </c>
      <c r="J168" s="174">
        <v>17867</v>
      </c>
      <c r="K168" s="173" t="s">
        <v>52</v>
      </c>
      <c r="L168" s="175" t="str">
        <f>VLOOKUP(C168,'[8]Trips&amp;Operators'!$C$1:$E$9999,3,0)</f>
        <v>MOSES</v>
      </c>
      <c r="M168" s="182" t="s">
        <v>86</v>
      </c>
      <c r="N168" s="177"/>
      <c r="P168" s="183" t="str">
        <f>VLOOKUP(C168,'[8]Train Runs'!$A$13:$AE$10006,31,0)</f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Q168" s="184" t="str">
        <f>VLOOKUP(C168,'[8]Train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15:43:44-0600',mode:absolute,to:'2016-09-03 18:31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68" s="185" t="str">
        <f t="shared" si="24"/>
        <v>"C:\Program Files (x86)\AstroGrep\AstroGrep.exe" /spath="C:\Users\stu\Documents\Analysis\2016-02-23 RTDC Observations" /stypes="*4014*201609032*" /stext=" 22:.+((SYSTEM_STATE.+slice.+state.+changed )|(ment ac)|(system.+state.+changed )|(\|lc)|(penalty)|(\[timeout)|(PRM\|1\|D))" /e /r /s</v>
      </c>
      <c r="S168" s="176" t="str">
        <f t="shared" si="20"/>
        <v>4014</v>
      </c>
      <c r="T168" s="172">
        <f t="shared" si="21"/>
        <v>42616.951331018521</v>
      </c>
      <c r="U168" s="181" t="str">
        <f t="shared" si="23"/>
        <v>EC</v>
      </c>
      <c r="V168" s="181" t="str">
        <f t="shared" si="22"/>
        <v>KEEP</v>
      </c>
      <c r="W168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{"issue":{"subject":"","project_id":79,"tracker_id":40,"status_id":1,"priority_id":2,"assigned_to_id":23,"start_date":"2016-09-03","description":"","custom_fields":[{"id":1,"name":"Subdivision","value":"EC"},{"id":4,"name":"Milepost","value":"1.7867"},{"id":17,"name":"Train ID","value":"205-03"},{"id":16,"name":"Locomotive ID","value":"4014"},{"id":130,"name":"Impact","value":""},{"id":150,"name":"Time of Event (Mountain Time)","value":"16:49:55"},{"id":151,"name":"Denver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69" spans="1:23" x14ac:dyDescent="0.25">
      <c r="A169" s="172">
        <v>42616.530740740738</v>
      </c>
      <c r="B169" s="173" t="s">
        <v>706</v>
      </c>
      <c r="C169" s="173" t="s">
        <v>1454</v>
      </c>
      <c r="D169" s="173" t="s">
        <v>49</v>
      </c>
      <c r="E169" s="173" t="s">
        <v>56</v>
      </c>
      <c r="F169" s="174">
        <v>300</v>
      </c>
      <c r="G169" s="174">
        <v>525</v>
      </c>
      <c r="H169" s="174">
        <v>24418</v>
      </c>
      <c r="I169" s="173" t="s">
        <v>57</v>
      </c>
      <c r="J169" s="174">
        <v>21848</v>
      </c>
      <c r="K169" s="173" t="s">
        <v>53</v>
      </c>
      <c r="L169" s="175" t="str">
        <f>VLOOKUP(C169,'[8]Trips&amp;Operators'!$C$1:$E$9999,3,0)</f>
        <v>STAMBAUGH</v>
      </c>
      <c r="M169" s="182" t="s">
        <v>86</v>
      </c>
      <c r="N169" s="177"/>
      <c r="P169" s="183" t="str">
        <f>VLOOKUP(C169,'[8]Train Runs'!$A$13:$AE$10006,31,0)</f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Q169" s="184" t="str">
        <f>VLOOKUP(C169,'[8]Train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11:02:35-0600',mode:absolute,to:'2016-09-03 13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169" s="185" t="str">
        <f t="shared" si="24"/>
        <v>"C:\Program Files (x86)\AstroGrep\AstroGrep.exe" /spath="C:\Users\stu\Documents\Analysis\2016-02-23 RTDC Observations" /stypes="*4039*201609031*" /stext=" 18:.+((SYSTEM_STATE.+slice.+state.+changed )|(ment ac)|(system.+state.+changed )|(\|lc)|(penalty)|(\[timeout)|(PRM\|1\|D))" /e /r /s</v>
      </c>
      <c r="S169" s="176" t="str">
        <f t="shared" si="20"/>
        <v>4039</v>
      </c>
      <c r="T169" s="172">
        <f t="shared" si="21"/>
        <v>42616.780740740738</v>
      </c>
      <c r="U169" s="181" t="str">
        <f t="shared" si="23"/>
        <v>EC</v>
      </c>
      <c r="V169" s="181" t="str">
        <f t="shared" si="22"/>
        <v>KEEP</v>
      </c>
      <c r="W169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{"issue":{"subject":"","project_id":79,"tracker_id":40,"status_id":1,"priority_id":2,"assigned_to_id":23,"start_date":"2016-09-03","description":"","custom_fields":[{"id":1,"name":"Subdivision","value":"EC"},{"id":4,"name":"Milepost","value":"2.1848"},{"id":17,"name":"Train ID","value":"162-03"},{"id":16,"name":"Locomotive ID","value":"4039"},{"id":130,"name":"Impact","value":""},{"id":150,"name":"Time of Event (Mountain Time)","value":"12:44:16"},{"id":151,"name":"Denver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0" spans="1:23" x14ac:dyDescent="0.25">
      <c r="A170" s="172">
        <v>42616.52921296296</v>
      </c>
      <c r="B170" s="173" t="s">
        <v>706</v>
      </c>
      <c r="C170" s="173" t="s">
        <v>1454</v>
      </c>
      <c r="D170" s="173" t="s">
        <v>49</v>
      </c>
      <c r="E170" s="173" t="s">
        <v>56</v>
      </c>
      <c r="F170" s="174">
        <v>200</v>
      </c>
      <c r="G170" s="174">
        <v>292</v>
      </c>
      <c r="H170" s="174">
        <v>31113</v>
      </c>
      <c r="I170" s="173" t="s">
        <v>57</v>
      </c>
      <c r="J170" s="174">
        <v>30562</v>
      </c>
      <c r="K170" s="173" t="s">
        <v>53</v>
      </c>
      <c r="L170" s="175" t="str">
        <f>VLOOKUP(C170,'[8]Trips&amp;Operators'!$C$1:$E$9999,3,0)</f>
        <v>STAMBAUGH</v>
      </c>
      <c r="M170" s="182" t="s">
        <v>86</v>
      </c>
      <c r="N170" s="177"/>
      <c r="P170" s="183" t="str">
        <f>VLOOKUP(C170,'[8]Train Runs'!$A$13:$AE$10006,31,0)</f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Q170" s="184" t="str">
        <f>VLOOKUP(C170,'[8]Train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11:02:35-0600',mode:absolute,to:'2016-09-03 13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170" s="185" t="str">
        <f t="shared" si="24"/>
        <v>"C:\Program Files (x86)\AstroGrep\AstroGrep.exe" /spath="C:\Users\stu\Documents\Analysis\2016-02-23 RTDC Observations" /stypes="*4039*201609031*" /stext=" 18:.+((SYSTEM_STATE.+slice.+state.+changed )|(ment ac)|(system.+state.+changed )|(\|lc)|(penalty)|(\[timeout)|(PRM\|1\|D))" /e /r /s</v>
      </c>
      <c r="S170" s="176" t="str">
        <f t="shared" si="20"/>
        <v>4039</v>
      </c>
      <c r="T170" s="172">
        <f t="shared" si="21"/>
        <v>42616.77921296296</v>
      </c>
      <c r="U170" s="181" t="str">
        <f t="shared" si="23"/>
        <v>EC</v>
      </c>
      <c r="V170" s="181" t="str">
        <f t="shared" si="22"/>
        <v>KEEP</v>
      </c>
      <c r="W170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{"issue":{"subject":"","project_id":79,"tracker_id":40,"status_id":1,"priority_id":2,"assigned_to_id":23,"start_date":"2016-09-03","description":"","custom_fields":[{"id":1,"name":"Subdivision","value":"EC"},{"id":4,"name":"Milepost","value":"3.0562"},{"id":17,"name":"Train ID","value":"162-03"},{"id":16,"name":"Locomotive ID","value":"4039"},{"id":130,"name":"Impact","value":""},{"id":150,"name":"Time of Event (Mountain Time)","value":"12:42:04"},{"id":151,"name":"Denver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1" spans="1:23" x14ac:dyDescent="0.25">
      <c r="A171" s="172">
        <v>42616.326805555553</v>
      </c>
      <c r="B171" s="173" t="s">
        <v>111</v>
      </c>
      <c r="C171" s="173" t="s">
        <v>1405</v>
      </c>
      <c r="D171" s="173" t="s">
        <v>49</v>
      </c>
      <c r="E171" s="173" t="s">
        <v>56</v>
      </c>
      <c r="F171" s="174">
        <v>550</v>
      </c>
      <c r="G171" s="174">
        <v>601</v>
      </c>
      <c r="H171" s="174">
        <v>220054</v>
      </c>
      <c r="I171" s="173" t="s">
        <v>57</v>
      </c>
      <c r="J171" s="174">
        <v>222090</v>
      </c>
      <c r="K171" s="173" t="s">
        <v>52</v>
      </c>
      <c r="L171" s="175" t="str">
        <f>VLOOKUP(C171,'[8]Trips&amp;Operators'!$C$1:$E$9999,3,0)</f>
        <v>STRICKLAND</v>
      </c>
      <c r="M171" s="182" t="s">
        <v>86</v>
      </c>
      <c r="N171" s="177"/>
      <c r="P171" s="183" t="str">
        <f>VLOOKUP(C171,'[8]Train Runs'!$A$13:$AE$10006,31,0)</f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Q171" s="184" t="str">
        <f>VLOOKUP(C171,'[8]Train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06:08:13-0600',mode:absolute,to:'2016-09-03 08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71" s="185" t="str">
        <f t="shared" si="24"/>
        <v>"C:\Program Files (x86)\AstroGrep\AstroGrep.exe" /spath="C:\Users\stu\Documents\Analysis\2016-02-23 RTDC Observations" /stypes="*4014*201609031*" /stext=" 13:.+((SYSTEM_STATE.+slice.+state.+changed )|(ment ac)|(system.+state.+changed )|(\|lc)|(penalty)|(\[timeout)|(PRM\|1\|D))" /e /r /s</v>
      </c>
      <c r="S171" s="176" t="str">
        <f t="shared" si="20"/>
        <v>4014</v>
      </c>
      <c r="T171" s="172">
        <f t="shared" si="21"/>
        <v>42616.576805555553</v>
      </c>
      <c r="U171" s="181" t="str">
        <f t="shared" si="23"/>
        <v>EC</v>
      </c>
      <c r="V171" s="181" t="str">
        <f t="shared" si="22"/>
        <v>KEEP</v>
      </c>
      <c r="W171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{"issue":{"subject":"","project_id":79,"tracker_id":40,"status_id":1,"priority_id":2,"assigned_to_id":23,"start_date":"2016-09-03","description":"","custom_fields":[{"id":1,"name":"Subdivision","value":"EC"},{"id":4,"name":"Milepost","value":"22.209"},{"id":17,"name":"Train ID","value":"129-03"},{"id":16,"name":"Locomotive ID","value":"4014"},{"id":130,"name":"Impact","value":""},{"id":150,"name":"Time of Event (Mountain Time)","value":"07:50:36"},{"id":151,"name":"Denver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2" spans="1:23" x14ac:dyDescent="0.25">
      <c r="A172" s="172">
        <v>42616.651932870373</v>
      </c>
      <c r="B172" s="173" t="s">
        <v>111</v>
      </c>
      <c r="C172" s="173" t="s">
        <v>1481</v>
      </c>
      <c r="D172" s="173" t="s">
        <v>49</v>
      </c>
      <c r="E172" s="173" t="s">
        <v>56</v>
      </c>
      <c r="F172" s="174">
        <v>550</v>
      </c>
      <c r="G172" s="174">
        <v>746</v>
      </c>
      <c r="H172" s="174">
        <v>218342</v>
      </c>
      <c r="I172" s="173" t="s">
        <v>57</v>
      </c>
      <c r="J172" s="174">
        <v>222090</v>
      </c>
      <c r="K172" s="173" t="s">
        <v>52</v>
      </c>
      <c r="L172" s="175" t="str">
        <f>VLOOKUP(C172,'[8]Trips&amp;Operators'!$C$1:$E$9999,3,0)</f>
        <v>STAMBAUGH</v>
      </c>
      <c r="M172" s="182" t="s">
        <v>86</v>
      </c>
      <c r="N172" s="177"/>
      <c r="P172" s="183" t="str">
        <f>VLOOKUP(C172,'[8]Train Runs'!$A$13:$AE$10006,31,0)</f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Q172" s="184" t="str">
        <f>VLOOKUP(C172,'[8]Train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13:46:47-0600',mode:absolute,to:'2016-09-03 16:42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72" s="185" t="str">
        <f t="shared" si="24"/>
        <v>"C:\Program Files (x86)\AstroGrep\AstroGrep.exe" /spath="C:\Users\stu\Documents\Analysis\2016-02-23 RTDC Observations" /stypes="*4014*201609032*" /stext=" 21:.+((SYSTEM_STATE.+slice.+state.+changed )|(ment ac)|(system.+state.+changed )|(\|lc)|(penalty)|(\[timeout)|(PRM\|1\|D))" /e /r /s</v>
      </c>
      <c r="S172" s="176" t="str">
        <f t="shared" si="20"/>
        <v>4014</v>
      </c>
      <c r="T172" s="172">
        <f t="shared" si="21"/>
        <v>42616.901932870373</v>
      </c>
      <c r="U172" s="181" t="str">
        <f t="shared" si="23"/>
        <v>EC</v>
      </c>
      <c r="V172" s="181" t="str">
        <f t="shared" si="22"/>
        <v>KEEP</v>
      </c>
      <c r="W172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{"issue":{"subject":"","project_id":79,"tracker_id":40,"status_id":1,"priority_id":2,"assigned_to_id":23,"start_date":"2016-09-03","description":"","custom_fields":[{"id":1,"name":"Subdivision","value":"EC"},{"id":4,"name":"Milepost","value":"22.209"},{"id":17,"name":"Train ID","value":"191-03"},{"id":16,"name":"Locomotive ID","value":"4014"},{"id":130,"name":"Impact","value":""},{"id":150,"name":"Time of Event (Mountain Time)","value":"15:38:47"},{"id":151,"name":"Denver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3" spans="1:23" x14ac:dyDescent="0.25">
      <c r="A173" s="172">
        <v>42616.478425925925</v>
      </c>
      <c r="B173" s="173" t="s">
        <v>245</v>
      </c>
      <c r="C173" s="173" t="s">
        <v>1446</v>
      </c>
      <c r="D173" s="173" t="s">
        <v>110</v>
      </c>
      <c r="E173" s="173" t="s">
        <v>56</v>
      </c>
      <c r="F173" s="174">
        <v>550</v>
      </c>
      <c r="G173" s="174">
        <v>605</v>
      </c>
      <c r="H173" s="174">
        <v>222140</v>
      </c>
      <c r="I173" s="173" t="s">
        <v>57</v>
      </c>
      <c r="J173" s="174">
        <v>224581</v>
      </c>
      <c r="K173" s="173" t="s">
        <v>53</v>
      </c>
      <c r="L173" s="175" t="str">
        <f>VLOOKUP(C173,'[8]Trips&amp;Operators'!$C$1:$E$9999,3,0)</f>
        <v>CLARK</v>
      </c>
      <c r="M173" s="182" t="s">
        <v>86</v>
      </c>
      <c r="N173" s="177"/>
      <c r="P173" s="183" t="str">
        <f>VLOOKUP(C173,'[8]Train Runs'!$A$13:$AE$10006,31,0)</f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Q173" s="184" t="str">
        <f>VLOOKUP(C173,'[8]Train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10:21:31-0600',mode:absolute,to:'2016-09-03 13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73" s="185" t="str">
        <f t="shared" si="24"/>
        <v>"C:\Program Files (x86)\AstroGrep\AstroGrep.exe" /spath="C:\Users\stu\Documents\Analysis\2016-02-23 RTDC Observations" /stypes="*4017*201609031*" /stext=" 17:.+((SYSTEM_STATE.+slice.+state.+changed )|(ment ac)|(system.+state.+changed )|(\|lc)|(penalty)|(\[timeout)|(PRM\|1\|D))" /e /r /s</v>
      </c>
      <c r="S173" s="176" t="str">
        <f t="shared" si="20"/>
        <v>4017</v>
      </c>
      <c r="T173" s="172">
        <f t="shared" si="21"/>
        <v>42616.728425925925</v>
      </c>
      <c r="U173" s="181" t="str">
        <f t="shared" si="23"/>
        <v>EC</v>
      </c>
      <c r="V173" s="181" t="str">
        <f t="shared" si="22"/>
        <v>KEEP</v>
      </c>
      <c r="W173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{"issue":{"subject":"","project_id":79,"tracker_id":40,"status_id":1,"priority_id":2,"assigned_to_id":23,"start_date":"2016-09-03","description":"","custom_fields":[{"id":1,"name":"Subdivision","value":"EC"},{"id":4,"name":"Milepost","value":"22.4581"},{"id":17,"name":"Train ID","value":"156-03"},{"id":16,"name":"Locomotive ID","value":"4017"},{"id":130,"name":"Impact","value":""},{"id":150,"name":"Time of Event (Mountain Time)","value":"11:28:56"},{"id":151,"name":"Denver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4" spans="1:23" x14ac:dyDescent="0.25">
      <c r="A174" s="172">
        <v>42616.272245370368</v>
      </c>
      <c r="B174" s="173" t="s">
        <v>93</v>
      </c>
      <c r="C174" s="173" t="s">
        <v>1395</v>
      </c>
      <c r="D174" s="173" t="s">
        <v>49</v>
      </c>
      <c r="E174" s="173" t="s">
        <v>54</v>
      </c>
      <c r="F174" s="174">
        <v>0</v>
      </c>
      <c r="G174" s="174">
        <v>791</v>
      </c>
      <c r="H174" s="174">
        <v>80959</v>
      </c>
      <c r="I174" s="173" t="s">
        <v>55</v>
      </c>
      <c r="J174" s="174">
        <v>81738</v>
      </c>
      <c r="K174" s="173" t="s">
        <v>52</v>
      </c>
      <c r="L174" s="175" t="str">
        <f>VLOOKUP(C174,'[8]Trips&amp;Operators'!$C$1:$E$9999,3,0)</f>
        <v>SANTIZO</v>
      </c>
      <c r="M174" s="182" t="s">
        <v>243</v>
      </c>
      <c r="N174" s="177" t="s">
        <v>1952</v>
      </c>
      <c r="P174" s="183" t="str">
        <f>VLOOKUP(C174,'[8]Train Runs'!$A$13:$AE$10006,31,0)</f>
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</c>
      <c r="Q174" s="184" t="str">
        <f>VLOOKUP(C174,'[8]Train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05:11:07-0600',mode:absolute,to:'2016-09-03 07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174" s="185" t="str">
        <f t="shared" si="24"/>
        <v>"C:\Program Files (x86)\AstroGrep\AstroGrep.exe" /spath="C:\Users\stu\Documents\Analysis\2016-02-23 RTDC Observations" /stypes="*4027*201609031*" /stext=" 12:.+((SYSTEM_STATE.+slice.+state.+changed )|(ment ac)|(system.+state.+changed )|(\|lc)|(penalty)|(\[timeout)|(PRM\|1\|D))" /e /r /s</v>
      </c>
      <c r="S174" s="176" t="str">
        <f t="shared" si="20"/>
        <v>4027</v>
      </c>
      <c r="T174" s="172">
        <f t="shared" si="21"/>
        <v>42616.522245370368</v>
      </c>
      <c r="U174" s="181" t="str">
        <f t="shared" si="23"/>
        <v>EC</v>
      </c>
      <c r="V174" s="181" t="str">
        <f t="shared" si="22"/>
        <v>KEEP</v>
      </c>
      <c r="W174" s="186" t="str">
        <f t="shared" si="25"/>
        <v>echo {"issue":{"subject":"EC0816RH 75-1T 1N premature downgrade","project_id":79,"tracker_id":40,"status_id":1,"priority_id":2,"assigned_to_id":23,"start_date":"2016-09-03","description":"","custom_fields":[{"id":1,"name":"Subdivision","value":"EC"},{"id":4,"name":"Milepost","value":"8.1738"},{"id":17,"name":"Train ID","value":"121-03"},{"id":16,"name":"Locomotive ID","value":"4027"},{"id":130,"name":"Impact","value":""},{"id":150,"name":"Time of Event (Mountain Time)","value":"06:32:02"},{"id":151,"name":"Denver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5" spans="1:23" x14ac:dyDescent="0.25">
      <c r="A175" s="172">
        <v>42616.516967592594</v>
      </c>
      <c r="B175" s="173" t="s">
        <v>706</v>
      </c>
      <c r="C175" s="173" t="s">
        <v>1454</v>
      </c>
      <c r="D175" s="173" t="s">
        <v>49</v>
      </c>
      <c r="E175" s="173" t="s">
        <v>54</v>
      </c>
      <c r="F175" s="174">
        <v>0</v>
      </c>
      <c r="G175" s="174">
        <v>481</v>
      </c>
      <c r="H175" s="174">
        <v>129846</v>
      </c>
      <c r="I175" s="173" t="s">
        <v>55</v>
      </c>
      <c r="J175" s="174">
        <v>127587</v>
      </c>
      <c r="K175" s="173" t="s">
        <v>53</v>
      </c>
      <c r="L175" s="175" t="str">
        <f>VLOOKUP(C175,'[8]Trips&amp;Operators'!$C$1:$E$9999,3,0)</f>
        <v>STAMBAUGH</v>
      </c>
      <c r="M175" s="182" t="s">
        <v>86</v>
      </c>
      <c r="N175" s="177" t="s">
        <v>1943</v>
      </c>
      <c r="P175" s="183" t="str">
        <f>VLOOKUP(C175,'[8]Train Runs'!$A$13:$AE$10006,31,0)</f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Q175" s="184" t="str">
        <f>VLOOKUP(C175,'[8]Train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11:02:35-0600',mode:absolute,to:'2016-09-03 13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175" s="185" t="str">
        <f t="shared" si="24"/>
        <v>"C:\Program Files (x86)\AstroGrep\AstroGrep.exe" /spath="C:\Users\stu\Documents\Analysis\2016-02-23 RTDC Observations" /stypes="*4039*201609031*" /stext=" 18:.+((SYSTEM_STATE.+slice.+state.+changed )|(ment ac)|(system.+state.+changed )|(\|lc)|(penalty)|(\[timeout)|(PRM\|1\|D))" /e /r /s</v>
      </c>
      <c r="S175" s="176" t="str">
        <f t="shared" si="20"/>
        <v>4039</v>
      </c>
      <c r="T175" s="172">
        <f t="shared" si="21"/>
        <v>42616.766967592594</v>
      </c>
      <c r="U175" s="181" t="str">
        <f t="shared" si="23"/>
        <v>EC</v>
      </c>
      <c r="V175" s="181" t="str">
        <f t="shared" si="22"/>
        <v>KEEP</v>
      </c>
      <c r="W175" s="186" t="str">
        <f t="shared" si="25"/>
        <v>echo {"issue":{"subject":"40th 4S STOP, cleared shortly","project_id":79,"tracker_id":40,"status_id":1,"priority_id":2,"assigned_to_id":23,"start_date":"2016-09-03","description":"","custom_fields":[{"id":1,"name":"Subdivision","value":"EC"},{"id":4,"name":"Milepost","value":"12.7587"},{"id":17,"name":"Train ID","value":"162-03"},{"id":16,"name":"Locomotive ID","value":"4039"},{"id":130,"name":"Impact","value":""},{"id":150,"name":"Time of Event (Mountain Time)","value":"12:24:26"},{"id":151,"name":"Denver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6" spans="1:23" x14ac:dyDescent="0.25">
      <c r="A176" s="172">
        <v>42616.303518518522</v>
      </c>
      <c r="B176" s="173" t="s">
        <v>204</v>
      </c>
      <c r="C176" s="173" t="s">
        <v>1402</v>
      </c>
      <c r="D176" s="173" t="s">
        <v>49</v>
      </c>
      <c r="E176" s="173" t="s">
        <v>54</v>
      </c>
      <c r="F176" s="174">
        <v>0</v>
      </c>
      <c r="G176" s="174">
        <v>399</v>
      </c>
      <c r="H176" s="174">
        <v>194204</v>
      </c>
      <c r="I176" s="173" t="s">
        <v>55</v>
      </c>
      <c r="J176" s="174">
        <v>191723</v>
      </c>
      <c r="K176" s="173" t="s">
        <v>53</v>
      </c>
      <c r="L176" s="175" t="str">
        <f>VLOOKUP(C176,'[8]Trips&amp;Operators'!$C$1:$E$9999,3,0)</f>
        <v>SANTIZO</v>
      </c>
      <c r="M176" s="182" t="s">
        <v>86</v>
      </c>
      <c r="N176" s="177" t="s">
        <v>1944</v>
      </c>
      <c r="P176" s="183" t="str">
        <f>VLOOKUP(C176,'[8]Train Runs'!$A$13:$AE$10006,31,0)</f>
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</c>
      <c r="Q176" s="184" t="str">
        <f>VLOOKUP(C176,'[8]Train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05:54:21-0600',mode:absolute,to:'2016-09-03 08:48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76" s="185" t="str">
        <f t="shared" si="24"/>
        <v>"C:\Program Files (x86)\AstroGrep\AstroGrep.exe" /spath="C:\Users\stu\Documents\Analysis\2016-02-23 RTDC Observations" /stypes="*4028*201609031*" /stext=" 13:.+((SYSTEM_STATE.+slice.+state.+changed )|(ment ac)|(system.+state.+changed )|(\|lc)|(penalty)|(\[timeout)|(PRM\|1\|D))" /e /r /s</v>
      </c>
      <c r="S176" s="176" t="str">
        <f t="shared" si="20"/>
        <v>4028</v>
      </c>
      <c r="T176" s="172">
        <f t="shared" si="21"/>
        <v>42616.553518518522</v>
      </c>
      <c r="U176" s="181" t="str">
        <f t="shared" si="23"/>
        <v>EC</v>
      </c>
      <c r="V176" s="181" t="str">
        <f t="shared" si="22"/>
        <v>KEEP</v>
      </c>
      <c r="W176" s="186" t="str">
        <f t="shared" si="25"/>
        <v>echo {"issue":{"subject":"Pena 4S STOP, cleared shortly","project_id":79,"tracker_id":40,"status_id":1,"priority_id":2,"assigned_to_id":23,"start_date":"2016-09-03","description":"","custom_fields":[{"id":1,"name":"Subdivision","value":"EC"},{"id":4,"name":"Milepost","value":"19.1723"},{"id":17,"name":"Train ID","value":"122-03"},{"id":16,"name":"Locomotive ID","value":"4028"},{"id":130,"name":"Impact","value":""},{"id":150,"name":"Time of Event (Mountain Time)","value":"07:17:04"},{"id":151,"name":"Denver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7" spans="1:23" x14ac:dyDescent="0.25">
      <c r="A177" s="172">
        <v>42616.417569444442</v>
      </c>
      <c r="B177" s="173" t="s">
        <v>90</v>
      </c>
      <c r="C177" s="173" t="s">
        <v>1430</v>
      </c>
      <c r="D177" s="173" t="s">
        <v>49</v>
      </c>
      <c r="E177" s="173" t="s">
        <v>54</v>
      </c>
      <c r="F177" s="174">
        <v>0</v>
      </c>
      <c r="G177" s="174">
        <v>507</v>
      </c>
      <c r="H177" s="174">
        <v>194665</v>
      </c>
      <c r="I177" s="173" t="s">
        <v>55</v>
      </c>
      <c r="J177" s="174">
        <v>191723</v>
      </c>
      <c r="K177" s="173" t="s">
        <v>53</v>
      </c>
      <c r="L177" s="175" t="str">
        <f>VLOOKUP(C177,'[8]Trips&amp;Operators'!$C$1:$E$9999,3,0)</f>
        <v>STRICKLAND</v>
      </c>
      <c r="M177" s="182" t="s">
        <v>86</v>
      </c>
      <c r="N177" s="177" t="s">
        <v>1944</v>
      </c>
      <c r="P177" s="183" t="str">
        <f>VLOOKUP(C177,'[8]Train Runs'!$A$13:$AE$10006,31,0)</f>
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</c>
      <c r="Q177" s="184" t="str">
        <f>VLOOKUP(C177,'[8]Train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08:52:04-0600',mode:absolute,to:'2016-09-03 11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77" s="185" t="str">
        <f t="shared" si="24"/>
        <v>"C:\Program Files (x86)\AstroGrep\AstroGrep.exe" /spath="C:\Users\stu\Documents\Analysis\2016-02-23 RTDC Observations" /stypes="*4013*201609031*" /stext=" 16:.+((SYSTEM_STATE.+slice.+state.+changed )|(ment ac)|(system.+state.+changed )|(\|lc)|(penalty)|(\[timeout)|(PRM\|1\|D))" /e /r /s</v>
      </c>
      <c r="S177" s="176" t="str">
        <f t="shared" si="20"/>
        <v>4013</v>
      </c>
      <c r="T177" s="172">
        <f t="shared" si="21"/>
        <v>42616.667569444442</v>
      </c>
      <c r="U177" s="181" t="str">
        <f t="shared" si="23"/>
        <v>EC</v>
      </c>
      <c r="V177" s="181" t="str">
        <f t="shared" si="22"/>
        <v>KEEP</v>
      </c>
      <c r="W177" s="186" t="str">
        <f t="shared" si="25"/>
        <v>echo {"issue":{"subject":"Pena 4S STOP, cleared shortly","project_id":79,"tracker_id":40,"status_id":1,"priority_id":2,"assigned_to_id":23,"start_date":"2016-09-03","description":"","custom_fields":[{"id":1,"name":"Subdivision","value":"EC"},{"id":4,"name":"Milepost","value":"19.1723"},{"id":17,"name":"Train ID","value":"144-03"},{"id":16,"name":"Locomotive ID","value":"4013"},{"id":130,"name":"Impact","value":""},{"id":150,"name":"Time of Event (Mountain Time)","value":"10:01:18"},{"id":151,"name":"Denver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8" spans="1:23" x14ac:dyDescent="0.25">
      <c r="A178" s="172">
        <v>42616.357986111114</v>
      </c>
      <c r="B178" s="173" t="s">
        <v>245</v>
      </c>
      <c r="C178" s="173" t="s">
        <v>1411</v>
      </c>
      <c r="D178" s="173" t="s">
        <v>49</v>
      </c>
      <c r="E178" s="173" t="s">
        <v>50</v>
      </c>
      <c r="F178" s="174">
        <v>0</v>
      </c>
      <c r="G178" s="174">
        <v>37</v>
      </c>
      <c r="H178" s="174">
        <v>134</v>
      </c>
      <c r="I178" s="173" t="s">
        <v>51</v>
      </c>
      <c r="J178" s="174">
        <v>1</v>
      </c>
      <c r="K178" s="173" t="s">
        <v>53</v>
      </c>
      <c r="L178" s="175" t="str">
        <f>VLOOKUP(C178,'[8]Trips&amp;Operators'!$C$1:$E$9999,3,0)</f>
        <v>MAELZER</v>
      </c>
      <c r="M178" s="182" t="s">
        <v>86</v>
      </c>
      <c r="N178" s="177"/>
      <c r="P178" s="183" t="str">
        <f>VLOOKUP(C178,'[8]Train Runs'!$A$13:$AE$10006,31,0)</f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Q178" s="184" t="str">
        <f>VLOOKUP(C178,'[8]Train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06:47:24-0600',mode:absolute,to:'2016-09-03 09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78" s="185" t="str">
        <f t="shared" si="24"/>
        <v>"C:\Program Files (x86)\AstroGrep\AstroGrep.exe" /spath="C:\Users\stu\Documents\Analysis\2016-02-23 RTDC Observations" /stypes="*4017*201609031*" /stext=" 14:.+((SYSTEM_STATE.+slice.+state.+changed )|(ment ac)|(system.+state.+changed )|(\|lc)|(penalty)|(\[timeout)|(PRM\|1\|D))" /e /r /s</v>
      </c>
      <c r="S178" s="176" t="str">
        <f t="shared" si="20"/>
        <v>4017</v>
      </c>
      <c r="T178" s="172">
        <f t="shared" si="21"/>
        <v>42616.607986111114</v>
      </c>
      <c r="U178" s="181" t="str">
        <f t="shared" si="23"/>
        <v>EC</v>
      </c>
      <c r="V178" s="181" t="str">
        <f t="shared" si="22"/>
        <v>KEEP</v>
      </c>
      <c r="W178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{"issue":{"subject":"","project_id":79,"tracker_id":40,"status_id":1,"priority_id":2,"assigned_to_id":23,"start_date":"2016-09-03","description":"","custom_fields":[{"id":1,"name":"Subdivision","value":"EC"},{"id":4,"name":"Milepost","value":"0.0001"},{"id":17,"name":"Train ID","value":"128-03"},{"id":16,"name":"Locomotive ID","value":"4017"},{"id":130,"name":"Impact","value":""},{"id":150,"name":"Time of Event (Mountain Time)","value":"08:35:30"},{"id":151,"name":"Denver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79" spans="1:23" x14ac:dyDescent="0.25">
      <c r="A179" s="172">
        <v>42616.471446759257</v>
      </c>
      <c r="B179" s="173" t="s">
        <v>204</v>
      </c>
      <c r="C179" s="173" t="s">
        <v>1436</v>
      </c>
      <c r="D179" s="173" t="s">
        <v>49</v>
      </c>
      <c r="E179" s="173" t="s">
        <v>50</v>
      </c>
      <c r="F179" s="174">
        <v>0</v>
      </c>
      <c r="G179" s="174">
        <v>39</v>
      </c>
      <c r="H179" s="174">
        <v>138</v>
      </c>
      <c r="I179" s="173" t="s">
        <v>51</v>
      </c>
      <c r="J179" s="174">
        <v>1</v>
      </c>
      <c r="K179" s="173" t="s">
        <v>53</v>
      </c>
      <c r="L179" s="175" t="str">
        <f>VLOOKUP(C179,'[8]Trips&amp;Operators'!$C$1:$E$9999,3,0)</f>
        <v>SANTIZO</v>
      </c>
      <c r="M179" s="182" t="s">
        <v>86</v>
      </c>
      <c r="N179" s="177"/>
      <c r="P179" s="183" t="str">
        <f>VLOOKUP(C179,'[8]Train Runs'!$A$13:$AE$10006,31,0)</f>
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</c>
      <c r="Q179" s="184" t="str">
        <f>VLOOKUP(C179,'[8]Train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09:22:34-0600',mode:absolute,to:'2016-09-03 12:18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179" s="185" t="str">
        <f t="shared" si="24"/>
        <v>"C:\Program Files (x86)\AstroGrep\AstroGrep.exe" /spath="C:\Users\stu\Documents\Analysis\2016-02-23 RTDC Observations" /stypes="*4028*201609031*" /stext=" 17:.+((SYSTEM_STATE.+slice.+state.+changed )|(ment ac)|(system.+state.+changed )|(\|lc)|(penalty)|(\[timeout)|(PRM\|1\|D))" /e /r /s</v>
      </c>
      <c r="S179" s="176" t="str">
        <f t="shared" si="20"/>
        <v>4028</v>
      </c>
      <c r="T179" s="172">
        <f t="shared" si="21"/>
        <v>42616.721446759257</v>
      </c>
      <c r="U179" s="181" t="str">
        <f t="shared" si="23"/>
        <v>EC</v>
      </c>
      <c r="V179" s="181" t="str">
        <f t="shared" si="22"/>
        <v>KEEP</v>
      </c>
      <c r="W179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{"issue":{"subject":"","project_id":79,"tracker_id":40,"status_id":1,"priority_id":2,"assigned_to_id":23,"start_date":"2016-09-03","description":"","custom_fields":[{"id":1,"name":"Subdivision","value":"EC"},{"id":4,"name":"Milepost","value":"0.0001"},{"id":17,"name":"Train ID","value":"150-03"},{"id":16,"name":"Locomotive ID","value":"4028"},{"id":130,"name":"Impact","value":""},{"id":150,"name":"Time of Event (Mountain Time)","value":"11:18:53"},{"id":151,"name":"Denver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0" spans="1:23" x14ac:dyDescent="0.25">
      <c r="A180" s="172">
        <v>42616.650671296295</v>
      </c>
      <c r="B180" s="173" t="s">
        <v>245</v>
      </c>
      <c r="C180" s="173" t="s">
        <v>1480</v>
      </c>
      <c r="D180" s="173" t="s">
        <v>49</v>
      </c>
      <c r="E180" s="173" t="s">
        <v>50</v>
      </c>
      <c r="F180" s="174">
        <v>0</v>
      </c>
      <c r="G180" s="174">
        <v>50</v>
      </c>
      <c r="H180" s="174">
        <v>205</v>
      </c>
      <c r="I180" s="173" t="s">
        <v>51</v>
      </c>
      <c r="J180" s="174">
        <v>1</v>
      </c>
      <c r="K180" s="173" t="s">
        <v>53</v>
      </c>
      <c r="L180" s="175" t="str">
        <f>VLOOKUP(C180,'[8]Trips&amp;Operators'!$C$1:$E$9999,3,0)</f>
        <v>CLARK</v>
      </c>
      <c r="M180" s="182" t="s">
        <v>86</v>
      </c>
      <c r="N180" s="177"/>
      <c r="P180" s="183" t="str">
        <f>VLOOKUP(C180,'[8]Train Runs'!$A$13:$AE$10006,31,0)</f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Q180" s="184" t="str">
        <f>VLOOKUP(C180,'[8]Train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13:47:44-0600',mode:absolute,to:'2016-09-03 16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80" s="185" t="str">
        <f t="shared" si="24"/>
        <v>"C:\Program Files (x86)\AstroGrep\AstroGrep.exe" /spath="C:\Users\stu\Documents\Analysis\2016-02-23 RTDC Observations" /stypes="*4017*201609032*" /stext=" 21:.+((SYSTEM_STATE.+slice.+state.+changed )|(ment ac)|(system.+state.+changed )|(\|lc)|(penalty)|(\[timeout)|(PRM\|1\|D))" /e /r /s</v>
      </c>
      <c r="S180" s="176" t="str">
        <f t="shared" si="20"/>
        <v>4017</v>
      </c>
      <c r="T180" s="172">
        <f t="shared" si="21"/>
        <v>42616.900671296295</v>
      </c>
      <c r="U180" s="181" t="str">
        <f t="shared" si="23"/>
        <v>EC</v>
      </c>
      <c r="V180" s="181" t="str">
        <f t="shared" si="22"/>
        <v>KEEP</v>
      </c>
      <c r="W180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{"issue":{"subject":"","project_id":79,"tracker_id":40,"status_id":1,"priority_id":2,"assigned_to_id":23,"start_date":"2016-09-03","description":"","custom_fields":[{"id":1,"name":"Subdivision","value":"EC"},{"id":4,"name":"Milepost","value":"0.0001"},{"id":17,"name":"Train ID","value":"184-03"},{"id":16,"name":"Locomotive ID","value":"4017"},{"id":130,"name":"Impact","value":""},{"id":150,"name":"Time of Event (Mountain Time)","value":"15:36:58"},{"id":151,"name":"Denver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1" spans="1:23" x14ac:dyDescent="0.25">
      <c r="A181" s="172">
        <v>42616.767280092594</v>
      </c>
      <c r="B181" s="173" t="s">
        <v>90</v>
      </c>
      <c r="C181" s="173" t="s">
        <v>1510</v>
      </c>
      <c r="D181" s="173" t="s">
        <v>49</v>
      </c>
      <c r="E181" s="173" t="s">
        <v>50</v>
      </c>
      <c r="F181" s="174">
        <v>0</v>
      </c>
      <c r="G181" s="174">
        <v>82</v>
      </c>
      <c r="H181" s="174">
        <v>207</v>
      </c>
      <c r="I181" s="173" t="s">
        <v>51</v>
      </c>
      <c r="J181" s="174">
        <v>1</v>
      </c>
      <c r="K181" s="173" t="s">
        <v>53</v>
      </c>
      <c r="L181" s="175" t="str">
        <f>VLOOKUP(C181,'[8]Trips&amp;Operators'!$C$1:$E$9999,3,0)</f>
        <v>MOSES</v>
      </c>
      <c r="M181" s="182" t="s">
        <v>86</v>
      </c>
      <c r="N181" s="177"/>
      <c r="P181" s="183" t="str">
        <f>VLOOKUP(C181,'[8]Train Runs'!$A$13:$AE$10006,31,0)</f>
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</c>
      <c r="Q181" s="184" t="str">
        <f>VLOOKUP(C181,'[8]Train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16:39:09-0600',mode:absolute,to:'2016-09-03 19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81" s="185" t="str">
        <f t="shared" si="24"/>
        <v>"C:\Program Files (x86)\AstroGrep\AstroGrep.exe" /spath="C:\Users\stu\Documents\Analysis\2016-02-23 RTDC Observations" /stypes="*4013*201609040*" /stext=" 00:.+((SYSTEM_STATE.+slice.+state.+changed )|(ment ac)|(system.+state.+changed )|(\|lc)|(penalty)|(\[timeout)|(PRM\|1\|D))" /e /r /s</v>
      </c>
      <c r="S181" s="176" t="str">
        <f t="shared" si="20"/>
        <v>4013</v>
      </c>
      <c r="T181" s="172">
        <f t="shared" si="21"/>
        <v>42617.017280092594</v>
      </c>
      <c r="U181" s="181" t="str">
        <f t="shared" si="23"/>
        <v>EC</v>
      </c>
      <c r="V181" s="181" t="str">
        <f t="shared" si="22"/>
        <v>KEEP</v>
      </c>
      <c r="W181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{"issue":{"subject":"","project_id":79,"tracker_id":40,"status_id":1,"priority_id":2,"assigned_to_id":23,"start_date":"2016-09-03","description":"","custom_fields":[{"id":1,"name":"Subdivision","value":"EC"},{"id":4,"name":"Milepost","value":"0.0001"},{"id":17,"name":"Train ID","value":"206-03"},{"id":16,"name":"Locomotive ID","value":"4013"},{"id":130,"name":"Impact","value":""},{"id":150,"name":"Time of Event (Mountain Time)","value":"18:24:53"},{"id":151,"name":"Denver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2" spans="1:23" x14ac:dyDescent="0.25">
      <c r="A182" s="172">
        <v>42616.202708333331</v>
      </c>
      <c r="B182" s="173" t="s">
        <v>726</v>
      </c>
      <c r="C182" s="173" t="s">
        <v>1379</v>
      </c>
      <c r="D182" s="173" t="s">
        <v>49</v>
      </c>
      <c r="E182" s="173" t="s">
        <v>50</v>
      </c>
      <c r="F182" s="174">
        <v>0</v>
      </c>
      <c r="G182" s="174">
        <v>45</v>
      </c>
      <c r="H182" s="174">
        <v>233343</v>
      </c>
      <c r="I182" s="173" t="s">
        <v>51</v>
      </c>
      <c r="J182" s="174">
        <v>233491</v>
      </c>
      <c r="K182" s="173" t="s">
        <v>52</v>
      </c>
      <c r="L182" s="175" t="str">
        <f>VLOOKUP(C182,'[8]Trips&amp;Operators'!$C$1:$E$9999,3,0)</f>
        <v>ACKERMAN</v>
      </c>
      <c r="M182" s="182" t="s">
        <v>86</v>
      </c>
      <c r="N182" s="177"/>
      <c r="P182" s="183" t="str">
        <f>VLOOKUP(C182,'[8]Train Runs'!$A$13:$AE$10006,31,0)</f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Q182" s="184" t="str">
        <f>VLOOKUP(C182,'[8]Train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03:07:04-0600',mode:absolute,to:'2016-09-03 05:51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182" s="185" t="str">
        <f t="shared" si="24"/>
        <v>"C:\Program Files (x86)\AstroGrep\AstroGrep.exe" /spath="C:\Users\stu\Documents\Analysis\2016-02-23 RTDC Observations" /stypes="*4040*201609031*" /stext=" 10:.+((SYSTEM_STATE.+slice.+state.+changed )|(ment ac)|(system.+state.+changed )|(\|lc)|(penalty)|(\[timeout)|(PRM\|1\|D))" /e /r /s</v>
      </c>
      <c r="S182" s="176" t="str">
        <f t="shared" si="20"/>
        <v>4040</v>
      </c>
      <c r="T182" s="172">
        <f t="shared" si="21"/>
        <v>42616.452708333331</v>
      </c>
      <c r="U182" s="181" t="str">
        <f t="shared" si="23"/>
        <v>EC</v>
      </c>
      <c r="V182" s="181" t="str">
        <f t="shared" si="22"/>
        <v>KEEP</v>
      </c>
      <c r="W182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ID","value":"105-03"},{"id":16,"name":"Locomotive ID","value":"4040"},{"id":130,"name":"Impact","value":""},{"id":150,"name":"Time of Event (Mountain Time)","value":"04:51:54"},{"id":151,"name":"Denver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3" spans="1:23" x14ac:dyDescent="0.25">
      <c r="A183" s="172">
        <v>42616.492858796293</v>
      </c>
      <c r="B183" s="173" t="s">
        <v>726</v>
      </c>
      <c r="C183" s="173" t="s">
        <v>1445</v>
      </c>
      <c r="D183" s="173" t="s">
        <v>49</v>
      </c>
      <c r="E183" s="173" t="s">
        <v>50</v>
      </c>
      <c r="F183" s="174">
        <v>0</v>
      </c>
      <c r="G183" s="174">
        <v>158</v>
      </c>
      <c r="H183" s="174">
        <v>232758</v>
      </c>
      <c r="I183" s="173" t="s">
        <v>51</v>
      </c>
      <c r="J183" s="174">
        <v>233491</v>
      </c>
      <c r="K183" s="173" t="s">
        <v>52</v>
      </c>
      <c r="L183" s="175" t="str">
        <f>VLOOKUP(C183,'[8]Trips&amp;Operators'!$C$1:$E$9999,3,0)</f>
        <v>STAMBAUGH</v>
      </c>
      <c r="M183" s="182" t="s">
        <v>86</v>
      </c>
      <c r="N183" s="177"/>
      <c r="P183" s="183" t="str">
        <f>VLOOKUP(C183,'[8]Train Runs'!$A$13:$AE$10006,31,0)</f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Q183" s="184" t="str">
        <f>VLOOKUP(C183,'[8]Train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10:10:29-0600',mode:absolute,to:'2016-09-03 12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183" s="185" t="str">
        <f t="shared" si="24"/>
        <v>"C:\Program Files (x86)\AstroGrep\AstroGrep.exe" /spath="C:\Users\stu\Documents\Analysis\2016-02-23 RTDC Observations" /stypes="*4040*201609031*" /stext=" 17:.+((SYSTEM_STATE.+slice.+state.+changed )|(ment ac)|(system.+state.+changed )|(\|lc)|(penalty)|(\[timeout)|(PRM\|1\|D))" /e /r /s</v>
      </c>
      <c r="S183" s="176" t="str">
        <f t="shared" si="20"/>
        <v>4040</v>
      </c>
      <c r="T183" s="172">
        <f t="shared" si="21"/>
        <v>42616.742858796293</v>
      </c>
      <c r="U183" s="181" t="str">
        <f t="shared" si="23"/>
        <v>EC</v>
      </c>
      <c r="V183" s="181" t="str">
        <f t="shared" si="22"/>
        <v>KEEP</v>
      </c>
      <c r="W183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ID","value":"161-03"},{"id":16,"name":"Locomotive ID","value":"4040"},{"id":130,"name":"Impact","value":""},{"id":150,"name":"Time of Event (Mountain Time)","value":"11:49:43"},{"id":151,"name":"Denver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4" spans="1:23" x14ac:dyDescent="0.25">
      <c r="A184" s="172">
        <v>42616.493437500001</v>
      </c>
      <c r="B184" s="173" t="s">
        <v>726</v>
      </c>
      <c r="C184" s="173" t="s">
        <v>1445</v>
      </c>
      <c r="D184" s="173" t="s">
        <v>49</v>
      </c>
      <c r="E184" s="173" t="s">
        <v>50</v>
      </c>
      <c r="F184" s="174">
        <v>0</v>
      </c>
      <c r="G184" s="174">
        <v>52</v>
      </c>
      <c r="H184" s="174">
        <v>233312</v>
      </c>
      <c r="I184" s="173" t="s">
        <v>51</v>
      </c>
      <c r="J184" s="174">
        <v>233491</v>
      </c>
      <c r="K184" s="173" t="s">
        <v>52</v>
      </c>
      <c r="L184" s="175" t="str">
        <f>VLOOKUP(C184,'[8]Trips&amp;Operators'!$C$1:$E$9999,3,0)</f>
        <v>STAMBAUGH</v>
      </c>
      <c r="M184" s="182" t="s">
        <v>86</v>
      </c>
      <c r="N184" s="177"/>
      <c r="P184" s="183" t="str">
        <f>VLOOKUP(C184,'[8]Train Runs'!$A$13:$AE$10006,31,0)</f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Q184" s="184" t="str">
        <f>VLOOKUP(C184,'[8]Train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10:10:29-0600',mode:absolute,to:'2016-09-03 12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184" s="185" t="str">
        <f t="shared" si="24"/>
        <v>"C:\Program Files (x86)\AstroGrep\AstroGrep.exe" /spath="C:\Users\stu\Documents\Analysis\2016-02-23 RTDC Observations" /stypes="*4040*201609031*" /stext=" 17:.+((SYSTEM_STATE.+slice.+state.+changed )|(ment ac)|(system.+state.+changed )|(\|lc)|(penalty)|(\[timeout)|(PRM\|1\|D))" /e /r /s</v>
      </c>
      <c r="S184" s="176" t="str">
        <f t="shared" si="20"/>
        <v>4040</v>
      </c>
      <c r="T184" s="172">
        <f t="shared" si="21"/>
        <v>42616.743437500001</v>
      </c>
      <c r="U184" s="181" t="str">
        <f t="shared" si="23"/>
        <v>EC</v>
      </c>
      <c r="V184" s="181" t="str">
        <f t="shared" si="22"/>
        <v>KEEP</v>
      </c>
      <c r="W184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ID","value":"161-03"},{"id":16,"name":"Locomotive ID","value":"4040"},{"id":130,"name":"Impact","value":""},{"id":150,"name":"Time of Event (Mountain Time)","value":"11:50:33"},{"id":151,"name":"Denver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5" spans="1:23" x14ac:dyDescent="0.25">
      <c r="A185" s="172">
        <v>42616.611805555556</v>
      </c>
      <c r="B185" s="173" t="s">
        <v>247</v>
      </c>
      <c r="C185" s="173" t="s">
        <v>1472</v>
      </c>
      <c r="D185" s="173" t="s">
        <v>49</v>
      </c>
      <c r="E185" s="173" t="s">
        <v>50</v>
      </c>
      <c r="F185" s="174">
        <v>0</v>
      </c>
      <c r="G185" s="174">
        <v>62</v>
      </c>
      <c r="H185" s="174">
        <v>233223</v>
      </c>
      <c r="I185" s="173" t="s">
        <v>51</v>
      </c>
      <c r="J185" s="174">
        <v>233491</v>
      </c>
      <c r="K185" s="173" t="s">
        <v>52</v>
      </c>
      <c r="L185" s="175" t="str">
        <f>VLOOKUP(C185,'[8]Trips&amp;Operators'!$C$1:$E$9999,3,0)</f>
        <v>CLARK</v>
      </c>
      <c r="M185" s="182" t="s">
        <v>86</v>
      </c>
      <c r="N185" s="177"/>
      <c r="P185" s="183" t="str">
        <f>VLOOKUP(C185,'[8]Train Runs'!$A$13:$AE$10006,31,0)</f>
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</c>
      <c r="Q185" s="184" t="str">
        <f>VLOOKUP(C185,'[8]Train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12:54:20-0600',mode:absolute,to:'2016-09-03 15:41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185" s="185" t="str">
        <f t="shared" si="24"/>
        <v>"C:\Program Files (x86)\AstroGrep\AstroGrep.exe" /spath="C:\Users\stu\Documents\Analysis\2016-02-23 RTDC Observations" /stypes="*4018*201609032*" /stext=" 20:.+((SYSTEM_STATE.+slice.+state.+changed )|(ment ac)|(system.+state.+changed )|(\|lc)|(penalty)|(\[timeout)|(PRM\|1\|D))" /e /r /s</v>
      </c>
      <c r="S185" s="176" t="str">
        <f t="shared" si="20"/>
        <v>4018</v>
      </c>
      <c r="T185" s="172">
        <f t="shared" si="21"/>
        <v>42616.861805555556</v>
      </c>
      <c r="U185" s="181" t="str">
        <f t="shared" si="23"/>
        <v>EC</v>
      </c>
      <c r="V185" s="181" t="str">
        <f t="shared" si="22"/>
        <v>KEEP</v>
      </c>
      <c r="W185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ID","value":"183-03"},{"id":16,"name":"Locomotive ID","value":"4018"},{"id":130,"name":"Impact","value":""},{"id":150,"name":"Time of Event (Mountain Time)","value":"14:41:00"},{"id":151,"name":"Denver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6" spans="1:23" x14ac:dyDescent="0.25">
      <c r="A186" s="172">
        <v>42616.663043981483</v>
      </c>
      <c r="B186" s="173" t="s">
        <v>91</v>
      </c>
      <c r="C186" s="173" t="s">
        <v>1484</v>
      </c>
      <c r="D186" s="173" t="s">
        <v>49</v>
      </c>
      <c r="E186" s="173" t="s">
        <v>50</v>
      </c>
      <c r="F186" s="174">
        <v>0</v>
      </c>
      <c r="G186" s="174">
        <v>41</v>
      </c>
      <c r="H186" s="174">
        <v>233345</v>
      </c>
      <c r="I186" s="173" t="s">
        <v>51</v>
      </c>
      <c r="J186" s="174">
        <v>233491</v>
      </c>
      <c r="K186" s="173" t="s">
        <v>52</v>
      </c>
      <c r="L186" s="175" t="str">
        <f>VLOOKUP(C186,'[8]Trips&amp;Operators'!$C$1:$E$9999,3,0)</f>
        <v>SHOOK</v>
      </c>
      <c r="M186" s="182" t="s">
        <v>86</v>
      </c>
      <c r="N186" s="177"/>
      <c r="P186" s="183" t="str">
        <f>VLOOKUP(C186,'[8]Train Runs'!$A$13:$AE$10006,31,0)</f>
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</c>
      <c r="Q186" s="184" t="str">
        <f>VLOOKUP(C186,'[8]Train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14:10:16-0600',mode:absolute,to:'2016-09-03 16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186" s="185" t="str">
        <f t="shared" si="24"/>
        <v>"C:\Program Files (x86)\AstroGrep\AstroGrep.exe" /spath="C:\Users\stu\Documents\Analysis\2016-02-23 RTDC Observations" /stypes="*4029*201609032*" /stext=" 21:.+((SYSTEM_STATE.+slice.+state.+changed )|(ment ac)|(system.+state.+changed )|(\|lc)|(penalty)|(\[timeout)|(PRM\|1\|D))" /e /r /s</v>
      </c>
      <c r="S186" s="176" t="str">
        <f t="shared" si="20"/>
        <v>4029</v>
      </c>
      <c r="T186" s="172">
        <f t="shared" si="21"/>
        <v>42616.913043981483</v>
      </c>
      <c r="U186" s="181" t="str">
        <f t="shared" si="23"/>
        <v>EC</v>
      </c>
      <c r="V186" s="181" t="str">
        <f t="shared" si="22"/>
        <v>KEEP</v>
      </c>
      <c r="W186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ID","value":"193-03"},{"id":16,"name":"Locomotive ID","value":"4029"},{"id":130,"name":"Impact","value":""},{"id":150,"name":"Time of Event (Mountain Time)","value":"15:54:47"},{"id":151,"name":"Denver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7" spans="1:23" x14ac:dyDescent="0.25">
      <c r="A187" s="172">
        <v>42616.684131944443</v>
      </c>
      <c r="B187" s="173" t="s">
        <v>247</v>
      </c>
      <c r="C187" s="173" t="s">
        <v>1489</v>
      </c>
      <c r="D187" s="173" t="s">
        <v>49</v>
      </c>
      <c r="E187" s="173" t="s">
        <v>50</v>
      </c>
      <c r="F187" s="174">
        <v>0</v>
      </c>
      <c r="G187" s="174">
        <v>36</v>
      </c>
      <c r="H187" s="174">
        <v>233280</v>
      </c>
      <c r="I187" s="173" t="s">
        <v>51</v>
      </c>
      <c r="J187" s="174">
        <v>233491</v>
      </c>
      <c r="K187" s="173" t="s">
        <v>52</v>
      </c>
      <c r="L187" s="175" t="str">
        <f>VLOOKUP(C187,'[8]Trips&amp;Operators'!$C$1:$E$9999,3,0)</f>
        <v>CLARK</v>
      </c>
      <c r="M187" s="182" t="s">
        <v>86</v>
      </c>
      <c r="N187" s="177"/>
      <c r="P187" s="183" t="str">
        <f>VLOOKUP(C187,'[8]Train Runs'!$A$13:$AE$10006,31,0)</f>
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</c>
      <c r="Q187" s="184" t="str">
        <f>VLOOKUP(C187,'[8]Train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14:39:16-0600',mode:absolute,to:'2016-09-03 17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187" s="185" t="str">
        <f t="shared" si="24"/>
        <v>"C:\Program Files (x86)\AstroGrep\AstroGrep.exe" /spath="C:\Users\stu\Documents\Analysis\2016-02-23 RTDC Observations" /stypes="*4018*201609032*" /stext=" 22:.+((SYSTEM_STATE.+slice.+state.+changed )|(ment ac)|(system.+state.+changed )|(\|lc)|(penalty)|(\[timeout)|(PRM\|1\|D))" /e /r /s</v>
      </c>
      <c r="S187" s="176" t="str">
        <f t="shared" si="20"/>
        <v>4018</v>
      </c>
      <c r="T187" s="172">
        <f t="shared" si="21"/>
        <v>42616.934131944443</v>
      </c>
      <c r="U187" s="181" t="str">
        <f t="shared" si="23"/>
        <v>EC</v>
      </c>
      <c r="V187" s="181" t="str">
        <f t="shared" si="22"/>
        <v>KEEP</v>
      </c>
      <c r="W187" s="186" t="str">
        <f t="shared" si="2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ID","value":"197-03"},{"id":16,"name":"Locomotive ID","value":"4018"},{"id":130,"name":"Impact","value":""},{"id":150,"name":"Time of Event (Mountain Time)","value":"16:25:09"},{"id":151,"name":"Denver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8" spans="1:23" x14ac:dyDescent="0.25">
      <c r="A188" s="172">
        <v>42616.399907407409</v>
      </c>
      <c r="B188" s="173" t="s">
        <v>418</v>
      </c>
      <c r="C188" s="173" t="s">
        <v>1422</v>
      </c>
      <c r="D188" s="173" t="s">
        <v>49</v>
      </c>
      <c r="E188" s="173" t="s">
        <v>50</v>
      </c>
      <c r="F188" s="174">
        <v>0</v>
      </c>
      <c r="G188" s="174">
        <v>50</v>
      </c>
      <c r="H188" s="174">
        <v>58933</v>
      </c>
      <c r="I188" s="173" t="s">
        <v>51</v>
      </c>
      <c r="J188" s="174">
        <v>59048</v>
      </c>
      <c r="K188" s="173" t="s">
        <v>52</v>
      </c>
      <c r="L188" s="175" t="str">
        <f>VLOOKUP(C188,'[8]Trips&amp;Operators'!$C$1:$E$9999,3,0)</f>
        <v>YORK</v>
      </c>
      <c r="M188" s="182" t="s">
        <v>86</v>
      </c>
      <c r="N188" s="177"/>
      <c r="P188" s="183" t="str">
        <f>VLOOKUP(C188,'[8]Train Runs'!$A$13:$AE$10006,31,0)</f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Q188" s="184" t="str">
        <f>VLOOKUP(C188,'[8]Train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07:55:01-0600',mode:absolute,to:'2016-09-03 10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188" s="185" t="str">
        <f t="shared" si="24"/>
        <v>"C:\Program Files (x86)\AstroGrep\AstroGrep.exe" /spath="C:\Users\stu\Documents\Analysis\2016-02-23 RTDC Observations" /stypes="*4042*201609031*" /stext=" 15:.+((SYSTEM_STATE.+slice.+state.+changed )|(ment ac)|(system.+state.+changed )|(\|lc)|(penalty)|(\[timeout)|(PRM\|1\|D))" /e /r /s</v>
      </c>
      <c r="S188" s="176" t="str">
        <f t="shared" si="20"/>
        <v>4042</v>
      </c>
      <c r="T188" s="172">
        <f t="shared" si="21"/>
        <v>42616.649907407409</v>
      </c>
      <c r="U188" s="181" t="str">
        <f t="shared" si="23"/>
        <v>NW</v>
      </c>
      <c r="V188" s="181" t="str">
        <f t="shared" si="22"/>
        <v>KEEP</v>
      </c>
      <c r="W188" s="186" t="str">
        <f t="shared" si="25"/>
        <v>echo {"issue":{"subject":"","project_id":79,"tracker_id":40,"status_id":1,"priority_id":2,"assigned_to_id":23,"start_date":"2016-09-03","description":"","custom_fields":[{"id":1,"name":"Subdivision","value":"NW"},{"id":4,"name":"Milepost","value":"5.9048"},{"id":17,"name":"Train ID","value":"1807-03"},{"id":16,"name":"Locomotive ID","value":"4042"},{"id":130,"name":"Impact","value":""},{"id":150,"name":"Time of Event (Mountain Time)","value":"09:35:52"},{"id":151,"name":"Denver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89" spans="1:23" x14ac:dyDescent="0.25">
      <c r="A189" s="172">
        <v>42616.69127314815</v>
      </c>
      <c r="B189" s="173" t="s">
        <v>418</v>
      </c>
      <c r="C189" s="173" t="s">
        <v>1493</v>
      </c>
      <c r="D189" s="173" t="s">
        <v>49</v>
      </c>
      <c r="E189" s="173" t="s">
        <v>50</v>
      </c>
      <c r="F189" s="174">
        <v>0</v>
      </c>
      <c r="G189" s="174">
        <v>48</v>
      </c>
      <c r="H189" s="174">
        <v>58918</v>
      </c>
      <c r="I189" s="173" t="s">
        <v>51</v>
      </c>
      <c r="J189" s="174">
        <v>59048</v>
      </c>
      <c r="K189" s="173" t="s">
        <v>52</v>
      </c>
      <c r="L189" s="175" t="str">
        <f>VLOOKUP(C189,'[8]Trips&amp;Operators'!$C$1:$E$9999,3,0)</f>
        <v>ISHMAEL</v>
      </c>
      <c r="M189" s="182" t="s">
        <v>86</v>
      </c>
      <c r="N189" s="177"/>
      <c r="P189" s="183" t="str">
        <f>VLOOKUP(C189,'[8]Train Runs'!$A$13:$AE$10006,31,0)</f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Q189" s="184" t="str">
        <f>VLOOKUP(C189,'[8]Train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15:04:18-0600',mode:absolute,to:'2016-09-03 17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189" s="185" t="str">
        <f t="shared" si="24"/>
        <v>"C:\Program Files (x86)\AstroGrep\AstroGrep.exe" /spath="C:\Users\stu\Documents\Analysis\2016-02-23 RTDC Observations" /stypes="*4042*201609032*" /stext=" 22:.+((SYSTEM_STATE.+slice.+state.+changed )|(ment ac)|(system.+state.+changed )|(\|lc)|(penalty)|(\[timeout)|(PRM\|1\|D))" /e /r /s</v>
      </c>
      <c r="S189" s="176" t="str">
        <f t="shared" si="20"/>
        <v>4042</v>
      </c>
      <c r="T189" s="172">
        <f t="shared" si="21"/>
        <v>42616.94127314815</v>
      </c>
      <c r="U189" s="181" t="str">
        <f t="shared" si="23"/>
        <v>NW</v>
      </c>
      <c r="V189" s="181" t="str">
        <f t="shared" si="22"/>
        <v>KEEP</v>
      </c>
      <c r="W189" s="186" t="str">
        <f t="shared" si="25"/>
        <v>echo {"issue":{"subject":"","project_id":79,"tracker_id":40,"status_id":1,"priority_id":2,"assigned_to_id":23,"start_date":"2016-09-03","description":"","custom_fields":[{"id":1,"name":"Subdivision","value":"NW"},{"id":4,"name":"Milepost","value":"5.9048"},{"id":17,"name":"Train ID","value":"1821-03"},{"id":16,"name":"Locomotive ID","value":"4042"},{"id":130,"name":"Impact","value":""},{"id":150,"name":"Time of Event (Mountain Time)","value":"16:35:26"},{"id":151,"name":"Denver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0" spans="1:23" x14ac:dyDescent="0.25">
      <c r="A190" s="172">
        <v>42616.899988425925</v>
      </c>
      <c r="B190" s="173" t="s">
        <v>418</v>
      </c>
      <c r="C190" s="173" t="s">
        <v>1543</v>
      </c>
      <c r="D190" s="173" t="s">
        <v>49</v>
      </c>
      <c r="E190" s="173" t="s">
        <v>50</v>
      </c>
      <c r="F190" s="174">
        <v>0</v>
      </c>
      <c r="G190" s="174">
        <v>17</v>
      </c>
      <c r="H190" s="174">
        <v>58971</v>
      </c>
      <c r="I190" s="173" t="s">
        <v>51</v>
      </c>
      <c r="J190" s="174">
        <v>59048</v>
      </c>
      <c r="K190" s="173" t="s">
        <v>52</v>
      </c>
      <c r="L190" s="175" t="str">
        <f>VLOOKUP(C190,'[8]Trips&amp;Operators'!$C$1:$E$9999,3,0)</f>
        <v>ISHMAEL</v>
      </c>
      <c r="M190" s="182" t="s">
        <v>86</v>
      </c>
      <c r="N190" s="177"/>
      <c r="P190" s="183" t="str">
        <f>VLOOKUP(C190,'[8]Train Runs'!$A$13:$AE$10006,31,0)</f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Q190" s="184" t="str">
        <f>VLOOKUP(C190,'[8]Train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20:07:07-0600',mode:absolute,to:'2016-09-03 22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190" s="185" t="str">
        <f t="shared" si="24"/>
        <v>"C:\Program Files (x86)\AstroGrep\AstroGrep.exe" /spath="C:\Users\stu\Documents\Analysis\2016-02-23 RTDC Observations" /stypes="*4042*201609040*" /stext=" 03:.+((SYSTEM_STATE.+slice.+state.+changed )|(ment ac)|(system.+state.+changed )|(\|lc)|(penalty)|(\[timeout)|(PRM\|1\|D))" /e /r /s</v>
      </c>
      <c r="S190" s="176" t="str">
        <f t="shared" si="20"/>
        <v>4042</v>
      </c>
      <c r="T190" s="172">
        <f t="shared" si="21"/>
        <v>42617.149988425925</v>
      </c>
      <c r="U190" s="181" t="str">
        <f t="shared" si="23"/>
        <v>NW</v>
      </c>
      <c r="V190" s="181" t="str">
        <f t="shared" si="22"/>
        <v>KEEP</v>
      </c>
      <c r="W190" s="186" t="str">
        <f t="shared" si="25"/>
        <v>echo {"issue":{"subject":"","project_id":79,"tracker_id":40,"status_id":1,"priority_id":2,"assigned_to_id":23,"start_date":"2016-09-03","description":"","custom_fields":[{"id":1,"name":"Subdivision","value":"NW"},{"id":4,"name":"Milepost","value":"5.9048"},{"id":17,"name":"Train ID","value":"1831-03"},{"id":16,"name":"Locomotive ID","value":"4042"},{"id":130,"name":"Impact","value":""},{"id":150,"name":"Time of Event (Mountain Time)","value":"21:35:59"},{"id":151,"name":"Denver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1" spans="1:23" x14ac:dyDescent="0.25">
      <c r="A191" s="172">
        <v>42616.436979166669</v>
      </c>
      <c r="B191" s="173" t="s">
        <v>909</v>
      </c>
      <c r="C191" s="173" t="s">
        <v>1437</v>
      </c>
      <c r="D191" s="173" t="s">
        <v>49</v>
      </c>
      <c r="E191" s="173" t="s">
        <v>54</v>
      </c>
      <c r="F191" s="174">
        <v>0</v>
      </c>
      <c r="G191" s="174">
        <v>47</v>
      </c>
      <c r="H191" s="174">
        <v>24330</v>
      </c>
      <c r="I191" s="173" t="s">
        <v>55</v>
      </c>
      <c r="J191" s="174">
        <v>24235</v>
      </c>
      <c r="K191" s="173" t="s">
        <v>53</v>
      </c>
      <c r="L191" s="175" t="str">
        <f>VLOOKUP(C191,'[8]Trips&amp;Operators'!$C$1:$E$9999,3,0)</f>
        <v>STEWART</v>
      </c>
      <c r="M191" s="182" t="s">
        <v>86</v>
      </c>
      <c r="N191" s="177"/>
      <c r="P191" s="183" t="str">
        <f>VLOOKUP(C191,'[8]Train Runs'!$A$13:$AE$10006,31,0)</f>
        <v>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 &amp; aws s3 cp s3://rtdc.mdm.uploadarchive/RTDC4005/2016-09-04/ "%USERPROFILE%\AppData\Local\Temp\OnboardLogs"\RTDC4005\2016-09-04 --recursive &amp; "%USERPROFILE%\Documents\GitHub\mrs-test-scripts\Headless Mode &amp; Sideloading\WalkAndUnGZ.bat" "%USERPROFILE%\AppData\Local\Temp\OnboardLogs"\RTDC4005\2016-09-04</v>
      </c>
      <c r="Q191" s="184" t="str">
        <f>VLOOKUP(C191,'[8]Train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09:22:15-0600',mode:absolute,to:'2016-09-03 11:29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R191" s="185" t="str">
        <f t="shared" si="24"/>
        <v>"C:\Program Files (x86)\AstroGrep\AstroGrep.exe" /spath="C:\Users\stu\Documents\Analysis\2016-02-23 RTDC Observations" /stypes="*4005*201609031*" /stext=" 16:.+((SYSTEM_STATE.+slice.+state.+changed )|(ment ac)|(system.+state.+changed )|(\|lc)|(penalty)|(\[timeout)|(PRM\|1\|D))" /e /r /s</v>
      </c>
      <c r="S191" s="176" t="str">
        <f t="shared" si="20"/>
        <v>4005</v>
      </c>
      <c r="T191" s="172">
        <f t="shared" si="21"/>
        <v>42616.686979166669</v>
      </c>
      <c r="U191" s="181" t="str">
        <f t="shared" si="23"/>
        <v>Other</v>
      </c>
      <c r="V191" s="181" t="str">
        <f t="shared" si="22"/>
        <v>KEEP</v>
      </c>
      <c r="W191" s="186" t="str">
        <f t="shared" si="25"/>
        <v>echo {"issue":{"subject":"","project_id":79,"tracker_id":40,"status_id":1,"priority_id":2,"assigned_to_id":23,"start_date":"2016-09-03","description":"","custom_fields":[{"id":1,"name":"Subdivision","value":"Other"},{"id":4,"name":"Milepost","value":"2.4235"},{"id":17,"name":"Train ID","value":"50-03"},{"id":16,"name":"Locomotive ID","value":"4005"},{"id":130,"name":"Impact","value":""},{"id":150,"name":"Time of Event (Mountain Time)","value":"10:29:15"},{"id":151,"name":"Denver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2" spans="1:23" x14ac:dyDescent="0.25">
      <c r="A192" s="172">
        <v>42616.438171296293</v>
      </c>
      <c r="B192" s="173" t="s">
        <v>909</v>
      </c>
      <c r="C192" s="173" t="s">
        <v>1437</v>
      </c>
      <c r="D192" s="173" t="s">
        <v>49</v>
      </c>
      <c r="E192" s="173" t="s">
        <v>54</v>
      </c>
      <c r="F192" s="174">
        <v>0</v>
      </c>
      <c r="G192" s="174">
        <v>3</v>
      </c>
      <c r="H192" s="174">
        <v>24284</v>
      </c>
      <c r="I192" s="173" t="s">
        <v>55</v>
      </c>
      <c r="J192" s="174">
        <v>24235</v>
      </c>
      <c r="K192" s="173" t="s">
        <v>53</v>
      </c>
      <c r="L192" s="175" t="str">
        <f>VLOOKUP(C192,'[8]Trips&amp;Operators'!$C$1:$E$9999,3,0)</f>
        <v>STEWART</v>
      </c>
      <c r="M192" s="182" t="s">
        <v>86</v>
      </c>
      <c r="N192" s="177"/>
      <c r="P192" s="183" t="str">
        <f>VLOOKUP(C192,'[8]Train Runs'!$A$13:$AE$10006,31,0)</f>
        <v>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 &amp; aws s3 cp s3://rtdc.mdm.uploadarchive/RTDC4005/2016-09-04/ "%USERPROFILE%\AppData\Local\Temp\OnboardLogs"\RTDC4005\2016-09-04 --recursive &amp; "%USERPROFILE%\Documents\GitHub\mrs-test-scripts\Headless Mode &amp; Sideloading\WalkAndUnGZ.bat" "%USERPROFILE%\AppData\Local\Temp\OnboardLogs"\RTDC4005\2016-09-04</v>
      </c>
      <c r="Q192" s="184" t="str">
        <f>VLOOKUP(C192,'[8]Train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09:22:15-0600',mode:absolute,to:'2016-09-03 11:29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R192" s="185" t="str">
        <f t="shared" si="24"/>
        <v>"C:\Program Files (x86)\AstroGrep\AstroGrep.exe" /spath="C:\Users\stu\Documents\Analysis\2016-02-23 RTDC Observations" /stypes="*4005*201609031*" /stext=" 16:.+((SYSTEM_STATE.+slice.+state.+changed )|(ment ac)|(system.+state.+changed )|(\|lc)|(penalty)|(\[timeout)|(PRM\|1\|D))" /e /r /s</v>
      </c>
      <c r="S192" s="176" t="str">
        <f t="shared" si="20"/>
        <v>4005</v>
      </c>
      <c r="T192" s="172">
        <f t="shared" si="21"/>
        <v>42616.688171296293</v>
      </c>
      <c r="U192" s="181" t="str">
        <f t="shared" si="23"/>
        <v>Other</v>
      </c>
      <c r="V192" s="181" t="str">
        <f t="shared" si="22"/>
        <v>KEEP</v>
      </c>
      <c r="W192" s="186" t="str">
        <f t="shared" si="25"/>
        <v>echo {"issue":{"subject":"","project_id":79,"tracker_id":40,"status_id":1,"priority_id":2,"assigned_to_id":23,"start_date":"2016-09-03","description":"","custom_fields":[{"id":1,"name":"Subdivision","value":"Other"},{"id":4,"name":"Milepost","value":"2.4235"},{"id":17,"name":"Train ID","value":"50-03"},{"id":16,"name":"Locomotive ID","value":"4005"},{"id":130,"name":"Impact","value":""},{"id":150,"name":"Time of Event (Mountain Time)","value":"10:30:58"},{"id":151,"name":"Denver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3" spans="1:23" x14ac:dyDescent="0.25">
      <c r="A193" s="172">
        <v>42616.763287037036</v>
      </c>
      <c r="B193" s="173" t="s">
        <v>1031</v>
      </c>
      <c r="C193" s="173" t="s">
        <v>1518</v>
      </c>
      <c r="D193" s="173" t="s">
        <v>49</v>
      </c>
      <c r="E193" s="173" t="s">
        <v>54</v>
      </c>
      <c r="F193" s="174">
        <v>0</v>
      </c>
      <c r="G193" s="174">
        <v>68</v>
      </c>
      <c r="H193" s="174">
        <v>24318</v>
      </c>
      <c r="I193" s="173" t="s">
        <v>55</v>
      </c>
      <c r="J193" s="174">
        <v>24235</v>
      </c>
      <c r="K193" s="173" t="s">
        <v>53</v>
      </c>
      <c r="L193" s="175" t="str">
        <f>VLOOKUP(C193,'[8]Trips&amp;Operators'!$C$1:$E$9999,3,0)</f>
        <v>HAITHCOX</v>
      </c>
      <c r="M193" s="182" t="s">
        <v>86</v>
      </c>
      <c r="N193" s="177"/>
      <c r="P193" s="183" t="str">
        <f>VLOOKUP(C193,'[8]Train Runs'!$A$13:$AE$10006,31,0)</f>
        <v>aws s3 cp s3://rtdc.mdm.uploadarchive/RTDC4021/2016-09-03/ "%USERPROFILE%\AppData\Local\Temp\OnboardLogs"\RTDC4021\2016-09-03 --recursive &amp; "%USERPROFILE%\Documents\GitHub\mrs-test-scripts\Headless Mode &amp; Sideloading\WalkAndUnGZ.bat" "%USERPROFILE%\AppData\Local\Temp\OnboardLogs"\RTDC4021\2016-09-03 &amp; aws s3 cp s3://rtdc.mdm.uploadarchive/RTDC4021/2016-09-04/ "%USERPROFILE%\AppData\Local\Temp\OnboardLogs"\RTDC4021\2016-09-04 --recursive &amp; "%USERPROFILE%\Documents\GitHub\mrs-test-scripts\Headless Mode &amp; Sideloading\WalkAndUnGZ.bat" "%USERPROFILE%\AppData\Local\Temp\OnboardLogs"\RTDC4021\2016-09-04</v>
      </c>
      <c r="Q193" s="184" t="str">
        <f>VLOOKUP(C193,'[8]Train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17:15:09-0600',mode:absolute,to:'2016-09-03 19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R193" s="185" t="str">
        <f t="shared" si="24"/>
        <v>"C:\Program Files (x86)\AstroGrep\AstroGrep.exe" /spath="C:\Users\stu\Documents\Analysis\2016-02-23 RTDC Observations" /stypes="*4021*201609040*" /stext=" 00:.+((SYSTEM_STATE.+slice.+state.+changed )|(ment ac)|(system.+state.+changed )|(\|lc)|(penalty)|(\[timeout)|(PRM\|1\|D))" /e /r /s</v>
      </c>
      <c r="S193" s="176" t="str">
        <f t="shared" si="20"/>
        <v>4021</v>
      </c>
      <c r="T193" s="172">
        <f t="shared" si="21"/>
        <v>42617.013287037036</v>
      </c>
      <c r="U193" s="181" t="str">
        <f t="shared" si="23"/>
        <v>Other</v>
      </c>
      <c r="V193" s="181" t="str">
        <f t="shared" si="22"/>
        <v>KEEP</v>
      </c>
      <c r="W193" s="186" t="str">
        <f t="shared" si="25"/>
        <v>echo {"issue":{"subject":"","project_id":79,"tracker_id":40,"status_id":1,"priority_id":2,"assigned_to_id":23,"start_date":"2016-09-03","description":"","custom_fields":[{"id":1,"name":"Subdivision","value":"Other"},{"id":4,"name":"Milepost","value":"2.4235"},{"id":17,"name":"Train ID","value":"56-03"},{"id":16,"name":"Locomotive ID","value":"4021"},{"id":130,"name":"Impact","value":""},{"id":150,"name":"Time of Event (Mountain Time)","value":"18:19:08"},{"id":151,"name":"Denver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4" spans="1:23" x14ac:dyDescent="0.25">
      <c r="A194" s="172">
        <v>42616.949432870373</v>
      </c>
      <c r="B194" s="173" t="s">
        <v>349</v>
      </c>
      <c r="C194" s="173" t="s">
        <v>1552</v>
      </c>
      <c r="D194" s="173" t="s">
        <v>110</v>
      </c>
      <c r="E194" s="173" t="s">
        <v>333</v>
      </c>
      <c r="F194" s="174">
        <v>0</v>
      </c>
      <c r="G194" s="174">
        <v>126</v>
      </c>
      <c r="H194" s="174">
        <v>23624</v>
      </c>
      <c r="I194" s="173" t="s">
        <v>334</v>
      </c>
      <c r="J194" s="174">
        <v>24235</v>
      </c>
      <c r="K194" s="173" t="s">
        <v>53</v>
      </c>
      <c r="L194" s="175" t="str">
        <f>VLOOKUP(C194,'[8]Trips&amp;Operators'!$C$1:$E$9999,3,0)</f>
        <v>ISHMAEL</v>
      </c>
      <c r="M194" s="182" t="s">
        <v>86</v>
      </c>
      <c r="N194" s="177"/>
      <c r="P194" s="183" t="str">
        <f>VLOOKUP(C194,'[8]Train Runs'!$A$13:$AE$10006,31,0)</f>
        <v>aws s3 cp s3://rtdc.mdm.uploadarchive/RTDC4041/1969-12-31/ "%USERPROFILE%\AppData\Local\Temp\OnboardLogs"\RTDC4041\1969-12-31 --recursive &amp; "%USERPROFILE%\Documents\GitHub\mrs-test-scripts\Headless Mode &amp; Sideloading\WalkAndUnGZ.bat" "%USERPROFILE%\AppData\Local\Temp\OnboardLogs"\RTDC4041\1969-12-31 &amp; aws s3 cp s3://rtdc.mdm.uploadarchive/RTDC4041/1970-01-01/ "%USERPROFILE%\AppData\Local\Temp\OnboardLogs"\RTDC4041\1970-01-01 --recursive &amp; "%USERPROFILE%\Documents\GitHub\mrs-test-scripts\Headless Mode &amp; Sideloading\WalkAndUnGZ.bat" "%USERPROFILE%\AppData\Local\Temp\OnboardLogs"\RTDC4041\1970-01-01</v>
      </c>
      <c r="Q194" s="184" t="str">
        <f>VLOOKUP(C194,'[8]Train Runs'!$A$13:$AE$10006,22,0)</f>
        <v>https://search-rtdc-monitor-bjffxe2xuh6vdkpspy63sjmuny.us-east-1.es.amazonaws.com/_plugin/kibana/#/discover/Steve-Slow-Train-Analysis-(2080s-and-2083s)?_g=(refreshInterval:(display:Off,section:0,value:0),time:(from:'2016-09-03 21:37:33-0600',mode:absolute,to:'1970-01-01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194" s="185" t="str">
        <f t="shared" si="24"/>
        <v>"C:\Program Files (x86)\AstroGrep\AstroGrep.exe" /spath="C:\Users\stu\Documents\Analysis\2016-02-23 RTDC Observations" /stypes="*4041*201609040*" /stext=" 04:.+((SYSTEM_STATE.+slice.+state.+changed )|(ment ac)|(system.+state.+changed )|(\|lc)|(penalty)|(\[timeout)|(PRM\|1\|D))" /e /r /s</v>
      </c>
      <c r="S194" s="176" t="str">
        <f t="shared" ref="S194:S257" si="26">MID(B194,13,4)</f>
        <v>4041</v>
      </c>
      <c r="T194" s="172">
        <f t="shared" ref="T194:T257" si="27">A194+6/24</f>
        <v>42617.199432870373</v>
      </c>
      <c r="U194" s="181" t="str">
        <f t="shared" si="23"/>
        <v>Other</v>
      </c>
      <c r="V194" s="181" t="str">
        <f t="shared" ref="V194:V257" si="28">IF(AND(E194="TRACK WARRANT AUTHORITY",G194&lt;10),"OMIT","KEEP")</f>
        <v>KEEP</v>
      </c>
      <c r="W194" s="186" t="str">
        <f t="shared" si="25"/>
        <v>echo {"issue":{"subject":"","project_id":79,"tracker_id":40,"status_id":1,"priority_id":2,"assigned_to_id":23,"start_date":"2016-09-03","description":"","custom_fields":[{"id":1,"name":"Subdivision","value":"Other"},{"id":4,"name":"Milepost","value":"2.4235"},{"id":17,"name":"Train ID","value":"1902-03"},{"id":16,"name":"Locomotive ID","value":"4041"},{"id":130,"name":"Impact","value":""},{"id":150,"name":"Time of Event (Mountain Time)","value":"22:47:11"},{"id":151,"name":"Denver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5" spans="1:23" x14ac:dyDescent="0.25">
      <c r="A195" s="172">
        <v>42617.269652777781</v>
      </c>
      <c r="B195" s="173" t="s">
        <v>260</v>
      </c>
      <c r="C195" s="173" t="s">
        <v>719</v>
      </c>
      <c r="D195" s="173" t="s">
        <v>229</v>
      </c>
      <c r="E195" s="173" t="s">
        <v>206</v>
      </c>
      <c r="F195" s="174">
        <v>200</v>
      </c>
      <c r="G195" s="174">
        <v>260</v>
      </c>
      <c r="H195" s="174">
        <v>27213</v>
      </c>
      <c r="I195" s="173" t="s">
        <v>205</v>
      </c>
      <c r="J195" s="174">
        <v>27350</v>
      </c>
      <c r="K195" s="173" t="s">
        <v>53</v>
      </c>
      <c r="L195" s="175" t="str">
        <f>VLOOKUP(C195,'[9]Trips&amp;Operators'!$C$1:$E$9999,3,0)</f>
        <v>STRICKLAND</v>
      </c>
      <c r="M195" s="182" t="s">
        <v>86</v>
      </c>
      <c r="N195" s="177" t="s">
        <v>336</v>
      </c>
      <c r="P195" s="183" t="str">
        <f>VLOOKUP(C195,'[9]Train Runs'!$A$13:$AE$10003,31,0)</f>
        <v>aws s3 cp s3://rtdc.mdm.uploadarchive/RTDC4026/2016-09-04/ "%USERPROFILE%\AppData\Local\Temp\OnboardLogs"\RTDC4026\2016-09-04 --recursive &amp; "%USERPROFILE%\Documents\GitHub\mrs-test-scripts\Headless Mode &amp; Sideloading\WalkAndUnGZ.bat" "%USERPROFILE%\AppData\Local\Temp\OnboardLogs"\RTDC4026\2016-09-04 &amp; aws s3 cp s3://rtdc.mdm.uploadarchive/RTDC4026/2016-09-05/ "%USERPROFILE%\AppData\Local\Temp\OnboardLogs"\RTDC4026\2016-09-05 --recursive &amp; "%USERPROFILE%\Documents\GitHub\mrs-test-scripts\Headless Mode &amp; Sideloading\WalkAndUnGZ.bat" "%USERPROFILE%\AppData\Local\Temp\OnboardLogs"\RTDC4026\2016-09-05</v>
      </c>
      <c r="Q195" s="184" t="str">
        <f>VLOOKUP(C195,'[9]Train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04:52:00-0600',mode:absolute,to:'2016-09-04 07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195" s="185" t="str">
        <f t="shared" ref="R195:R238" si="29">astrogrep_path&amp;" /spath="&amp;search_path&amp;" /stypes=""*"&amp;S195&amp;"*"&amp;TEXT(A195-utc_offset/24,"YYYYMMDD")&amp;LEFT(TEXT(A195-utc_offset/24,"HH"),1)&amp;"*"" /stext="" "&amp;TEXT(A195-utc_offset/24,"HH")&amp;search_regexp&amp;""" /e /r /s"</f>
        <v>"C:\Program Files (x86)\AstroGrep\AstroGrep.exe" /spath="C:\Users\stu\Documents\Analysis\2016-02-23 RTDC Observations" /stypes="*4026*201609041*" /stext=" 12:.+((SYSTEM_STATE.+slice.+state.+changed )|(ment ac)|(system.+state.+changed )|(\|lc)|(penalty)|(\[timeout)|(PRM\|1\|D))" /e /r /s</v>
      </c>
      <c r="S195" s="176" t="str">
        <f t="shared" si="26"/>
        <v>4026</v>
      </c>
      <c r="T195" s="172">
        <f t="shared" si="27"/>
        <v>42617.519652777781</v>
      </c>
      <c r="U195" s="181" t="str">
        <f t="shared" ref="U195:U258" si="30">IF(VALUE(LEFT(IF(LEN(C195)=6,"0"&amp;C195,C195),2))&lt;=2,"EC",IF(OR(VALUE(LEFT(IF(LEN(C195)=6,"0"&amp;C195,C195),2))=8,VALUE(LEFT(IF(LEN(C195)=6,"0"&amp;C195,C195),2))=18),"NW","Other"))</f>
        <v>EC</v>
      </c>
      <c r="V195" s="181" t="str">
        <f t="shared" si="28"/>
        <v>KEEP</v>
      </c>
      <c r="W195" s="186" t="str">
        <f t="shared" ref="W195:W238" si="31">"echo {""issue"":{""subject"":"""&amp;N195&amp;""",""project_id"":79,""tracker_id"":40,""status_id"":"&amp;redmine_status&amp;",""priority_id"":"&amp;redmine_priority&amp;",""assigned_to_id"":"&amp;redmine_assignee&amp;",""start_date"":"""&amp;TEXT(A195,"YYYY-mm-dd")&amp;""",""description"":"""&amp;X195&amp;""",""custom_fields"":[{""id"":1,""name"":""Subdivision"",""value"":"""&amp;U195&amp;"""},{""id"":4,""name"":""Milepost"",""value"":"""&amp;J195/10000&amp;"""},{""id"":17,""name"":""Train ID"",""value"":"""&amp;C195&amp;"""},{""id"":16,""name"":""Locomotive ID"",""value"":"""&amp;S195&amp;"""},{""id"":130,""name"":""Impact"",""value"":"""&amp;Y195&amp;"""},{""id"":150,""name"":""Time of Event (Mountain Time)"",""value"":"""&amp;TEXT(A195,"hh:mm:ss")&amp;"""},{""id"":151,""name"":""Denver Issue ID"",""value"":"""&amp;"""},{""id"":178,""name"":""Operational Impact"",""value"":"""&amp;redmine_op_impact&amp;"""},{""id"":179,""name"":""Denver Segment Assigned"",""value"":"""&amp;Z195&amp;"""}]}}"&amp;"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arrival","project_id":79,"tracker_id":40,"status_id":1,"priority_id":2,"assigned_to_id":23,"start_date":"2016-09-04","description":"","custom_fields":[{"id":1,"name":"Subdivision","value":"EC"},{"id":4,"name":"Milepost","value":"2.735"},{"id":17,"name":"Train ID","value":"112-04"},{"id":16,"name":"Locomotive ID","value":"4026"},{"id":130,"name":"Impact","value":""},{"id":150,"name":"Time of Event (Mountain Time)","value":"06:28:18"},{"id":151,"name":"Denver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6" spans="1:23" x14ac:dyDescent="0.25">
      <c r="A196" s="172">
        <v>42617.527326388888</v>
      </c>
      <c r="B196" s="173" t="s">
        <v>724</v>
      </c>
      <c r="C196" s="173" t="s">
        <v>725</v>
      </c>
      <c r="D196" s="173" t="s">
        <v>229</v>
      </c>
      <c r="E196" s="173" t="s">
        <v>206</v>
      </c>
      <c r="F196" s="174">
        <v>0</v>
      </c>
      <c r="G196" s="174">
        <v>160</v>
      </c>
      <c r="H196" s="174">
        <v>30872</v>
      </c>
      <c r="I196" s="173" t="s">
        <v>205</v>
      </c>
      <c r="J196" s="174">
        <v>30830</v>
      </c>
      <c r="K196" s="173" t="s">
        <v>52</v>
      </c>
      <c r="L196" s="175" t="str">
        <f>VLOOKUP(C196,'[9]Trips&amp;Operators'!$C$1:$E$9999,3,0)</f>
        <v>SHOOK</v>
      </c>
      <c r="M196" s="182" t="s">
        <v>86</v>
      </c>
      <c r="N196" s="177" t="s">
        <v>336</v>
      </c>
      <c r="P196" s="183" t="str">
        <f>VLOOKUP(C196,'[9]Train Runs'!$A$13:$AE$10003,31,0)</f>
        <v>aws s3 cp s3://rtdc.mdm.uploadarchive/RTDC4016/2016-09-04/ "%USERPROFILE%\AppData\Local\Temp\OnboardLogs"\RTDC4016\2016-09-04 --recursive &amp; "%USERPROFILE%\Documents\GitHub\mrs-test-scripts\Headless Mode &amp; Sideloading\WalkAndUnGZ.bat" "%USERPROFILE%\AppData\Local\Temp\OnboardLogs"\RTDC4016\2016-09-04 &amp; aws s3 cp s3://rtdc.mdm.uploadarchive/RTDC4016/2016-09-05/ "%USERPROFILE%\AppData\Local\Temp\OnboardLogs"\RTDC4016\2016-09-05 --recursive &amp; "%USERPROFILE%\Documents\GitHub\mrs-test-scripts\Headless Mode &amp; Sideloading\WalkAndUnGZ.bat" "%USERPROFILE%\AppData\Local\Temp\OnboardLogs"\RTDC4016\2016-09-05</v>
      </c>
      <c r="Q196" s="184" t="str">
        <f>VLOOKUP(C196,'[9]Train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11:21:44-0600',mode:absolute,to:'2016-09-04 14:10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196" s="185" t="str">
        <f t="shared" si="29"/>
        <v>"C:\Program Files (x86)\AstroGrep\AstroGrep.exe" /spath="C:\Users\stu\Documents\Analysis\2016-02-23 RTDC Observations" /stypes="*4016*201609041*" /stext=" 18:.+((SYSTEM_STATE.+slice.+state.+changed )|(ment ac)|(system.+state.+changed )|(\|lc)|(penalty)|(\[timeout)|(PRM\|1\|D))" /e /r /s</v>
      </c>
      <c r="S196" s="176" t="str">
        <f t="shared" si="26"/>
        <v>4016</v>
      </c>
      <c r="T196" s="172">
        <f t="shared" si="27"/>
        <v>42617.777326388888</v>
      </c>
      <c r="U196" s="181" t="str">
        <f t="shared" si="30"/>
        <v>EC</v>
      </c>
      <c r="V196" s="181" t="str">
        <f t="shared" si="28"/>
        <v>KEEP</v>
      </c>
      <c r="W196" s="186" t="str">
        <f t="shared" si="31"/>
        <v>echo {"issue":{"subject":"Early arrival","project_id":79,"tracker_id":40,"status_id":1,"priority_id":2,"assigned_to_id":23,"start_date":"2016-09-04","description":"","custom_fields":[{"id":1,"name":"Subdivision","value":"EC"},{"id":4,"name":"Milepost","value":"3.083"},{"id":17,"name":"Train ID","value":"171-04"},{"id":16,"name":"Locomotive ID","value":"4016"},{"id":130,"name":"Impact","value":""},{"id":150,"name":"Time of Event (Mountain Time)","value":"12:39:21"},{"id":151,"name":"Denver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7" spans="1:23" x14ac:dyDescent="0.25">
      <c r="A197" s="172">
        <v>42617.204155092593</v>
      </c>
      <c r="B197" s="173" t="s">
        <v>154</v>
      </c>
      <c r="C197" s="173" t="s">
        <v>728</v>
      </c>
      <c r="D197" s="173" t="s">
        <v>49</v>
      </c>
      <c r="E197" s="173" t="s">
        <v>206</v>
      </c>
      <c r="F197" s="174">
        <v>0</v>
      </c>
      <c r="G197" s="174">
        <v>282</v>
      </c>
      <c r="H197" s="174">
        <v>33073</v>
      </c>
      <c r="I197" s="173" t="s">
        <v>205</v>
      </c>
      <c r="J197" s="174">
        <v>33137</v>
      </c>
      <c r="K197" s="173" t="s">
        <v>52</v>
      </c>
      <c r="L197" s="175" t="str">
        <f>VLOOKUP(C197,'[9]Trips&amp;Operators'!$C$1:$E$9999,3,0)</f>
        <v>MALAVE</v>
      </c>
      <c r="M197" s="182" t="s">
        <v>86</v>
      </c>
      <c r="N197" s="177" t="s">
        <v>336</v>
      </c>
      <c r="P197" s="183" t="str">
        <f>VLOOKUP(C197,'[9]Train Runs'!$A$13:$AE$10003,31,0)</f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Q197" s="184" t="str">
        <f>VLOOKUP(C197,'[9]Train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03:42:31-0600',mode:absolute,to:'2016-09-04 06:23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197" s="185" t="str">
        <f t="shared" si="29"/>
        <v>"C:\Program Files (x86)\AstroGrep\AstroGrep.exe" /spath="C:\Users\stu\Documents\Analysis\2016-02-23 RTDC Observations" /stypes="*4002*201609041*" /stext=" 10:.+((SYSTEM_STATE.+slice.+state.+changed )|(ment ac)|(system.+state.+changed )|(\|lc)|(penalty)|(\[timeout)|(PRM\|1\|D))" /e /r /s</v>
      </c>
      <c r="S197" s="176" t="str">
        <f t="shared" si="26"/>
        <v>4002</v>
      </c>
      <c r="T197" s="172">
        <f t="shared" si="27"/>
        <v>42617.454155092593</v>
      </c>
      <c r="U197" s="181" t="str">
        <f t="shared" si="30"/>
        <v>EC</v>
      </c>
      <c r="V197" s="181" t="str">
        <f t="shared" si="28"/>
        <v>KEEP</v>
      </c>
      <c r="W197" s="186" t="str">
        <f t="shared" si="31"/>
        <v>echo {"issue":{"subject":"Early arrival","project_id":79,"tracker_id":40,"status_id":1,"priority_id":2,"assigned_to_id":23,"start_date":"2016-09-04","description":"","custom_fields":[{"id":1,"name":"Subdivision","value":"EC"},{"id":4,"name":"Milepost","value":"3.3137"},{"id":17,"name":"Train ID","value":"109-04"},{"id":16,"name":"Locomotive ID","value":"4002"},{"id":130,"name":"Impact","value":""},{"id":150,"name":"Time of Event (Mountain Time)","value":"04:53:59"},{"id":151,"name":"Denver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8" spans="1:23" x14ac:dyDescent="0.25">
      <c r="A198" s="172">
        <v>42617.485231481478</v>
      </c>
      <c r="B198" s="173" t="s">
        <v>741</v>
      </c>
      <c r="C198" s="173" t="s">
        <v>742</v>
      </c>
      <c r="D198" s="173" t="s">
        <v>49</v>
      </c>
      <c r="E198" s="173" t="s">
        <v>206</v>
      </c>
      <c r="F198" s="174">
        <v>0</v>
      </c>
      <c r="G198" s="174">
        <v>404</v>
      </c>
      <c r="H198" s="174">
        <v>58441</v>
      </c>
      <c r="I198" s="173" t="s">
        <v>205</v>
      </c>
      <c r="J198" s="174">
        <v>58301</v>
      </c>
      <c r="K198" s="173" t="s">
        <v>53</v>
      </c>
      <c r="L198" s="175" t="str">
        <f>VLOOKUP(C198,'[9]Trips&amp;Operators'!$C$1:$E$9999,3,0)</f>
        <v>STRICKLAND</v>
      </c>
      <c r="M198" s="182" t="s">
        <v>86</v>
      </c>
      <c r="N198" s="177" t="s">
        <v>336</v>
      </c>
      <c r="P198" s="183" t="str">
        <f>VLOOKUP(C198,'[9]Train Runs'!$A$13:$AE$10003,31,0)</f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Q198" s="184" t="str">
        <f>VLOOKUP(C198,'[9]Train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10:05:54-0600',mode:absolute,to:'2016-09-04 12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R198" s="185" t="str">
        <f t="shared" si="29"/>
        <v>"C:\Program Files (x86)\AstroGrep\AstroGrep.exe" /spath="C:\Users\stu\Documents\Analysis\2016-02-23 RTDC Observations" /stypes="*4045*201609041*" /stext=" 17:.+((SYSTEM_STATE.+slice.+state.+changed )|(ment ac)|(system.+state.+changed )|(\|lc)|(penalty)|(\[timeout)|(PRM\|1\|D))" /e /r /s</v>
      </c>
      <c r="S198" s="176" t="str">
        <f t="shared" si="26"/>
        <v>4045</v>
      </c>
      <c r="T198" s="172">
        <f t="shared" si="27"/>
        <v>42617.735231481478</v>
      </c>
      <c r="U198" s="181" t="str">
        <f t="shared" si="30"/>
        <v>EC</v>
      </c>
      <c r="V198" s="181" t="str">
        <f t="shared" si="28"/>
        <v>KEEP</v>
      </c>
      <c r="W198" s="186" t="str">
        <f t="shared" si="31"/>
        <v>echo {"issue":{"subject":"Early arrival","project_id":79,"tracker_id":40,"status_id":1,"priority_id":2,"assigned_to_id":23,"start_date":"2016-09-04","description":"","custom_fields":[{"id":1,"name":"Subdivision","value":"EC"},{"id":4,"name":"Milepost","value":"5.8301"},{"id":17,"name":"Train ID","value":"154-04"},{"id":16,"name":"Locomotive ID","value":"4045"},{"id":130,"name":"Impact","value":""},{"id":150,"name":"Time of Event (Mountain Time)","value":"11:38:44"},{"id":151,"name":"Denver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99" spans="1:23" x14ac:dyDescent="0.25">
      <c r="A199" s="172">
        <v>42617.385752314818</v>
      </c>
      <c r="B199" s="173" t="s">
        <v>139</v>
      </c>
      <c r="C199" s="173" t="s">
        <v>707</v>
      </c>
      <c r="D199" s="173" t="s">
        <v>110</v>
      </c>
      <c r="E199" s="173" t="s">
        <v>206</v>
      </c>
      <c r="F199" s="174">
        <v>0</v>
      </c>
      <c r="G199" s="174">
        <v>464</v>
      </c>
      <c r="H199" s="174">
        <v>103780</v>
      </c>
      <c r="I199" s="173" t="s">
        <v>205</v>
      </c>
      <c r="J199" s="174">
        <v>103800</v>
      </c>
      <c r="K199" s="173" t="s">
        <v>53</v>
      </c>
      <c r="L199" s="175" t="str">
        <f>VLOOKUP(C199,'[9]Trips&amp;Operators'!$C$1:$E$9999,3,0)</f>
        <v>DAVIS</v>
      </c>
      <c r="M199" s="182" t="s">
        <v>86</v>
      </c>
      <c r="N199" s="177" t="s">
        <v>336</v>
      </c>
      <c r="P199" s="183" t="str">
        <f>VLOOKUP(C199,'[9]Train Runs'!$A$13:$AE$10003,31,0)</f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Q199" s="184" t="str">
        <f>VLOOKUP(C199,'[9]Train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07:48:50-0600',mode:absolute,to:'2016-09-04 10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199" s="185" t="str">
        <f t="shared" si="29"/>
        <v>"C:\Program Files (x86)\AstroGrep\AstroGrep.exe" /spath="C:\Users\stu\Documents\Analysis\2016-02-23 RTDC Observations" /stypes="*4037*201609041*" /stext=" 15:.+((SYSTEM_STATE.+slice.+state.+changed )|(ment ac)|(system.+state.+changed )|(\|lc)|(penalty)|(\[timeout)|(PRM\|1\|D))" /e /r /s</v>
      </c>
      <c r="S199" s="176" t="str">
        <f t="shared" si="26"/>
        <v>4037</v>
      </c>
      <c r="T199" s="172">
        <f t="shared" si="27"/>
        <v>42617.635752314818</v>
      </c>
      <c r="U199" s="181" t="str">
        <f t="shared" si="30"/>
        <v>EC</v>
      </c>
      <c r="V199" s="181" t="str">
        <f t="shared" si="28"/>
        <v>KEEP</v>
      </c>
      <c r="W199" s="186" t="str">
        <f t="shared" si="31"/>
        <v>echo {"issue":{"subject":"Early arrival","project_id":79,"tracker_id":40,"status_id":1,"priority_id":2,"assigned_to_id":23,"start_date":"2016-09-04","description":"","custom_fields":[{"id":1,"name":"Subdivision","value":"EC"},{"id":4,"name":"Milepost","value":"10.38"},{"id":17,"name":"Train ID","value":"136-04"},{"id":16,"name":"Locomotive ID","value":"4037"},{"id":130,"name":"Impact","value":""},{"id":150,"name":"Time of Event (Mountain Time)","value":"09:15:29"},{"id":151,"name":"Denver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0" spans="1:23" x14ac:dyDescent="0.25">
      <c r="A200" s="172">
        <v>42617.2497337963</v>
      </c>
      <c r="B200" s="173" t="s">
        <v>227</v>
      </c>
      <c r="C200" s="173" t="s">
        <v>709</v>
      </c>
      <c r="D200" s="173" t="s">
        <v>110</v>
      </c>
      <c r="E200" s="173" t="s">
        <v>206</v>
      </c>
      <c r="F200" s="174">
        <v>0</v>
      </c>
      <c r="G200" s="174">
        <v>432</v>
      </c>
      <c r="H200" s="174">
        <v>109102</v>
      </c>
      <c r="I200" s="173" t="s">
        <v>205</v>
      </c>
      <c r="J200" s="174">
        <v>109135</v>
      </c>
      <c r="K200" s="173" t="s">
        <v>53</v>
      </c>
      <c r="L200" s="175" t="str">
        <f>VLOOKUP(C200,'[9]Trips&amp;Operators'!$C$1:$E$9999,3,0)</f>
        <v>MALAVE</v>
      </c>
      <c r="M200" s="182" t="s">
        <v>86</v>
      </c>
      <c r="N200" s="177" t="s">
        <v>336</v>
      </c>
      <c r="P200" s="183" t="str">
        <f>VLOOKUP(C200,'[9]Train Runs'!$A$13:$AE$10003,31,0)</f>
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</c>
      <c r="Q200" s="184" t="str">
        <f>VLOOKUP(C200,'[9]Train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04:39:45-0600',mode:absolute,to:'2016-09-04 07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00" s="185" t="str">
        <f t="shared" si="29"/>
        <v>"C:\Program Files (x86)\AstroGrep\AstroGrep.exe" /spath="C:\Users\stu\Documents\Analysis\2016-02-23 RTDC Observations" /stypes="*4001*201609041*" /stext=" 11:.+((SYSTEM_STATE.+slice.+state.+changed )|(ment ac)|(system.+state.+changed )|(\|lc)|(penalty)|(\[timeout)|(PRM\|1\|D))" /e /r /s</v>
      </c>
      <c r="S200" s="176" t="str">
        <f t="shared" si="26"/>
        <v>4001</v>
      </c>
      <c r="T200" s="172">
        <f t="shared" si="27"/>
        <v>42617.4997337963</v>
      </c>
      <c r="U200" s="181" t="str">
        <f t="shared" si="30"/>
        <v>EC</v>
      </c>
      <c r="V200" s="181" t="str">
        <f t="shared" si="28"/>
        <v>KEEP</v>
      </c>
      <c r="W200" s="186" t="str">
        <f t="shared" si="31"/>
        <v>echo {"issue":{"subject":"Early arrival","project_id":79,"tracker_id":40,"status_id":1,"priority_id":2,"assigned_to_id":23,"start_date":"2016-09-04","description":"","custom_fields":[{"id":1,"name":"Subdivision","value":"EC"},{"id":4,"name":"Milepost","value":"10.9135"},{"id":17,"name":"Train ID","value":"110-04"},{"id":16,"name":"Locomotive ID","value":"4001"},{"id":130,"name":"Impact","value":""},{"id":150,"name":"Time of Event (Mountain Time)","value":"05:59:37"},{"id":151,"name":"Denver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1" spans="1:23" x14ac:dyDescent="0.25">
      <c r="A201" s="172">
        <v>42617.348738425928</v>
      </c>
      <c r="B201" s="173" t="s">
        <v>154</v>
      </c>
      <c r="C201" s="173" t="s">
        <v>1603</v>
      </c>
      <c r="D201" s="173" t="s">
        <v>110</v>
      </c>
      <c r="E201" s="173" t="s">
        <v>56</v>
      </c>
      <c r="F201" s="174">
        <v>300</v>
      </c>
      <c r="G201" s="174">
        <v>351</v>
      </c>
      <c r="H201" s="174">
        <v>20873</v>
      </c>
      <c r="I201" s="173" t="s">
        <v>57</v>
      </c>
      <c r="J201" s="174">
        <v>20338</v>
      </c>
      <c r="K201" s="173" t="s">
        <v>52</v>
      </c>
      <c r="L201" s="175" t="str">
        <f>VLOOKUP(C201,'[9]Trips&amp;Operators'!$C$1:$E$9999,3,0)</f>
        <v>MALAVE</v>
      </c>
      <c r="M201" s="182" t="s">
        <v>86</v>
      </c>
      <c r="N201" s="177"/>
      <c r="P201" s="183" t="str">
        <f>VLOOKUP(C201,'[9]Train Runs'!$A$13:$AE$10003,31,0)</f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Q201" s="184" t="str">
        <f>VLOOKUP(C201,'[9]Train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07:14:32-0600',mode:absolute,to:'2016-09-04 09:56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201" s="185" t="str">
        <f t="shared" si="29"/>
        <v>"C:\Program Files (x86)\AstroGrep\AstroGrep.exe" /spath="C:\Users\stu\Documents\Analysis\2016-02-23 RTDC Observations" /stypes="*4002*201609041*" /stext=" 14:.+((SYSTEM_STATE.+slice.+state.+changed )|(ment ac)|(system.+state.+changed )|(\|lc)|(penalty)|(\[timeout)|(PRM\|1\|D))" /e /r /s</v>
      </c>
      <c r="S201" s="176" t="str">
        <f t="shared" si="26"/>
        <v>4002</v>
      </c>
      <c r="T201" s="172">
        <f t="shared" si="27"/>
        <v>42617.598738425928</v>
      </c>
      <c r="U201" s="181" t="str">
        <f t="shared" si="30"/>
        <v>EC</v>
      </c>
      <c r="V201" s="181" t="str">
        <f t="shared" si="28"/>
        <v>KEEP</v>
      </c>
      <c r="W201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{"issue":{"subject":"","project_id":79,"tracker_id":40,"status_id":1,"priority_id":2,"assigned_to_id":23,"start_date":"2016-09-04","description":"","custom_fields":[{"id":1,"name":"Subdivision","value":"EC"},{"id":4,"name":"Milepost","value":"2.0338"},{"id":17,"name":"Train ID","value":"137-04"},{"id":16,"name":"Locomotive ID","value":"4002"},{"id":130,"name":"Impact","value":""},{"id":150,"name":"Time of Event (Mountain Time)","value":"08:22:11"},{"id":151,"name":"Denver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2" spans="1:23" x14ac:dyDescent="0.25">
      <c r="A202" s="172">
        <v>42617.800891203704</v>
      </c>
      <c r="B202" s="173" t="s">
        <v>351</v>
      </c>
      <c r="C202" s="173" t="s">
        <v>1707</v>
      </c>
      <c r="D202" s="173" t="s">
        <v>49</v>
      </c>
      <c r="E202" s="173" t="s">
        <v>56</v>
      </c>
      <c r="F202" s="174">
        <v>300</v>
      </c>
      <c r="G202" s="174">
        <v>501</v>
      </c>
      <c r="H202" s="174">
        <v>24468</v>
      </c>
      <c r="I202" s="173" t="s">
        <v>57</v>
      </c>
      <c r="J202" s="174">
        <v>21848</v>
      </c>
      <c r="K202" s="173" t="s">
        <v>53</v>
      </c>
      <c r="L202" s="175" t="str">
        <f>VLOOKUP(C202,'[9]Trips&amp;Operators'!$C$1:$E$9999,3,0)</f>
        <v>COOLAHAN</v>
      </c>
      <c r="M202" s="182" t="s">
        <v>86</v>
      </c>
      <c r="N202" s="177"/>
      <c r="P202" s="183" t="str">
        <f>VLOOKUP(C202,'[9]Train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202" s="184" t="str">
        <f>VLOOKUP(C202,'[9]Train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17:37:51-0600',mode:absolute,to:'2016-09-04 20:20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02" s="185" t="str">
        <f t="shared" si="29"/>
        <v>"C:\Program Files (x86)\AstroGrep\AstroGrep.exe" /spath="C:\Users\stu\Documents\Analysis\2016-02-23 RTDC Observations" /stypes="*4010*201609050*" /stext=" 01:.+((SYSTEM_STATE.+slice.+state.+changed )|(ment ac)|(system.+state.+changed )|(\|lc)|(penalty)|(\[timeout)|(PRM\|1\|D))" /e /r /s</v>
      </c>
      <c r="S202" s="176" t="str">
        <f t="shared" si="26"/>
        <v>4010</v>
      </c>
      <c r="T202" s="172">
        <f t="shared" si="27"/>
        <v>42618.050891203704</v>
      </c>
      <c r="U202" s="181" t="str">
        <f t="shared" si="30"/>
        <v>EC</v>
      </c>
      <c r="V202" s="181" t="str">
        <f t="shared" si="28"/>
        <v>KEEP</v>
      </c>
      <c r="W202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{"issue":{"subject":"","project_id":79,"tracker_id":40,"status_id":1,"priority_id":2,"assigned_to_id":23,"start_date":"2016-09-04","description":"","custom_fields":[{"id":1,"name":"Subdivision","value":"EC"},{"id":4,"name":"Milepost","value":"2.1848"},{"id":17,"name":"Train ID","value":"214-04"},{"id":16,"name":"Locomotive ID","value":"4010"},{"id":130,"name":"Impact","value":""},{"id":150,"name":"Time of Event (Mountain Time)","value":"19:13:17"},{"id":151,"name":"Denver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3" spans="1:23" x14ac:dyDescent="0.25">
      <c r="A203" s="172">
        <v>42617.231053240743</v>
      </c>
      <c r="B203" s="173" t="s">
        <v>257</v>
      </c>
      <c r="C203" s="173" t="s">
        <v>1575</v>
      </c>
      <c r="D203" s="173" t="s">
        <v>110</v>
      </c>
      <c r="E203" s="173" t="s">
        <v>56</v>
      </c>
      <c r="F203" s="174">
        <v>600</v>
      </c>
      <c r="G203" s="174">
        <v>650</v>
      </c>
      <c r="H203" s="174">
        <v>188334</v>
      </c>
      <c r="I203" s="173" t="s">
        <v>57</v>
      </c>
      <c r="J203" s="174">
        <v>183829</v>
      </c>
      <c r="K203" s="173" t="s">
        <v>52</v>
      </c>
      <c r="L203" s="175" t="str">
        <f>VLOOKUP(C203,'[9]Trips&amp;Operators'!$C$1:$E$9999,3,0)</f>
        <v>STRICKLAND</v>
      </c>
      <c r="M203" s="182" t="s">
        <v>86</v>
      </c>
      <c r="N203" s="177"/>
      <c r="P203" s="183" t="str">
        <f>VLOOKUP(C203,'[9]Train Runs'!$A$13:$AE$10003,31,0)</f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Q203" s="184" t="str">
        <f>VLOOKUP(C203,'[9]Train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03:53:06-0600',mode:absolute,to:'2016-09-04 06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03" s="185" t="str">
        <f t="shared" si="29"/>
        <v>"C:\Program Files (x86)\AstroGrep\AstroGrep.exe" /spath="C:\Users\stu\Documents\Analysis\2016-02-23 RTDC Observations" /stypes="*4025*201609041*" /stext=" 11:.+((SYSTEM_STATE.+slice.+state.+changed )|(ment ac)|(system.+state.+changed )|(\|lc)|(penalty)|(\[timeout)|(PRM\|1\|D))" /e /r /s</v>
      </c>
      <c r="S203" s="176" t="str">
        <f t="shared" si="26"/>
        <v>4025</v>
      </c>
      <c r="T203" s="172">
        <f t="shared" si="27"/>
        <v>42617.481053240743</v>
      </c>
      <c r="U203" s="181" t="str">
        <f t="shared" si="30"/>
        <v>EC</v>
      </c>
      <c r="V203" s="181" t="str">
        <f t="shared" si="28"/>
        <v>KEEP</v>
      </c>
      <c r="W203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{"issue":{"subject":"","project_id":79,"tracker_id":40,"status_id":1,"priority_id":2,"assigned_to_id":23,"start_date":"2016-09-04","description":"","custom_fields":[{"id":1,"name":"Subdivision","value":"EC"},{"id":4,"name":"Milepost","value":"18.3829"},{"id":17,"name":"Train ID","value":"111-04"},{"id":16,"name":"Locomotive ID","value":"4025"},{"id":130,"name":"Impact","value":""},{"id":150,"name":"Time of Event (Mountain Time)","value":"05:32:43"},{"id":151,"name":"Denver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4" spans="1:23" x14ac:dyDescent="0.25">
      <c r="A204" s="172">
        <v>42617.398206018515</v>
      </c>
      <c r="B204" s="173" t="s">
        <v>741</v>
      </c>
      <c r="C204" s="173" t="s">
        <v>1614</v>
      </c>
      <c r="D204" s="173" t="s">
        <v>110</v>
      </c>
      <c r="E204" s="173" t="s">
        <v>56</v>
      </c>
      <c r="F204" s="174">
        <v>700</v>
      </c>
      <c r="G204" s="174">
        <v>750</v>
      </c>
      <c r="H204" s="174">
        <v>179746</v>
      </c>
      <c r="I204" s="173" t="s">
        <v>57</v>
      </c>
      <c r="J204" s="174">
        <v>183829</v>
      </c>
      <c r="K204" s="173" t="s">
        <v>53</v>
      </c>
      <c r="L204" s="175" t="str">
        <f>VLOOKUP(C204,'[9]Trips&amp;Operators'!$C$1:$E$9999,3,0)</f>
        <v>STRICKLAND</v>
      </c>
      <c r="M204" s="182" t="s">
        <v>86</v>
      </c>
      <c r="N204" s="177"/>
      <c r="P204" s="183" t="str">
        <f>VLOOKUP(C204,'[9]Train Runs'!$A$13:$AE$10003,31,0)</f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Q204" s="184" t="str">
        <f>VLOOKUP(C204,'[9]Train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08:14:35-0600',mode:absolute,to:'2016-09-04 11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R204" s="185" t="str">
        <f t="shared" si="29"/>
        <v>"C:\Program Files (x86)\AstroGrep\AstroGrep.exe" /spath="C:\Users\stu\Documents\Analysis\2016-02-23 RTDC Observations" /stypes="*4045*201609041*" /stext=" 15:.+((SYSTEM_STATE.+slice.+state.+changed )|(ment ac)|(system.+state.+changed )|(\|lc)|(penalty)|(\[timeout)|(PRM\|1\|D))" /e /r /s</v>
      </c>
      <c r="S204" s="176" t="str">
        <f t="shared" si="26"/>
        <v>4045</v>
      </c>
      <c r="T204" s="172">
        <f t="shared" si="27"/>
        <v>42617.648206018515</v>
      </c>
      <c r="U204" s="181" t="str">
        <f t="shared" si="30"/>
        <v>EC</v>
      </c>
      <c r="V204" s="181" t="str">
        <f t="shared" si="28"/>
        <v>KEEP</v>
      </c>
      <c r="W204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{"issue":{"subject":"","project_id":79,"tracker_id":40,"status_id":1,"priority_id":2,"assigned_to_id":23,"start_date":"2016-09-04","description":"","custom_fields":[{"id":1,"name":"Subdivision","value":"EC"},{"id":4,"name":"Milepost","value":"18.3829"},{"id":17,"name":"Train ID","value":"140-04"},{"id":16,"name":"Locomotive ID","value":"4045"},{"id":130,"name":"Impact","value":""},{"id":150,"name":"Time of Event (Mountain Time)","value":"09:33:25"},{"id":151,"name":"Denver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5" spans="1:23" x14ac:dyDescent="0.25">
      <c r="A205" s="172">
        <v>42617.553819444445</v>
      </c>
      <c r="B205" s="173" t="s">
        <v>351</v>
      </c>
      <c r="C205" s="173" t="s">
        <v>1649</v>
      </c>
      <c r="D205" s="173" t="s">
        <v>49</v>
      </c>
      <c r="E205" s="173" t="s">
        <v>56</v>
      </c>
      <c r="F205" s="174">
        <v>450</v>
      </c>
      <c r="G205" s="174">
        <v>500</v>
      </c>
      <c r="H205" s="174">
        <v>191764</v>
      </c>
      <c r="I205" s="173" t="s">
        <v>57</v>
      </c>
      <c r="J205" s="174">
        <v>191108</v>
      </c>
      <c r="K205" s="173" t="s">
        <v>53</v>
      </c>
      <c r="L205" s="175" t="str">
        <f>VLOOKUP(C205,'[9]Trips&amp;Operators'!$C$1:$E$9999,3,0)</f>
        <v>CLARK</v>
      </c>
      <c r="M205" s="182" t="s">
        <v>86</v>
      </c>
      <c r="N205" s="177"/>
      <c r="P205" s="183" t="str">
        <f>VLOOKUP(C205,'[9]Train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205" s="184" t="str">
        <f>VLOOKUP(C205,'[9]Train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12:03:17-0600',mode:absolute,to:'2016-09-04 14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05" s="185" t="str">
        <f t="shared" si="29"/>
        <v>"C:\Program Files (x86)\AstroGrep\AstroGrep.exe" /spath="C:\Users\stu\Documents\Analysis\2016-02-23 RTDC Observations" /stypes="*4010*201609041*" /stext=" 19:.+((SYSTEM_STATE.+slice.+state.+changed )|(ment ac)|(system.+state.+changed )|(\|lc)|(penalty)|(\[timeout)|(PRM\|1\|D))" /e /r /s</v>
      </c>
      <c r="S205" s="176" t="str">
        <f t="shared" si="26"/>
        <v>4010</v>
      </c>
      <c r="T205" s="172">
        <f t="shared" si="27"/>
        <v>42617.803819444445</v>
      </c>
      <c r="U205" s="181" t="str">
        <f t="shared" si="30"/>
        <v>EC</v>
      </c>
      <c r="V205" s="181" t="str">
        <f t="shared" si="28"/>
        <v>KEEP</v>
      </c>
      <c r="W205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{"issue":{"subject":"","project_id":79,"tracker_id":40,"status_id":1,"priority_id":2,"assigned_to_id":23,"start_date":"2016-09-04","description":"","custom_fields":[{"id":1,"name":"Subdivision","value":"EC"},{"id":4,"name":"Milepost","value":"19.1108"},{"id":17,"name":"Train ID","value":"170-04"},{"id":16,"name":"Locomotive ID","value":"4010"},{"id":130,"name":"Impact","value":""},{"id":150,"name":"Time of Event (Mountain Time)","value":"13:17:30"},{"id":151,"name":"Denver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6" spans="1:23" x14ac:dyDescent="0.25">
      <c r="A206" s="172">
        <v>42617.312962962962</v>
      </c>
      <c r="B206" s="173" t="s">
        <v>227</v>
      </c>
      <c r="C206" s="173" t="s">
        <v>1596</v>
      </c>
      <c r="D206" s="173" t="s">
        <v>49</v>
      </c>
      <c r="E206" s="173" t="s">
        <v>56</v>
      </c>
      <c r="F206" s="174">
        <v>750</v>
      </c>
      <c r="G206" s="174">
        <v>803</v>
      </c>
      <c r="H206" s="174">
        <v>202184</v>
      </c>
      <c r="I206" s="173" t="s">
        <v>57</v>
      </c>
      <c r="J206" s="174">
        <v>200464</v>
      </c>
      <c r="K206" s="173" t="s">
        <v>53</v>
      </c>
      <c r="L206" s="175" t="str">
        <f>VLOOKUP(C206,'[9]Trips&amp;Operators'!$C$1:$E$9999,3,0)</f>
        <v>MALAVE</v>
      </c>
      <c r="M206" s="182" t="s">
        <v>86</v>
      </c>
      <c r="N206" s="177"/>
      <c r="P206" s="183" t="str">
        <f>VLOOKUP(C206,'[9]Train Runs'!$A$13:$AE$10003,31,0)</f>
        <v>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 &amp; 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</v>
      </c>
      <c r="Q206" s="184" t="str">
        <f>VLOOKUP(C206,'[9]Train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06:19:47-0600',mode:absolute,to:'2016-09-04 09:10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06" s="185" t="str">
        <f t="shared" si="29"/>
        <v>"C:\Program Files (x86)\AstroGrep\AstroGrep.exe" /spath="C:\Users\stu\Documents\Analysis\2016-02-23 RTDC Observations" /stypes="*4001*201609041*" /stext=" 13:.+((SYSTEM_STATE.+slice.+state.+changed )|(ment ac)|(system.+state.+changed )|(\|lc)|(penalty)|(\[timeout)|(PRM\|1\|D))" /e /r /s</v>
      </c>
      <c r="S206" s="176" t="str">
        <f t="shared" si="26"/>
        <v>4001</v>
      </c>
      <c r="T206" s="172">
        <f t="shared" si="27"/>
        <v>42617.562962962962</v>
      </c>
      <c r="U206" s="181" t="str">
        <f t="shared" si="30"/>
        <v>EC</v>
      </c>
      <c r="V206" s="181" t="str">
        <f t="shared" si="28"/>
        <v>KEEP</v>
      </c>
      <c r="W206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{"issue":{"subject":"","project_id":79,"tracker_id":40,"status_id":1,"priority_id":2,"assigned_to_id":23,"start_date":"2016-09-04","description":"","custom_fields":[{"id":1,"name":"Subdivision","value":"EC"},{"id":4,"name":"Milepost","value":"20.0464"},{"id":17,"name":"Train ID","value":"124-04"},{"id":16,"name":"Locomotive ID","value":"4001"},{"id":130,"name":"Impact","value":""},{"id":150,"name":"Time of Event (Mountain Time)","value":"07:30:40"},{"id":151,"name":"Denver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7" spans="1:23" x14ac:dyDescent="0.25">
      <c r="A207" s="172">
        <v>42617.312291666669</v>
      </c>
      <c r="B207" s="173" t="s">
        <v>257</v>
      </c>
      <c r="C207" s="173" t="s">
        <v>1590</v>
      </c>
      <c r="D207" s="173" t="s">
        <v>49</v>
      </c>
      <c r="E207" s="173" t="s">
        <v>56</v>
      </c>
      <c r="F207" s="174">
        <v>350</v>
      </c>
      <c r="G207" s="174">
        <v>417</v>
      </c>
      <c r="H207" s="174">
        <v>223585</v>
      </c>
      <c r="I207" s="173" t="s">
        <v>57</v>
      </c>
      <c r="J207" s="174">
        <v>224578</v>
      </c>
      <c r="K207" s="173" t="s">
        <v>52</v>
      </c>
      <c r="L207" s="175" t="str">
        <f>VLOOKUP(C207,'[9]Trips&amp;Operators'!$C$1:$E$9999,3,0)</f>
        <v>STRICKLAND</v>
      </c>
      <c r="M207" s="182" t="s">
        <v>86</v>
      </c>
      <c r="N207" s="177"/>
      <c r="P207" s="183" t="str">
        <f>VLOOKUP(C207,'[9]Train Runs'!$A$13:$AE$10003,31,0)</f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Q207" s="184" t="str">
        <f>VLOOKUP(C207,'[9]Train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05:56:29-0600',mode:absolute,to:'2016-09-04 08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07" s="185" t="str">
        <f t="shared" si="29"/>
        <v>"C:\Program Files (x86)\AstroGrep\AstroGrep.exe" /spath="C:\Users\stu\Documents\Analysis\2016-02-23 RTDC Observations" /stypes="*4025*201609041*" /stext=" 13:.+((SYSTEM_STATE.+slice.+state.+changed )|(ment ac)|(system.+state.+changed )|(\|lc)|(penalty)|(\[timeout)|(PRM\|1\|D))" /e /r /s</v>
      </c>
      <c r="S207" s="176" t="str">
        <f t="shared" si="26"/>
        <v>4025</v>
      </c>
      <c r="T207" s="172">
        <f t="shared" si="27"/>
        <v>42617.562291666669</v>
      </c>
      <c r="U207" s="181" t="str">
        <f t="shared" si="30"/>
        <v>EC</v>
      </c>
      <c r="V207" s="181" t="str">
        <f t="shared" si="28"/>
        <v>KEEP</v>
      </c>
      <c r="W207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{"issue":{"subject":"","project_id":79,"tracker_id":40,"status_id":1,"priority_id":2,"assigned_to_id":23,"start_date":"2016-09-04","description":"","custom_fields":[{"id":1,"name":"Subdivision","value":"EC"},{"id":4,"name":"Milepost","value":"22.4578"},{"id":17,"name":"Train ID","value":"125-04"},{"id":16,"name":"Locomotive ID","value":"4025"},{"id":130,"name":"Impact","value":""},{"id":150,"name":"Time of Event (Mountain Time)","value":"07:29:42"},{"id":151,"name":"Denver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8" spans="1:23" x14ac:dyDescent="0.25">
      <c r="A208" s="172">
        <v>42617.404999999999</v>
      </c>
      <c r="B208" s="173" t="s">
        <v>351</v>
      </c>
      <c r="C208" s="173" t="s">
        <v>1617</v>
      </c>
      <c r="D208" s="173" t="s">
        <v>110</v>
      </c>
      <c r="E208" s="173" t="s">
        <v>56</v>
      </c>
      <c r="F208" s="174">
        <v>150</v>
      </c>
      <c r="G208" s="174">
        <v>207</v>
      </c>
      <c r="H208" s="174">
        <v>228742</v>
      </c>
      <c r="I208" s="173" t="s">
        <v>57</v>
      </c>
      <c r="J208" s="174">
        <v>229055</v>
      </c>
      <c r="K208" s="173" t="s">
        <v>53</v>
      </c>
      <c r="L208" s="175" t="str">
        <f>VLOOKUP(C208,'[9]Trips&amp;Operators'!$C$1:$E$9999,3,0)</f>
        <v>KILLION</v>
      </c>
      <c r="M208" s="182" t="s">
        <v>86</v>
      </c>
      <c r="N208" s="177"/>
      <c r="P208" s="183" t="str">
        <f>VLOOKUP(C208,'[9]Train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208" s="184" t="str">
        <f>VLOOKUP(C208,'[9]Train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08:32:49-0600',mode:absolute,to:'2016-09-04 11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08" s="185" t="str">
        <f t="shared" si="29"/>
        <v>"C:\Program Files (x86)\AstroGrep\AstroGrep.exe" /spath="C:\Users\stu\Documents\Analysis\2016-02-23 RTDC Observations" /stypes="*4010*201609041*" /stext=" 15:.+((SYSTEM_STATE.+slice.+state.+changed )|(ment ac)|(system.+state.+changed )|(\|lc)|(penalty)|(\[timeout)|(PRM\|1\|D))" /e /r /s</v>
      </c>
      <c r="S208" s="176" t="str">
        <f t="shared" si="26"/>
        <v>4010</v>
      </c>
      <c r="T208" s="172">
        <f t="shared" si="27"/>
        <v>42617.654999999999</v>
      </c>
      <c r="U208" s="181" t="str">
        <f t="shared" si="30"/>
        <v>EC</v>
      </c>
      <c r="V208" s="181" t="str">
        <f t="shared" si="28"/>
        <v>KEEP</v>
      </c>
      <c r="W208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{"issue":{"subject":"","project_id":79,"tracker_id":40,"status_id":1,"priority_id":2,"assigned_to_id":23,"start_date":"2016-09-04","description":"","custom_fields":[{"id":1,"name":"Subdivision","value":"EC"},{"id":4,"name":"Milepost","value":"22.9055"},{"id":17,"name":"Train ID","value":"142-04"},{"id":16,"name":"Locomotive ID","value":"4010"},{"id":130,"name":"Impact","value":""},{"id":150,"name":"Time of Event (Mountain Time)","value":"09:43:12"},{"id":151,"name":"Denver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09" spans="1:23" x14ac:dyDescent="0.25">
      <c r="A209" s="172">
        <v>42617.281770833331</v>
      </c>
      <c r="B209" s="173" t="s">
        <v>257</v>
      </c>
      <c r="C209" s="173" t="s">
        <v>1590</v>
      </c>
      <c r="D209" s="173" t="s">
        <v>49</v>
      </c>
      <c r="E209" s="173" t="s">
        <v>54</v>
      </c>
      <c r="F209" s="174">
        <v>0</v>
      </c>
      <c r="G209" s="174">
        <v>147</v>
      </c>
      <c r="H209" s="174">
        <v>927</v>
      </c>
      <c r="I209" s="173" t="s">
        <v>55</v>
      </c>
      <c r="J209" s="174">
        <v>1692</v>
      </c>
      <c r="K209" s="173" t="s">
        <v>52</v>
      </c>
      <c r="L209" s="175" t="str">
        <f>VLOOKUP(C209,'[9]Trips&amp;Operators'!$C$1:$E$9999,3,0)</f>
        <v>STRICKLAND</v>
      </c>
      <c r="M209" s="182" t="s">
        <v>86</v>
      </c>
      <c r="N209" s="177" t="s">
        <v>1953</v>
      </c>
      <c r="P209" s="183" t="str">
        <f>VLOOKUP(C209,'[9]Train Runs'!$A$13:$AE$10003,31,0)</f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Q209" s="184" t="str">
        <f>VLOOKUP(C209,'[9]Train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05:56:29-0600',mode:absolute,to:'2016-09-04 08:32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09" s="185" t="str">
        <f t="shared" si="29"/>
        <v>"C:\Program Files (x86)\AstroGrep\AstroGrep.exe" /spath="C:\Users\stu\Documents\Analysis\2016-02-23 RTDC Observations" /stypes="*4025*201609041*" /stext=" 12:.+((SYSTEM_STATE.+slice.+state.+changed )|(ment ac)|(system.+state.+changed )|(\|lc)|(penalty)|(\[timeout)|(PRM\|1\|D))" /e /r /s</v>
      </c>
      <c r="S209" s="176" t="str">
        <f t="shared" si="26"/>
        <v>4025</v>
      </c>
      <c r="T209" s="172">
        <f t="shared" si="27"/>
        <v>42617.531770833331</v>
      </c>
      <c r="U209" s="181" t="str">
        <f t="shared" si="30"/>
        <v>EC</v>
      </c>
      <c r="V209" s="181" t="str">
        <f t="shared" si="28"/>
        <v>KEEP</v>
      </c>
      <c r="W209" s="186" t="str">
        <f t="shared" si="31"/>
        <v>echo {"issue":{"subject":"DUS 4N was STOP because 22N was STOP","project_id":79,"tracker_id":40,"status_id":1,"priority_id":2,"assigned_to_id":23,"start_date":"2016-09-04","description":"","custom_fields":[{"id":1,"name":"Subdivision","value":"EC"},{"id":4,"name":"Milepost","value":"0.1692"},{"id":17,"name":"Train ID","value":"125-04"},{"id":16,"name":"Locomotive ID","value":"4025"},{"id":130,"name":"Impact","value":""},{"id":150,"name":"Time of Event (Mountain Time)","value":"06:45:45"},{"id":151,"name":"Denver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0" spans="1:23" x14ac:dyDescent="0.25">
      <c r="A210" s="172">
        <v>42617.7734375</v>
      </c>
      <c r="B210" s="173" t="s">
        <v>113</v>
      </c>
      <c r="C210" s="173" t="s">
        <v>1705</v>
      </c>
      <c r="D210" s="173" t="s">
        <v>110</v>
      </c>
      <c r="E210" s="173" t="s">
        <v>54</v>
      </c>
      <c r="F210" s="174">
        <v>0</v>
      </c>
      <c r="G210" s="174">
        <v>98</v>
      </c>
      <c r="H210" s="174">
        <v>1880</v>
      </c>
      <c r="I210" s="173" t="s">
        <v>55</v>
      </c>
      <c r="J210" s="174">
        <v>1692</v>
      </c>
      <c r="K210" s="173" t="s">
        <v>52</v>
      </c>
      <c r="L210" s="175" t="str">
        <f>VLOOKUP(C210,'[9]Trips&amp;Operators'!$C$1:$E$9999,3,0)</f>
        <v>CHANDLER</v>
      </c>
      <c r="M210" s="182" t="s">
        <v>86</v>
      </c>
      <c r="N210" s="177" t="s">
        <v>1954</v>
      </c>
      <c r="P210" s="183" t="str">
        <f>VLOOKUP(C210,'[9]Train Runs'!$A$13:$AE$10003,31,0)</f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Q210" s="184" t="str">
        <f>VLOOKUP(C210,'[9]Train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17:31:49-0600',mode:absolute,to:'2016-09-04 19:33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10" s="185" t="str">
        <f t="shared" si="29"/>
        <v>"C:\Program Files (x86)\AstroGrep\AstroGrep.exe" /spath="C:\Users\stu\Documents\Analysis\2016-02-23 RTDC Observations" /stypes="*4031*201609050*" /stext=" 00:.+((SYSTEM_STATE.+slice.+state.+changed )|(ment ac)|(system.+state.+changed )|(\|lc)|(penalty)|(\[timeout)|(PRM\|1\|D))" /e /r /s</v>
      </c>
      <c r="S210" s="176" t="str">
        <f t="shared" si="26"/>
        <v>4031</v>
      </c>
      <c r="T210" s="172">
        <f t="shared" si="27"/>
        <v>42618.0234375</v>
      </c>
      <c r="U210" s="181" t="str">
        <f t="shared" si="30"/>
        <v>EC</v>
      </c>
      <c r="V210" s="181" t="str">
        <f t="shared" si="28"/>
        <v>KEEP</v>
      </c>
      <c r="W210" s="186" t="str">
        <f t="shared" si="31"/>
        <v>echo {"issue":{"subject":"Departure from DUS Main 3","project_id":79,"tracker_id":40,"status_id":1,"priority_id":2,"assigned_to_id":23,"start_date":"2016-09-04","description":"","custom_fields":[{"id":1,"name":"Subdivision","value":"EC"},{"id":4,"name":"Milepost","value":"0.1692"},{"id":17,"name":"Train ID","value":"219-04"},{"id":16,"name":"Locomotive ID","value":"4031"},{"id":130,"name":"Impact","value":""},{"id":150,"name":"Time of Event (Mountain Time)","value":"18:33:45"},{"id":151,"name":"Denver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1" spans="1:23" x14ac:dyDescent="0.25">
      <c r="A211" s="172">
        <v>42617.386608796296</v>
      </c>
      <c r="B211" s="173" t="s">
        <v>139</v>
      </c>
      <c r="C211" s="173" t="s">
        <v>707</v>
      </c>
      <c r="D211" s="173" t="s">
        <v>49</v>
      </c>
      <c r="E211" s="173" t="s">
        <v>54</v>
      </c>
      <c r="F211" s="174">
        <v>0</v>
      </c>
      <c r="G211" s="174">
        <v>618</v>
      </c>
      <c r="H211" s="174">
        <v>98343</v>
      </c>
      <c r="I211" s="173" t="s">
        <v>55</v>
      </c>
      <c r="J211" s="174">
        <v>95986</v>
      </c>
      <c r="K211" s="173" t="s">
        <v>53</v>
      </c>
      <c r="L211" s="175" t="str">
        <f>VLOOKUP(C211,'[9]Trips&amp;Operators'!$C$1:$E$9999,3,0)</f>
        <v>DAVIS</v>
      </c>
      <c r="M211" s="182" t="s">
        <v>243</v>
      </c>
      <c r="N211" s="177" t="s">
        <v>337</v>
      </c>
      <c r="P211" s="183" t="str">
        <f>VLOOKUP(C211,'[9]Train Runs'!$A$13:$AE$10003,31,0)</f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Q211" s="184" t="str">
        <f>VLOOKUP(C211,'[9]Train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07:48:50-0600',mode:absolute,to:'2016-09-04 10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11" s="185" t="str">
        <f t="shared" si="29"/>
        <v>"C:\Program Files (x86)\AstroGrep\AstroGrep.exe" /spath="C:\Users\stu\Documents\Analysis\2016-02-23 RTDC Observations" /stypes="*4037*201609041*" /stext=" 15:.+((SYSTEM_STATE.+slice.+state.+changed )|(ment ac)|(system.+state.+changed )|(\|lc)|(penalty)|(\[timeout)|(PRM\|1\|D))" /e /r /s</v>
      </c>
      <c r="S211" s="176" t="str">
        <f t="shared" si="26"/>
        <v>4037</v>
      </c>
      <c r="T211" s="172">
        <f t="shared" si="27"/>
        <v>42617.636608796296</v>
      </c>
      <c r="U211" s="181" t="str">
        <f t="shared" si="30"/>
        <v>EC</v>
      </c>
      <c r="V211" s="181" t="str">
        <f t="shared" si="28"/>
        <v>KEEP</v>
      </c>
      <c r="W211" s="186" t="str">
        <f t="shared" si="31"/>
        <v>echo {"issue":{"subject":"Wi-MAX outage","project_id":79,"tracker_id":40,"status_id":1,"priority_id":2,"assigned_to_id":23,"start_date":"2016-09-04","description":"","custom_fields":[{"id":1,"name":"Subdivision","value":"EC"},{"id":4,"name":"Milepost","value":"9.5986"},{"id":17,"name":"Train ID","value":"136-04"},{"id":16,"name":"Locomotive ID","value":"4037"},{"id":130,"name":"Impact","value":""},{"id":150,"name":"Time of Event (Mountain Time)","value":"09:16:43"},{"id":151,"name":"Denver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2" spans="1:23" x14ac:dyDescent="0.25">
      <c r="A212" s="172">
        <v>42617.574745370373</v>
      </c>
      <c r="B212" s="173" t="s">
        <v>746</v>
      </c>
      <c r="C212" s="173" t="s">
        <v>1652</v>
      </c>
      <c r="D212" s="173" t="s">
        <v>49</v>
      </c>
      <c r="E212" s="173" t="s">
        <v>54</v>
      </c>
      <c r="F212" s="174">
        <v>0</v>
      </c>
      <c r="G212" s="174">
        <v>132</v>
      </c>
      <c r="H212" s="174">
        <v>128012</v>
      </c>
      <c r="I212" s="173" t="s">
        <v>55</v>
      </c>
      <c r="J212" s="174">
        <v>127587</v>
      </c>
      <c r="K212" s="173" t="s">
        <v>53</v>
      </c>
      <c r="L212" s="175" t="str">
        <f>VLOOKUP(C212,'[9]Trips&amp;Operators'!$C$1:$E$9999,3,0)</f>
        <v>SHOOK</v>
      </c>
      <c r="M212" s="182" t="s">
        <v>86</v>
      </c>
      <c r="N212" s="177" t="s">
        <v>1943</v>
      </c>
      <c r="P212" s="183" t="str">
        <f>VLOOKUP(C212,'[9]Train Runs'!$A$13:$AE$10003,31,0)</f>
        <v>aws s3 cp s3://rtdc.mdm.uploadarchive/RTDC4015/2016-09-04/ "%USERPROFILE%\AppData\Local\Temp\OnboardLogs"\RTDC4015\2016-09-04 --recursive &amp; "%USERPROFILE%\Documents\GitHub\mrs-test-scripts\Headless Mode &amp; Sideloading\WalkAndUnGZ.bat" "%USERPROFILE%\AppData\Local\Temp\OnboardLogs"\RTDC4015\2016-09-04 &amp; aws s3 cp s3://rtdc.mdm.uploadarchive/RTDC4015/2016-09-05/ "%USERPROFILE%\AppData\Local\Temp\OnboardLogs"\RTDC4015\2016-09-05 --recursive &amp; "%USERPROFILE%\Documents\GitHub\mrs-test-scripts\Headless Mode &amp; Sideloading\WalkAndUnGZ.bat" "%USERPROFILE%\AppData\Local\Temp\OnboardLogs"\RTDC4015\2016-09-05</v>
      </c>
      <c r="Q212" s="184" t="str">
        <f>VLOOKUP(C212,'[9]Train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12:20:50-0600',mode:absolute,to:'2016-09-04 15:12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R212" s="185" t="str">
        <f t="shared" si="29"/>
        <v>"C:\Program Files (x86)\AstroGrep\AstroGrep.exe" /spath="C:\Users\stu\Documents\Analysis\2016-02-23 RTDC Observations" /stypes="*4015*201609041*" /stext=" 19:.+((SYSTEM_STATE.+slice.+state.+changed )|(ment ac)|(system.+state.+changed )|(\|lc)|(penalty)|(\[timeout)|(PRM\|1\|D))" /e /r /s</v>
      </c>
      <c r="S212" s="176" t="str">
        <f t="shared" si="26"/>
        <v>4015</v>
      </c>
      <c r="T212" s="172">
        <f t="shared" si="27"/>
        <v>42617.824745370373</v>
      </c>
      <c r="U212" s="181" t="str">
        <f t="shared" si="30"/>
        <v>EC</v>
      </c>
      <c r="V212" s="181" t="str">
        <f t="shared" si="28"/>
        <v>KEEP</v>
      </c>
      <c r="W212" s="186" t="str">
        <f t="shared" si="31"/>
        <v>echo {"issue":{"subject":"40th 4S STOP, cleared shortly","project_id":79,"tracker_id":40,"status_id":1,"priority_id":2,"assigned_to_id":23,"start_date":"2016-09-04","description":"","custom_fields":[{"id":1,"name":"Subdivision","value":"EC"},{"id":4,"name":"Milepost","value":"12.7587"},{"id":17,"name":"Train ID","value":"172-04"},{"id":16,"name":"Locomotive ID","value":"4015"},{"id":130,"name":"Impact","value":""},{"id":150,"name":"Time of Event (Mountain Time)","value":"13:47:38"},{"id":151,"name":"Denver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3" spans="1:23" x14ac:dyDescent="0.25">
      <c r="A213" s="172">
        <v>42617.599965277775</v>
      </c>
      <c r="B213" s="173" t="s">
        <v>139</v>
      </c>
      <c r="C213" s="173" t="s">
        <v>1659</v>
      </c>
      <c r="D213" s="173" t="s">
        <v>49</v>
      </c>
      <c r="E213" s="173" t="s">
        <v>54</v>
      </c>
      <c r="F213" s="174">
        <v>0</v>
      </c>
      <c r="G213" s="174">
        <v>362</v>
      </c>
      <c r="H213" s="174">
        <v>128960</v>
      </c>
      <c r="I213" s="173" t="s">
        <v>55</v>
      </c>
      <c r="J213" s="174">
        <v>127587</v>
      </c>
      <c r="K213" s="173" t="s">
        <v>53</v>
      </c>
      <c r="L213" s="175" t="str">
        <f>VLOOKUP(C213,'[9]Trips&amp;Operators'!$C$1:$E$9999,3,0)</f>
        <v>BRUDER</v>
      </c>
      <c r="M213" s="182" t="s">
        <v>86</v>
      </c>
      <c r="N213" s="177" t="s">
        <v>1943</v>
      </c>
      <c r="P213" s="183" t="str">
        <f>VLOOKUP(C213,'[9]Train Runs'!$A$13:$AE$10003,31,0)</f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Q213" s="184" t="str">
        <f>VLOOKUP(C213,'[9]Train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13:05:53-0600',mode:absolute,to:'2016-09-04 15:49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13" s="185" t="str">
        <f t="shared" si="29"/>
        <v>"C:\Program Files (x86)\AstroGrep\AstroGrep.exe" /spath="C:\Users\stu\Documents\Analysis\2016-02-23 RTDC Observations" /stypes="*4037*201609042*" /stext=" 20:.+((SYSTEM_STATE.+slice.+state.+changed )|(ment ac)|(system.+state.+changed )|(\|lc)|(penalty)|(\[timeout)|(PRM\|1\|D))" /e /r /s</v>
      </c>
      <c r="S213" s="176" t="str">
        <f t="shared" si="26"/>
        <v>4037</v>
      </c>
      <c r="T213" s="172">
        <f t="shared" si="27"/>
        <v>42617.849965277775</v>
      </c>
      <c r="U213" s="181" t="str">
        <f t="shared" si="30"/>
        <v>EC</v>
      </c>
      <c r="V213" s="181" t="str">
        <f t="shared" si="28"/>
        <v>KEEP</v>
      </c>
      <c r="W213" s="186" t="str">
        <f t="shared" si="31"/>
        <v>echo {"issue":{"subject":"40th 4S STOP, cleared shortly","project_id":79,"tracker_id":40,"status_id":1,"priority_id":2,"assigned_to_id":23,"start_date":"2016-09-04","description":"","custom_fields":[{"id":1,"name":"Subdivision","value":"EC"},{"id":4,"name":"Milepost","value":"12.7587"},{"id":17,"name":"Train ID","value":"178-04"},{"id":16,"name":"Locomotive ID","value":"4037"},{"id":130,"name":"Impact","value":""},{"id":150,"name":"Time of Event (Mountain Time)","value":"14:23:57"},{"id":151,"name":"Denver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4" spans="1:23" x14ac:dyDescent="0.25">
      <c r="A214" s="172">
        <v>42617.696689814817</v>
      </c>
      <c r="B214" s="173" t="s">
        <v>113</v>
      </c>
      <c r="C214" s="173" t="s">
        <v>1680</v>
      </c>
      <c r="D214" s="173" t="s">
        <v>49</v>
      </c>
      <c r="E214" s="173" t="s">
        <v>54</v>
      </c>
      <c r="F214" s="174">
        <v>0</v>
      </c>
      <c r="G214" s="174">
        <v>137</v>
      </c>
      <c r="H214" s="174">
        <v>154765</v>
      </c>
      <c r="I214" s="173" t="s">
        <v>55</v>
      </c>
      <c r="J214" s="174">
        <v>155600</v>
      </c>
      <c r="K214" s="173" t="s">
        <v>52</v>
      </c>
      <c r="L214" s="175" t="str">
        <f>VLOOKUP(C214,'[9]Trips&amp;Operators'!$C$1:$E$9999,3,0)</f>
        <v>STEWART</v>
      </c>
      <c r="M214" s="182" t="s">
        <v>243</v>
      </c>
      <c r="N214" s="177" t="s">
        <v>1955</v>
      </c>
      <c r="P214" s="183" t="str">
        <f>VLOOKUP(C214,'[9]Train Runs'!$A$13:$AE$10003,31,0)</f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Q214" s="184" t="str">
        <f>VLOOKUP(C214,'[9]Train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15:08:13-0600',mode:absolute,to:'2016-09-04 17:42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14" s="185" t="str">
        <f t="shared" si="29"/>
        <v>"C:\Program Files (x86)\AstroGrep\AstroGrep.exe" /spath="C:\Users\stu\Documents\Analysis\2016-02-23 RTDC Observations" /stypes="*4031*201609042*" /stext=" 22:.+((SYSTEM_STATE.+slice.+state.+changed )|(ment ac)|(system.+state.+changed )|(\|lc)|(penalty)|(\[timeout)|(PRM\|1\|D))" /e /r /s</v>
      </c>
      <c r="S214" s="176" t="str">
        <f t="shared" si="26"/>
        <v>4031</v>
      </c>
      <c r="T214" s="172">
        <f t="shared" si="27"/>
        <v>42617.946689814817</v>
      </c>
      <c r="U214" s="181" t="str">
        <f t="shared" si="30"/>
        <v>EC</v>
      </c>
      <c r="V214" s="181" t="str">
        <f t="shared" si="28"/>
        <v>KEEP</v>
      </c>
      <c r="W214" s="186" t="str">
        <f t="shared" si="31"/>
        <v>echo {"issue":{"subject":"Power outage across EC","project_id":79,"tracker_id":40,"status_id":1,"priority_id":2,"assigned_to_id":23,"start_date":"2016-09-04","description":"","custom_fields":[{"id":1,"name":"Subdivision","value":"EC"},{"id":4,"name":"Milepost","value":"15.56"},{"id":17,"name":"Train ID","value":"201-04"},{"id":16,"name":"Locomotive ID","value":"4031"},{"id":130,"name":"Impact","value":""},{"id":150,"name":"Time of Event (Mountain Time)","value":"16:43:14"},{"id":151,"name":"Denver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5" spans="1:23" x14ac:dyDescent="0.25">
      <c r="A215" s="172">
        <v>42617.736574074072</v>
      </c>
      <c r="B215" s="173" t="s">
        <v>154</v>
      </c>
      <c r="C215" s="173" t="s">
        <v>1688</v>
      </c>
      <c r="D215" s="173" t="s">
        <v>110</v>
      </c>
      <c r="E215" s="173" t="s">
        <v>54</v>
      </c>
      <c r="F215" s="174">
        <v>0</v>
      </c>
      <c r="G215" s="174">
        <v>566</v>
      </c>
      <c r="H215" s="174">
        <v>191293</v>
      </c>
      <c r="I215" s="173" t="s">
        <v>55</v>
      </c>
      <c r="J215" s="174">
        <v>190738</v>
      </c>
      <c r="K215" s="173" t="s">
        <v>52</v>
      </c>
      <c r="L215" s="175" t="str">
        <f>VLOOKUP(C215,'[9]Trips&amp;Operators'!$C$1:$E$9999,3,0)</f>
        <v>MOSES</v>
      </c>
      <c r="M215" s="182" t="s">
        <v>243</v>
      </c>
      <c r="N215" s="177" t="s">
        <v>1956</v>
      </c>
      <c r="P215" s="183" t="str">
        <f>VLOOKUP(C215,'[9]Train Runs'!$A$13:$AE$10003,31,0)</f>
        <v>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 &amp; aws s3 cp s3://rtdc.mdm.uploadarchive/RTDC4002/2016-09-05/ "%USERPROFILE%\AppData\Local\Temp\OnboardLogs"\RTDC4002\2016-09-05 --recursive &amp; "%USERPROFILE%\Documents\GitHub\mrs-test-scripts\Headless Mode &amp; Sideloading\WalkAndUnGZ.bat" "%USERPROFILE%\AppData\Local\Temp\OnboardLogs"\RTDC4002\2016-09-05</v>
      </c>
      <c r="Q215" s="184" t="str">
        <f>VLOOKUP(C215,'[9]Train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15:59:54-0600',mode:absolute,to:'2016-09-04 18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215" s="185" t="str">
        <f t="shared" si="29"/>
        <v>"C:\Program Files (x86)\AstroGrep\AstroGrep.exe" /spath="C:\Users\stu\Documents\Analysis\2016-02-23 RTDC Observations" /stypes="*4002*201609042*" /stext=" 23:.+((SYSTEM_STATE.+slice.+state.+changed )|(ment ac)|(system.+state.+changed )|(\|lc)|(penalty)|(\[timeout)|(PRM\|1\|D))" /e /r /s</v>
      </c>
      <c r="S215" s="176" t="str">
        <f t="shared" si="26"/>
        <v>4002</v>
      </c>
      <c r="T215" s="172">
        <f t="shared" si="27"/>
        <v>42617.986574074072</v>
      </c>
      <c r="U215" s="181" t="str">
        <f t="shared" si="30"/>
        <v>EC</v>
      </c>
      <c r="V215" s="181" t="str">
        <f t="shared" si="28"/>
        <v>KEEP</v>
      </c>
      <c r="W215" s="186" t="str">
        <f t="shared" si="31"/>
        <v>echo {"issue":{"subject":"Pena 2N premature downgrade","project_id":79,"tracker_id":40,"status_id":1,"priority_id":2,"assigned_to_id":23,"start_date":"2016-09-04","description":"","custom_fields":[{"id":1,"name":"Subdivision","value":"EC"},{"id":4,"name":"Milepost","value":"19.0738"},{"id":17,"name":"Train ID","value":"207-04"},{"id":16,"name":"Locomotive ID","value":"4002"},{"id":130,"name":"Impact","value":""},{"id":150,"name":"Time of Event (Mountain Time)","value":"17:40:40"},{"id":151,"name":"Denver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6" spans="1:23" x14ac:dyDescent="0.25">
      <c r="A216" s="172">
        <v>42617.233101851853</v>
      </c>
      <c r="B216" s="173" t="s">
        <v>257</v>
      </c>
      <c r="C216" s="173" t="s">
        <v>1575</v>
      </c>
      <c r="D216" s="173" t="s">
        <v>49</v>
      </c>
      <c r="E216" s="173" t="s">
        <v>54</v>
      </c>
      <c r="F216" s="174">
        <v>0</v>
      </c>
      <c r="G216" s="174">
        <v>774</v>
      </c>
      <c r="H216" s="174">
        <v>210461</v>
      </c>
      <c r="I216" s="173" t="s">
        <v>55</v>
      </c>
      <c r="J216" s="174">
        <v>210929</v>
      </c>
      <c r="K216" s="173" t="s">
        <v>52</v>
      </c>
      <c r="L216" s="175" t="str">
        <f>VLOOKUP(C216,'[9]Trips&amp;Operators'!$C$1:$E$9999,3,0)</f>
        <v>STRICKLAND</v>
      </c>
      <c r="M216" s="182" t="s">
        <v>243</v>
      </c>
      <c r="N216" s="177" t="s">
        <v>1957</v>
      </c>
      <c r="P216" s="183" t="str">
        <f>VLOOKUP(C216,'[9]Train Runs'!$A$13:$AE$10003,31,0)</f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Q216" s="184" t="str">
        <f>VLOOKUP(C216,'[9]Train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03:53:06-0600',mode:absolute,to:'2016-09-04 06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16" s="185" t="str">
        <f t="shared" si="29"/>
        <v>"C:\Program Files (x86)\AstroGrep\AstroGrep.exe" /spath="C:\Users\stu\Documents\Analysis\2016-02-23 RTDC Observations" /stypes="*4025*201609041*" /stext=" 11:.+((SYSTEM_STATE.+slice.+state.+changed )|(ment ac)|(system.+state.+changed )|(\|lc)|(penalty)|(\[timeout)|(PRM\|1\|D))" /e /r /s</v>
      </c>
      <c r="S216" s="176" t="str">
        <f t="shared" si="26"/>
        <v>4025</v>
      </c>
      <c r="T216" s="172">
        <f t="shared" si="27"/>
        <v>42617.483101851853</v>
      </c>
      <c r="U216" s="181" t="str">
        <f t="shared" si="30"/>
        <v>EC</v>
      </c>
      <c r="V216" s="181" t="str">
        <f t="shared" si="28"/>
        <v>KEEP</v>
      </c>
      <c r="W216" s="186" t="str">
        <f t="shared" si="31"/>
        <v>echo {"issue":{"subject":"Premature downgrade at EC2108RH 205-1T 1N","project_id":79,"tracker_id":40,"status_id":1,"priority_id":2,"assigned_to_id":23,"start_date":"2016-09-04","description":"","custom_fields":[{"id":1,"name":"Subdivision","value":"EC"},{"id":4,"name":"Milepost","value":"21.0929"},{"id":17,"name":"Train ID","value":"111-04"},{"id":16,"name":"Locomotive ID","value":"4025"},{"id":130,"name":"Impact","value":""},{"id":150,"name":"Time of Event (Mountain Time)","value":"05:35:40"},{"id":151,"name":"Denver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7" spans="1:23" x14ac:dyDescent="0.25">
      <c r="A217" s="172">
        <v>42617.233668981484</v>
      </c>
      <c r="B217" s="173" t="s">
        <v>257</v>
      </c>
      <c r="C217" s="173" t="s">
        <v>1575</v>
      </c>
      <c r="D217" s="173" t="s">
        <v>110</v>
      </c>
      <c r="E217" s="173" t="s">
        <v>54</v>
      </c>
      <c r="F217" s="174">
        <v>200</v>
      </c>
      <c r="G217" s="174">
        <v>250</v>
      </c>
      <c r="H217" s="174">
        <v>214851</v>
      </c>
      <c r="I217" s="173" t="s">
        <v>55</v>
      </c>
      <c r="J217" s="174">
        <v>210929</v>
      </c>
      <c r="K217" s="173" t="s">
        <v>52</v>
      </c>
      <c r="L217" s="175" t="str">
        <f>VLOOKUP(C217,'[9]Trips&amp;Operators'!$C$1:$E$9999,3,0)</f>
        <v>STRICKLAND</v>
      </c>
      <c r="M217" s="182" t="s">
        <v>86</v>
      </c>
      <c r="N217" s="177" t="s">
        <v>1947</v>
      </c>
      <c r="P217" s="183" t="str">
        <f>VLOOKUP(C217,'[9]Train Runs'!$A$13:$AE$10003,31,0)</f>
        <v>aws s3 cp s3://rtdc.mdm.uploadarchive/RTDC4025/2016-09-04/ "%USERPROFILE%\AppData\Local\Temp\OnboardLogs"\RTDC4025\2016-09-04 --recursive &amp; "%USERPROFILE%\Documents\GitHub\mrs-test-scripts\Headless Mode &amp; Sideloading\WalkAndUnGZ.bat" "%USERPROFILE%\AppData\Local\Temp\OnboardLogs"\RTDC4025\2016-09-04 &amp; 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</v>
      </c>
      <c r="Q217" s="184" t="str">
        <f>VLOOKUP(C217,'[9]Train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03:53:06-0600',mode:absolute,to:'2016-09-04 06:41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17" s="185" t="str">
        <f t="shared" si="29"/>
        <v>"C:\Program Files (x86)\AstroGrep\AstroGrep.exe" /spath="C:\Users\stu\Documents\Analysis\2016-02-23 RTDC Observations" /stypes="*4025*201609041*" /stext=" 11:.+((SYSTEM_STATE.+slice.+state.+changed )|(ment ac)|(system.+state.+changed )|(\|lc)|(penalty)|(\[timeout)|(PRM\|1\|D))" /e /r /s</v>
      </c>
      <c r="S217" s="176" t="str">
        <f t="shared" si="26"/>
        <v>4025</v>
      </c>
      <c r="T217" s="172">
        <f t="shared" si="27"/>
        <v>42617.483668981484</v>
      </c>
      <c r="U217" s="181" t="str">
        <f t="shared" si="30"/>
        <v>EC</v>
      </c>
      <c r="V217" s="181" t="str">
        <f t="shared" si="28"/>
        <v>KEEP</v>
      </c>
      <c r="W217" s="186" t="str">
        <f t="shared" si="31"/>
        <v>echo {"issue":{"subject":"Overspeed","project_id":79,"tracker_id":40,"status_id":1,"priority_id":2,"assigned_to_id":23,"start_date":"2016-09-04","description":"","custom_fields":[{"id":1,"name":"Subdivision","value":"EC"},{"id":4,"name":"Milepost","value":"21.0929"},{"id":17,"name":"Train ID","value":"111-04"},{"id":16,"name":"Locomotive ID","value":"4025"},{"id":130,"name":"Impact","value":""},{"id":150,"name":"Time of Event (Mountain Time)","value":"05:36:29"},{"id":151,"name":"Denver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8" spans="1:23" x14ac:dyDescent="0.25">
      <c r="A218" s="172">
        <v>42617.766909722224</v>
      </c>
      <c r="B218" s="173" t="s">
        <v>139</v>
      </c>
      <c r="C218" s="173" t="s">
        <v>1695</v>
      </c>
      <c r="D218" s="173" t="s">
        <v>110</v>
      </c>
      <c r="E218" s="173" t="s">
        <v>333</v>
      </c>
      <c r="F218" s="174">
        <v>0</v>
      </c>
      <c r="G218" s="174">
        <v>162</v>
      </c>
      <c r="H218" s="174">
        <v>3529</v>
      </c>
      <c r="I218" s="173" t="s">
        <v>334</v>
      </c>
      <c r="J218" s="174">
        <v>3549</v>
      </c>
      <c r="K218" s="173" t="s">
        <v>53</v>
      </c>
      <c r="L218" s="175" t="str">
        <f>VLOOKUP(C218,'[9]Trips&amp;Operators'!$C$1:$E$9999,3,0)</f>
        <v>BRUDER</v>
      </c>
      <c r="M218" s="182" t="s">
        <v>243</v>
      </c>
      <c r="N218" s="177" t="s">
        <v>337</v>
      </c>
      <c r="P218" s="183" t="str">
        <f>VLOOKUP(C218,'[9]Train Runs'!$A$13:$AE$10003,31,0)</f>
        <v>aws s3 cp s3://rtdc.mdm.uploadarchive/RTDC4037/2016-09-04/ "%USERPROFILE%\AppData\Local\Temp\OnboardLogs"\RTDC4037\2016-09-04 --recursive &amp; "%USERPROFILE%\Documents\GitHub\mrs-test-scripts\Headless Mode &amp; Sideloading\WalkAndUnGZ.bat" "%USERPROFILE%\AppData\Local\Temp\OnboardLogs"\RTDC4037\2016-09-04 &amp; 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</v>
      </c>
      <c r="Q218" s="184" t="str">
        <f>VLOOKUP(C218,'[9]Train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16:34:02-0600',mode:absolute,to:'2016-09-04 19:26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18" s="185" t="str">
        <f t="shared" si="29"/>
        <v>"C:\Program Files (x86)\AstroGrep\AstroGrep.exe" /spath="C:\Users\stu\Documents\Analysis\2016-02-23 RTDC Observations" /stypes="*4037*201609050*" /stext=" 00:.+((SYSTEM_STATE.+slice.+state.+changed )|(ment ac)|(system.+state.+changed )|(\|lc)|(penalty)|(\[timeout)|(PRM\|1\|D))" /e /r /s</v>
      </c>
      <c r="S218" s="176" t="str">
        <f t="shared" si="26"/>
        <v>4037</v>
      </c>
      <c r="T218" s="172">
        <f t="shared" si="27"/>
        <v>42618.016909722224</v>
      </c>
      <c r="U218" s="181" t="str">
        <f t="shared" si="30"/>
        <v>EC</v>
      </c>
      <c r="V218" s="181" t="str">
        <f t="shared" si="28"/>
        <v>KEEP</v>
      </c>
      <c r="W218" s="186" t="str">
        <f t="shared" si="31"/>
        <v>echo {"issue":{"subject":"Wi-MAX outage","project_id":79,"tracker_id":40,"status_id":1,"priority_id":2,"assigned_to_id":23,"start_date":"2016-09-04","description":"","custom_fields":[{"id":1,"name":"Subdivision","value":"EC"},{"id":4,"name":"Milepost","value":"0.3549"},{"id":17,"name":"Train ID","value":"206-04"},{"id":16,"name":"Locomotive ID","value":"4037"},{"id":130,"name":"Impact","value":""},{"id":150,"name":"Time of Event (Mountain Time)","value":"18:24:21"},{"id":151,"name":"Denver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19" spans="1:23" x14ac:dyDescent="0.25">
      <c r="A219" s="172">
        <v>42618.051087962966</v>
      </c>
      <c r="B219" s="173" t="s">
        <v>245</v>
      </c>
      <c r="C219" s="173" t="s">
        <v>1743</v>
      </c>
      <c r="D219" s="173" t="s">
        <v>49</v>
      </c>
      <c r="E219" s="173" t="s">
        <v>333</v>
      </c>
      <c r="F219" s="174">
        <v>0</v>
      </c>
      <c r="G219" s="174">
        <v>505</v>
      </c>
      <c r="H219" s="174">
        <v>107232</v>
      </c>
      <c r="I219" s="173" t="s">
        <v>334</v>
      </c>
      <c r="J219" s="174">
        <v>104776</v>
      </c>
      <c r="K219" s="173" t="s">
        <v>53</v>
      </c>
      <c r="L219" s="175" t="str">
        <f>VLOOKUP(C219,'[9]Trips&amp;Operators'!$C$1:$E$9999,3,0)</f>
        <v>NEWELL</v>
      </c>
      <c r="M219" s="182" t="s">
        <v>243</v>
      </c>
      <c r="N219" s="177" t="s">
        <v>337</v>
      </c>
      <c r="P219" s="183" t="str">
        <f>VLOOKUP(C219,'[9]Train Runs'!$A$13:$AE$10003,31,0)</f>
        <v>aws s3 cp s3://rtdc.mdm.uploadarchive/RTDC4017/2016-09-05/ "%USERPROFILE%\AppData\Local\Temp\OnboardLogs"\RTDC4017\2016-09-05 --recursive &amp; "%USERPROFILE%\Documents\GitHub\mrs-test-scripts\Headless Mode &amp; Sideloading\WalkAndUnGZ.bat" "%USERPROFILE%\AppData\Local\Temp\OnboardLogs"\RTDC4017\2016-09-05 &amp; aws s3 cp s3://rtdc.mdm.uploadarchive/RTDC4017/2016-09-06/ "%USERPROFILE%\AppData\Local\Temp\OnboardLogs"\RTDC4017\2016-09-06 --recursive &amp; "%USERPROFILE%\Documents\GitHub\mrs-test-scripts\Headless Mode &amp; Sideloading\WalkAndUnGZ.bat" "%USERPROFILE%\AppData\Local\Temp\OnboardLogs"\RTDC4017\2016-09-06</v>
      </c>
      <c r="Q219" s="184" t="str">
        <f>VLOOKUP(C219,'[9]Train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23:52:21-0600',mode:absolute,to:'2016-09-05 02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219" s="185" t="str">
        <f t="shared" si="29"/>
        <v>"C:\Program Files (x86)\AstroGrep\AstroGrep.exe" /spath="C:\Users\stu\Documents\Analysis\2016-02-23 RTDC Observations" /stypes="*4017*201609050*" /stext=" 07:.+((SYSTEM_STATE.+slice.+state.+changed )|(ment ac)|(system.+state.+changed )|(\|lc)|(penalty)|(\[timeout)|(PRM\|1\|D))" /e /r /s</v>
      </c>
      <c r="S219" s="176" t="str">
        <f t="shared" si="26"/>
        <v>4017</v>
      </c>
      <c r="T219" s="172">
        <f t="shared" si="27"/>
        <v>42618.301087962966</v>
      </c>
      <c r="U219" s="181" t="str">
        <f t="shared" si="30"/>
        <v>EC</v>
      </c>
      <c r="V219" s="181" t="str">
        <f t="shared" si="28"/>
        <v>KEEP</v>
      </c>
      <c r="W219" s="186" t="str">
        <f t="shared" si="31"/>
        <v>echo {"issue":{"subject":"Wi-MAX outage","project_id":79,"tracker_id":40,"status_id":1,"priority_id":2,"assigned_to_id":23,"start_date":"2016-09-05","description":"","custom_fields":[{"id":1,"name":"Subdivision","value":"EC"},{"id":4,"name":"Milepost","value":"10.4776"},{"id":17,"name":"Train ID","value":"242-04"},{"id":16,"name":"Locomotive ID","value":"4017"},{"id":130,"name":"Impact","value":""},{"id":150,"name":"Time of Event (Mountain Time)","value":"01:13:34"},{"id":151,"name":"Denver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0" spans="1:23" x14ac:dyDescent="0.25">
      <c r="A220" s="172">
        <v>42617.222939814812</v>
      </c>
      <c r="B220" s="173" t="s">
        <v>114</v>
      </c>
      <c r="C220" s="173" t="s">
        <v>1574</v>
      </c>
      <c r="D220" s="173" t="s">
        <v>49</v>
      </c>
      <c r="E220" s="173" t="s">
        <v>50</v>
      </c>
      <c r="F220" s="174">
        <v>0</v>
      </c>
      <c r="G220" s="174">
        <v>69</v>
      </c>
      <c r="H220" s="174">
        <v>269</v>
      </c>
      <c r="I220" s="173" t="s">
        <v>51</v>
      </c>
      <c r="J220" s="174">
        <v>1</v>
      </c>
      <c r="K220" s="173" t="s">
        <v>53</v>
      </c>
      <c r="L220" s="175" t="str">
        <f>VLOOKUP(C220,'[9]Trips&amp;Operators'!$C$1:$E$9999,3,0)</f>
        <v>ACKERMAN</v>
      </c>
      <c r="M220" s="182" t="s">
        <v>86</v>
      </c>
      <c r="N220" s="177"/>
      <c r="P220" s="183" t="str">
        <f>VLOOKUP(C220,'[9]Train Runs'!$A$13:$AE$10003,31,0)</f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Q220" s="184" t="str">
        <f>VLOOKUP(C220,'[9]Train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03:33:00-0600',mode:absolute,to:'2016-09-04 06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220" s="185" t="str">
        <f t="shared" si="29"/>
        <v>"C:\Program Files (x86)\AstroGrep\AstroGrep.exe" /spath="C:\Users\stu\Documents\Analysis\2016-02-23 RTDC Observations" /stypes="*4032*201609041*" /stext=" 11:.+((SYSTEM_STATE.+slice.+state.+changed )|(ment ac)|(system.+state.+changed )|(\|lc)|(penalty)|(\[timeout)|(PRM\|1\|D))" /e /r /s</v>
      </c>
      <c r="S220" s="176" t="str">
        <f t="shared" si="26"/>
        <v>4032</v>
      </c>
      <c r="T220" s="172">
        <f t="shared" si="27"/>
        <v>42617.472939814812</v>
      </c>
      <c r="U220" s="181" t="str">
        <f t="shared" si="30"/>
        <v>EC</v>
      </c>
      <c r="V220" s="181" t="str">
        <f t="shared" si="28"/>
        <v>KEEP</v>
      </c>
      <c r="W220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ID","value":"104-04"},{"id":16,"name":"Locomotive ID","value":"4032"},{"id":130,"name":"Impact","value":""},{"id":150,"name":"Time of Event (Mountain Time)","value":"05:21:02"},{"id":151,"name":"Denver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1" spans="1:23" x14ac:dyDescent="0.25">
      <c r="A221" s="172">
        <v>42617.223321759258</v>
      </c>
      <c r="B221" s="173" t="s">
        <v>114</v>
      </c>
      <c r="C221" s="173" t="s">
        <v>1574</v>
      </c>
      <c r="D221" s="173" t="s">
        <v>49</v>
      </c>
      <c r="E221" s="173" t="s">
        <v>50</v>
      </c>
      <c r="F221" s="174">
        <v>0</v>
      </c>
      <c r="G221" s="174">
        <v>48</v>
      </c>
      <c r="H221" s="174">
        <v>136</v>
      </c>
      <c r="I221" s="173" t="s">
        <v>51</v>
      </c>
      <c r="J221" s="174">
        <v>1</v>
      </c>
      <c r="K221" s="173" t="s">
        <v>53</v>
      </c>
      <c r="L221" s="175" t="str">
        <f>VLOOKUP(C221,'[9]Trips&amp;Operators'!$C$1:$E$9999,3,0)</f>
        <v>ACKERMAN</v>
      </c>
      <c r="M221" s="182" t="s">
        <v>86</v>
      </c>
      <c r="N221" s="177"/>
      <c r="P221" s="183" t="str">
        <f>VLOOKUP(C221,'[9]Train Runs'!$A$13:$AE$10003,31,0)</f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Q221" s="184" t="str">
        <f>VLOOKUP(C221,'[9]Train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03:33:00-0600',mode:absolute,to:'2016-09-04 06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221" s="185" t="str">
        <f t="shared" si="29"/>
        <v>"C:\Program Files (x86)\AstroGrep\AstroGrep.exe" /spath="C:\Users\stu\Documents\Analysis\2016-02-23 RTDC Observations" /stypes="*4032*201609041*" /stext=" 11:.+((SYSTEM_STATE.+slice.+state.+changed )|(ment ac)|(system.+state.+changed )|(\|lc)|(penalty)|(\[timeout)|(PRM\|1\|D))" /e /r /s</v>
      </c>
      <c r="S221" s="176" t="str">
        <f t="shared" si="26"/>
        <v>4032</v>
      </c>
      <c r="T221" s="172">
        <f t="shared" si="27"/>
        <v>42617.473321759258</v>
      </c>
      <c r="U221" s="181" t="str">
        <f t="shared" si="30"/>
        <v>EC</v>
      </c>
      <c r="V221" s="181" t="str">
        <f t="shared" si="28"/>
        <v>KEEP</v>
      </c>
      <c r="W221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ID","value":"104-04"},{"id":16,"name":"Locomotive ID","value":"4032"},{"id":130,"name":"Impact","value":""},{"id":150,"name":"Time of Event (Mountain Time)","value":"05:21:35"},{"id":151,"name":"Denver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2" spans="1:23" x14ac:dyDescent="0.25">
      <c r="A222" s="172">
        <v>42617.356932870367</v>
      </c>
      <c r="B222" s="173" t="s">
        <v>351</v>
      </c>
      <c r="C222" s="173" t="s">
        <v>1600</v>
      </c>
      <c r="D222" s="173" t="s">
        <v>49</v>
      </c>
      <c r="E222" s="173" t="s">
        <v>50</v>
      </c>
      <c r="F222" s="174">
        <v>0</v>
      </c>
      <c r="G222" s="174">
        <v>41</v>
      </c>
      <c r="H222" s="174">
        <v>143</v>
      </c>
      <c r="I222" s="173" t="s">
        <v>51</v>
      </c>
      <c r="J222" s="174">
        <v>1</v>
      </c>
      <c r="K222" s="173" t="s">
        <v>53</v>
      </c>
      <c r="L222" s="175" t="str">
        <f>VLOOKUP(C222,'[9]Trips&amp;Operators'!$C$1:$E$9999,3,0)</f>
        <v>KILLION</v>
      </c>
      <c r="M222" s="182" t="s">
        <v>86</v>
      </c>
      <c r="N222" s="177"/>
      <c r="P222" s="183" t="str">
        <f>VLOOKUP(C222,'[9]Train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222" s="184" t="str">
        <f>VLOOKUP(C222,'[9]Train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06:49:08-0600',mode:absolute,to:'2016-09-04 09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22" s="185" t="str">
        <f t="shared" si="29"/>
        <v>"C:\Program Files (x86)\AstroGrep\AstroGrep.exe" /spath="C:\Users\stu\Documents\Analysis\2016-02-23 RTDC Observations" /stypes="*4010*201609041*" /stext=" 14:.+((SYSTEM_STATE.+slice.+state.+changed )|(ment ac)|(system.+state.+changed )|(\|lc)|(penalty)|(\[timeout)|(PRM\|1\|D))" /e /r /s</v>
      </c>
      <c r="S222" s="176" t="str">
        <f t="shared" si="26"/>
        <v>4010</v>
      </c>
      <c r="T222" s="172">
        <f t="shared" si="27"/>
        <v>42617.606932870367</v>
      </c>
      <c r="U222" s="181" t="str">
        <f t="shared" si="30"/>
        <v>EC</v>
      </c>
      <c r="V222" s="181" t="str">
        <f t="shared" si="28"/>
        <v>KEEP</v>
      </c>
      <c r="W222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ID","value":"128-04"},{"id":16,"name":"Locomotive ID","value":"4010"},{"id":130,"name":"Impact","value":""},{"id":150,"name":"Time of Event (Mountain Time)","value":"08:33:59"},{"id":151,"name":"Denver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3" spans="1:23" x14ac:dyDescent="0.25">
      <c r="A223" s="172">
        <v>42617.430023148147</v>
      </c>
      <c r="B223" s="173" t="s">
        <v>351</v>
      </c>
      <c r="C223" s="173" t="s">
        <v>1617</v>
      </c>
      <c r="D223" s="173" t="s">
        <v>49</v>
      </c>
      <c r="E223" s="173" t="s">
        <v>50</v>
      </c>
      <c r="F223" s="174">
        <v>0</v>
      </c>
      <c r="G223" s="174">
        <v>54</v>
      </c>
      <c r="H223" s="174">
        <v>169</v>
      </c>
      <c r="I223" s="173" t="s">
        <v>51</v>
      </c>
      <c r="J223" s="174">
        <v>1</v>
      </c>
      <c r="K223" s="173" t="s">
        <v>53</v>
      </c>
      <c r="L223" s="175" t="str">
        <f>VLOOKUP(C223,'[9]Trips&amp;Operators'!$C$1:$E$9999,3,0)</f>
        <v>KILLION</v>
      </c>
      <c r="M223" s="182" t="s">
        <v>86</v>
      </c>
      <c r="N223" s="177"/>
      <c r="P223" s="183" t="str">
        <f>VLOOKUP(C223,'[9]Train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223" s="184" t="str">
        <f>VLOOKUP(C223,'[9]Train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08:32:49-0600',mode:absolute,to:'2016-09-04 11:19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23" s="185" t="str">
        <f t="shared" si="29"/>
        <v>"C:\Program Files (x86)\AstroGrep\AstroGrep.exe" /spath="C:\Users\stu\Documents\Analysis\2016-02-23 RTDC Observations" /stypes="*4010*201609041*" /stext=" 16:.+((SYSTEM_STATE.+slice.+state.+changed )|(ment ac)|(system.+state.+changed )|(\|lc)|(penalty)|(\[timeout)|(PRM\|1\|D))" /e /r /s</v>
      </c>
      <c r="S223" s="176" t="str">
        <f t="shared" si="26"/>
        <v>4010</v>
      </c>
      <c r="T223" s="172">
        <f t="shared" si="27"/>
        <v>42617.680023148147</v>
      </c>
      <c r="U223" s="181" t="str">
        <f t="shared" si="30"/>
        <v>EC</v>
      </c>
      <c r="V223" s="181" t="str">
        <f t="shared" si="28"/>
        <v>KEEP</v>
      </c>
      <c r="W223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ID","value":"142-04"},{"id":16,"name":"Locomotive ID","value":"4010"},{"id":130,"name":"Impact","value":""},{"id":150,"name":"Time of Event (Mountain Time)","value":"10:19:14"},{"id":151,"name":"Denver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4" spans="1:23" x14ac:dyDescent="0.25">
      <c r="A224" s="172">
        <v>42617.494884259257</v>
      </c>
      <c r="B224" s="173" t="s">
        <v>741</v>
      </c>
      <c r="C224" s="173" t="s">
        <v>742</v>
      </c>
      <c r="D224" s="173" t="s">
        <v>49</v>
      </c>
      <c r="E224" s="173" t="s">
        <v>50</v>
      </c>
      <c r="F224" s="174">
        <v>0</v>
      </c>
      <c r="G224" s="174">
        <v>57</v>
      </c>
      <c r="H224" s="174">
        <v>238</v>
      </c>
      <c r="I224" s="173" t="s">
        <v>51</v>
      </c>
      <c r="J224" s="174">
        <v>1</v>
      </c>
      <c r="K224" s="173" t="s">
        <v>53</v>
      </c>
      <c r="L224" s="175" t="str">
        <f>VLOOKUP(C224,'[9]Trips&amp;Operators'!$C$1:$E$9999,3,0)</f>
        <v>STRICKLAND</v>
      </c>
      <c r="M224" s="182" t="s">
        <v>86</v>
      </c>
      <c r="N224" s="177"/>
      <c r="P224" s="183" t="str">
        <f>VLOOKUP(C224,'[9]Train Runs'!$A$13:$AE$10003,31,0)</f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Q224" s="184" t="str">
        <f>VLOOKUP(C224,'[9]Train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10:05:54-0600',mode:absolute,to:'2016-09-04 12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R224" s="185" t="str">
        <f t="shared" si="29"/>
        <v>"C:\Program Files (x86)\AstroGrep\AstroGrep.exe" /spath="C:\Users\stu\Documents\Analysis\2016-02-23 RTDC Observations" /stypes="*4045*201609041*" /stext=" 17:.+((SYSTEM_STATE.+slice.+state.+changed )|(ment ac)|(system.+state.+changed )|(\|lc)|(penalty)|(\[timeout)|(PRM\|1\|D))" /e /r /s</v>
      </c>
      <c r="S224" s="176" t="str">
        <f t="shared" si="26"/>
        <v>4045</v>
      </c>
      <c r="T224" s="172">
        <f t="shared" si="27"/>
        <v>42617.744884259257</v>
      </c>
      <c r="U224" s="181" t="str">
        <f t="shared" si="30"/>
        <v>EC</v>
      </c>
      <c r="V224" s="181" t="str">
        <f t="shared" si="28"/>
        <v>KEEP</v>
      </c>
      <c r="W224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ID","value":"154-04"},{"id":16,"name":"Locomotive ID","value":"4045"},{"id":130,"name":"Impact","value":""},{"id":150,"name":"Time of Event (Mountain Time)","value":"11:52:38"},{"id":151,"name":"Denver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5" spans="1:23" x14ac:dyDescent="0.25">
      <c r="A225" s="172">
        <v>42617.50577546296</v>
      </c>
      <c r="B225" s="173" t="s">
        <v>351</v>
      </c>
      <c r="C225" s="173" t="s">
        <v>1634</v>
      </c>
      <c r="D225" s="173" t="s">
        <v>49</v>
      </c>
      <c r="E225" s="173" t="s">
        <v>50</v>
      </c>
      <c r="F225" s="174">
        <v>0</v>
      </c>
      <c r="G225" s="174">
        <v>39</v>
      </c>
      <c r="H225" s="174">
        <v>138</v>
      </c>
      <c r="I225" s="173" t="s">
        <v>51</v>
      </c>
      <c r="J225" s="174">
        <v>1</v>
      </c>
      <c r="K225" s="173" t="s">
        <v>53</v>
      </c>
      <c r="L225" s="175" t="str">
        <f>VLOOKUP(C225,'[9]Trips&amp;Operators'!$C$1:$E$9999,3,0)</f>
        <v>CLARK</v>
      </c>
      <c r="M225" s="182" t="s">
        <v>86</v>
      </c>
      <c r="N225" s="177"/>
      <c r="P225" s="183" t="str">
        <f>VLOOKUP(C225,'[9]Train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225" s="184" t="str">
        <f>VLOOKUP(C225,'[9]Train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10:20:31-0600',mode:absolute,to:'2016-09-04 13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25" s="185" t="str">
        <f t="shared" si="29"/>
        <v>"C:\Program Files (x86)\AstroGrep\AstroGrep.exe" /spath="C:\Users\stu\Documents\Analysis\2016-02-23 RTDC Observations" /stypes="*4010*201609041*" /stext=" 18:.+((SYSTEM_STATE.+slice.+state.+changed )|(ment ac)|(system.+state.+changed )|(\|lc)|(penalty)|(\[timeout)|(PRM\|1\|D))" /e /r /s</v>
      </c>
      <c r="S225" s="176" t="str">
        <f t="shared" si="26"/>
        <v>4010</v>
      </c>
      <c r="T225" s="172">
        <f t="shared" si="27"/>
        <v>42617.75577546296</v>
      </c>
      <c r="U225" s="181" t="str">
        <f t="shared" si="30"/>
        <v>EC</v>
      </c>
      <c r="V225" s="181" t="str">
        <f t="shared" si="28"/>
        <v>KEEP</v>
      </c>
      <c r="W225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ID","value":"156-04"},{"id":16,"name":"Locomotive ID","value":"4010"},{"id":130,"name":"Impact","value":""},{"id":150,"name":"Time of Event (Mountain Time)","value":"12:08:19"},{"id":151,"name":"Denver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6" spans="1:23" x14ac:dyDescent="0.25">
      <c r="A226" s="172">
        <v>42617.580451388887</v>
      </c>
      <c r="B226" s="173" t="s">
        <v>351</v>
      </c>
      <c r="C226" s="173" t="s">
        <v>1649</v>
      </c>
      <c r="D226" s="173" t="s">
        <v>49</v>
      </c>
      <c r="E226" s="173" t="s">
        <v>50</v>
      </c>
      <c r="F226" s="174">
        <v>0</v>
      </c>
      <c r="G226" s="174">
        <v>46</v>
      </c>
      <c r="H226" s="174">
        <v>180</v>
      </c>
      <c r="I226" s="173" t="s">
        <v>51</v>
      </c>
      <c r="J226" s="174">
        <v>1</v>
      </c>
      <c r="K226" s="173" t="s">
        <v>53</v>
      </c>
      <c r="L226" s="175" t="str">
        <f>VLOOKUP(C226,'[9]Trips&amp;Operators'!$C$1:$E$9999,3,0)</f>
        <v>CLARK</v>
      </c>
      <c r="M226" s="182" t="s">
        <v>86</v>
      </c>
      <c r="N226" s="177"/>
      <c r="P226" s="183" t="str">
        <f>VLOOKUP(C226,'[9]Train Runs'!$A$13:$AE$10003,31,0)</f>
        <v>aws s3 cp s3://rtdc.mdm.uploadarchive/RTDC4010/2016-09-04/ "%USERPROFILE%\AppData\Local\Temp\OnboardLogs"\RTDC4010\2016-09-04 --recursive &amp; "%USERPROFILE%\Documents\GitHub\mrs-test-scripts\Headless Mode &amp; Sideloading\WalkAndUnGZ.bat" "%USERPROFILE%\AppData\Local\Temp\OnboardLogs"\RTDC4010\2016-09-04 &amp; aws s3 cp s3://rtdc.mdm.uploadarchive/RTDC4010/2016-09-05/ "%USERPROFILE%\AppData\Local\Temp\OnboardLogs"\RTDC4010\2016-09-05 --recursive &amp; "%USERPROFILE%\Documents\GitHub\mrs-test-scripts\Headless Mode &amp; Sideloading\WalkAndUnGZ.bat" "%USERPROFILE%\AppData\Local\Temp\OnboardLogs"\RTDC4010\2016-09-05</v>
      </c>
      <c r="Q226" s="184" t="str">
        <f>VLOOKUP(C226,'[9]Train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12:03:17-0600',mode:absolute,to:'2016-09-04 14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26" s="185" t="str">
        <f t="shared" si="29"/>
        <v>"C:\Program Files (x86)\AstroGrep\AstroGrep.exe" /spath="C:\Users\stu\Documents\Analysis\2016-02-23 RTDC Observations" /stypes="*4010*201609041*" /stext=" 19:.+((SYSTEM_STATE.+slice.+state.+changed )|(ment ac)|(system.+state.+changed )|(\|lc)|(penalty)|(\[timeout)|(PRM\|1\|D))" /e /r /s</v>
      </c>
      <c r="S226" s="176" t="str">
        <f t="shared" si="26"/>
        <v>4010</v>
      </c>
      <c r="T226" s="172">
        <f t="shared" si="27"/>
        <v>42617.830451388887</v>
      </c>
      <c r="U226" s="181" t="str">
        <f t="shared" si="30"/>
        <v>EC</v>
      </c>
      <c r="V226" s="181" t="str">
        <f t="shared" si="28"/>
        <v>KEEP</v>
      </c>
      <c r="W226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ID","value":"170-04"},{"id":16,"name":"Locomotive ID","value":"4010"},{"id":130,"name":"Impact","value":""},{"id":150,"name":"Time of Event (Mountain Time)","value":"13:55:51"},{"id":151,"name":"Denver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7" spans="1:23" x14ac:dyDescent="0.25">
      <c r="A227" s="172">
        <v>42617.786377314813</v>
      </c>
      <c r="B227" s="173" t="s">
        <v>741</v>
      </c>
      <c r="C227" s="173" t="s">
        <v>1701</v>
      </c>
      <c r="D227" s="173" t="s">
        <v>49</v>
      </c>
      <c r="E227" s="173" t="s">
        <v>50</v>
      </c>
      <c r="F227" s="174">
        <v>0</v>
      </c>
      <c r="G227" s="174">
        <v>51</v>
      </c>
      <c r="H227" s="174">
        <v>194</v>
      </c>
      <c r="I227" s="173" t="s">
        <v>51</v>
      </c>
      <c r="J227" s="174">
        <v>1</v>
      </c>
      <c r="K227" s="173" t="s">
        <v>53</v>
      </c>
      <c r="L227" s="175" t="str">
        <f>VLOOKUP(C227,'[9]Trips&amp;Operators'!$C$1:$E$9999,3,0)</f>
        <v>LEVERE</v>
      </c>
      <c r="M227" s="182" t="s">
        <v>86</v>
      </c>
      <c r="N227" s="177"/>
      <c r="P227" s="183" t="str">
        <f>VLOOKUP(C227,'[9]Train Runs'!$A$13:$AE$10003,31,0)</f>
        <v>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 &amp; aws s3 cp s3://rtdc.mdm.uploadarchive/RTDC4045/2016-09-05/ "%USERPROFILE%\AppData\Local\Temp\OnboardLogs"\RTDC4045\2016-09-05 --recursive &amp; "%USERPROFILE%\Documents\GitHub\mrs-test-scripts\Headless Mode &amp; Sideloading\WalkAndUnGZ.bat" "%USERPROFILE%\AppData\Local\Temp\OnboardLogs"\RTDC4045\2016-09-05</v>
      </c>
      <c r="Q227" s="184" t="str">
        <f>VLOOKUP(C227,'[9]Train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17:07:29-0600',mode:absolute,to:'2016-09-04 19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R227" s="185" t="str">
        <f t="shared" si="29"/>
        <v>"C:\Program Files (x86)\AstroGrep\AstroGrep.exe" /spath="C:\Users\stu\Documents\Analysis\2016-02-23 RTDC Observations" /stypes="*4045*201609050*" /stext=" 00:.+((SYSTEM_STATE.+slice.+state.+changed )|(ment ac)|(system.+state.+changed )|(\|lc)|(penalty)|(\[timeout)|(PRM\|1\|D))" /e /r /s</v>
      </c>
      <c r="S227" s="176" t="str">
        <f t="shared" si="26"/>
        <v>4045</v>
      </c>
      <c r="T227" s="172">
        <f t="shared" si="27"/>
        <v>42618.036377314813</v>
      </c>
      <c r="U227" s="181" t="str">
        <f t="shared" si="30"/>
        <v>EC</v>
      </c>
      <c r="V227" s="181" t="str">
        <f t="shared" si="28"/>
        <v>KEEP</v>
      </c>
      <c r="W227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ID","value":"210-04"},{"id":16,"name":"Locomotive ID","value":"4045"},{"id":130,"name":"Impact","value":""},{"id":150,"name":"Time of Event (Mountain Time)","value":"18:52:23"},{"id":151,"name":"Denver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8" spans="1:23" x14ac:dyDescent="0.25">
      <c r="A228" s="172">
        <v>42617.923692129632</v>
      </c>
      <c r="B228" s="173" t="s">
        <v>114</v>
      </c>
      <c r="C228" s="173" t="s">
        <v>1725</v>
      </c>
      <c r="D228" s="173" t="s">
        <v>49</v>
      </c>
      <c r="E228" s="173" t="s">
        <v>50</v>
      </c>
      <c r="F228" s="174">
        <v>0</v>
      </c>
      <c r="G228" s="174">
        <v>46</v>
      </c>
      <c r="H228" s="174">
        <v>150</v>
      </c>
      <c r="I228" s="173" t="s">
        <v>51</v>
      </c>
      <c r="J228" s="174">
        <v>1</v>
      </c>
      <c r="K228" s="173" t="s">
        <v>53</v>
      </c>
      <c r="L228" s="175" t="str">
        <f>VLOOKUP(C228,'[9]Trips&amp;Operators'!$C$1:$E$9999,3,0)</f>
        <v>CHANDLER</v>
      </c>
      <c r="M228" s="182" t="s">
        <v>86</v>
      </c>
      <c r="N228" s="177"/>
      <c r="P228" s="183" t="str">
        <f>VLOOKUP(C228,'[9]Train Runs'!$A$13:$AE$10003,31,0)</f>
        <v>aws s3 cp s3://rtdc.mdm.uploadarchive/RTDC4032/2016-09-04/ "%USERPROFILE%\AppData\Local\Temp\OnboardLogs"\RTDC4032\2016-09-04 --recursive &amp; "%USERPROFILE%\Documents\GitHub\mrs-test-scripts\Headless Mode &amp; Sideloading\WalkAndUnGZ.bat" "%USERPROFILE%\AppData\Local\Temp\OnboardLogs"\RTDC4032\2016-09-04 &amp; aws s3 cp s3://rtdc.mdm.uploadarchive/RTDC4032/2016-09-05/ "%USERPROFILE%\AppData\Local\Temp\OnboardLogs"\RTDC4032\2016-09-05 --recursive &amp; "%USERPROFILE%\Documents\GitHub\mrs-test-scripts\Headless Mode &amp; Sideloading\WalkAndUnGZ.bat" "%USERPROFILE%\AppData\Local\Temp\OnboardLogs"\RTDC4032\2016-09-05</v>
      </c>
      <c r="Q228" s="184" t="str">
        <f>VLOOKUP(C228,'[9]Train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20:23:06-0600',mode:absolute,to:'2016-09-04 23:10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228" s="185" t="str">
        <f t="shared" si="29"/>
        <v>"C:\Program Files (x86)\AstroGrep\AstroGrep.exe" /spath="C:\Users\stu\Documents\Analysis\2016-02-23 RTDC Observations" /stypes="*4032*201609050*" /stext=" 04:.+((SYSTEM_STATE.+slice.+state.+changed )|(ment ac)|(system.+state.+changed )|(\|lc)|(penalty)|(\[timeout)|(PRM\|1\|D))" /e /r /s</v>
      </c>
      <c r="S228" s="176" t="str">
        <f t="shared" si="26"/>
        <v>4032</v>
      </c>
      <c r="T228" s="172">
        <f t="shared" si="27"/>
        <v>42618.173692129632</v>
      </c>
      <c r="U228" s="181" t="str">
        <f t="shared" si="30"/>
        <v>EC</v>
      </c>
      <c r="V228" s="181" t="str">
        <f t="shared" si="28"/>
        <v>KEEP</v>
      </c>
      <c r="W228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{"issue":{"subject":"","project_id":79,"tracker_id":40,"status_id":1,"priority_id":2,"assigned_to_id":23,"start_date":"2016-09-04","description":"","custom_fields":[{"id":1,"name":"Subdivision","value":"EC"},{"id":4,"name":"Milepost","value":"0.0001"},{"id":17,"name":"Train ID","value":"228-04"},{"id":16,"name":"Locomotive ID","value":"4032"},{"id":130,"name":"Impact","value":""},{"id":150,"name":"Time of Event (Mountain Time)","value":"22:10:07"},{"id":151,"name":"Denver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29" spans="1:23" x14ac:dyDescent="0.25">
      <c r="A229" s="172">
        <v>42617.604594907411</v>
      </c>
      <c r="B229" s="173" t="s">
        <v>1169</v>
      </c>
      <c r="C229" s="173" t="s">
        <v>1656</v>
      </c>
      <c r="D229" s="173" t="s">
        <v>49</v>
      </c>
      <c r="E229" s="173" t="s">
        <v>50</v>
      </c>
      <c r="F229" s="174">
        <v>0</v>
      </c>
      <c r="G229" s="174">
        <v>56</v>
      </c>
      <c r="H229" s="174">
        <v>233299</v>
      </c>
      <c r="I229" s="173" t="s">
        <v>51</v>
      </c>
      <c r="J229" s="174">
        <v>233491</v>
      </c>
      <c r="K229" s="173" t="s">
        <v>52</v>
      </c>
      <c r="L229" s="175" t="str">
        <f>VLOOKUP(C229,'[9]Trips&amp;Operators'!$C$1:$E$9999,3,0)</f>
        <v>YOUNG</v>
      </c>
      <c r="M229" s="182" t="s">
        <v>86</v>
      </c>
      <c r="N229" s="177"/>
      <c r="P229" s="183" t="str">
        <f>VLOOKUP(C229,'[9]Train Runs'!$A$13:$AE$10003,31,0)</f>
        <v>aws s3 cp s3://rtdc.mdm.uploadarchive/RTDC4046/2016-09-04/ "%USERPROFILE%\AppData\Local\Temp\OnboardLogs"\RTDC4046\2016-09-04 --recursive &amp; "%USERPROFILE%\Documents\GitHub\mrs-test-scripts\Headless Mode &amp; Sideloading\WalkAndUnGZ.bat" "%USERPROFILE%\AppData\Local\Temp\OnboardLogs"\RTDC4046\2016-09-04 &amp; aws s3 cp s3://rtdc.mdm.uploadarchive/RTDC4046/2016-09-05/ "%USERPROFILE%\AppData\Local\Temp\OnboardLogs"\RTDC4046\2016-09-05 --recursive &amp; "%USERPROFILE%\Documents\GitHub\mrs-test-scripts\Headless Mode &amp; Sideloading\WalkAndUnGZ.bat" "%USERPROFILE%\AppData\Local\Temp\OnboardLogs"\RTDC4046\2016-09-05</v>
      </c>
      <c r="Q229" s="184" t="str">
        <f>VLOOKUP(C229,'[9]Train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12:50:14-0600',mode:absolute,to:'2016-09-04 15:30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4046%22')),sort:!(Time,asc))</v>
      </c>
      <c r="R229" s="185" t="str">
        <f t="shared" si="29"/>
        <v>"C:\Program Files (x86)\AstroGrep\AstroGrep.exe" /spath="C:\Users\stu\Documents\Analysis\2016-02-23 RTDC Observations" /stypes="*4046*201609042*" /stext=" 20:.+((SYSTEM_STATE.+slice.+state.+changed )|(ment ac)|(system.+state.+changed )|(\|lc)|(penalty)|(\[timeout)|(PRM\|1\|D))" /e /r /s</v>
      </c>
      <c r="S229" s="176" t="str">
        <f t="shared" si="26"/>
        <v>4046</v>
      </c>
      <c r="T229" s="172">
        <f t="shared" si="27"/>
        <v>42617.854594907411</v>
      </c>
      <c r="U229" s="181" t="str">
        <f t="shared" si="30"/>
        <v>EC</v>
      </c>
      <c r="V229" s="181" t="str">
        <f t="shared" si="28"/>
        <v>KEEP</v>
      </c>
      <c r="W229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{"issue":{"subject":"","project_id":79,"tracker_id":40,"status_id":1,"priority_id":2,"assigned_to_id":23,"start_date":"2016-09-04","description":"","custom_fields":[{"id":1,"name":"Subdivision","value":"EC"},{"id":4,"name":"Milepost","value":"23.3491"},{"id":17,"name":"Train ID","value":"181-04"},{"id":16,"name":"Locomotive ID","value":"4046"},{"id":130,"name":"Impact","value":""},{"id":150,"name":"Time of Event (Mountain Time)","value":"14:30:37"},{"id":151,"name":"Denver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0" spans="1:23" x14ac:dyDescent="0.25">
      <c r="A230" s="172">
        <v>42617.963067129633</v>
      </c>
      <c r="B230" s="173" t="s">
        <v>113</v>
      </c>
      <c r="C230" s="173" t="s">
        <v>1732</v>
      </c>
      <c r="D230" s="173" t="s">
        <v>49</v>
      </c>
      <c r="E230" s="173" t="s">
        <v>50</v>
      </c>
      <c r="F230" s="174">
        <v>0</v>
      </c>
      <c r="G230" s="174">
        <v>80</v>
      </c>
      <c r="H230" s="174">
        <v>233188</v>
      </c>
      <c r="I230" s="173" t="s">
        <v>51</v>
      </c>
      <c r="J230" s="174">
        <v>233491</v>
      </c>
      <c r="K230" s="173" t="s">
        <v>52</v>
      </c>
      <c r="L230" s="175" t="str">
        <f>VLOOKUP(C230,'[9]Trips&amp;Operators'!$C$1:$E$9999,3,0)</f>
        <v>CHANDLER</v>
      </c>
      <c r="M230" s="182" t="s">
        <v>86</v>
      </c>
      <c r="N230" s="177"/>
      <c r="P230" s="183" t="str">
        <f>VLOOKUP(C230,'[9]Train Runs'!$A$13:$AE$10003,31,0)</f>
        <v>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 &amp; aws s3 cp s3://rtdc.mdm.uploadarchive/RTDC4031/2016-09-05/ "%USERPROFILE%\AppData\Local\Temp\OnboardLogs"\RTDC4031\2016-09-05 --recursive &amp; "%USERPROFILE%\Documents\GitHub\mrs-test-scripts\Headless Mode &amp; Sideloading\WalkAndUnGZ.bat" "%USERPROFILE%\AppData\Local\Temp\OnboardLogs"\RTDC4031\2016-09-05</v>
      </c>
      <c r="Q230" s="184" t="str">
        <f>VLOOKUP(C230,'[9]Train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21:28:10-0600',mode:absolute,to:'2016-09-05 00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30" s="185" t="str">
        <f t="shared" si="29"/>
        <v>"C:\Program Files (x86)\AstroGrep\AstroGrep.exe" /spath="C:\Users\stu\Documents\Analysis\2016-02-23 RTDC Observations" /stypes="*4031*201609050*" /stext=" 05:.+((SYSTEM_STATE.+slice.+state.+changed )|(ment ac)|(system.+state.+changed )|(\|lc)|(penalty)|(\[timeout)|(PRM\|1\|D))" /e /r /s</v>
      </c>
      <c r="S230" s="176" t="str">
        <f t="shared" si="26"/>
        <v>4031</v>
      </c>
      <c r="T230" s="172">
        <f t="shared" si="27"/>
        <v>42618.213067129633</v>
      </c>
      <c r="U230" s="181" t="str">
        <f t="shared" si="30"/>
        <v>EC</v>
      </c>
      <c r="V230" s="181" t="str">
        <f t="shared" si="28"/>
        <v>KEEP</v>
      </c>
      <c r="W230" s="186" t="str">
        <f t="shared" si="31"/>
        <v>echo {"issue":{"subject":"","project_id":79,"tracker_id":40,"status_id":1,"priority_id":2,"assigned_to_id":23,"start_date":"2016-09-04","description":"","custom_fields":[{"id":1,"name":"Subdivision","value":"EC"},{"id":4,"name":"Milepost","value":"23.3491"},{"id":17,"name":"Train ID","value":"235-04"},{"id":16,"name":"Locomotive ID","value":"4031"},{"id":130,"name":"Impact","value":""},{"id":150,"name":"Time of Event (Mountain Time)","value":"23:06:49"},{"id":151,"name":"Denver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1" spans="1:23" x14ac:dyDescent="0.25">
      <c r="A231" s="172">
        <v>42617.453310185185</v>
      </c>
      <c r="B231" s="173" t="s">
        <v>92</v>
      </c>
      <c r="C231" s="173" t="s">
        <v>1629</v>
      </c>
      <c r="D231" s="173" t="s">
        <v>49</v>
      </c>
      <c r="E231" s="173" t="s">
        <v>56</v>
      </c>
      <c r="F231" s="174">
        <v>200</v>
      </c>
      <c r="G231" s="174">
        <v>320</v>
      </c>
      <c r="H231" s="174">
        <v>7467</v>
      </c>
      <c r="I231" s="173" t="s">
        <v>57</v>
      </c>
      <c r="J231" s="174">
        <v>5782</v>
      </c>
      <c r="K231" s="173" t="s">
        <v>53</v>
      </c>
      <c r="L231" s="175" t="str">
        <f>VLOOKUP(C231,'[9]Trips&amp;Operators'!$C$1:$E$9999,3,0)</f>
        <v>STARKS</v>
      </c>
      <c r="M231" s="182" t="s">
        <v>86</v>
      </c>
      <c r="N231" s="177"/>
      <c r="P231" s="183" t="str">
        <f>VLOOKUP(C231,'[9]Train Runs'!$A$13:$AE$10003,31,0)</f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Q231" s="184" t="str">
        <f>VLOOKUP(C231,'[9]Train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09:35:57-0600',mode:absolute,to:'2016-09-04 11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31" s="185" t="str">
        <f t="shared" si="29"/>
        <v>"C:\Program Files (x86)\AstroGrep\AstroGrep.exe" /spath="C:\Users\stu\Documents\Analysis\2016-02-23 RTDC Observations" /stypes="*4030*201609041*" /stext=" 16:.+((SYSTEM_STATE.+slice.+state.+changed )|(ment ac)|(system.+state.+changed )|(\|lc)|(penalty)|(\[timeout)|(PRM\|1\|D))" /e /r /s</v>
      </c>
      <c r="S231" s="176" t="str">
        <f t="shared" si="26"/>
        <v>4030</v>
      </c>
      <c r="T231" s="172">
        <f t="shared" si="27"/>
        <v>42617.703310185185</v>
      </c>
      <c r="U231" s="181" t="str">
        <f t="shared" si="30"/>
        <v>NW</v>
      </c>
      <c r="V231" s="181" t="str">
        <f t="shared" si="28"/>
        <v>KEEP</v>
      </c>
      <c r="W231" s="186" t="str">
        <f t="shared" si="31"/>
        <v>echo {"issue":{"subject":"","project_id":79,"tracker_id":40,"status_id":1,"priority_id":2,"assigned_to_id":23,"start_date":"2016-09-04","description":"","custom_fields":[{"id":1,"name":"Subdivision","value":"NW"},{"id":4,"name":"Milepost","value":"0.5782"},{"id":17,"name":"Train ID","value":"1810-04"},{"id":16,"name":"Locomotive ID","value":"4030"},{"id":130,"name":"Impact","value":""},{"id":150,"name":"Time of Event (Mountain Time)","value":"10:52:46"},{"id":151,"name":"Denver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2" spans="1:23" x14ac:dyDescent="0.25">
      <c r="A232" s="172">
        <v>42617.76871527778</v>
      </c>
      <c r="B232" s="173" t="s">
        <v>91</v>
      </c>
      <c r="C232" s="173" t="s">
        <v>1700</v>
      </c>
      <c r="D232" s="173" t="s">
        <v>110</v>
      </c>
      <c r="E232" s="173" t="s">
        <v>56</v>
      </c>
      <c r="F232" s="174">
        <v>500</v>
      </c>
      <c r="G232" s="174">
        <v>551</v>
      </c>
      <c r="H232" s="174">
        <v>16631</v>
      </c>
      <c r="I232" s="173" t="s">
        <v>57</v>
      </c>
      <c r="J232" s="174">
        <v>14402</v>
      </c>
      <c r="K232" s="173" t="s">
        <v>52</v>
      </c>
      <c r="L232" s="175" t="str">
        <f>VLOOKUP(C232,'[9]Trips&amp;Operators'!$C$1:$E$9999,3,0)</f>
        <v>ISHMAEL</v>
      </c>
      <c r="M232" s="182" t="s">
        <v>86</v>
      </c>
      <c r="N232" s="177"/>
      <c r="P232" s="183" t="str">
        <f>VLOOKUP(C232,'[9]Train Runs'!$A$13:$AE$10003,31,0)</f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Q232" s="184" t="str">
        <f>VLOOKUP(C232,'[9]Train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17:05:08-0600',mode:absolute,to:'2016-09-04 19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32" s="185" t="str">
        <f t="shared" si="29"/>
        <v>"C:\Program Files (x86)\AstroGrep\AstroGrep.exe" /spath="C:\Users\stu\Documents\Analysis\2016-02-23 RTDC Observations" /stypes="*4029*201609050*" /stext=" 00:.+((SYSTEM_STATE.+slice.+state.+changed )|(ment ac)|(system.+state.+changed )|(\|lc)|(penalty)|(\[timeout)|(PRM\|1\|D))" /e /r /s</v>
      </c>
      <c r="S232" s="176" t="str">
        <f t="shared" si="26"/>
        <v>4029</v>
      </c>
      <c r="T232" s="172">
        <f t="shared" si="27"/>
        <v>42618.01871527778</v>
      </c>
      <c r="U232" s="181" t="str">
        <f t="shared" si="30"/>
        <v>NW</v>
      </c>
      <c r="V232" s="181" t="str">
        <f t="shared" si="28"/>
        <v>KEEP</v>
      </c>
      <c r="W232" s="186" t="str">
        <f t="shared" si="31"/>
        <v>echo {"issue":{"subject":"","project_id":79,"tracker_id":40,"status_id":1,"priority_id":2,"assigned_to_id":23,"start_date":"2016-09-04","description":"","custom_fields":[{"id":1,"name":"Subdivision","value":"NW"},{"id":4,"name":"Milepost","value":"1.4402"},{"id":17,"name":"Train ID","value":"1825-04"},{"id":16,"name":"Locomotive ID","value":"4029"},{"id":130,"name":"Impact","value":""},{"id":150,"name":"Time of Event (Mountain Time)","value":"18:26:57"},{"id":151,"name":"Denver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3" spans="1:23" x14ac:dyDescent="0.25">
      <c r="A233" s="172">
        <v>42617.562210648146</v>
      </c>
      <c r="B233" s="173" t="s">
        <v>91</v>
      </c>
      <c r="C233" s="173" t="s">
        <v>1651</v>
      </c>
      <c r="D233" s="173" t="s">
        <v>49</v>
      </c>
      <c r="E233" s="173" t="s">
        <v>56</v>
      </c>
      <c r="F233" s="174">
        <v>300</v>
      </c>
      <c r="G233" s="174">
        <v>383</v>
      </c>
      <c r="H233" s="174">
        <v>38755</v>
      </c>
      <c r="I233" s="173" t="s">
        <v>57</v>
      </c>
      <c r="J233" s="174">
        <v>39716</v>
      </c>
      <c r="K233" s="173" t="s">
        <v>52</v>
      </c>
      <c r="L233" s="175" t="str">
        <f>VLOOKUP(C233,'[9]Trips&amp;Operators'!$C$1:$E$9999,3,0)</f>
        <v>STARKS</v>
      </c>
      <c r="M233" s="182" t="s">
        <v>86</v>
      </c>
      <c r="N233" s="177"/>
      <c r="P233" s="183" t="str">
        <f>VLOOKUP(C233,'[9]Train Runs'!$A$13:$AE$10003,31,0)</f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Q233" s="184" t="str">
        <f>VLOOKUP(C233,'[9]Train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12:18:31-0600',mode:absolute,to:'2016-09-04 14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33" s="185" t="str">
        <f t="shared" si="29"/>
        <v>"C:\Program Files (x86)\AstroGrep\AstroGrep.exe" /spath="C:\Users\stu\Documents\Analysis\2016-02-23 RTDC Observations" /stypes="*4029*201609041*" /stext=" 19:.+((SYSTEM_STATE.+slice.+state.+changed )|(ment ac)|(system.+state.+changed )|(\|lc)|(penalty)|(\[timeout)|(PRM\|1\|D))" /e /r /s</v>
      </c>
      <c r="S233" s="176" t="str">
        <f t="shared" si="26"/>
        <v>4029</v>
      </c>
      <c r="T233" s="172">
        <f t="shared" si="27"/>
        <v>42617.812210648146</v>
      </c>
      <c r="U233" s="181" t="str">
        <f t="shared" si="30"/>
        <v>NW</v>
      </c>
      <c r="V233" s="181" t="str">
        <f t="shared" si="28"/>
        <v>KEEP</v>
      </c>
      <c r="W233" s="186" t="str">
        <f t="shared" si="31"/>
        <v>echo {"issue":{"subject":"","project_id":79,"tracker_id":40,"status_id":1,"priority_id":2,"assigned_to_id":23,"start_date":"2016-09-04","description":"","custom_fields":[{"id":1,"name":"Subdivision","value":"NW"},{"id":4,"name":"Milepost","value":"3.9716"},{"id":17,"name":"Train ID","value":"1815-04"},{"id":16,"name":"Locomotive ID","value":"4029"},{"id":130,"name":"Impact","value":""},{"id":150,"name":"Time of Event (Mountain Time)","value":"13:29:35"},{"id":151,"name":"Denver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4" spans="1:23" x14ac:dyDescent="0.25">
      <c r="A234" s="172">
        <v>42617.322627314818</v>
      </c>
      <c r="B234" s="173" t="s">
        <v>92</v>
      </c>
      <c r="C234" s="173" t="s">
        <v>1598</v>
      </c>
      <c r="D234" s="173" t="s">
        <v>49</v>
      </c>
      <c r="E234" s="173" t="s">
        <v>56</v>
      </c>
      <c r="F234" s="174">
        <v>400</v>
      </c>
      <c r="G234" s="174">
        <v>554</v>
      </c>
      <c r="H234" s="174">
        <v>52310</v>
      </c>
      <c r="I234" s="173" t="s">
        <v>57</v>
      </c>
      <c r="J234" s="174">
        <v>49775</v>
      </c>
      <c r="K234" s="173" t="s">
        <v>53</v>
      </c>
      <c r="L234" s="175" t="str">
        <f>VLOOKUP(C234,'[9]Trips&amp;Operators'!$C$1:$E$9999,3,0)</f>
        <v>STARKS</v>
      </c>
      <c r="M234" s="182" t="s">
        <v>86</v>
      </c>
      <c r="N234" s="177"/>
      <c r="P234" s="183" t="str">
        <f>VLOOKUP(C234,'[9]Train Runs'!$A$13:$AE$10003,31,0)</f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Q234" s="184" t="str">
        <f>VLOOKUP(C234,'[9]Train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06:36:58-0600',mode:absolute,to:'2016-09-04 08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34" s="185" t="str">
        <f t="shared" si="29"/>
        <v>"C:\Program Files (x86)\AstroGrep\AstroGrep.exe" /spath="C:\Users\stu\Documents\Analysis\2016-02-23 RTDC Observations" /stypes="*4030*201609041*" /stext=" 13:.+((SYSTEM_STATE.+slice.+state.+changed )|(ment ac)|(system.+state.+changed )|(\|lc)|(penalty)|(\[timeout)|(PRM\|1\|D))" /e /r /s</v>
      </c>
      <c r="S234" s="176" t="str">
        <f t="shared" si="26"/>
        <v>4030</v>
      </c>
      <c r="T234" s="172">
        <f t="shared" si="27"/>
        <v>42617.572627314818</v>
      </c>
      <c r="U234" s="181" t="str">
        <f t="shared" si="30"/>
        <v>NW</v>
      </c>
      <c r="V234" s="181" t="str">
        <f t="shared" si="28"/>
        <v>KEEP</v>
      </c>
      <c r="W234" s="186" t="str">
        <f t="shared" si="31"/>
        <v>echo {"issue":{"subject":"","project_id":79,"tracker_id":40,"status_id":1,"priority_id":2,"assigned_to_id":23,"start_date":"2016-09-04","description":"","custom_fields":[{"id":1,"name":"Subdivision","value":"NW"},{"id":4,"name":"Milepost","value":"4.9775"},{"id":17,"name":"Train ID","value":"1804-04"},{"id":16,"name":"Locomotive ID","value":"4030"},{"id":130,"name":"Impact","value":""},{"id":150,"name":"Time of Event (Mountain Time)","value":"07:44:35"},{"id":151,"name":"Denver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5" spans="1:23" x14ac:dyDescent="0.25">
      <c r="A235" s="172">
        <v>42617.356076388889</v>
      </c>
      <c r="B235" s="173" t="s">
        <v>91</v>
      </c>
      <c r="C235" s="173" t="s">
        <v>1604</v>
      </c>
      <c r="D235" s="173" t="s">
        <v>49</v>
      </c>
      <c r="E235" s="173" t="s">
        <v>56</v>
      </c>
      <c r="F235" s="174">
        <v>150</v>
      </c>
      <c r="G235" s="174">
        <v>360</v>
      </c>
      <c r="H235" s="174">
        <v>56040</v>
      </c>
      <c r="I235" s="173" t="s">
        <v>57</v>
      </c>
      <c r="J235" s="174">
        <v>57008</v>
      </c>
      <c r="K235" s="173" t="s">
        <v>52</v>
      </c>
      <c r="L235" s="175" t="str">
        <f>VLOOKUP(C235,'[9]Trips&amp;Operators'!$C$1:$E$9999,3,0)</f>
        <v>STARKS</v>
      </c>
      <c r="M235" s="182" t="s">
        <v>86</v>
      </c>
      <c r="N235" s="177"/>
      <c r="P235" s="183" t="str">
        <f>VLOOKUP(C235,'[9]Train Runs'!$A$13:$AE$10003,31,0)</f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Q235" s="184" t="str">
        <f>VLOOKUP(C235,'[9]Train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07:16:27-0600',mode:absolute,to:'2016-09-04 09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35" s="185" t="str">
        <f t="shared" si="29"/>
        <v>"C:\Program Files (x86)\AstroGrep\AstroGrep.exe" /spath="C:\Users\stu\Documents\Analysis\2016-02-23 RTDC Observations" /stypes="*4029*201609041*" /stext=" 14:.+((SYSTEM_STATE.+slice.+state.+changed )|(ment ac)|(system.+state.+changed )|(\|lc)|(penalty)|(\[timeout)|(PRM\|1\|D))" /e /r /s</v>
      </c>
      <c r="S235" s="176" t="str">
        <f t="shared" si="26"/>
        <v>4029</v>
      </c>
      <c r="T235" s="172">
        <f t="shared" si="27"/>
        <v>42617.606076388889</v>
      </c>
      <c r="U235" s="181" t="str">
        <f t="shared" si="30"/>
        <v>NW</v>
      </c>
      <c r="V235" s="181" t="str">
        <f t="shared" si="28"/>
        <v>KEEP</v>
      </c>
      <c r="W235" s="186" t="str">
        <f t="shared" si="31"/>
        <v>echo {"issue":{"subject":"","project_id":79,"tracker_id":40,"status_id":1,"priority_id":2,"assigned_to_id":23,"start_date":"2016-09-04","description":"","custom_fields":[{"id":1,"name":"Subdivision","value":"NW"},{"id":4,"name":"Milepost","value":"5.7008"},{"id":17,"name":"Train ID","value":"1805-04"},{"id":16,"name":"Locomotive ID","value":"4029"},{"id":130,"name":"Impact","value":""},{"id":150,"name":"Time of Event (Mountain Time)","value":"08:32:45"},{"id":151,"name":"Denver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6" spans="1:23" x14ac:dyDescent="0.25">
      <c r="A236" s="172">
        <v>42617.39603009259</v>
      </c>
      <c r="B236" s="173" t="s">
        <v>91</v>
      </c>
      <c r="C236" s="173" t="s">
        <v>1615</v>
      </c>
      <c r="D236" s="173" t="s">
        <v>49</v>
      </c>
      <c r="E236" s="173" t="s">
        <v>54</v>
      </c>
      <c r="F236" s="174">
        <v>0</v>
      </c>
      <c r="G236" s="174">
        <v>152</v>
      </c>
      <c r="H236" s="174">
        <v>36823</v>
      </c>
      <c r="I236" s="173" t="s">
        <v>55</v>
      </c>
      <c r="J236" s="174">
        <v>37575</v>
      </c>
      <c r="K236" s="173" t="s">
        <v>52</v>
      </c>
      <c r="L236" s="175" t="str">
        <f>VLOOKUP(C236,'[9]Trips&amp;Operators'!$C$1:$E$9999,3,0)</f>
        <v>STARKS</v>
      </c>
      <c r="M236" s="182" t="s">
        <v>243</v>
      </c>
      <c r="N236" s="177" t="s">
        <v>1958</v>
      </c>
      <c r="P236" s="183" t="str">
        <f>VLOOKUP(C236,'[9]Train Runs'!$A$13:$AE$10003,31,0)</f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Q236" s="184" t="str">
        <f>VLOOKUP(C236,'[9]Train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08:18:18-0600',mode:absolute,to:'2016-09-04 10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36" s="185" t="str">
        <f t="shared" si="29"/>
        <v>"C:\Program Files (x86)\AstroGrep\AstroGrep.exe" /spath="C:\Users\stu\Documents\Analysis\2016-02-23 RTDC Observations" /stypes="*4029*201609041*" /stext=" 15:.+((SYSTEM_STATE.+slice.+state.+changed )|(ment ac)|(system.+state.+changed )|(\|lc)|(penalty)|(\[timeout)|(PRM\|1\|D))" /e /r /s</v>
      </c>
      <c r="S236" s="176" t="str">
        <f t="shared" si="26"/>
        <v>4029</v>
      </c>
      <c r="T236" s="172">
        <f t="shared" si="27"/>
        <v>42617.64603009259</v>
      </c>
      <c r="U236" s="181" t="str">
        <f t="shared" si="30"/>
        <v>NW</v>
      </c>
      <c r="V236" s="181" t="str">
        <f t="shared" si="28"/>
        <v>KEEP</v>
      </c>
      <c r="W236" s="186" t="str">
        <f t="shared" si="31"/>
        <v>echo {"issue":{"subject":"NW0376RH was briefly unavailable","project_id":79,"tracker_id":40,"status_id":1,"priority_id":2,"assigned_to_id":23,"start_date":"2016-09-04","description":"","custom_fields":[{"id":1,"name":"Subdivision","value":"NW"},{"id":4,"name":"Milepost","value":"3.7575"},{"id":17,"name":"Train ID","value":"1807-04"},{"id":16,"name":"Locomotive ID","value":"4029"},{"id":130,"name":"Impact","value":""},{"id":150,"name":"Time of Event (Mountain Time)","value":"09:30:17"},{"id":151,"name":"Denver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7" spans="1:23" x14ac:dyDescent="0.25">
      <c r="A237" s="172">
        <v>42617.407650462963</v>
      </c>
      <c r="B237" s="173" t="s">
        <v>92</v>
      </c>
      <c r="C237" s="173" t="s">
        <v>1619</v>
      </c>
      <c r="D237" s="173" t="s">
        <v>49</v>
      </c>
      <c r="E237" s="173" t="s">
        <v>54</v>
      </c>
      <c r="F237" s="174">
        <v>0</v>
      </c>
      <c r="G237" s="174">
        <v>196</v>
      </c>
      <c r="H237" s="174">
        <v>38224</v>
      </c>
      <c r="I237" s="173" t="s">
        <v>55</v>
      </c>
      <c r="J237" s="174">
        <v>37618</v>
      </c>
      <c r="K237" s="173" t="s">
        <v>53</v>
      </c>
      <c r="L237" s="175" t="str">
        <f>VLOOKUP(C237,'[9]Trips&amp;Operators'!$C$1:$E$9999,3,0)</f>
        <v>STARKS</v>
      </c>
      <c r="M237" s="182" t="s">
        <v>243</v>
      </c>
      <c r="N237" s="177" t="s">
        <v>1958</v>
      </c>
      <c r="P237" s="183" t="str">
        <f>VLOOKUP(C237,'[9]Train Runs'!$A$13:$AE$10003,31,0)</f>
        <v>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 &amp; 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</v>
      </c>
      <c r="Q237" s="184" t="str">
        <f>VLOOKUP(C237,'[9]Train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08:39:01-0600',mode:absolute,to:'2016-09-04 10:57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37" s="185" t="str">
        <f t="shared" si="29"/>
        <v>"C:\Program Files (x86)\AstroGrep\AstroGrep.exe" /spath="C:\Users\stu\Documents\Analysis\2016-02-23 RTDC Observations" /stypes="*4030*201609041*" /stext=" 15:.+((SYSTEM_STATE.+slice.+state.+changed )|(ment ac)|(system.+state.+changed )|(\|lc)|(penalty)|(\[timeout)|(PRM\|1\|D))" /e /r /s</v>
      </c>
      <c r="S237" s="176" t="str">
        <f t="shared" si="26"/>
        <v>4030</v>
      </c>
      <c r="T237" s="172">
        <f t="shared" si="27"/>
        <v>42617.657650462963</v>
      </c>
      <c r="U237" s="181" t="str">
        <f t="shared" si="30"/>
        <v>NW</v>
      </c>
      <c r="V237" s="181" t="str">
        <f t="shared" si="28"/>
        <v>KEEP</v>
      </c>
      <c r="W237" s="186" t="str">
        <f t="shared" si="31"/>
        <v>echo {"issue":{"subject":"NW0376RH was briefly unavailable","project_id":79,"tracker_id":40,"status_id":1,"priority_id":2,"assigned_to_id":23,"start_date":"2016-09-04","description":"","custom_fields":[{"id":1,"name":"Subdivision","value":"NW"},{"id":4,"name":"Milepost","value":"3.7618"},{"id":17,"name":"Train ID","value":"1808-04"},{"id":16,"name":"Locomotive ID","value":"4030"},{"id":130,"name":"Impact","value":""},{"id":150,"name":"Time of Event (Mountain Time)","value":"09:47:01"},{"id":151,"name":"Denver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8" spans="1:23" x14ac:dyDescent="0.25">
      <c r="A238" s="172">
        <v>42617.566701388889</v>
      </c>
      <c r="B238" s="173" t="s">
        <v>91</v>
      </c>
      <c r="C238" s="173" t="s">
        <v>1651</v>
      </c>
      <c r="D238" s="173" t="s">
        <v>49</v>
      </c>
      <c r="E238" s="173" t="s">
        <v>50</v>
      </c>
      <c r="F238" s="174">
        <v>0</v>
      </c>
      <c r="G238" s="174">
        <v>45</v>
      </c>
      <c r="H238" s="174">
        <v>58909</v>
      </c>
      <c r="I238" s="173" t="s">
        <v>51</v>
      </c>
      <c r="J238" s="174">
        <v>59048</v>
      </c>
      <c r="K238" s="173" t="s">
        <v>52</v>
      </c>
      <c r="L238" s="175" t="str">
        <f>VLOOKUP(C238,'[9]Trips&amp;Operators'!$C$1:$E$9999,3,0)</f>
        <v>STARKS</v>
      </c>
      <c r="M238" s="182" t="s">
        <v>86</v>
      </c>
      <c r="N238" s="177"/>
      <c r="P238" s="183" t="str">
        <f>VLOOKUP(C238,'[9]Train Runs'!$A$13:$AE$10003,31,0)</f>
        <v>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 &amp; 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</v>
      </c>
      <c r="Q238" s="184" t="str">
        <f>VLOOKUP(C238,'[9]Train Runs'!$A$13:$AE$10003,22,0)</f>
        <v>https://search-rtdc-monitor-bjffxe2xuh6vdkpspy63sjmuny.us-east-1.es.amazonaws.com/_plugin/kibana/#/discover/Steve-Slow-Train-Analysis-(2080s-and-2083s)?_g=(refreshInterval:(display:Off,section:0,value:0),time:(from:'2016-09-04 12:18:31-0600',mode:absolute,to:'2016-09-04 14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38" s="185" t="str">
        <f t="shared" si="29"/>
        <v>"C:\Program Files (x86)\AstroGrep\AstroGrep.exe" /spath="C:\Users\stu\Documents\Analysis\2016-02-23 RTDC Observations" /stypes="*4029*201609041*" /stext=" 19:.+((SYSTEM_STATE.+slice.+state.+changed )|(ment ac)|(system.+state.+changed )|(\|lc)|(penalty)|(\[timeout)|(PRM\|1\|D))" /e /r /s</v>
      </c>
      <c r="S238" s="176" t="str">
        <f t="shared" si="26"/>
        <v>4029</v>
      </c>
      <c r="T238" s="172">
        <f t="shared" si="27"/>
        <v>42617.816701388889</v>
      </c>
      <c r="U238" s="181" t="str">
        <f t="shared" si="30"/>
        <v>NW</v>
      </c>
      <c r="V238" s="181" t="str">
        <f t="shared" si="28"/>
        <v>KEEP</v>
      </c>
      <c r="W238" s="186" t="str">
        <f t="shared" si="31"/>
        <v>echo {"issue":{"subject":"","project_id":79,"tracker_id":40,"status_id":1,"priority_id":2,"assigned_to_id":23,"start_date":"2016-09-04","description":"","custom_fields":[{"id":1,"name":"Subdivision","value":"NW"},{"id":4,"name":"Milepost","value":"5.9048"},{"id":17,"name":"Train ID","value":"1815-04"},{"id":16,"name":"Locomotive ID","value":"4029"},{"id":130,"name":"Impact","value":""},{"id":150,"name":"Time of Event (Mountain Time)","value":"13:36:03"},{"id":151,"name":"Denver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39" spans="1:23" x14ac:dyDescent="0.25">
      <c r="A239" s="172">
        <v>42618.415416666663</v>
      </c>
      <c r="B239" s="173" t="s">
        <v>90</v>
      </c>
      <c r="C239" s="173" t="s">
        <v>723</v>
      </c>
      <c r="D239" s="173" t="s">
        <v>229</v>
      </c>
      <c r="E239" s="173" t="s">
        <v>206</v>
      </c>
      <c r="F239" s="174">
        <v>0</v>
      </c>
      <c r="G239" s="174">
        <v>91</v>
      </c>
      <c r="H239" s="174">
        <v>27301</v>
      </c>
      <c r="I239" s="173" t="s">
        <v>205</v>
      </c>
      <c r="J239" s="174">
        <v>27350</v>
      </c>
      <c r="K239" s="173" t="s">
        <v>53</v>
      </c>
      <c r="L239" s="175" t="str">
        <f>VLOOKUP(C239,'[10]Trips&amp;Operators'!$C$1:$E$9999,3,0)</f>
        <v>STARKS</v>
      </c>
      <c r="M239" s="182" t="s">
        <v>86</v>
      </c>
      <c r="N239" s="177" t="s">
        <v>336</v>
      </c>
      <c r="P239" s="183" t="str">
        <f>VLOOKUP(C239,'[10]Train Runs'!$A$13:$AE$10002,31,0)</f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Q239" s="184" t="str">
        <f>VLOOKUP(C239,'[10]Train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08:09:11-0600',mode:absolute,to:'2016-09-05 11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39" s="185" t="str">
        <f t="shared" ref="R239:R286" si="32">astrogrep_path&amp;" /spath="&amp;search_path&amp;" /stypes=""*"&amp;S239&amp;"*"&amp;TEXT(A239-utc_offset/24,"YYYYMMDD")&amp;LEFT(TEXT(A239-utc_offset/24,"HH"),1)&amp;"*"" /stext="" "&amp;TEXT(A239-utc_offset/24,"HH")&amp;search_regexp&amp;""" /e /r /s"</f>
        <v>"C:\Program Files (x86)\AstroGrep\AstroGrep.exe" /spath="C:\Users\stu\Documents\Analysis\2016-02-23 RTDC Observations" /stypes="*4013*201609051*" /stext=" 15:.+((SYSTEM_STATE.+slice.+state.+changed )|(ment ac)|(system.+state.+changed )|(\|lc)|(penalty)|(\[timeout)|(PRM\|1\|D))" /e /r /s</v>
      </c>
      <c r="S239" s="176" t="str">
        <f t="shared" si="26"/>
        <v>4013</v>
      </c>
      <c r="T239" s="172">
        <f t="shared" si="27"/>
        <v>42618.665416666663</v>
      </c>
      <c r="U239" s="181" t="str">
        <f t="shared" si="30"/>
        <v>EC</v>
      </c>
      <c r="V239" s="181" t="str">
        <f t="shared" si="28"/>
        <v>KEEP</v>
      </c>
      <c r="W239" s="186" t="str">
        <f t="shared" ref="W239:W286" si="33">"echo {""issue"":{""subject"":"""&amp;N239&amp;""",""project_id"":79,""tracker_id"":40,""status_id"":"&amp;redmine_status&amp;",""priority_id"":"&amp;redmine_priority&amp;",""assigned_to_id"":"&amp;redmine_assignee&amp;",""start_date"":"""&amp;TEXT(A239,"YYYY-mm-dd")&amp;""",""description"":"""&amp;X239&amp;""",""custom_fields"":[{""id"":1,""name"":""Subdivision"",""value"":"""&amp;U239&amp;"""},{""id"":4,""name"":""Milepost"",""value"":"""&amp;J239/10000&amp;"""},{""id"":17,""name"":""Train ID"",""value"":"""&amp;C239&amp;"""},{""id"":16,""name"":""Locomotive ID"",""value"":"""&amp;S239&amp;"""},{""id"":130,""name"":""Impact"",""value"":"""&amp;Y239&amp;"""},{""id"":150,""name"":""Time of Event (Mountain Time)"",""value"":"""&amp;TEXT(A239,"hh:mm:ss")&amp;"""},{""id"":151,""name"":""Denver Issue ID"",""value"":"""&amp;"""},{""id"":178,""name"":""Operational Impact"",""value"":"""&amp;redmine_op_impact&amp;"""},{""id"":179,""name"":""Denver Segment Assigned"",""value"":"""&amp;Z239&amp;"""}]}}"&amp;"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arrival","project_id":79,"tracker_id":40,"status_id":1,"priority_id":2,"assigned_to_id":23,"start_date":"2016-09-05","description":"","custom_fields":[{"id":1,"name":"Subdivision","value":"EC"},{"id":4,"name":"Milepost","value":"2.735"},{"id":17,"name":"Train ID","value":"140-05"},{"id":16,"name":"Locomotive ID","value":"4013"},{"id":130,"name":"Impact","value":""},{"id":150,"name":"Time of Event (Mountain Time)","value":"09:58:12"},{"id":151,"name":"Denver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0" spans="1:23" x14ac:dyDescent="0.25">
      <c r="A240" s="172">
        <v>42618.381145833337</v>
      </c>
      <c r="B240" s="173" t="s">
        <v>213</v>
      </c>
      <c r="C240" s="173" t="s">
        <v>729</v>
      </c>
      <c r="D240" s="173" t="s">
        <v>229</v>
      </c>
      <c r="E240" s="173" t="s">
        <v>206</v>
      </c>
      <c r="F240" s="174">
        <v>0</v>
      </c>
      <c r="G240" s="174">
        <v>187</v>
      </c>
      <c r="H240" s="174">
        <v>33178</v>
      </c>
      <c r="I240" s="173" t="s">
        <v>205</v>
      </c>
      <c r="J240" s="174">
        <v>33137</v>
      </c>
      <c r="K240" s="173" t="s">
        <v>52</v>
      </c>
      <c r="L240" s="175" t="str">
        <f>VLOOKUP(C240,'[10]Trips&amp;Operators'!$C$1:$E$9999,3,0)</f>
        <v>MALAVE</v>
      </c>
      <c r="M240" s="182" t="s">
        <v>86</v>
      </c>
      <c r="N240" s="177" t="s">
        <v>336</v>
      </c>
      <c r="P240" s="183" t="str">
        <f>VLOOKUP(C240,'[10]Train Runs'!$A$13:$AE$10002,31,0)</f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Q240" s="184" t="str">
        <f>VLOOKUP(C240,'[10]Train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07:57:36-0600',mode:absolute,to:'2016-09-05 10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240" s="185" t="str">
        <f t="shared" si="32"/>
        <v>"C:\Program Files (x86)\AstroGrep\AstroGrep.exe" /spath="C:\Users\stu\Documents\Analysis\2016-02-23 RTDC Observations" /stypes="*4011*201609051*" /stext=" 15:.+((SYSTEM_STATE.+slice.+state.+changed )|(ment ac)|(system.+state.+changed )|(\|lc)|(penalty)|(\[timeout)|(PRM\|1\|D))" /e /r /s</v>
      </c>
      <c r="S240" s="176" t="str">
        <f t="shared" si="26"/>
        <v>4011</v>
      </c>
      <c r="T240" s="172">
        <f t="shared" si="27"/>
        <v>42618.631145833337</v>
      </c>
      <c r="U240" s="181" t="str">
        <f t="shared" si="30"/>
        <v>EC</v>
      </c>
      <c r="V240" s="181" t="str">
        <f t="shared" si="28"/>
        <v>KEEP</v>
      </c>
      <c r="W240" s="186" t="str">
        <f t="shared" si="33"/>
        <v>echo {"issue":{"subject":"Early arrival","project_id":79,"tracker_id":40,"status_id":1,"priority_id":2,"assigned_to_id":23,"start_date":"2016-09-05","description":"","custom_fields":[{"id":1,"name":"Subdivision","value":"EC"},{"id":4,"name":"Milepost","value":"3.3137"},{"id":17,"name":"Train ID","value":"143-05"},{"id":16,"name":"Locomotive ID","value":"4011"},{"id":130,"name":"Impact","value":""},{"id":150,"name":"Time of Event (Mountain Time)","value":"09:08:51"},{"id":151,"name":"Denver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1" spans="1:23" x14ac:dyDescent="0.25">
      <c r="A241" s="172">
        <v>42618.24863425926</v>
      </c>
      <c r="B241" s="173" t="s">
        <v>226</v>
      </c>
      <c r="C241" s="173" t="s">
        <v>727</v>
      </c>
      <c r="D241" s="173" t="s">
        <v>229</v>
      </c>
      <c r="E241" s="173" t="s">
        <v>206</v>
      </c>
      <c r="F241" s="174">
        <v>0</v>
      </c>
      <c r="G241" s="174">
        <v>189</v>
      </c>
      <c r="H241" s="174">
        <v>33208</v>
      </c>
      <c r="I241" s="173" t="s">
        <v>205</v>
      </c>
      <c r="J241" s="174">
        <v>33257</v>
      </c>
      <c r="K241" s="173" t="s">
        <v>53</v>
      </c>
      <c r="L241" s="175" t="str">
        <f>VLOOKUP(C241,'[10]Trips&amp;Operators'!$C$1:$E$9999,3,0)</f>
        <v>SPECTOR</v>
      </c>
      <c r="M241" s="182" t="s">
        <v>86</v>
      </c>
      <c r="N241" s="177" t="s">
        <v>336</v>
      </c>
      <c r="P241" s="183" t="str">
        <f>VLOOKUP(C241,'[10]Train Runs'!$A$13:$AE$10002,31,0)</f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Q241" s="184" t="str">
        <f>VLOOKUP(C241,'[10]Train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04:21:30-0600',mode:absolute,to:'2016-09-05 07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41" s="185" t="str">
        <f t="shared" si="32"/>
        <v>"C:\Program Files (x86)\AstroGrep\AstroGrep.exe" /spath="C:\Users\stu\Documents\Analysis\2016-02-23 RTDC Observations" /stypes="*4043*201609051*" /stext=" 11:.+((SYSTEM_STATE.+slice.+state.+changed )|(ment ac)|(system.+state.+changed )|(\|lc)|(penalty)|(\[timeout)|(PRM\|1\|D))" /e /r /s</v>
      </c>
      <c r="S241" s="176" t="str">
        <f t="shared" si="26"/>
        <v>4043</v>
      </c>
      <c r="T241" s="172">
        <f t="shared" si="27"/>
        <v>42618.49863425926</v>
      </c>
      <c r="U241" s="181" t="str">
        <f t="shared" si="30"/>
        <v>EC</v>
      </c>
      <c r="V241" s="181" t="str">
        <f t="shared" si="28"/>
        <v>KEEP</v>
      </c>
      <c r="W241" s="186" t="str">
        <f t="shared" si="33"/>
        <v>echo {"issue":{"subject":"Early arrival","project_id":79,"tracker_id":40,"status_id":1,"priority_id":2,"assigned_to_id":23,"start_date":"2016-09-05","description":"","custom_fields":[{"id":1,"name":"Subdivision","value":"EC"},{"id":4,"name":"Milepost","value":"3.3257"},{"id":17,"name":"Train ID","value":"108-05"},{"id":16,"name":"Locomotive ID","value":"4043"},{"id":130,"name":"Impact","value":""},{"id":150,"name":"Time of Event (Mountain Time)","value":"05:58:02"},{"id":151,"name":"Denver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2" spans="1:23" x14ac:dyDescent="0.25">
      <c r="A242" s="172">
        <v>42618.488483796296</v>
      </c>
      <c r="B242" s="173" t="s">
        <v>90</v>
      </c>
      <c r="C242" s="173" t="s">
        <v>710</v>
      </c>
      <c r="D242" s="173" t="s">
        <v>49</v>
      </c>
      <c r="E242" s="173" t="s">
        <v>206</v>
      </c>
      <c r="F242" s="174">
        <v>0</v>
      </c>
      <c r="G242" s="174">
        <v>49</v>
      </c>
      <c r="H242" s="174">
        <v>53490</v>
      </c>
      <c r="I242" s="173" t="s">
        <v>205</v>
      </c>
      <c r="J242" s="174">
        <v>53277</v>
      </c>
      <c r="K242" s="173" t="s">
        <v>53</v>
      </c>
      <c r="L242" s="175" t="str">
        <f>VLOOKUP(C242,'[10]Trips&amp;Operators'!$C$1:$E$9999,3,0)</f>
        <v>STARKS</v>
      </c>
      <c r="M242" s="182" t="s">
        <v>86</v>
      </c>
      <c r="N242" s="177" t="s">
        <v>1941</v>
      </c>
      <c r="P242" s="183" t="str">
        <f>VLOOKUP(C242,'[10]Train Runs'!$A$13:$AE$10002,31,0)</f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Q242" s="184" t="str">
        <f>VLOOKUP(C242,'[10]Train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10:07:06-0600',mode:absolute,to:'2016-09-05 12:58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42" s="185" t="str">
        <f t="shared" si="32"/>
        <v>"C:\Program Files (x86)\AstroGrep\AstroGrep.exe" /spath="C:\Users\stu\Documents\Analysis\2016-02-23 RTDC Observations" /stypes="*4013*201609051*" /stext=" 17:.+((SYSTEM_STATE.+slice.+state.+changed )|(ment ac)|(system.+state.+changed )|(\|lc)|(penalty)|(\[timeout)|(PRM\|1\|D))" /e /r /s</v>
      </c>
      <c r="S242" s="176" t="str">
        <f t="shared" si="26"/>
        <v>4013</v>
      </c>
      <c r="T242" s="172">
        <f t="shared" si="27"/>
        <v>42618.738483796296</v>
      </c>
      <c r="U242" s="181" t="str">
        <f t="shared" si="30"/>
        <v>EC</v>
      </c>
      <c r="V242" s="181" t="str">
        <f t="shared" si="28"/>
        <v>KEEP</v>
      </c>
      <c r="W242" s="186" t="str">
        <f t="shared" si="33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ID","value":"154-05"},{"id":16,"name":"Locomotive ID","value":"4013"},{"id":130,"name":"Impact","value":""},{"id":150,"name":"Time of Event (Mountain Time)","value":"11:43:25"},{"id":151,"name":"Denver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3" spans="1:23" x14ac:dyDescent="0.25">
      <c r="A243" s="172">
        <v>42618.489560185182</v>
      </c>
      <c r="B243" s="173" t="s">
        <v>90</v>
      </c>
      <c r="C243" s="173" t="s">
        <v>710</v>
      </c>
      <c r="D243" s="173" t="s">
        <v>49</v>
      </c>
      <c r="E243" s="173" t="s">
        <v>206</v>
      </c>
      <c r="F243" s="174">
        <v>0</v>
      </c>
      <c r="G243" s="174">
        <v>37</v>
      </c>
      <c r="H243" s="174">
        <v>53405</v>
      </c>
      <c r="I243" s="173" t="s">
        <v>205</v>
      </c>
      <c r="J243" s="174">
        <v>53277</v>
      </c>
      <c r="K243" s="173" t="s">
        <v>53</v>
      </c>
      <c r="L243" s="175" t="str">
        <f>VLOOKUP(C243,'[10]Trips&amp;Operators'!$C$1:$E$9999,3,0)</f>
        <v>STARKS</v>
      </c>
      <c r="M243" s="182" t="s">
        <v>86</v>
      </c>
      <c r="N243" s="177" t="s">
        <v>1941</v>
      </c>
      <c r="P243" s="183" t="str">
        <f>VLOOKUP(C243,'[10]Train Runs'!$A$13:$AE$10002,31,0)</f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Q243" s="184" t="str">
        <f>VLOOKUP(C243,'[10]Train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10:07:06-0600',mode:absolute,to:'2016-09-05 12:58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43" s="185" t="str">
        <f t="shared" si="32"/>
        <v>"C:\Program Files (x86)\AstroGrep\AstroGrep.exe" /spath="C:\Users\stu\Documents\Analysis\2016-02-23 RTDC Observations" /stypes="*4013*201609051*" /stext=" 17:.+((SYSTEM_STATE.+slice.+state.+changed )|(ment ac)|(system.+state.+changed )|(\|lc)|(penalty)|(\[timeout)|(PRM\|1\|D))" /e /r /s</v>
      </c>
      <c r="S243" s="176" t="str">
        <f t="shared" si="26"/>
        <v>4013</v>
      </c>
      <c r="T243" s="172">
        <f t="shared" si="27"/>
        <v>42618.739560185182</v>
      </c>
      <c r="U243" s="181" t="str">
        <f t="shared" si="30"/>
        <v>EC</v>
      </c>
      <c r="V243" s="181" t="str">
        <f t="shared" si="28"/>
        <v>KEEP</v>
      </c>
      <c r="W243" s="186" t="str">
        <f t="shared" si="33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ID","value":"154-05"},{"id":16,"name":"Locomotive ID","value":"4013"},{"id":130,"name":"Impact","value":""},{"id":150,"name":"Time of Event (Mountain Time)","value":"11:44:58"},{"id":151,"name":"Denver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4" spans="1:23" x14ac:dyDescent="0.25">
      <c r="A244" s="172">
        <v>42618.506921296299</v>
      </c>
      <c r="B244" s="173" t="s">
        <v>325</v>
      </c>
      <c r="C244" s="173" t="s">
        <v>739</v>
      </c>
      <c r="D244" s="173" t="s">
        <v>49</v>
      </c>
      <c r="E244" s="173" t="s">
        <v>206</v>
      </c>
      <c r="F244" s="174">
        <v>0</v>
      </c>
      <c r="G244" s="174">
        <v>38</v>
      </c>
      <c r="H244" s="174">
        <v>53384</v>
      </c>
      <c r="I244" s="173" t="s">
        <v>205</v>
      </c>
      <c r="J244" s="174">
        <v>53277</v>
      </c>
      <c r="K244" s="173" t="s">
        <v>53</v>
      </c>
      <c r="L244" s="175" t="str">
        <f>VLOOKUP(C244,'[10]Trips&amp;Operators'!$C$1:$E$9999,3,0)</f>
        <v>MALAVE</v>
      </c>
      <c r="M244" s="182" t="s">
        <v>86</v>
      </c>
      <c r="N244" s="177" t="s">
        <v>1941</v>
      </c>
      <c r="P244" s="183" t="str">
        <f>VLOOKUP(C244,'[10]Train Runs'!$A$13:$AE$10002,31,0)</f>
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</c>
      <c r="Q244" s="184" t="str">
        <f>VLOOKUP(C244,'[10]Train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10:39:34-0600',mode:absolute,to:'2016-09-05 13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244" s="185" t="str">
        <f t="shared" si="32"/>
        <v>"C:\Program Files (x86)\AstroGrep\AstroGrep.exe" /spath="C:\Users\stu\Documents\Analysis\2016-02-23 RTDC Observations" /stypes="*4012*201609051*" /stext=" 18:.+((SYSTEM_STATE.+slice.+state.+changed )|(ment ac)|(system.+state.+changed )|(\|lc)|(penalty)|(\[timeout)|(PRM\|1\|D))" /e /r /s</v>
      </c>
      <c r="S244" s="176" t="str">
        <f t="shared" si="26"/>
        <v>4012</v>
      </c>
      <c r="T244" s="172">
        <f t="shared" si="27"/>
        <v>42618.756921296299</v>
      </c>
      <c r="U244" s="181" t="str">
        <f t="shared" si="30"/>
        <v>EC</v>
      </c>
      <c r="V244" s="181" t="str">
        <f t="shared" si="28"/>
        <v>KEEP</v>
      </c>
      <c r="W244" s="186" t="str">
        <f t="shared" si="33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ID","value":"158-05"},{"id":16,"name":"Locomotive ID","value":"4012"},{"id":130,"name":"Impact","value":""},{"id":150,"name":"Time of Event (Mountain Time)","value":"12:09:58"},{"id":151,"name":"Denver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5" spans="1:23" x14ac:dyDescent="0.25">
      <c r="A245" s="172">
        <v>42618.683946759258</v>
      </c>
      <c r="B245" s="173" t="s">
        <v>226</v>
      </c>
      <c r="C245" s="173" t="s">
        <v>738</v>
      </c>
      <c r="D245" s="173" t="s">
        <v>49</v>
      </c>
      <c r="E245" s="173" t="s">
        <v>206</v>
      </c>
      <c r="F245" s="174">
        <v>0</v>
      </c>
      <c r="G245" s="174">
        <v>58</v>
      </c>
      <c r="H245" s="174">
        <v>53370</v>
      </c>
      <c r="I245" s="173" t="s">
        <v>205</v>
      </c>
      <c r="J245" s="174">
        <v>53277</v>
      </c>
      <c r="K245" s="173" t="s">
        <v>53</v>
      </c>
      <c r="L245" s="175" t="str">
        <f>VLOOKUP(C245,'[10]Trips&amp;Operators'!$C$1:$E$9999,3,0)</f>
        <v>BONDS</v>
      </c>
      <c r="M245" s="182" t="s">
        <v>86</v>
      </c>
      <c r="N245" s="177" t="s">
        <v>1941</v>
      </c>
      <c r="P245" s="183" t="str">
        <f>VLOOKUP(C245,'[10]Train Runs'!$A$13:$AE$10002,31,0)</f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Q245" s="184" t="str">
        <f>VLOOKUP(C245,'[10]Train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14:43:40-0600',mode:absolute,to:'2016-09-05 17:39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45" s="185" t="str">
        <f t="shared" si="32"/>
        <v>"C:\Program Files (x86)\AstroGrep\AstroGrep.exe" /spath="C:\Users\stu\Documents\Analysis\2016-02-23 RTDC Observations" /stypes="*4043*201609052*" /stext=" 22:.+((SYSTEM_STATE.+slice.+state.+changed )|(ment ac)|(system.+state.+changed )|(\|lc)|(penalty)|(\[timeout)|(PRM\|1\|D))" /e /r /s</v>
      </c>
      <c r="S245" s="176" t="str">
        <f t="shared" si="26"/>
        <v>4043</v>
      </c>
      <c r="T245" s="172">
        <f t="shared" si="27"/>
        <v>42618.933946759258</v>
      </c>
      <c r="U245" s="181" t="str">
        <f t="shared" si="30"/>
        <v>EC</v>
      </c>
      <c r="V245" s="181" t="str">
        <f t="shared" si="28"/>
        <v>KEEP</v>
      </c>
      <c r="W245" s="186" t="str">
        <f t="shared" si="33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ID","value":"192-05"},{"id":16,"name":"Locomotive ID","value":"4043"},{"id":130,"name":"Impact","value":""},{"id":150,"name":"Time of Event (Mountain Time)","value":"16:24:53"},{"id":151,"name":"Denver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6" spans="1:23" x14ac:dyDescent="0.25">
      <c r="A246" s="172">
        <v>42618.757719907408</v>
      </c>
      <c r="B246" s="173" t="s">
        <v>226</v>
      </c>
      <c r="C246" s="173" t="s">
        <v>740</v>
      </c>
      <c r="D246" s="173" t="s">
        <v>49</v>
      </c>
      <c r="E246" s="173" t="s">
        <v>206</v>
      </c>
      <c r="F246" s="174">
        <v>0</v>
      </c>
      <c r="G246" s="174">
        <v>30</v>
      </c>
      <c r="H246" s="174">
        <v>53370</v>
      </c>
      <c r="I246" s="173" t="s">
        <v>205</v>
      </c>
      <c r="J246" s="174">
        <v>53277</v>
      </c>
      <c r="K246" s="173" t="s">
        <v>53</v>
      </c>
      <c r="L246" s="175" t="str">
        <f>VLOOKUP(C246,'[10]Trips&amp;Operators'!$C$1:$E$9999,3,0)</f>
        <v>BONDS</v>
      </c>
      <c r="M246" s="182" t="s">
        <v>86</v>
      </c>
      <c r="N246" s="177" t="s">
        <v>1941</v>
      </c>
      <c r="P246" s="183" t="str">
        <f>VLOOKUP(C246,'[10]Train Runs'!$A$13:$AE$10002,31,0)</f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Q246" s="184" t="str">
        <f>VLOOKUP(C246,'[10]Train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16:28:17-0600',mode:absolute,to:'2016-09-05 19:24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46" s="185" t="str">
        <f t="shared" si="32"/>
        <v>"C:\Program Files (x86)\AstroGrep\AstroGrep.exe" /spath="C:\Users\stu\Documents\Analysis\2016-02-23 RTDC Observations" /stypes="*4043*201609060*" /stext=" 00:.+((SYSTEM_STATE.+slice.+state.+changed )|(ment ac)|(system.+state.+changed )|(\|lc)|(penalty)|(\[timeout)|(PRM\|1\|D))" /e /r /s</v>
      </c>
      <c r="S246" s="176" t="str">
        <f t="shared" si="26"/>
        <v>4043</v>
      </c>
      <c r="T246" s="172">
        <f t="shared" si="27"/>
        <v>42619.007719907408</v>
      </c>
      <c r="U246" s="181" t="str">
        <f t="shared" si="30"/>
        <v>EC</v>
      </c>
      <c r="V246" s="181" t="str">
        <f t="shared" si="28"/>
        <v>KEEP</v>
      </c>
      <c r="W246" s="186" t="str">
        <f t="shared" si="33"/>
        <v>echo {"issue":{"subject":"Form C","project_id":79,"tracker_id":40,"status_id":1,"priority_id":2,"assigned_to_id":23,"start_date":"2016-09-05","description":"","custom_fields":[{"id":1,"name":"Subdivision","value":"EC"},{"id":4,"name":"Milepost","value":"5.3277"},{"id":17,"name":"Train ID","value":"206-05"},{"id":16,"name":"Locomotive ID","value":"4043"},{"id":130,"name":"Impact","value":""},{"id":150,"name":"Time of Event (Mountain Time)","value":"18:11:07"},{"id":151,"name":"Denver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7" spans="1:23" x14ac:dyDescent="0.25">
      <c r="A247" s="172">
        <v>42618.480162037034</v>
      </c>
      <c r="B247" s="173" t="s">
        <v>90</v>
      </c>
      <c r="C247" s="173" t="s">
        <v>710</v>
      </c>
      <c r="D247" s="173" t="s">
        <v>229</v>
      </c>
      <c r="E247" s="173" t="s">
        <v>206</v>
      </c>
      <c r="F247" s="174">
        <v>0</v>
      </c>
      <c r="G247" s="174">
        <v>227</v>
      </c>
      <c r="H247" s="174">
        <v>109042</v>
      </c>
      <c r="I247" s="173" t="s">
        <v>205</v>
      </c>
      <c r="J247" s="174">
        <v>109135</v>
      </c>
      <c r="K247" s="173" t="s">
        <v>53</v>
      </c>
      <c r="L247" s="175" t="str">
        <f>VLOOKUP(C247,'[10]Trips&amp;Operators'!$C$1:$E$9999,3,0)</f>
        <v>STARKS</v>
      </c>
      <c r="M247" s="182" t="s">
        <v>86</v>
      </c>
      <c r="N247" s="177" t="s">
        <v>336</v>
      </c>
      <c r="P247" s="183" t="str">
        <f>VLOOKUP(C247,'[10]Train Runs'!$A$13:$AE$10002,31,0)</f>
        <v>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 &amp; aws s3 cp s3://rtdc.mdm.uploadarchive/RTDC4013/2016-09-06/ "%USERPROFILE%\AppData\Local\Temp\OnboardLogs"\RTDC4013\2016-09-06 --recursive &amp; "%USERPROFILE%\Documents\GitHub\mrs-test-scripts\Headless Mode &amp; Sideloading\WalkAndUnGZ.bat" "%USERPROFILE%\AppData\Local\Temp\OnboardLogs"\RTDC4013\2016-09-06</v>
      </c>
      <c r="Q247" s="184" t="str">
        <f>VLOOKUP(C247,'[10]Train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10:07:06-0600',mode:absolute,to:'2016-09-05 12:58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47" s="185" t="str">
        <f t="shared" si="32"/>
        <v>"C:\Program Files (x86)\AstroGrep\AstroGrep.exe" /spath="C:\Users\stu\Documents\Analysis\2016-02-23 RTDC Observations" /stypes="*4013*201609051*" /stext=" 17:.+((SYSTEM_STATE.+slice.+state.+changed )|(ment ac)|(system.+state.+changed )|(\|lc)|(penalty)|(\[timeout)|(PRM\|1\|D))" /e /r /s</v>
      </c>
      <c r="S247" s="176" t="str">
        <f t="shared" si="26"/>
        <v>4013</v>
      </c>
      <c r="T247" s="172">
        <f t="shared" si="27"/>
        <v>42618.730162037034</v>
      </c>
      <c r="U247" s="181" t="str">
        <f t="shared" si="30"/>
        <v>EC</v>
      </c>
      <c r="V247" s="181" t="str">
        <f t="shared" si="28"/>
        <v>KEEP</v>
      </c>
      <c r="W247" s="186" t="str">
        <f t="shared" si="33"/>
        <v>echo {"issue":{"subject":"Early arrival","project_id":79,"tracker_id":40,"status_id":1,"priority_id":2,"assigned_to_id":23,"start_date":"2016-09-05","description":"","custom_fields":[{"id":1,"name":"Subdivision","value":"EC"},{"id":4,"name":"Milepost","value":"10.9135"},{"id":17,"name":"Train ID","value":"154-05"},{"id":16,"name":"Locomotive ID","value":"4013"},{"id":130,"name":"Impact","value":""},{"id":150,"name":"Time of Event (Mountain Time)","value":"11:31:26"},{"id":151,"name":"Denver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8" spans="1:23" x14ac:dyDescent="0.25">
      <c r="A248" s="172">
        <v>42618.318020833336</v>
      </c>
      <c r="B248" s="173" t="s">
        <v>213</v>
      </c>
      <c r="C248" s="173" t="s">
        <v>1781</v>
      </c>
      <c r="D248" s="173" t="s">
        <v>49</v>
      </c>
      <c r="E248" s="173" t="s">
        <v>56</v>
      </c>
      <c r="F248" s="174">
        <v>400</v>
      </c>
      <c r="G248" s="174">
        <v>752</v>
      </c>
      <c r="H248" s="174">
        <v>112695</v>
      </c>
      <c r="I248" s="173" t="s">
        <v>57</v>
      </c>
      <c r="J248" s="174">
        <v>116838</v>
      </c>
      <c r="K248" s="173" t="s">
        <v>52</v>
      </c>
      <c r="L248" s="175" t="str">
        <f>VLOOKUP(C248,'[10]Trips&amp;Operators'!$C$1:$E$9999,3,0)</f>
        <v>MALAVE</v>
      </c>
      <c r="M248" s="182" t="s">
        <v>86</v>
      </c>
      <c r="N248" s="177"/>
      <c r="P248" s="183" t="str">
        <f>VLOOKUP(C248,'[10]Train Runs'!$A$13:$AE$10002,31,0)</f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Q248" s="184" t="str">
        <f>VLOOKUP(C248,'[10]Train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06:13:40-0600',mode:absolute,to:'2016-09-05 08:53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248" s="185" t="str">
        <f t="shared" si="32"/>
        <v>"C:\Program Files (x86)\AstroGrep\AstroGrep.exe" /spath="C:\Users\stu\Documents\Analysis\2016-02-23 RTDC Observations" /stypes="*4011*201609051*" /stext=" 13:.+((SYSTEM_STATE.+slice.+state.+changed )|(ment ac)|(system.+state.+changed )|(\|lc)|(penalty)|(\[timeout)|(PRM\|1\|D))" /e /r /s</v>
      </c>
      <c r="S248" s="176" t="str">
        <f t="shared" si="26"/>
        <v>4011</v>
      </c>
      <c r="T248" s="172">
        <f t="shared" si="27"/>
        <v>42618.568020833336</v>
      </c>
      <c r="U248" s="181" t="str">
        <f t="shared" si="30"/>
        <v>EC</v>
      </c>
      <c r="V248" s="181" t="str">
        <f t="shared" si="28"/>
        <v>KEEP</v>
      </c>
      <c r="W248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{"issue":{"subject":"","project_id":79,"tracker_id":40,"status_id":1,"priority_id":2,"assigned_to_id":23,"start_date":"2016-09-05","description":"","custom_fields":[{"id":1,"name":"Subdivision","value":"EC"},{"id":4,"name":"Milepost","value":"11.6838"},{"id":17,"name":"Train ID","value":"129-05"},{"id":16,"name":"Locomotive ID","value":"4011"},{"id":130,"name":"Impact","value":""},{"id":150,"name":"Time of Event (Mountain Time)","value":"07:37:57"},{"id":151,"name":"Denver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49" spans="1:23" x14ac:dyDescent="0.25">
      <c r="A249" s="172">
        <v>42618.304074074076</v>
      </c>
      <c r="B249" s="173" t="s">
        <v>111</v>
      </c>
      <c r="C249" s="173" t="s">
        <v>1774</v>
      </c>
      <c r="D249" s="173" t="s">
        <v>49</v>
      </c>
      <c r="E249" s="173" t="s">
        <v>56</v>
      </c>
      <c r="F249" s="174">
        <v>350</v>
      </c>
      <c r="G249" s="174">
        <v>531</v>
      </c>
      <c r="H249" s="174">
        <v>222846</v>
      </c>
      <c r="I249" s="173" t="s">
        <v>57</v>
      </c>
      <c r="J249" s="174">
        <v>224578</v>
      </c>
      <c r="K249" s="173" t="s">
        <v>52</v>
      </c>
      <c r="L249" s="175" t="str">
        <f>VLOOKUP(C249,'[10]Trips&amp;Operators'!$C$1:$E$9999,3,0)</f>
        <v>STARKS</v>
      </c>
      <c r="M249" s="182" t="s">
        <v>86</v>
      </c>
      <c r="N249" s="177"/>
      <c r="P249" s="183" t="str">
        <f>VLOOKUP(C249,'[10]Train Runs'!$A$13:$AE$10002,31,0)</f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Q249" s="184" t="str">
        <f>VLOOKUP(C249,'[10]Train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05:42:07-0600',mode:absolute,to:'2016-09-05 08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49" s="185" t="str">
        <f t="shared" si="32"/>
        <v>"C:\Program Files (x86)\AstroGrep\AstroGrep.exe" /spath="C:\Users\stu\Documents\Analysis\2016-02-23 RTDC Observations" /stypes="*4014*201609051*" /stext=" 13:.+((SYSTEM_STATE.+slice.+state.+changed )|(ment ac)|(system.+state.+changed )|(\|lc)|(penalty)|(\[timeout)|(PRM\|1\|D))" /e /r /s</v>
      </c>
      <c r="S249" s="176" t="str">
        <f t="shared" si="26"/>
        <v>4014</v>
      </c>
      <c r="T249" s="172">
        <f t="shared" si="27"/>
        <v>42618.554074074076</v>
      </c>
      <c r="U249" s="181" t="str">
        <f t="shared" si="30"/>
        <v>EC</v>
      </c>
      <c r="V249" s="181" t="str">
        <f t="shared" si="28"/>
        <v>KEEP</v>
      </c>
      <c r="W249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{"issue":{"subject":"","project_id":79,"tracker_id":40,"status_id":1,"priority_id":2,"assigned_to_id":23,"start_date":"2016-09-05","description":"","custom_fields":[{"id":1,"name":"Subdivision","value":"EC"},{"id":4,"name":"Milepost","value":"22.4578"},{"id":17,"name":"Train ID","value":"125-05"},{"id":16,"name":"Locomotive ID","value":"4014"},{"id":130,"name":"Impact","value":""},{"id":150,"name":"Time of Event (Mountain Time)","value":"07:17:52"},{"id":151,"name":"Denver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0" spans="1:23" x14ac:dyDescent="0.25">
      <c r="A250" s="172">
        <v>42618.399340277778</v>
      </c>
      <c r="B250" s="173" t="s">
        <v>213</v>
      </c>
      <c r="C250" s="173" t="s">
        <v>729</v>
      </c>
      <c r="D250" s="173" t="s">
        <v>49</v>
      </c>
      <c r="E250" s="173" t="s">
        <v>56</v>
      </c>
      <c r="F250" s="174">
        <v>350</v>
      </c>
      <c r="G250" s="174">
        <v>456</v>
      </c>
      <c r="H250" s="174">
        <v>223637</v>
      </c>
      <c r="I250" s="173" t="s">
        <v>57</v>
      </c>
      <c r="J250" s="174">
        <v>224578</v>
      </c>
      <c r="K250" s="173" t="s">
        <v>52</v>
      </c>
      <c r="L250" s="175" t="str">
        <f>VLOOKUP(C250,'[10]Trips&amp;Operators'!$C$1:$E$9999,3,0)</f>
        <v>MALAVE</v>
      </c>
      <c r="M250" s="182" t="s">
        <v>86</v>
      </c>
      <c r="N250" s="177"/>
      <c r="P250" s="183" t="str">
        <f>VLOOKUP(C250,'[10]Train Runs'!$A$13:$AE$10002,31,0)</f>
        <v>aws s3 cp s3://rtdc.mdm.uploadarchive/RTDC4011/2016-09-05/ "%USERPROFILE%\AppData\Local\Temp\OnboardLogs"\RTDC4011\2016-09-05 --recursive &amp; "%USERPROFILE%\Documents\GitHub\mrs-test-scripts\Headless Mode &amp; Sideloading\WalkAndUnGZ.bat" "%USERPROFILE%\AppData\Local\Temp\OnboardLogs"\RTDC4011\2016-09-05 &amp; aws s3 cp s3://rtdc.mdm.uploadarchive/RTDC4011/2016-09-06/ "%USERPROFILE%\AppData\Local\Temp\OnboardLogs"\RTDC4011\2016-09-06 --recursive &amp; "%USERPROFILE%\Documents\GitHub\mrs-test-scripts\Headless Mode &amp; Sideloading\WalkAndUnGZ.bat" "%USERPROFILE%\AppData\Local\Temp\OnboardLogs"\RTDC4011\2016-09-06</v>
      </c>
      <c r="Q250" s="184" t="str">
        <f>VLOOKUP(C250,'[10]Train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07:57:36-0600',mode:absolute,to:'2016-09-05 10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250" s="185" t="str">
        <f t="shared" si="32"/>
        <v>"C:\Program Files (x86)\AstroGrep\AstroGrep.exe" /spath="C:\Users\stu\Documents\Analysis\2016-02-23 RTDC Observations" /stypes="*4011*201609051*" /stext=" 15:.+((SYSTEM_STATE.+slice.+state.+changed )|(ment ac)|(system.+state.+changed )|(\|lc)|(penalty)|(\[timeout)|(PRM\|1\|D))" /e /r /s</v>
      </c>
      <c r="S250" s="176" t="str">
        <f t="shared" si="26"/>
        <v>4011</v>
      </c>
      <c r="T250" s="172">
        <f t="shared" si="27"/>
        <v>42618.649340277778</v>
      </c>
      <c r="U250" s="181" t="str">
        <f t="shared" si="30"/>
        <v>EC</v>
      </c>
      <c r="V250" s="181" t="str">
        <f t="shared" si="28"/>
        <v>KEEP</v>
      </c>
      <c r="W250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{"issue":{"subject":"","project_id":79,"tracker_id":40,"status_id":1,"priority_id":2,"assigned_to_id":23,"start_date":"2016-09-05","description":"","custom_fields":[{"id":1,"name":"Subdivision","value":"EC"},{"id":4,"name":"Milepost","value":"22.4578"},{"id":17,"name":"Train ID","value":"143-05"},{"id":16,"name":"Locomotive ID","value":"4011"},{"id":130,"name":"Impact","value":""},{"id":150,"name":"Time of Event (Mountain Time)","value":"09:35:03"},{"id":151,"name":"Denver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1" spans="1:23" x14ac:dyDescent="0.25">
      <c r="A251" s="172">
        <v>42618.576053240744</v>
      </c>
      <c r="B251" s="173" t="s">
        <v>227</v>
      </c>
      <c r="C251" s="173" t="s">
        <v>1843</v>
      </c>
      <c r="D251" s="173" t="s">
        <v>110</v>
      </c>
      <c r="E251" s="173" t="s">
        <v>56</v>
      </c>
      <c r="F251" s="174">
        <v>350</v>
      </c>
      <c r="G251" s="174">
        <v>401</v>
      </c>
      <c r="H251" s="174">
        <v>225979</v>
      </c>
      <c r="I251" s="173" t="s">
        <v>57</v>
      </c>
      <c r="J251" s="174">
        <v>228668</v>
      </c>
      <c r="K251" s="173" t="s">
        <v>53</v>
      </c>
      <c r="L251" s="175" t="str">
        <f>VLOOKUP(C251,'[10]Trips&amp;Operators'!$C$1:$E$9999,3,0)</f>
        <v>STEWART</v>
      </c>
      <c r="M251" s="182" t="s">
        <v>86</v>
      </c>
      <c r="N251" s="177"/>
      <c r="P251" s="183" t="str">
        <f>VLOOKUP(C251,'[10]Train Runs'!$A$13:$AE$10002,31,0)</f>
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</c>
      <c r="Q251" s="184" t="str">
        <f>VLOOKUP(C251,'[10]Train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12:38:39-0600',mode:absolute,to:'2016-09-05 15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51" s="185" t="str">
        <f t="shared" si="32"/>
        <v>"C:\Program Files (x86)\AstroGrep\AstroGrep.exe" /spath="C:\Users\stu\Documents\Analysis\2016-02-23 RTDC Observations" /stypes="*4001*201609051*" /stext=" 19:.+((SYSTEM_STATE.+slice.+state.+changed )|(ment ac)|(system.+state.+changed )|(\|lc)|(penalty)|(\[timeout)|(PRM\|1\|D))" /e /r /s</v>
      </c>
      <c r="S251" s="176" t="str">
        <f t="shared" si="26"/>
        <v>4001</v>
      </c>
      <c r="T251" s="172">
        <f t="shared" si="27"/>
        <v>42618.826053240744</v>
      </c>
      <c r="U251" s="181" t="str">
        <f t="shared" si="30"/>
        <v>EC</v>
      </c>
      <c r="V251" s="181" t="str">
        <f t="shared" si="28"/>
        <v>KEEP</v>
      </c>
      <c r="W251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{"issue":{"subject":"","project_id":79,"tracker_id":40,"status_id":1,"priority_id":2,"assigned_to_id":23,"start_date":"2016-09-05","description":"","custom_fields":[{"id":1,"name":"Subdivision","value":"EC"},{"id":4,"name":"Milepost","value":"22.8668"},{"id":17,"name":"Train ID","value":"174-05"},{"id":16,"name":"Locomotive ID","value":"4001"},{"id":130,"name":"Impact","value":""},{"id":150,"name":"Time of Event (Mountain Time)","value":"13:49:31"},{"id":151,"name":"Denver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2" spans="1:23" x14ac:dyDescent="0.25">
      <c r="A252" s="172">
        <v>42618.277442129627</v>
      </c>
      <c r="B252" s="173" t="s">
        <v>325</v>
      </c>
      <c r="C252" s="173" t="s">
        <v>1771</v>
      </c>
      <c r="D252" s="173" t="s">
        <v>49</v>
      </c>
      <c r="E252" s="173" t="s">
        <v>54</v>
      </c>
      <c r="F252" s="174">
        <v>0</v>
      </c>
      <c r="G252" s="174">
        <v>663</v>
      </c>
      <c r="H252" s="174">
        <v>131607</v>
      </c>
      <c r="I252" s="173" t="s">
        <v>55</v>
      </c>
      <c r="J252" s="174">
        <v>127587</v>
      </c>
      <c r="K252" s="173" t="s">
        <v>53</v>
      </c>
      <c r="L252" s="175" t="str">
        <f>VLOOKUP(C252,'[10]Trips&amp;Operators'!$C$1:$E$9999,3,0)</f>
        <v>MALAVE</v>
      </c>
      <c r="M252" s="182" t="s">
        <v>86</v>
      </c>
      <c r="N252" s="177" t="s">
        <v>1943</v>
      </c>
      <c r="P252" s="183" t="str">
        <f>VLOOKUP(C252,'[10]Train Runs'!$A$13:$AE$10002,31,0)</f>
        <v>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 &amp; aws s3 cp s3://rtdc.mdm.uploadarchive/RTDC4012/2016-09-06/ "%USERPROFILE%\AppData\Local\Temp\OnboardLogs"\RTDC4012\2016-09-06 --recursive &amp; "%USERPROFILE%\Documents\GitHub\mrs-test-scripts\Headless Mode &amp; Sideloading\WalkAndUnGZ.bat" "%USERPROFILE%\AppData\Local\Temp\OnboardLogs"\RTDC4012\2016-09-06</v>
      </c>
      <c r="Q252" s="184" t="str">
        <f>VLOOKUP(C252,'[10]Train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05:23:09-0600',mode:absolute,to:'2016-09-05 08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252" s="185" t="str">
        <f t="shared" si="32"/>
        <v>"C:\Program Files (x86)\AstroGrep\AstroGrep.exe" /spath="C:\Users\stu\Documents\Analysis\2016-02-23 RTDC Observations" /stypes="*4012*201609051*" /stext=" 12:.+((SYSTEM_STATE.+slice.+state.+changed )|(ment ac)|(system.+state.+changed )|(\|lc)|(penalty)|(\[timeout)|(PRM\|1\|D))" /e /r /s</v>
      </c>
      <c r="S252" s="176" t="str">
        <f t="shared" si="26"/>
        <v>4012</v>
      </c>
      <c r="T252" s="172">
        <f t="shared" si="27"/>
        <v>42618.527442129627</v>
      </c>
      <c r="U252" s="181" t="str">
        <f t="shared" si="30"/>
        <v>EC</v>
      </c>
      <c r="V252" s="181" t="str">
        <f t="shared" si="28"/>
        <v>KEEP</v>
      </c>
      <c r="W252" s="186" t="str">
        <f t="shared" si="33"/>
        <v>echo {"issue":{"subject":"40th 4S STOP, cleared shortly","project_id":79,"tracker_id":40,"status_id":1,"priority_id":2,"assigned_to_id":23,"start_date":"2016-09-05","description":"","custom_fields":[{"id":1,"name":"Subdivision","value":"EC"},{"id":4,"name":"Milepost","value":"12.7587"},{"id":17,"name":"Train ID","value":"116-05"},{"id":16,"name":"Locomotive ID","value":"4012"},{"id":130,"name":"Impact","value":""},{"id":150,"name":"Time of Event (Mountain Time)","value":"06:39:31"},{"id":151,"name":"Denver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3" spans="1:23" x14ac:dyDescent="0.25">
      <c r="A253" s="172">
        <v>42618.705347222225</v>
      </c>
      <c r="B253" s="173" t="s">
        <v>204</v>
      </c>
      <c r="C253" s="173" t="s">
        <v>1875</v>
      </c>
      <c r="D253" s="173" t="s">
        <v>49</v>
      </c>
      <c r="E253" s="173" t="s">
        <v>54</v>
      </c>
      <c r="F253" s="174">
        <v>0</v>
      </c>
      <c r="G253" s="174">
        <v>528</v>
      </c>
      <c r="H253" s="174">
        <v>130602</v>
      </c>
      <c r="I253" s="173" t="s">
        <v>55</v>
      </c>
      <c r="J253" s="174">
        <v>127587</v>
      </c>
      <c r="K253" s="173" t="s">
        <v>53</v>
      </c>
      <c r="L253" s="175" t="str">
        <f>VLOOKUP(C253,'[10]Trips&amp;Operators'!$C$1:$E$9999,3,0)</f>
        <v>HELVIE</v>
      </c>
      <c r="M253" s="182" t="s">
        <v>86</v>
      </c>
      <c r="N253" s="177" t="s">
        <v>1943</v>
      </c>
      <c r="P253" s="183" t="str">
        <f>VLOOKUP(C253,'[10]Train Runs'!$A$13:$AE$10002,31,0)</f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Q253" s="184" t="str">
        <f>VLOOKUP(C253,'[10]Train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15:37:26-0600',mode:absolute,to:'2016-09-05 18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253" s="185" t="str">
        <f t="shared" si="32"/>
        <v>"C:\Program Files (x86)\AstroGrep\AstroGrep.exe" /spath="C:\Users\stu\Documents\Analysis\2016-02-23 RTDC Observations" /stypes="*4028*201609052*" /stext=" 22:.+((SYSTEM_STATE.+slice.+state.+changed )|(ment ac)|(system.+state.+changed )|(\|lc)|(penalty)|(\[timeout)|(PRM\|1\|D))" /e /r /s</v>
      </c>
      <c r="S253" s="176" t="str">
        <f t="shared" si="26"/>
        <v>4028</v>
      </c>
      <c r="T253" s="172">
        <f t="shared" si="27"/>
        <v>42618.955347222225</v>
      </c>
      <c r="U253" s="181" t="str">
        <f t="shared" si="30"/>
        <v>EC</v>
      </c>
      <c r="V253" s="181" t="str">
        <f t="shared" si="28"/>
        <v>KEEP</v>
      </c>
      <c r="W253" s="186" t="str">
        <f t="shared" si="33"/>
        <v>echo {"issue":{"subject":"40th 4S STOP, cleared shortly","project_id":79,"tracker_id":40,"status_id":1,"priority_id":2,"assigned_to_id":23,"start_date":"2016-09-05","description":"","custom_fields":[{"id":1,"name":"Subdivision","value":"EC"},{"id":4,"name":"Milepost","value":"12.7587"},{"id":17,"name":"Train ID","value":"198-05"},{"id":16,"name":"Locomotive ID","value":"4028"},{"id":130,"name":"Impact","value":""},{"id":150,"name":"Time of Event (Mountain Time)","value":"16:55:42"},{"id":151,"name":"Denver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4" spans="1:23" x14ac:dyDescent="0.25">
      <c r="A254" s="172">
        <v>42618.378171296295</v>
      </c>
      <c r="B254" s="173" t="s">
        <v>227</v>
      </c>
      <c r="C254" s="173" t="s">
        <v>1793</v>
      </c>
      <c r="D254" s="173" t="s">
        <v>49</v>
      </c>
      <c r="E254" s="173" t="s">
        <v>50</v>
      </c>
      <c r="F254" s="174">
        <v>0</v>
      </c>
      <c r="G254" s="174">
        <v>53</v>
      </c>
      <c r="H254" s="174">
        <v>176</v>
      </c>
      <c r="I254" s="173" t="s">
        <v>51</v>
      </c>
      <c r="J254" s="174">
        <v>1</v>
      </c>
      <c r="K254" s="173" t="s">
        <v>53</v>
      </c>
      <c r="L254" s="175" t="str">
        <f>VLOOKUP(C254,'[10]Trips&amp;Operators'!$C$1:$E$9999,3,0)</f>
        <v>ACKERMAN</v>
      </c>
      <c r="M254" s="182" t="s">
        <v>86</v>
      </c>
      <c r="N254" s="177"/>
      <c r="P254" s="183" t="str">
        <f>VLOOKUP(C254,'[10]Train Runs'!$A$13:$AE$10002,31,0)</f>
        <v>aws s3 cp s3://rtdc.mdm.uploadarchive/RTDC4001/2016-09-05/ "%USERPROFILE%\AppData\Local\Temp\OnboardLogs"\RTDC4001\2016-09-05 --recursive &amp; "%USERPROFILE%\Documents\GitHub\mrs-test-scripts\Headless Mode &amp; Sideloading\WalkAndUnGZ.bat" "%USERPROFILE%\AppData\Local\Temp\OnboardLogs"\RTDC4001\2016-09-05 &amp; aws s3 cp s3://rtdc.mdm.uploadarchive/RTDC4001/2016-09-06/ "%USERPROFILE%\AppData\Local\Temp\OnboardLogs"\RTDC4001\2016-09-06 --recursive &amp; "%USERPROFILE%\Documents\GitHub\mrs-test-scripts\Headless Mode &amp; Sideloading\WalkAndUnGZ.bat" "%USERPROFILE%\AppData\Local\Temp\OnboardLogs"\RTDC4001\2016-09-06</v>
      </c>
      <c r="Q254" s="184" t="str">
        <f>VLOOKUP(C254,'[10]Train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07:17:53-0600',mode:absolute,to:'2016-09-05 10:04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54" s="185" t="str">
        <f t="shared" si="32"/>
        <v>"C:\Program Files (x86)\AstroGrep\AstroGrep.exe" /spath="C:\Users\stu\Documents\Analysis\2016-02-23 RTDC Observations" /stypes="*4001*201609051*" /stext=" 15:.+((SYSTEM_STATE.+slice.+state.+changed )|(ment ac)|(system.+state.+changed )|(\|lc)|(penalty)|(\[timeout)|(PRM\|1\|D))" /e /r /s</v>
      </c>
      <c r="S254" s="176" t="str">
        <f t="shared" si="26"/>
        <v>4001</v>
      </c>
      <c r="T254" s="172">
        <f t="shared" si="27"/>
        <v>42618.628171296295</v>
      </c>
      <c r="U254" s="181" t="str">
        <f t="shared" si="30"/>
        <v>EC</v>
      </c>
      <c r="V254" s="181" t="str">
        <f t="shared" si="28"/>
        <v>KEEP</v>
      </c>
      <c r="W254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{"issue":{"subject":"","project_id":79,"tracker_id":40,"status_id":1,"priority_id":2,"assigned_to_id":23,"start_date":"2016-09-05","description":"","custom_fields":[{"id":1,"name":"Subdivision","value":"EC"},{"id":4,"name":"Milepost","value":"0.0001"},{"id":17,"name":"Train ID","value":"132-05"},{"id":16,"name":"Locomotive ID","value":"4001"},{"id":130,"name":"Impact","value":""},{"id":150,"name":"Time of Event (Mountain Time)","value":"09:04:34"},{"id":151,"name":"Denver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5" spans="1:23" x14ac:dyDescent="0.25">
      <c r="A255" s="172">
        <v>42618.430092592593</v>
      </c>
      <c r="B255" s="173" t="s">
        <v>204</v>
      </c>
      <c r="C255" s="173" t="s">
        <v>1804</v>
      </c>
      <c r="D255" s="173" t="s">
        <v>49</v>
      </c>
      <c r="E255" s="173" t="s">
        <v>50</v>
      </c>
      <c r="F255" s="174">
        <v>0</v>
      </c>
      <c r="G255" s="174">
        <v>52</v>
      </c>
      <c r="H255" s="174">
        <v>158</v>
      </c>
      <c r="I255" s="173" t="s">
        <v>51</v>
      </c>
      <c r="J255" s="174">
        <v>1</v>
      </c>
      <c r="K255" s="173" t="s">
        <v>53</v>
      </c>
      <c r="L255" s="175" t="str">
        <f>VLOOKUP(C255,'[10]Trips&amp;Operators'!$C$1:$E$9999,3,0)</f>
        <v>KILLION</v>
      </c>
      <c r="M255" s="182" t="s">
        <v>86</v>
      </c>
      <c r="N255" s="177"/>
      <c r="P255" s="183" t="str">
        <f>VLOOKUP(C255,'[10]Train Runs'!$A$13:$AE$10002,31,0)</f>
        <v>aws s3 cp s3://rtdc.mdm.uploadarchive/RTDC4028/2016-09-05/ "%USERPROFILE%\AppData\Local\Temp\OnboardLogs"\RTDC4028\2016-09-05 --recursive &amp; "%USERPROFILE%\Documents\GitHub\mrs-test-scripts\Headless Mode &amp; Sideloading\WalkAndUnGZ.bat" "%USERPROFILE%\AppData\Local\Temp\OnboardLogs"\RTDC4028\2016-09-05 &amp; aws s3 cp s3://rtdc.mdm.uploadarchive/RTDC4028/2016-09-06/ "%USERPROFILE%\AppData\Local\Temp\OnboardLogs"\RTDC4028\2016-09-06 --recursive &amp; "%USERPROFILE%\Documents\GitHub\mrs-test-scripts\Headless Mode &amp; Sideloading\WalkAndUnGZ.bat" "%USERPROFILE%\AppData\Local\Temp\OnboardLogs"\RTDC4028\2016-09-06</v>
      </c>
      <c r="Q255" s="184" t="str">
        <f>VLOOKUP(C255,'[10]Train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08:30:22-0600',mode:absolute,to:'2016-09-05 11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255" s="185" t="str">
        <f t="shared" si="32"/>
        <v>"C:\Program Files (x86)\AstroGrep\AstroGrep.exe" /spath="C:\Users\stu\Documents\Analysis\2016-02-23 RTDC Observations" /stypes="*4028*201609051*" /stext=" 16:.+((SYSTEM_STATE.+slice.+state.+changed )|(ment ac)|(system.+state.+changed )|(\|lc)|(penalty)|(\[timeout)|(PRM\|1\|D))" /e /r /s</v>
      </c>
      <c r="S255" s="176" t="str">
        <f t="shared" si="26"/>
        <v>4028</v>
      </c>
      <c r="T255" s="172">
        <f t="shared" si="27"/>
        <v>42618.680092592593</v>
      </c>
      <c r="U255" s="181" t="str">
        <f t="shared" si="30"/>
        <v>EC</v>
      </c>
      <c r="V255" s="181" t="str">
        <f t="shared" si="28"/>
        <v>KEEP</v>
      </c>
      <c r="W255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{"issue":{"subject":"","project_id":79,"tracker_id":40,"status_id":1,"priority_id":2,"assigned_to_id":23,"start_date":"2016-09-05","description":"","custom_fields":[{"id":1,"name":"Subdivision","value":"EC"},{"id":4,"name":"Milepost","value":"0.0001"},{"id":17,"name":"Train ID","value":"142-05"},{"id":16,"name":"Locomotive ID","value":"4028"},{"id":130,"name":"Impact","value":""},{"id":150,"name":"Time of Event (Mountain Time)","value":"10:19:20"},{"id":151,"name":"Denver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6" spans="1:23" x14ac:dyDescent="0.25">
      <c r="A256" s="172">
        <v>42618.476446759261</v>
      </c>
      <c r="B256" s="173" t="s">
        <v>226</v>
      </c>
      <c r="C256" s="173" t="s">
        <v>1814</v>
      </c>
      <c r="D256" s="173" t="s">
        <v>49</v>
      </c>
      <c r="E256" s="173" t="s">
        <v>50</v>
      </c>
      <c r="F256" s="174">
        <v>0</v>
      </c>
      <c r="G256" s="174">
        <v>90</v>
      </c>
      <c r="H256" s="174">
        <v>287</v>
      </c>
      <c r="I256" s="173" t="s">
        <v>51</v>
      </c>
      <c r="J256" s="174">
        <v>1</v>
      </c>
      <c r="K256" s="173" t="s">
        <v>53</v>
      </c>
      <c r="L256" s="175" t="str">
        <f>VLOOKUP(C256,'[10]Trips&amp;Operators'!$C$1:$E$9999,3,0)</f>
        <v>SPECTOR</v>
      </c>
      <c r="M256" s="182" t="s">
        <v>86</v>
      </c>
      <c r="N256" s="177"/>
      <c r="P256" s="183" t="str">
        <f>VLOOKUP(C256,'[10]Train Runs'!$A$13:$AE$10002,31,0)</f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Q256" s="184" t="str">
        <f>VLOOKUP(C256,'[10]Train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09:34:57-0600',mode:absolute,to:'2016-09-05 12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56" s="185" t="str">
        <f t="shared" si="32"/>
        <v>"C:\Program Files (x86)\AstroGrep\AstroGrep.exe" /spath="C:\Users\stu\Documents\Analysis\2016-02-23 RTDC Observations" /stypes="*4043*201609051*" /stext=" 17:.+((SYSTEM_STATE.+slice.+state.+changed )|(ment ac)|(system.+state.+changed )|(\|lc)|(penalty)|(\[timeout)|(PRM\|1\|D))" /e /r /s</v>
      </c>
      <c r="S256" s="176" t="str">
        <f t="shared" si="26"/>
        <v>4043</v>
      </c>
      <c r="T256" s="172">
        <f t="shared" si="27"/>
        <v>42618.726446759261</v>
      </c>
      <c r="U256" s="181" t="str">
        <f t="shared" si="30"/>
        <v>EC</v>
      </c>
      <c r="V256" s="181" t="str">
        <f t="shared" si="28"/>
        <v>KEEP</v>
      </c>
      <c r="W256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{"issue":{"subject":"","project_id":79,"tracker_id":40,"status_id":1,"priority_id":2,"assigned_to_id":23,"start_date":"2016-09-05","description":"","custom_fields":[{"id":1,"name":"Subdivision","value":"EC"},{"id":4,"name":"Milepost","value":"0.0001"},{"id":17,"name":"Train ID","value":"150-05"},{"id":16,"name":"Locomotive ID","value":"4043"},{"id":130,"name":"Impact","value":""},{"id":150,"name":"Time of Event (Mountain Time)","value":"11:26:05"},{"id":151,"name":"Denver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7" spans="1:23" x14ac:dyDescent="0.25">
      <c r="A257" s="172">
        <v>42618.829363425924</v>
      </c>
      <c r="B257" s="173" t="s">
        <v>200</v>
      </c>
      <c r="C257" s="173" t="s">
        <v>1903</v>
      </c>
      <c r="D257" s="173" t="s">
        <v>49</v>
      </c>
      <c r="E257" s="173" t="s">
        <v>50</v>
      </c>
      <c r="F257" s="174">
        <v>0</v>
      </c>
      <c r="G257" s="174">
        <v>62</v>
      </c>
      <c r="H257" s="174">
        <v>220</v>
      </c>
      <c r="I257" s="173" t="s">
        <v>51</v>
      </c>
      <c r="J257" s="174">
        <v>1</v>
      </c>
      <c r="K257" s="173" t="s">
        <v>53</v>
      </c>
      <c r="L257" s="175" t="str">
        <f>VLOOKUP(C257,'[10]Trips&amp;Operators'!$C$1:$E$9999,3,0)</f>
        <v>CHANDLER</v>
      </c>
      <c r="M257" s="182" t="s">
        <v>86</v>
      </c>
      <c r="N257" s="177"/>
      <c r="P257" s="183" t="str">
        <f>VLOOKUP(C257,'[10]Train Runs'!$A$13:$AE$10002,31,0)</f>
        <v>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 &amp; aws s3 cp s3://rtdc.mdm.uploadarchive/RTDC4019/2016-09-06/ "%USERPROFILE%\AppData\Local\Temp\OnboardLogs"\RTDC4019\2016-09-06 --recursive &amp; "%USERPROFILE%\Documents\GitHub\mrs-test-scripts\Headless Mode &amp; Sideloading\WalkAndUnGZ.bat" "%USERPROFILE%\AppData\Local\Temp\OnboardLogs"\RTDC4019\2016-09-06</v>
      </c>
      <c r="Q257" s="184" t="str">
        <f>VLOOKUP(C257,'[10]Train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18:06:13-0600',mode:absolute,to:'2016-09-05 20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57" s="185" t="str">
        <f t="shared" si="32"/>
        <v>"C:\Program Files (x86)\AstroGrep\AstroGrep.exe" /spath="C:\Users\stu\Documents\Analysis\2016-02-23 RTDC Observations" /stypes="*4019*201609060*" /stext=" 01:.+((SYSTEM_STATE.+slice.+state.+changed )|(ment ac)|(system.+state.+changed )|(\|lc)|(penalty)|(\[timeout)|(PRM\|1\|D))" /e /r /s</v>
      </c>
      <c r="S257" s="176" t="str">
        <f t="shared" si="26"/>
        <v>4019</v>
      </c>
      <c r="T257" s="172">
        <f t="shared" si="27"/>
        <v>42619.079363425924</v>
      </c>
      <c r="U257" s="181" t="str">
        <f t="shared" si="30"/>
        <v>EC</v>
      </c>
      <c r="V257" s="181" t="str">
        <f t="shared" si="28"/>
        <v>KEEP</v>
      </c>
      <c r="W257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{"issue":{"subject":"","project_id":79,"tracker_id":40,"status_id":1,"priority_id":2,"assigned_to_id":23,"start_date":"2016-09-05","description":"","custom_fields":[{"id":1,"name":"Subdivision","value":"EC"},{"id":4,"name":"Milepost","value":"0.0001"},{"id":17,"name":"Train ID","value":"218-05"},{"id":16,"name":"Locomotive ID","value":"4019"},{"id":130,"name":"Impact","value":""},{"id":150,"name":"Time of Event (Mountain Time)","value":"19:54:17"},{"id":151,"name":"Denver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8" spans="1:23" x14ac:dyDescent="0.25">
      <c r="A258" s="172">
        <v>42618.920590277776</v>
      </c>
      <c r="B258" s="173" t="s">
        <v>226</v>
      </c>
      <c r="C258" s="173" t="s">
        <v>1920</v>
      </c>
      <c r="D258" s="173" t="s">
        <v>49</v>
      </c>
      <c r="E258" s="173" t="s">
        <v>50</v>
      </c>
      <c r="F258" s="174">
        <v>0</v>
      </c>
      <c r="G258" s="174">
        <v>61</v>
      </c>
      <c r="H258" s="174">
        <v>163</v>
      </c>
      <c r="I258" s="173" t="s">
        <v>51</v>
      </c>
      <c r="J258" s="174">
        <v>1</v>
      </c>
      <c r="K258" s="173" t="s">
        <v>53</v>
      </c>
      <c r="L258" s="175" t="str">
        <f>VLOOKUP(C258,'[10]Trips&amp;Operators'!$C$1:$E$9999,3,0)</f>
        <v>YANAI</v>
      </c>
      <c r="M258" s="182" t="s">
        <v>86</v>
      </c>
      <c r="N258" s="177"/>
      <c r="P258" s="183" t="str">
        <f>VLOOKUP(C258,'[10]Train Runs'!$A$13:$AE$10002,31,0)</f>
        <v>aws s3 cp s3://rtdc.mdm.uploadarchive/RTDC4043/2016-09-05/ "%USERPROFILE%\AppData\Local\Temp\OnboardLogs"\RTDC4043\2016-09-05 --recursive &amp; "%USERPROFILE%\Documents\GitHub\mrs-test-scripts\Headless Mode &amp; Sideloading\WalkAndUnGZ.bat" "%USERPROFILE%\AppData\Local\Temp\OnboardLogs"\RTDC4043\2016-09-05 &amp; aws s3 cp s3://rtdc.mdm.uploadarchive/RTDC4043/2016-09-06/ "%USERPROFILE%\AppData\Local\Temp\OnboardLogs"\RTDC4043\2016-09-06 --recursive &amp; "%USERPROFILE%\Documents\GitHub\mrs-test-scripts\Headless Mode &amp; Sideloading\WalkAndUnGZ.bat" "%USERPROFILE%\AppData\Local\Temp\OnboardLogs"\RTDC4043\2016-09-06</v>
      </c>
      <c r="Q258" s="184" t="str">
        <f>VLOOKUP(C258,'[10]Train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20:20:51-0600',mode:absolute,to:'2016-09-05 23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58" s="185" t="str">
        <f t="shared" si="32"/>
        <v>"C:\Program Files (x86)\AstroGrep\AstroGrep.exe" /spath="C:\Users\stu\Documents\Analysis\2016-02-23 RTDC Observations" /stypes="*4043*201609060*" /stext=" 04:.+((SYSTEM_STATE.+slice.+state.+changed )|(ment ac)|(system.+state.+changed )|(\|lc)|(penalty)|(\[timeout)|(PRM\|1\|D))" /e /r /s</v>
      </c>
      <c r="S258" s="176" t="str">
        <f t="shared" ref="S258:S286" si="34">MID(B258,13,4)</f>
        <v>4043</v>
      </c>
      <c r="T258" s="172">
        <f t="shared" ref="T258:T286" si="35">A258+6/24</f>
        <v>42619.170590277776</v>
      </c>
      <c r="U258" s="181" t="str">
        <f t="shared" si="30"/>
        <v>EC</v>
      </c>
      <c r="V258" s="181" t="str">
        <f t="shared" ref="V258:V286" si="36">IF(AND(E258="TRACK WARRANT AUTHORITY",G258&lt;10),"OMIT","KEEP")</f>
        <v>KEEP</v>
      </c>
      <c r="W258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{"issue":{"subject":"","project_id":79,"tracker_id":40,"status_id":1,"priority_id":2,"assigned_to_id":23,"start_date":"2016-09-05","description":"","custom_fields":[{"id":1,"name":"Subdivision","value":"EC"},{"id":4,"name":"Milepost","value":"0.0001"},{"id":17,"name":"Train ID","value":"228-05"},{"id":16,"name":"Locomotive ID","value":"4043"},{"id":130,"name":"Impact","value":""},{"id":150,"name":"Time of Event (Mountain Time)","value":"22:05:39"},{"id":151,"name":"Denver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59" spans="1:23" x14ac:dyDescent="0.25">
      <c r="A259" s="172">
        <v>42618.347719907404</v>
      </c>
      <c r="B259" s="173" t="s">
        <v>201</v>
      </c>
      <c r="C259" s="173" t="s">
        <v>1784</v>
      </c>
      <c r="D259" s="173" t="s">
        <v>49</v>
      </c>
      <c r="E259" s="173" t="s">
        <v>50</v>
      </c>
      <c r="F259" s="174">
        <v>0</v>
      </c>
      <c r="G259" s="174">
        <v>62</v>
      </c>
      <c r="H259" s="174">
        <v>233288</v>
      </c>
      <c r="I259" s="173" t="s">
        <v>51</v>
      </c>
      <c r="J259" s="174">
        <v>233491</v>
      </c>
      <c r="K259" s="173" t="s">
        <v>52</v>
      </c>
      <c r="L259" s="175" t="str">
        <f>VLOOKUP(C259,'[10]Trips&amp;Operators'!$C$1:$E$9999,3,0)</f>
        <v>BRANNON</v>
      </c>
      <c r="M259" s="182" t="s">
        <v>86</v>
      </c>
      <c r="N259" s="177"/>
      <c r="P259" s="183" t="str">
        <f>VLOOKUP(C259,'[10]Train Runs'!$A$13:$AE$10002,31,0)</f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Q259" s="184" t="str">
        <f>VLOOKUP(C259,'[10]Train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06:35:55-0600',mode:absolute,to:'2016-09-05 09:20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259" s="185" t="str">
        <f t="shared" si="32"/>
        <v>"C:\Program Files (x86)\AstroGrep\AstroGrep.exe" /spath="C:\Users\stu\Documents\Analysis\2016-02-23 RTDC Observations" /stypes="*4020*201609051*" /stext=" 14:.+((SYSTEM_STATE.+slice.+state.+changed )|(ment ac)|(system.+state.+changed )|(\|lc)|(penalty)|(\[timeout)|(PRM\|1\|D))" /e /r /s</v>
      </c>
      <c r="S259" s="176" t="str">
        <f t="shared" si="34"/>
        <v>4020</v>
      </c>
      <c r="T259" s="172">
        <f t="shared" si="35"/>
        <v>42618.597719907404</v>
      </c>
      <c r="U259" s="181" t="str">
        <f t="shared" ref="U259:U286" si="37">IF(VALUE(LEFT(IF(LEN(C259)=6,"0"&amp;C259,C259),2))&lt;=2,"EC",IF(OR(VALUE(LEFT(IF(LEN(C259)=6,"0"&amp;C259,C259),2))=8,VALUE(LEFT(IF(LEN(C259)=6,"0"&amp;C259,C259),2))=18),"NW","Other"))</f>
        <v>EC</v>
      </c>
      <c r="V259" s="181" t="str">
        <f t="shared" si="36"/>
        <v>KEEP</v>
      </c>
      <c r="W259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{"issue":{"subject":"","project_id":79,"tracker_id":40,"status_id":1,"priority_id":2,"assigned_to_id":23,"start_date":"2016-09-05","description":"","custom_fields":[{"id":1,"name":"Subdivision","value":"EC"},{"id":4,"name":"Milepost","value":"23.3491"},{"id":17,"name":"Train ID","value":"133-05"},{"id":16,"name":"Locomotive ID","value":"4020"},{"id":130,"name":"Impact","value":""},{"id":150,"name":"Time of Event (Mountain Time)","value":"08:20:43"},{"id":151,"name":"Denver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0" spans="1:23" x14ac:dyDescent="0.25">
      <c r="A260" s="172">
        <v>42618.379675925928</v>
      </c>
      <c r="B260" s="173" t="s">
        <v>111</v>
      </c>
      <c r="C260" s="173" t="s">
        <v>1795</v>
      </c>
      <c r="D260" s="173" t="s">
        <v>49</v>
      </c>
      <c r="E260" s="173" t="s">
        <v>50</v>
      </c>
      <c r="F260" s="174">
        <v>0</v>
      </c>
      <c r="G260" s="174">
        <v>79</v>
      </c>
      <c r="H260" s="174">
        <v>233191</v>
      </c>
      <c r="I260" s="173" t="s">
        <v>51</v>
      </c>
      <c r="J260" s="174">
        <v>233491</v>
      </c>
      <c r="K260" s="173" t="s">
        <v>52</v>
      </c>
      <c r="L260" s="175" t="str">
        <f>VLOOKUP(C260,'[10]Trips&amp;Operators'!$C$1:$E$9999,3,0)</f>
        <v>STARKS</v>
      </c>
      <c r="M260" s="182" t="s">
        <v>86</v>
      </c>
      <c r="N260" s="177"/>
      <c r="P260" s="183" t="str">
        <f>VLOOKUP(C260,'[10]Train Runs'!$A$13:$AE$10002,31,0)</f>
        <v>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 &amp; 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</v>
      </c>
      <c r="Q260" s="184" t="str">
        <f>VLOOKUP(C260,'[10]Train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07:24:24-0600',mode:absolute,to:'2016-09-05 10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60" s="185" t="str">
        <f t="shared" si="32"/>
        <v>"C:\Program Files (x86)\AstroGrep\AstroGrep.exe" /spath="C:\Users\stu\Documents\Analysis\2016-02-23 RTDC Observations" /stypes="*4014*201609051*" /stext=" 15:.+((SYSTEM_STATE.+slice.+state.+changed )|(ment ac)|(system.+state.+changed )|(\|lc)|(penalty)|(\[timeout)|(PRM\|1\|D))" /e /r /s</v>
      </c>
      <c r="S260" s="176" t="str">
        <f t="shared" si="34"/>
        <v>4014</v>
      </c>
      <c r="T260" s="172">
        <f t="shared" si="35"/>
        <v>42618.629675925928</v>
      </c>
      <c r="U260" s="181" t="str">
        <f t="shared" si="37"/>
        <v>EC</v>
      </c>
      <c r="V260" s="181" t="str">
        <f t="shared" si="36"/>
        <v>KEEP</v>
      </c>
      <c r="W260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{"issue":{"subject":"","project_id":79,"tracker_id":40,"status_id":1,"priority_id":2,"assigned_to_id":23,"start_date":"2016-09-05","description":"","custom_fields":[{"id":1,"name":"Subdivision","value":"EC"},{"id":4,"name":"Milepost","value":"23.3491"},{"id":17,"name":"Train ID","value":"139-05"},{"id":16,"name":"Locomotive ID","value":"4014"},{"id":130,"name":"Impact","value":""},{"id":150,"name":"Time of Event (Mountain Time)","value":"09:06:44"},{"id":151,"name":"Denver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1" spans="1:23" x14ac:dyDescent="0.25">
      <c r="A261" s="172">
        <v>42618.574178240742</v>
      </c>
      <c r="B261" s="173" t="s">
        <v>201</v>
      </c>
      <c r="C261" s="173" t="s">
        <v>1836</v>
      </c>
      <c r="D261" s="173" t="s">
        <v>49</v>
      </c>
      <c r="E261" s="173" t="s">
        <v>50</v>
      </c>
      <c r="F261" s="174">
        <v>0</v>
      </c>
      <c r="G261" s="174">
        <v>63</v>
      </c>
      <c r="H261" s="174">
        <v>233283</v>
      </c>
      <c r="I261" s="173" t="s">
        <v>51</v>
      </c>
      <c r="J261" s="174">
        <v>233491</v>
      </c>
      <c r="K261" s="173" t="s">
        <v>52</v>
      </c>
      <c r="L261" s="175" t="str">
        <f>VLOOKUP(C261,'[10]Trips&amp;Operators'!$C$1:$E$9999,3,0)</f>
        <v>BARTLETT</v>
      </c>
      <c r="M261" s="182" t="s">
        <v>86</v>
      </c>
      <c r="N261" s="177"/>
      <c r="P261" s="183" t="str">
        <f>VLOOKUP(C261,'[10]Train Runs'!$A$13:$AE$10002,31,0)</f>
        <v>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 &amp; aws s3 cp s3://rtdc.mdm.uploadarchive/RTDC4020/2016-09-06/ "%USERPROFILE%\AppData\Local\Temp\OnboardLogs"\RTDC4020\2016-09-06 --recursive &amp; "%USERPROFILE%\Documents\GitHub\mrs-test-scripts\Headless Mode &amp; Sideloading\WalkAndUnGZ.bat" "%USERPROFILE%\AppData\Local\Temp\OnboardLogs"\RTDC4020\2016-09-06</v>
      </c>
      <c r="Q261" s="184" t="str">
        <f>VLOOKUP(C261,'[10]Train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11:57:09-0600',mode:absolute,to:'2016-09-05 14:46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261" s="185" t="str">
        <f t="shared" si="32"/>
        <v>"C:\Program Files (x86)\AstroGrep\AstroGrep.exe" /spath="C:\Users\stu\Documents\Analysis\2016-02-23 RTDC Observations" /stypes="*4020*201609051*" /stext=" 19:.+((SYSTEM_STATE.+slice.+state.+changed )|(ment ac)|(system.+state.+changed )|(\|lc)|(penalty)|(\[timeout)|(PRM\|1\|D))" /e /r /s</v>
      </c>
      <c r="S261" s="176" t="str">
        <f t="shared" si="34"/>
        <v>4020</v>
      </c>
      <c r="T261" s="172">
        <f t="shared" si="35"/>
        <v>42618.824178240742</v>
      </c>
      <c r="U261" s="181" t="str">
        <f t="shared" si="37"/>
        <v>EC</v>
      </c>
      <c r="V261" s="181" t="str">
        <f t="shared" si="36"/>
        <v>KEEP</v>
      </c>
      <c r="W261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{"issue":{"subject":"","project_id":79,"tracker_id":40,"status_id":1,"priority_id":2,"assigned_to_id":23,"start_date":"2016-09-05","description":"","custom_fields":[{"id":1,"name":"Subdivision","value":"EC"},{"id":4,"name":"Milepost","value":"23.3491"},{"id":17,"name":"Train ID","value":"175-05"},{"id":16,"name":"Locomotive ID","value":"4020"},{"id":130,"name":"Impact","value":""},{"id":150,"name":"Time of Event (Mountain Time)","value":"13:46:49"},{"id":151,"name":"Denver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2" spans="1:23" x14ac:dyDescent="0.25">
      <c r="A262" s="172">
        <v>42618.609942129631</v>
      </c>
      <c r="B262" s="173" t="s">
        <v>93</v>
      </c>
      <c r="C262" s="173" t="s">
        <v>1846</v>
      </c>
      <c r="D262" s="173" t="s">
        <v>49</v>
      </c>
      <c r="E262" s="173" t="s">
        <v>50</v>
      </c>
      <c r="F262" s="174">
        <v>0</v>
      </c>
      <c r="G262" s="174">
        <v>63</v>
      </c>
      <c r="H262" s="174">
        <v>233261</v>
      </c>
      <c r="I262" s="173" t="s">
        <v>51</v>
      </c>
      <c r="J262" s="174">
        <v>233491</v>
      </c>
      <c r="K262" s="173" t="s">
        <v>52</v>
      </c>
      <c r="L262" s="175" t="str">
        <f>VLOOKUP(C262,'[10]Trips&amp;Operators'!$C$1:$E$9999,3,0)</f>
        <v>HELVIE</v>
      </c>
      <c r="M262" s="182" t="s">
        <v>86</v>
      </c>
      <c r="N262" s="177"/>
      <c r="P262" s="183" t="str">
        <f>VLOOKUP(C262,'[10]Train Runs'!$A$13:$AE$10002,31,0)</f>
        <v>aws s3 cp s3://rtdc.mdm.uploadarchive/RTDC4027/2016-09-05/ "%USERPROFILE%\AppData\Local\Temp\OnboardLogs"\RTDC4027\2016-09-05 --recursive &amp; "%USERPROFILE%\Documents\GitHub\mrs-test-scripts\Headless Mode &amp; Sideloading\WalkAndUnGZ.bat" "%USERPROFILE%\AppData\Local\Temp\OnboardLogs"\RTDC4027\2016-09-05 &amp; aws s3 cp s3://rtdc.mdm.uploadarchive/RTDC4027/2016-09-06/ "%USERPROFILE%\AppData\Local\Temp\OnboardLogs"\RTDC4027\2016-09-06 --recursive &amp; "%USERPROFILE%\Documents\GitHub\mrs-test-scripts\Headless Mode &amp; Sideloading\WalkAndUnGZ.bat" "%USERPROFILE%\AppData\Local\Temp\OnboardLogs"\RTDC4027\2016-09-06</v>
      </c>
      <c r="Q262" s="184" t="str">
        <f>VLOOKUP(C262,'[10]Train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12:56:38-0600',mode:absolute,to:'2016-09-05 15:38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262" s="185" t="str">
        <f t="shared" si="32"/>
        <v>"C:\Program Files (x86)\AstroGrep\AstroGrep.exe" /spath="C:\Users\stu\Documents\Analysis\2016-02-23 RTDC Observations" /stypes="*4027*201609052*" /stext=" 20:.+((SYSTEM_STATE.+slice.+state.+changed )|(ment ac)|(system.+state.+changed )|(\|lc)|(penalty)|(\[timeout)|(PRM\|1\|D))" /e /r /s</v>
      </c>
      <c r="S262" s="176" t="str">
        <f t="shared" si="34"/>
        <v>4027</v>
      </c>
      <c r="T262" s="172">
        <f t="shared" si="35"/>
        <v>42618.859942129631</v>
      </c>
      <c r="U262" s="181" t="str">
        <f t="shared" si="37"/>
        <v>EC</v>
      </c>
      <c r="V262" s="181" t="str">
        <f t="shared" si="36"/>
        <v>KEEP</v>
      </c>
      <c r="W262" s="186" t="str">
        <f t="shared" si="33"/>
        <v>echo {"issue":{"subject":"","project_id":79,"tracker_id":40,"status_id":1,"priority_id":2,"assigned_to_id":23,"start_date":"2016-09-05","description":"","custom_fields":[{"id":1,"name":"Subdivision","value":"EC"},{"id":4,"name":"Milepost","value":"23.3491"},{"id":17,"name":"Train ID","value":"183-05"},{"id":16,"name":"Locomotive ID","value":"4027"},{"id":130,"name":"Impact","value":""},{"id":150,"name":"Time of Event (Mountain Time)","value":"14:38:19"},{"id":151,"name":"Denver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3" spans="1:23" x14ac:dyDescent="0.25">
      <c r="A263" s="172">
        <v>42618.30541666667</v>
      </c>
      <c r="B263" s="173" t="s">
        <v>139</v>
      </c>
      <c r="C263" s="173" t="s">
        <v>1779</v>
      </c>
      <c r="D263" s="173" t="s">
        <v>110</v>
      </c>
      <c r="E263" s="173" t="s">
        <v>56</v>
      </c>
      <c r="F263" s="174">
        <v>600</v>
      </c>
      <c r="G263" s="174">
        <v>651</v>
      </c>
      <c r="H263" s="174">
        <v>30868</v>
      </c>
      <c r="I263" s="173" t="s">
        <v>57</v>
      </c>
      <c r="J263" s="174">
        <v>36535</v>
      </c>
      <c r="K263" s="173" t="s">
        <v>53</v>
      </c>
      <c r="L263" s="175" t="str">
        <f>VLOOKUP(C263,'[10]Trips&amp;Operators'!$C$1:$E$9999,3,0)</f>
        <v>DAVIS</v>
      </c>
      <c r="M263" s="182" t="s">
        <v>86</v>
      </c>
      <c r="N263" s="177"/>
      <c r="P263" s="183" t="str">
        <f>VLOOKUP(C263,'[10]Train Runs'!$A$13:$AE$10002,31,0)</f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Q263" s="184" t="str">
        <f>VLOOKUP(C263,'[10]Train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06:06:32-0600',mode:absolute,to:'2016-09-05 08:28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63" s="185" t="str">
        <f t="shared" si="32"/>
        <v>"C:\Program Files (x86)\AstroGrep\AstroGrep.exe" /spath="C:\Users\stu\Documents\Analysis\2016-02-23 RTDC Observations" /stypes="*4037*201609051*" /stext=" 13:.+((SYSTEM_STATE.+slice.+state.+changed )|(ment ac)|(system.+state.+changed )|(\|lc)|(penalty)|(\[timeout)|(PRM\|1\|D))" /e /r /s</v>
      </c>
      <c r="S263" s="176" t="str">
        <f t="shared" si="34"/>
        <v>4037</v>
      </c>
      <c r="T263" s="172">
        <f t="shared" si="35"/>
        <v>42618.55541666667</v>
      </c>
      <c r="U263" s="181" t="str">
        <f t="shared" si="37"/>
        <v>NW</v>
      </c>
      <c r="V263" s="181" t="str">
        <f t="shared" si="36"/>
        <v>KEEP</v>
      </c>
      <c r="W263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{"issue":{"subject":"","project_id":79,"tracker_id":40,"status_id":1,"priority_id":2,"assigned_to_id":23,"start_date":"2016-09-05","description":"","custom_fields":[{"id":1,"name":"Subdivision","value":"NW"},{"id":4,"name":"Milepost","value":"3.6535"},{"id":17,"name":"Train ID","value":"806-05"},{"id":16,"name":"Locomotive ID","value":"4037"},{"id":130,"name":"Impact","value":""},{"id":150,"name":"Time of Event (Mountain Time)","value":"07:19:48"},{"id":151,"name":"Denver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4" spans="1:23" x14ac:dyDescent="0.25">
      <c r="A264" s="172">
        <v>42618.293553240743</v>
      </c>
      <c r="B264" s="173" t="s">
        <v>144</v>
      </c>
      <c r="C264" s="173" t="s">
        <v>1776</v>
      </c>
      <c r="D264" s="173" t="s">
        <v>49</v>
      </c>
      <c r="E264" s="173" t="s">
        <v>56</v>
      </c>
      <c r="F264" s="174">
        <v>150</v>
      </c>
      <c r="G264" s="174">
        <v>267</v>
      </c>
      <c r="H264" s="174">
        <v>56473</v>
      </c>
      <c r="I264" s="173" t="s">
        <v>57</v>
      </c>
      <c r="J264" s="174">
        <v>57008</v>
      </c>
      <c r="K264" s="173" t="s">
        <v>52</v>
      </c>
      <c r="L264" s="175" t="str">
        <f>VLOOKUP(C264,'[10]Trips&amp;Operators'!$C$1:$E$9999,3,0)</f>
        <v>DAVIS</v>
      </c>
      <c r="M264" s="182" t="s">
        <v>86</v>
      </c>
      <c r="N264" s="177"/>
      <c r="P264" s="183" t="str">
        <f>VLOOKUP(C264,'[10]Train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264" s="184" t="str">
        <f>VLOOKUP(C264,'[10]Train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05:44:36-0600',mode:absolute,to:'2016-09-05 08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64" s="185" t="str">
        <f t="shared" si="32"/>
        <v>"C:\Program Files (x86)\AstroGrep\AstroGrep.exe" /spath="C:\Users\stu\Documents\Analysis\2016-02-23 RTDC Observations" /stypes="*4038*201609051*" /stext=" 13:.+((SYSTEM_STATE.+slice.+state.+changed )|(ment ac)|(system.+state.+changed )|(\|lc)|(penalty)|(\[timeout)|(PRM\|1\|D))" /e /r /s</v>
      </c>
      <c r="S264" s="176" t="str">
        <f t="shared" si="34"/>
        <v>4038</v>
      </c>
      <c r="T264" s="172">
        <f t="shared" si="35"/>
        <v>42618.543553240743</v>
      </c>
      <c r="U264" s="181" t="str">
        <f t="shared" si="37"/>
        <v>NW</v>
      </c>
      <c r="V264" s="181" t="str">
        <f t="shared" si="36"/>
        <v>KEEP</v>
      </c>
      <c r="W264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{"issue":{"subject":"","project_id":79,"tracker_id":40,"status_id":1,"priority_id":2,"assigned_to_id":23,"start_date":"2016-09-05","description":"","custom_fields":[{"id":1,"name":"Subdivision","value":"NW"},{"id":4,"name":"Milepost","value":"5.7008"},{"id":17,"name":"Train ID","value":"805-05"},{"id":16,"name":"Locomotive ID","value":"4038"},{"id":130,"name":"Impact","value":""},{"id":150,"name":"Time of Event (Mountain Time)","value":"07:02:43"},{"id":151,"name":"Denver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5" spans="1:23" x14ac:dyDescent="0.25">
      <c r="A265" s="172">
        <v>42618.315717592595</v>
      </c>
      <c r="B265" s="173" t="s">
        <v>91</v>
      </c>
      <c r="C265" s="173" t="s">
        <v>1782</v>
      </c>
      <c r="D265" s="173" t="s">
        <v>49</v>
      </c>
      <c r="E265" s="173" t="s">
        <v>56</v>
      </c>
      <c r="F265" s="174">
        <v>150</v>
      </c>
      <c r="G265" s="174">
        <v>355</v>
      </c>
      <c r="H265" s="174">
        <v>55938</v>
      </c>
      <c r="I265" s="173" t="s">
        <v>57</v>
      </c>
      <c r="J265" s="174">
        <v>57008</v>
      </c>
      <c r="K265" s="173" t="s">
        <v>52</v>
      </c>
      <c r="L265" s="175" t="str">
        <f>VLOOKUP(C265,'[10]Trips&amp;Operators'!$C$1:$E$9999,3,0)</f>
        <v>ROCHA</v>
      </c>
      <c r="M265" s="182" t="s">
        <v>86</v>
      </c>
      <c r="N265" s="177"/>
      <c r="P265" s="183" t="str">
        <f>VLOOKUP(C265,'[10]Train Runs'!$A$13:$AE$10002,31,0)</f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Q265" s="184" t="str">
        <f>VLOOKUP(C265,'[10]Train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06:25:50-0600',mode:absolute,to:'2016-09-05 08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65" s="185" t="str">
        <f t="shared" si="32"/>
        <v>"C:\Program Files (x86)\AstroGrep\AstroGrep.exe" /spath="C:\Users\stu\Documents\Analysis\2016-02-23 RTDC Observations" /stypes="*4029*201609051*" /stext=" 13:.+((SYSTEM_STATE.+slice.+state.+changed )|(ment ac)|(system.+state.+changed )|(\|lc)|(penalty)|(\[timeout)|(PRM\|1\|D))" /e /r /s</v>
      </c>
      <c r="S265" s="176" t="str">
        <f t="shared" si="34"/>
        <v>4029</v>
      </c>
      <c r="T265" s="172">
        <f t="shared" si="35"/>
        <v>42618.565717592595</v>
      </c>
      <c r="U265" s="181" t="str">
        <f t="shared" si="37"/>
        <v>NW</v>
      </c>
      <c r="V265" s="181" t="str">
        <f t="shared" si="36"/>
        <v>KEEP</v>
      </c>
      <c r="W265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{"issue":{"subject":"","project_id":79,"tracker_id":40,"status_id":1,"priority_id":2,"assigned_to_id":23,"start_date":"2016-09-05","description":"","custom_fields":[{"id":1,"name":"Subdivision","value":"NW"},{"id":4,"name":"Milepost","value":"5.7008"},{"id":17,"name":"Train ID","value":"807-05"},{"id":16,"name":"Locomotive ID","value":"4029"},{"id":130,"name":"Impact","value":""},{"id":150,"name":"Time of Event (Mountain Time)","value":"07:34:38"},{"id":151,"name":"Denver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6" spans="1:23" x14ac:dyDescent="0.25">
      <c r="A266" s="172">
        <v>42618.905775462961</v>
      </c>
      <c r="B266" s="173" t="s">
        <v>92</v>
      </c>
      <c r="C266" s="173" t="s">
        <v>1921</v>
      </c>
      <c r="D266" s="173" t="s">
        <v>110</v>
      </c>
      <c r="E266" s="173" t="s">
        <v>56</v>
      </c>
      <c r="F266" s="174">
        <v>150</v>
      </c>
      <c r="G266" s="174">
        <v>201</v>
      </c>
      <c r="H266" s="174">
        <v>56917</v>
      </c>
      <c r="I266" s="173" t="s">
        <v>57</v>
      </c>
      <c r="J266" s="174">
        <v>59050</v>
      </c>
      <c r="K266" s="173" t="s">
        <v>53</v>
      </c>
      <c r="L266" s="175" t="str">
        <f>VLOOKUP(C266,'[10]Trips&amp;Operators'!$C$1:$E$9999,3,0)</f>
        <v>COOLAHAN</v>
      </c>
      <c r="M266" s="182" t="s">
        <v>86</v>
      </c>
      <c r="N266" s="177"/>
      <c r="P266" s="183" t="str">
        <f>VLOOKUP(C266,'[10]Train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266" s="184" t="str">
        <f>VLOOKUP(C266,'[10]Train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20:36:52-0600',mode:absolute,to:'2016-09-05 22:57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66" s="185" t="str">
        <f t="shared" si="32"/>
        <v>"C:\Program Files (x86)\AstroGrep\AstroGrep.exe" /spath="C:\Users\stu\Documents\Analysis\2016-02-23 RTDC Observations" /stypes="*4030*201609060*" /stext=" 03:.+((SYSTEM_STATE.+slice.+state.+changed )|(ment ac)|(system.+state.+changed )|(\|lc)|(penalty)|(\[timeout)|(PRM\|1\|D))" /e /r /s</v>
      </c>
      <c r="S266" s="176" t="str">
        <f t="shared" si="34"/>
        <v>4030</v>
      </c>
      <c r="T266" s="172">
        <f t="shared" si="35"/>
        <v>42619.155775462961</v>
      </c>
      <c r="U266" s="181" t="str">
        <f t="shared" si="37"/>
        <v>NW</v>
      </c>
      <c r="V266" s="181" t="str">
        <f t="shared" si="36"/>
        <v>KEEP</v>
      </c>
      <c r="W266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{"issue":{"subject":"","project_id":79,"tracker_id":40,"status_id":1,"priority_id":2,"assigned_to_id":23,"start_date":"2016-09-05","description":"","custom_fields":[{"id":1,"name":"Subdivision","value":"NW"},{"id":4,"name":"Milepost","value":"5.905"},{"id":17,"name":"Train ID","value":"844-05"},{"id":16,"name":"Locomotive ID","value":"4030"},{"id":130,"name":"Impact","value":""},{"id":150,"name":"Time of Event (Mountain Time)","value":"21:44:19"},{"id":151,"name":"Denver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7" spans="1:23" x14ac:dyDescent="0.25">
      <c r="A267" s="172">
        <v>42618.530914351853</v>
      </c>
      <c r="B267" s="173" t="s">
        <v>92</v>
      </c>
      <c r="C267" s="173" t="s">
        <v>1833</v>
      </c>
      <c r="D267" s="173" t="s">
        <v>110</v>
      </c>
      <c r="E267" s="173" t="s">
        <v>56</v>
      </c>
      <c r="F267" s="174">
        <v>150</v>
      </c>
      <c r="G267" s="174">
        <v>207</v>
      </c>
      <c r="H267" s="174">
        <v>56986</v>
      </c>
      <c r="I267" s="173" t="s">
        <v>57</v>
      </c>
      <c r="J267" s="174">
        <v>59060</v>
      </c>
      <c r="K267" s="173" t="s">
        <v>53</v>
      </c>
      <c r="L267" s="175" t="str">
        <f>VLOOKUP(C267,'[10]Trips&amp;Operators'!$C$1:$E$9999,3,0)</f>
        <v>ROCHA</v>
      </c>
      <c r="M267" s="182" t="s">
        <v>86</v>
      </c>
      <c r="N267" s="177"/>
      <c r="P267" s="183" t="str">
        <f>VLOOKUP(C267,'[10]Train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267" s="184" t="str">
        <f>VLOOKUP(C267,'[10]Train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11:37:58-0600',mode:absolute,to:'2016-09-05 13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67" s="185" t="str">
        <f t="shared" si="32"/>
        <v>"C:\Program Files (x86)\AstroGrep\AstroGrep.exe" /spath="C:\Users\stu\Documents\Analysis\2016-02-23 RTDC Observations" /stypes="*4030*201609051*" /stext=" 18:.+((SYSTEM_STATE.+slice.+state.+changed )|(ment ac)|(system.+state.+changed )|(\|lc)|(penalty)|(\[timeout)|(PRM\|1\|D))" /e /r /s</v>
      </c>
      <c r="S267" s="176" t="str">
        <f t="shared" si="34"/>
        <v>4030</v>
      </c>
      <c r="T267" s="172">
        <f t="shared" si="35"/>
        <v>42618.780914351853</v>
      </c>
      <c r="U267" s="181" t="str">
        <f t="shared" si="37"/>
        <v>NW</v>
      </c>
      <c r="V267" s="181" t="str">
        <f t="shared" si="36"/>
        <v>KEEP</v>
      </c>
      <c r="W267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{"issue":{"subject":"","project_id":79,"tracker_id":40,"status_id":1,"priority_id":2,"assigned_to_id":23,"start_date":"2016-09-05","description":"","custom_fields":[{"id":1,"name":"Subdivision","value":"NW"},{"id":4,"name":"Milepost","value":"5.906"},{"id":17,"name":"Train ID","value":"820-05"},{"id":16,"name":"Locomotive ID","value":"4030"},{"id":130,"name":"Impact","value":""},{"id":150,"name":"Time of Event (Mountain Time)","value":"12:44:31"},{"id":151,"name":"Denver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8" spans="1:23" x14ac:dyDescent="0.25">
      <c r="A268" s="172">
        <v>42618.581875000003</v>
      </c>
      <c r="B268" s="173" t="s">
        <v>92</v>
      </c>
      <c r="C268" s="173" t="s">
        <v>1842</v>
      </c>
      <c r="D268" s="173" t="s">
        <v>110</v>
      </c>
      <c r="E268" s="173" t="s">
        <v>54</v>
      </c>
      <c r="F268" s="174">
        <v>0</v>
      </c>
      <c r="G268" s="174">
        <v>89</v>
      </c>
      <c r="H268" s="174">
        <v>4710</v>
      </c>
      <c r="I268" s="173" t="s">
        <v>55</v>
      </c>
      <c r="J268" s="174">
        <v>4798</v>
      </c>
      <c r="K268" s="173" t="s">
        <v>53</v>
      </c>
      <c r="L268" s="175" t="str">
        <f>VLOOKUP(C268,'[10]Trips&amp;Operators'!$C$1:$E$9999,3,0)</f>
        <v>BRUDER</v>
      </c>
      <c r="M268" s="182" t="s">
        <v>86</v>
      </c>
      <c r="N268" s="177" t="s">
        <v>338</v>
      </c>
      <c r="P268" s="183" t="str">
        <f>VLOOKUP(C268,'[10]Train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268" s="184" t="str">
        <f>VLOOKUP(C268,'[10]Train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12:36:31-0600',mode:absolute,to:'2016-09-05 15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68" s="185" t="str">
        <f t="shared" si="32"/>
        <v>"C:\Program Files (x86)\AstroGrep\AstroGrep.exe" /spath="C:\Users\stu\Documents\Analysis\2016-02-23 RTDC Observations" /stypes="*4030*201609051*" /stext=" 19:.+((SYSTEM_STATE.+slice.+state.+changed )|(ment ac)|(system.+state.+changed )|(\|lc)|(penalty)|(\[timeout)|(PRM\|1\|D))" /e /r /s</v>
      </c>
      <c r="S268" s="176" t="str">
        <f t="shared" si="34"/>
        <v>4030</v>
      </c>
      <c r="T268" s="172">
        <f t="shared" si="35"/>
        <v>42618.831875000003</v>
      </c>
      <c r="U268" s="181" t="str">
        <f t="shared" si="37"/>
        <v>NW</v>
      </c>
      <c r="V268" s="181" t="str">
        <f t="shared" si="36"/>
        <v>KEEP</v>
      </c>
      <c r="W268" s="186" t="str">
        <f t="shared" si="33"/>
        <v>echo {"issue":{"subject":"Went active too close to signal","project_id":79,"tracker_id":40,"status_id":1,"priority_id":2,"assigned_to_id":23,"start_date":"2016-09-05","description":"","custom_fields":[{"id":1,"name":"Subdivision","value":"NW"},{"id":4,"name":"Milepost","value":"0.4798"},{"id":17,"name":"Train ID","value":"822-05"},{"id":16,"name":"Locomotive ID","value":"4030"},{"id":130,"name":"Impact","value":""},{"id":150,"name":"Time of Event (Mountain Time)","value":"13:57:54"},{"id":151,"name":"Denver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69" spans="1:23" x14ac:dyDescent="0.25">
      <c r="A269" s="172">
        <v>42618.277615740742</v>
      </c>
      <c r="B269" s="173" t="s">
        <v>92</v>
      </c>
      <c r="C269" s="173" t="s">
        <v>1773</v>
      </c>
      <c r="D269" s="173" t="s">
        <v>49</v>
      </c>
      <c r="E269" s="173" t="s">
        <v>54</v>
      </c>
      <c r="F269" s="174">
        <v>0</v>
      </c>
      <c r="G269" s="174">
        <v>20</v>
      </c>
      <c r="H269" s="174">
        <v>58098</v>
      </c>
      <c r="I269" s="173" t="s">
        <v>55</v>
      </c>
      <c r="J269" s="174">
        <v>6799</v>
      </c>
      <c r="K269" s="173" t="s">
        <v>53</v>
      </c>
      <c r="L269" s="175" t="str">
        <f>VLOOKUP(C269,'[10]Trips&amp;Operators'!$C$1:$E$9999,3,0)</f>
        <v>ROCHA</v>
      </c>
      <c r="M269" s="182" t="s">
        <v>86</v>
      </c>
      <c r="N269" s="177" t="s">
        <v>1947</v>
      </c>
      <c r="P269" s="183" t="str">
        <f>VLOOKUP(C269,'[10]Train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269" s="184" t="str">
        <f>VLOOKUP(C269,'[10]Train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05:36:42-0600',mode:absolute,to:'2016-09-05 07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69" s="185" t="str">
        <f t="shared" si="32"/>
        <v>"C:\Program Files (x86)\AstroGrep\AstroGrep.exe" /spath="C:\Users\stu\Documents\Analysis\2016-02-23 RTDC Observations" /stypes="*4030*201609051*" /stext=" 12:.+((SYSTEM_STATE.+slice.+state.+changed )|(ment ac)|(system.+state.+changed )|(\|lc)|(penalty)|(\[timeout)|(PRM\|1\|D))" /e /r /s</v>
      </c>
      <c r="S269" s="176" t="str">
        <f t="shared" si="34"/>
        <v>4030</v>
      </c>
      <c r="T269" s="172">
        <f t="shared" si="35"/>
        <v>42618.527615740742</v>
      </c>
      <c r="U269" s="181" t="str">
        <f t="shared" si="37"/>
        <v>NW</v>
      </c>
      <c r="V269" s="181" t="str">
        <f t="shared" si="36"/>
        <v>KEEP</v>
      </c>
      <c r="W269" s="186" t="str">
        <f t="shared" si="33"/>
        <v>echo {"issue":{"subject":"Overspeed","project_id":79,"tracker_id":40,"status_id":1,"priority_id":2,"assigned_to_id":23,"start_date":"2016-09-05","description":"","custom_fields":[{"id":1,"name":"Subdivision","value":"NW"},{"id":4,"name":"Milepost","value":"0.6799"},{"id":17,"name":"Train ID","value":"804-05"},{"id":16,"name":"Locomotive ID","value":"4030"},{"id":130,"name":"Impact","value":""},{"id":150,"name":"Time of Event (Mountain Time)","value":"06:39:46"},{"id":151,"name":"Denver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0" spans="1:23" x14ac:dyDescent="0.25">
      <c r="A270" s="172">
        <v>42618.653703703705</v>
      </c>
      <c r="B270" s="173" t="s">
        <v>92</v>
      </c>
      <c r="C270" s="173" t="s">
        <v>1864</v>
      </c>
      <c r="D270" s="173" t="s">
        <v>49</v>
      </c>
      <c r="E270" s="173" t="s">
        <v>54</v>
      </c>
      <c r="F270" s="174">
        <v>0</v>
      </c>
      <c r="G270" s="174">
        <v>56</v>
      </c>
      <c r="H270" s="174">
        <v>57918</v>
      </c>
      <c r="I270" s="173" t="s">
        <v>55</v>
      </c>
      <c r="J270" s="174">
        <v>6799</v>
      </c>
      <c r="K270" s="173" t="s">
        <v>53</v>
      </c>
      <c r="L270" s="175" t="str">
        <f>VLOOKUP(C270,'[10]Trips&amp;Operators'!$C$1:$E$9999,3,0)</f>
        <v>BRUDER</v>
      </c>
      <c r="M270" s="182" t="s">
        <v>86</v>
      </c>
      <c r="N270" s="177" t="s">
        <v>1947</v>
      </c>
      <c r="P270" s="183" t="str">
        <f>VLOOKUP(C270,'[10]Train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270" s="184" t="str">
        <f>VLOOKUP(C270,'[10]Train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14:37:28-0600',mode:absolute,to:'2016-09-05 16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70" s="185" t="str">
        <f t="shared" si="32"/>
        <v>"C:\Program Files (x86)\AstroGrep\AstroGrep.exe" /spath="C:\Users\stu\Documents\Analysis\2016-02-23 RTDC Observations" /stypes="*4030*201609052*" /stext=" 21:.+((SYSTEM_STATE.+slice.+state.+changed )|(ment ac)|(system.+state.+changed )|(\|lc)|(penalty)|(\[timeout)|(PRM\|1\|D))" /e /r /s</v>
      </c>
      <c r="S270" s="176" t="str">
        <f t="shared" si="34"/>
        <v>4030</v>
      </c>
      <c r="T270" s="172">
        <f t="shared" si="35"/>
        <v>42618.903703703705</v>
      </c>
      <c r="U270" s="181" t="str">
        <f t="shared" si="37"/>
        <v>NW</v>
      </c>
      <c r="V270" s="181" t="str">
        <f t="shared" si="36"/>
        <v>KEEP</v>
      </c>
      <c r="W270" s="186" t="str">
        <f t="shared" si="33"/>
        <v>echo {"issue":{"subject":"Overspeed","project_id":79,"tracker_id":40,"status_id":1,"priority_id":2,"assigned_to_id":23,"start_date":"2016-09-05","description":"","custom_fields":[{"id":1,"name":"Subdivision","value":"NW"},{"id":4,"name":"Milepost","value":"0.6799"},{"id":17,"name":"Train ID","value":"826-05"},{"id":16,"name":"Locomotive ID","value":"4030"},{"id":130,"name":"Impact","value":""},{"id":150,"name":"Time of Event (Mountain Time)","value":"15:41:20"},{"id":151,"name":"Denver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1" spans="1:23" x14ac:dyDescent="0.25">
      <c r="A271" s="172">
        <v>42618.603958333333</v>
      </c>
      <c r="B271" s="173" t="s">
        <v>91</v>
      </c>
      <c r="C271" s="173" t="s">
        <v>1849</v>
      </c>
      <c r="D271" s="173" t="s">
        <v>49</v>
      </c>
      <c r="E271" s="173" t="s">
        <v>54</v>
      </c>
      <c r="F271" s="174">
        <v>0</v>
      </c>
      <c r="G271" s="174">
        <v>369</v>
      </c>
      <c r="H271" s="174">
        <v>36729</v>
      </c>
      <c r="I271" s="173" t="s">
        <v>55</v>
      </c>
      <c r="J271" s="174">
        <v>37575</v>
      </c>
      <c r="K271" s="173" t="s">
        <v>52</v>
      </c>
      <c r="L271" s="175" t="str">
        <f>VLOOKUP(C271,'[10]Trips&amp;Operators'!$C$1:$E$9999,3,0)</f>
        <v>BRUDER</v>
      </c>
      <c r="M271" s="182" t="s">
        <v>243</v>
      </c>
      <c r="N271" s="177" t="s">
        <v>337</v>
      </c>
      <c r="P271" s="183" t="str">
        <f>VLOOKUP(C271,'[10]Train Runs'!$A$13:$AE$10002,31,0)</f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Q271" s="184" t="str">
        <f>VLOOKUP(C271,'[10]Train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13:14:18-0600',mode:absolute,to:'2016-09-05 15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71" s="185" t="str">
        <f t="shared" si="32"/>
        <v>"C:\Program Files (x86)\AstroGrep\AstroGrep.exe" /spath="C:\Users\stu\Documents\Analysis\2016-02-23 RTDC Observations" /stypes="*4029*201609052*" /stext=" 20:.+((SYSTEM_STATE.+slice.+state.+changed )|(ment ac)|(system.+state.+changed )|(\|lc)|(penalty)|(\[timeout)|(PRM\|1\|D))" /e /r /s</v>
      </c>
      <c r="S271" s="176" t="str">
        <f t="shared" si="34"/>
        <v>4029</v>
      </c>
      <c r="T271" s="172">
        <f t="shared" si="35"/>
        <v>42618.853958333333</v>
      </c>
      <c r="U271" s="181" t="str">
        <f t="shared" si="37"/>
        <v>NW</v>
      </c>
      <c r="V271" s="181" t="str">
        <f t="shared" si="36"/>
        <v>KEEP</v>
      </c>
      <c r="W271" s="186" t="str">
        <f t="shared" si="33"/>
        <v>echo {"issue":{"subject":"Wi-MAX outage","project_id":79,"tracker_id":40,"status_id":1,"priority_id":2,"assigned_to_id":23,"start_date":"2016-09-05","description":"","custom_fields":[{"id":1,"name":"Subdivision","value":"NW"},{"id":4,"name":"Milepost","value":"3.7575"},{"id":17,"name":"Train ID","value":"823-05"},{"id":16,"name":"Locomotive ID","value":"4029"},{"id":130,"name":"Impact","value":""},{"id":150,"name":"Time of Event (Mountain Time)","value":"14:29:42"},{"id":151,"name":"Denver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2" spans="1:23" x14ac:dyDescent="0.25">
      <c r="A272" s="172">
        <v>42618.52071759259</v>
      </c>
      <c r="B272" s="173" t="s">
        <v>91</v>
      </c>
      <c r="C272" s="173" t="s">
        <v>1830</v>
      </c>
      <c r="D272" s="173" t="s">
        <v>49</v>
      </c>
      <c r="E272" s="173" t="s">
        <v>333</v>
      </c>
      <c r="F272" s="174">
        <v>0</v>
      </c>
      <c r="G272" s="174">
        <v>449</v>
      </c>
      <c r="H272" s="174">
        <v>36795</v>
      </c>
      <c r="I272" s="173" t="s">
        <v>334</v>
      </c>
      <c r="J272" s="174">
        <v>39609</v>
      </c>
      <c r="K272" s="173" t="s">
        <v>52</v>
      </c>
      <c r="L272" s="175" t="str">
        <f>VLOOKUP(C272,'[10]Trips&amp;Operators'!$C$1:$E$9999,3,0)</f>
        <v>ROCHA</v>
      </c>
      <c r="M272" s="182" t="s">
        <v>243</v>
      </c>
      <c r="N272" s="177" t="s">
        <v>337</v>
      </c>
      <c r="P272" s="183" t="str">
        <f>VLOOKUP(C272,'[10]Train Runs'!$A$13:$AE$10002,31,0)</f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Q272" s="184" t="str">
        <f>VLOOKUP(C272,'[10]Train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11:20:18-0600',mode:absolute,to:'2016-09-05 13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72" s="185" t="str">
        <f t="shared" si="32"/>
        <v>"C:\Program Files (x86)\AstroGrep\AstroGrep.exe" /spath="C:\Users\stu\Documents\Analysis\2016-02-23 RTDC Observations" /stypes="*4029*201609051*" /stext=" 18:.+((SYSTEM_STATE.+slice.+state.+changed )|(ment ac)|(system.+state.+changed )|(\|lc)|(penalty)|(\[timeout)|(PRM\|1\|D))" /e /r /s</v>
      </c>
      <c r="S272" s="176" t="str">
        <f t="shared" si="34"/>
        <v>4029</v>
      </c>
      <c r="T272" s="172">
        <f t="shared" si="35"/>
        <v>42618.77071759259</v>
      </c>
      <c r="U272" s="181" t="str">
        <f t="shared" si="37"/>
        <v>NW</v>
      </c>
      <c r="V272" s="181" t="str">
        <f t="shared" si="36"/>
        <v>KEEP</v>
      </c>
      <c r="W272" s="186" t="str">
        <f t="shared" si="33"/>
        <v>echo {"issue":{"subject":"Wi-MAX outage","project_id":79,"tracker_id":40,"status_id":1,"priority_id":2,"assigned_to_id":23,"start_date":"2016-09-05","description":"","custom_fields":[{"id":1,"name":"Subdivision","value":"NW"},{"id":4,"name":"Milepost","value":"3.9609"},{"id":17,"name":"Train ID","value":"819-05"},{"id":16,"name":"Locomotive ID","value":"4029"},{"id":130,"name":"Impact","value":""},{"id":150,"name":"Time of Event (Mountain Time)","value":"12:29:50"},{"id":151,"name":"Denver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3" spans="1:23" x14ac:dyDescent="0.25">
      <c r="A273" s="172">
        <v>42618.787465277775</v>
      </c>
      <c r="B273" s="173" t="s">
        <v>144</v>
      </c>
      <c r="C273" s="173" t="s">
        <v>1900</v>
      </c>
      <c r="D273" s="173" t="s">
        <v>49</v>
      </c>
      <c r="E273" s="173" t="s">
        <v>326</v>
      </c>
      <c r="F273" s="174">
        <v>100</v>
      </c>
      <c r="G273" s="174">
        <v>363</v>
      </c>
      <c r="H273" s="174">
        <v>7952</v>
      </c>
      <c r="I273" s="173" t="s">
        <v>205</v>
      </c>
      <c r="J273" s="174">
        <v>10701</v>
      </c>
      <c r="K273" s="173" t="s">
        <v>52</v>
      </c>
      <c r="L273" s="175" t="str">
        <f>VLOOKUP(C273,'[10]Trips&amp;Operators'!$C$1:$E$9999,3,0)</f>
        <v>COOLAHAN</v>
      </c>
      <c r="M273" s="182" t="s">
        <v>86</v>
      </c>
      <c r="N273" s="177"/>
      <c r="P273" s="183" t="str">
        <f>VLOOKUP(C273,'[10]Train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273" s="184" t="str">
        <f>VLOOKUP(C273,'[10]Train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17:45:58-0600',mode:absolute,to:'2016-09-05 20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73" s="185" t="str">
        <f t="shared" si="32"/>
        <v>"C:\Program Files (x86)\AstroGrep\AstroGrep.exe" /spath="C:\Users\stu\Documents\Analysis\2016-02-23 RTDC Observations" /stypes="*4038*201609060*" /stext=" 00:.+((SYSTEM_STATE.+slice.+state.+changed )|(ment ac)|(system.+state.+changed )|(\|lc)|(penalty)|(\[timeout)|(PRM\|1\|D))" /e /r /s</v>
      </c>
      <c r="S273" s="176" t="str">
        <f t="shared" si="34"/>
        <v>4038</v>
      </c>
      <c r="T273" s="172">
        <f t="shared" si="35"/>
        <v>42619.037465277775</v>
      </c>
      <c r="U273" s="181" t="str">
        <f t="shared" si="37"/>
        <v>NW</v>
      </c>
      <c r="V273" s="181" t="str">
        <f t="shared" si="36"/>
        <v>KEEP</v>
      </c>
      <c r="W273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{"issue":{"subject":"","project_id":79,"tracker_id":40,"status_id":1,"priority_id":2,"assigned_to_id":23,"start_date":"2016-09-05","description":"","custom_fields":[{"id":1,"name":"Subdivision","value":"NW"},{"id":4,"name":"Milepost","value":"1.0701"},{"id":17,"name":"Train ID","value":"839-05"},{"id":16,"name":"Locomotive ID","value":"4038"},{"id":130,"name":"Impact","value":""},{"id":150,"name":"Time of Event (Mountain Time)","value":"18:53:57"},{"id":151,"name":"Denver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4" spans="1:23" x14ac:dyDescent="0.25">
      <c r="A274" s="172">
        <v>42618.311516203707</v>
      </c>
      <c r="B274" s="173" t="s">
        <v>139</v>
      </c>
      <c r="C274" s="173" t="s">
        <v>1779</v>
      </c>
      <c r="D274" s="173" t="s">
        <v>49</v>
      </c>
      <c r="E274" s="173" t="s">
        <v>50</v>
      </c>
      <c r="F274" s="174">
        <v>0</v>
      </c>
      <c r="G274" s="174">
        <v>19</v>
      </c>
      <c r="H274" s="174">
        <v>636</v>
      </c>
      <c r="I274" s="173" t="s">
        <v>51</v>
      </c>
      <c r="J274" s="174">
        <v>575</v>
      </c>
      <c r="K274" s="173" t="s">
        <v>53</v>
      </c>
      <c r="L274" s="175" t="str">
        <f>VLOOKUP(C274,'[10]Trips&amp;Operators'!$C$1:$E$9999,3,0)</f>
        <v>DAVIS</v>
      </c>
      <c r="M274" s="182" t="s">
        <v>86</v>
      </c>
      <c r="N274" s="177"/>
      <c r="P274" s="183" t="str">
        <f>VLOOKUP(C274,'[10]Train Runs'!$A$13:$AE$10002,31,0)</f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Q274" s="184" t="str">
        <f>VLOOKUP(C274,'[10]Train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06:06:32-0600',mode:absolute,to:'2016-09-05 08:28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74" s="185" t="str">
        <f t="shared" si="32"/>
        <v>"C:\Program Files (x86)\AstroGrep\AstroGrep.exe" /spath="C:\Users\stu\Documents\Analysis\2016-02-23 RTDC Observations" /stypes="*4037*201609051*" /stext=" 13:.+((SYSTEM_STATE.+slice.+state.+changed )|(ment ac)|(system.+state.+changed )|(\|lc)|(penalty)|(\[timeout)|(PRM\|1\|D))" /e /r /s</v>
      </c>
      <c r="S274" s="176" t="str">
        <f t="shared" si="34"/>
        <v>4037</v>
      </c>
      <c r="T274" s="172">
        <f t="shared" si="35"/>
        <v>42618.561516203707</v>
      </c>
      <c r="U274" s="181" t="str">
        <f t="shared" si="37"/>
        <v>NW</v>
      </c>
      <c r="V274" s="181" t="str">
        <f t="shared" si="36"/>
        <v>KEEP</v>
      </c>
      <c r="W274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{"issue":{"subject":"","project_id":79,"tracker_id":40,"status_id":1,"priority_id":2,"assigned_to_id":23,"start_date":"2016-09-05","description":"","custom_fields":[{"id":1,"name":"Subdivision","value":"NW"},{"id":4,"name":"Milepost","value":"0.0575"},{"id":17,"name":"Train ID","value":"806-05"},{"id":16,"name":"Locomotive ID","value":"4037"},{"id":130,"name":"Impact","value":""},{"id":150,"name":"Time of Event (Mountain Time)","value":"07:28:35"},{"id":151,"name":"Denver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5" spans="1:23" x14ac:dyDescent="0.25">
      <c r="A275" s="172">
        <v>42618.45579861111</v>
      </c>
      <c r="B275" s="173" t="s">
        <v>92</v>
      </c>
      <c r="C275" s="173" t="s">
        <v>1816</v>
      </c>
      <c r="D275" s="173" t="s">
        <v>49</v>
      </c>
      <c r="E275" s="173" t="s">
        <v>50</v>
      </c>
      <c r="F275" s="174">
        <v>0</v>
      </c>
      <c r="G275" s="174">
        <v>30</v>
      </c>
      <c r="H275" s="174">
        <v>643</v>
      </c>
      <c r="I275" s="173" t="s">
        <v>51</v>
      </c>
      <c r="J275" s="174">
        <v>575</v>
      </c>
      <c r="K275" s="173" t="s">
        <v>53</v>
      </c>
      <c r="L275" s="175" t="str">
        <f>VLOOKUP(C275,'[10]Trips&amp;Operators'!$C$1:$E$9999,3,0)</f>
        <v>ROCHA</v>
      </c>
      <c r="M275" s="182" t="s">
        <v>86</v>
      </c>
      <c r="N275" s="177"/>
      <c r="P275" s="183" t="str">
        <f>VLOOKUP(C275,'[10]Train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275" s="184" t="str">
        <f>VLOOKUP(C275,'[10]Train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09:37:24-0600',mode:absolute,to:'2016-09-05 11:56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75" s="185" t="str">
        <f t="shared" si="32"/>
        <v>"C:\Program Files (x86)\AstroGrep\AstroGrep.exe" /spath="C:\Users\stu\Documents\Analysis\2016-02-23 RTDC Observations" /stypes="*4030*201609051*" /stext=" 16:.+((SYSTEM_STATE.+slice.+state.+changed )|(ment ac)|(system.+state.+changed )|(\|lc)|(penalty)|(\[timeout)|(PRM\|1\|D))" /e /r /s</v>
      </c>
      <c r="S275" s="176" t="str">
        <f t="shared" si="34"/>
        <v>4030</v>
      </c>
      <c r="T275" s="172">
        <f t="shared" si="35"/>
        <v>42618.70579861111</v>
      </c>
      <c r="U275" s="181" t="str">
        <f t="shared" si="37"/>
        <v>NW</v>
      </c>
      <c r="V275" s="181" t="str">
        <f t="shared" si="36"/>
        <v>KEEP</v>
      </c>
      <c r="W275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{"issue":{"subject":"","project_id":79,"tracker_id":40,"status_id":1,"priority_id":2,"assigned_to_id":23,"start_date":"2016-09-05","description":"","custom_fields":[{"id":1,"name":"Subdivision","value":"NW"},{"id":4,"name":"Milepost","value":"0.0575"},{"id":17,"name":"Train ID","value":"816-05"},{"id":16,"name":"Locomotive ID","value":"4030"},{"id":130,"name":"Impact","value":""},{"id":150,"name":"Time of Event (Mountain Time)","value":"10:56:21"},{"id":151,"name":"Denver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6" spans="1:23" x14ac:dyDescent="0.25">
      <c r="A276" s="172">
        <v>42618.767766203702</v>
      </c>
      <c r="B276" s="173" t="s">
        <v>139</v>
      </c>
      <c r="C276" s="173" t="s">
        <v>1893</v>
      </c>
      <c r="D276" s="173" t="s">
        <v>49</v>
      </c>
      <c r="E276" s="173" t="s">
        <v>50</v>
      </c>
      <c r="F276" s="174">
        <v>0</v>
      </c>
      <c r="G276" s="174">
        <v>71</v>
      </c>
      <c r="H276" s="174">
        <v>810</v>
      </c>
      <c r="I276" s="173" t="s">
        <v>51</v>
      </c>
      <c r="J276" s="174">
        <v>575</v>
      </c>
      <c r="K276" s="173" t="s">
        <v>53</v>
      </c>
      <c r="L276" s="175" t="str">
        <f>VLOOKUP(C276,'[10]Trips&amp;Operators'!$C$1:$E$9999,3,0)</f>
        <v>COOLAHAN</v>
      </c>
      <c r="M276" s="182" t="s">
        <v>86</v>
      </c>
      <c r="N276" s="177"/>
      <c r="P276" s="183" t="str">
        <f>VLOOKUP(C276,'[10]Train Runs'!$A$13:$AE$10002,31,0)</f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Q276" s="184" t="str">
        <f>VLOOKUP(C276,'[10]Train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17:07:44-0600',mode:absolute,to:'2016-09-05 19:25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76" s="185" t="str">
        <f t="shared" si="32"/>
        <v>"C:\Program Files (x86)\AstroGrep\AstroGrep.exe" /spath="C:\Users\stu\Documents\Analysis\2016-02-23 RTDC Observations" /stypes="*4037*201609060*" /stext=" 00:.+((SYSTEM_STATE.+slice.+state.+changed )|(ment ac)|(system.+state.+changed )|(\|lc)|(penalty)|(\[timeout)|(PRM\|1\|D))" /e /r /s</v>
      </c>
      <c r="S276" s="176" t="str">
        <f t="shared" si="34"/>
        <v>4037</v>
      </c>
      <c r="T276" s="172">
        <f t="shared" si="35"/>
        <v>42619.017766203702</v>
      </c>
      <c r="U276" s="181" t="str">
        <f t="shared" si="37"/>
        <v>NW</v>
      </c>
      <c r="V276" s="181" t="str">
        <f t="shared" si="36"/>
        <v>KEEP</v>
      </c>
      <c r="W276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{"issue":{"subject":"","project_id":79,"tracker_id":40,"status_id":1,"priority_id":2,"assigned_to_id":23,"start_date":"2016-09-05","description":"","custom_fields":[{"id":1,"name":"Subdivision","value":"NW"},{"id":4,"name":"Milepost","value":"0.0575"},{"id":17,"name":"Train ID","value":"836-05"},{"id":16,"name":"Locomotive ID","value":"4037"},{"id":130,"name":"Impact","value":""},{"id":150,"name":"Time of Event (Mountain Time)","value":"18:25:35"},{"id":151,"name":"Denver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7" spans="1:23" x14ac:dyDescent="0.25">
      <c r="A277" s="172">
        <v>42618.906666666669</v>
      </c>
      <c r="B277" s="173" t="s">
        <v>92</v>
      </c>
      <c r="C277" s="173" t="s">
        <v>1921</v>
      </c>
      <c r="D277" s="173" t="s">
        <v>49</v>
      </c>
      <c r="E277" s="173" t="s">
        <v>50</v>
      </c>
      <c r="F277" s="174">
        <v>0</v>
      </c>
      <c r="G277" s="174">
        <v>9</v>
      </c>
      <c r="H277" s="174">
        <v>56644</v>
      </c>
      <c r="I277" s="173" t="s">
        <v>51</v>
      </c>
      <c r="J277" s="174">
        <v>575</v>
      </c>
      <c r="K277" s="173" t="s">
        <v>53</v>
      </c>
      <c r="L277" s="175" t="str">
        <f>VLOOKUP(C277,'[10]Trips&amp;Operators'!$C$1:$E$9999,3,0)</f>
        <v>COOLAHAN</v>
      </c>
      <c r="M277" s="182" t="s">
        <v>86</v>
      </c>
      <c r="N277" s="177"/>
      <c r="P277" s="183" t="str">
        <f>VLOOKUP(C277,'[10]Train Runs'!$A$13:$AE$10002,31,0)</f>
        <v>aws s3 cp s3://rtdc.mdm.uploadarchive/RTDC4030/2016-09-05/ "%USERPROFILE%\AppData\Local\Temp\OnboardLogs"\RTDC4030\2016-09-05 --recursive &amp; "%USERPROFILE%\Documents\GitHub\mrs-test-scripts\Headless Mode &amp; Sideloading\WalkAndUnGZ.bat" "%USERPROFILE%\AppData\Local\Temp\OnboardLogs"\RTDC4030\2016-09-05 &amp; aws s3 cp s3://rtdc.mdm.uploadarchive/RTDC4030/2016-09-06/ "%USERPROFILE%\AppData\Local\Temp\OnboardLogs"\RTDC4030\2016-09-06 --recursive &amp; "%USERPROFILE%\Documents\GitHub\mrs-test-scripts\Headless Mode &amp; Sideloading\WalkAndUnGZ.bat" "%USERPROFILE%\AppData\Local\Temp\OnboardLogs"\RTDC4030\2016-09-06</v>
      </c>
      <c r="Q277" s="184" t="str">
        <f>VLOOKUP(C277,'[10]Train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20:36:52-0600',mode:absolute,to:'2016-09-05 22:57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277" s="185" t="str">
        <f t="shared" si="32"/>
        <v>"C:\Program Files (x86)\AstroGrep\AstroGrep.exe" /spath="C:\Users\stu\Documents\Analysis\2016-02-23 RTDC Observations" /stypes="*4030*201609060*" /stext=" 03:.+((SYSTEM_STATE.+slice.+state.+changed )|(ment ac)|(system.+state.+changed )|(\|lc)|(penalty)|(\[timeout)|(PRM\|1\|D))" /e /r /s</v>
      </c>
      <c r="S277" s="176" t="str">
        <f t="shared" si="34"/>
        <v>4030</v>
      </c>
      <c r="T277" s="172">
        <f t="shared" si="35"/>
        <v>42619.156666666669</v>
      </c>
      <c r="U277" s="181" t="str">
        <f t="shared" si="37"/>
        <v>NW</v>
      </c>
      <c r="V277" s="181" t="str">
        <f t="shared" si="36"/>
        <v>OMIT</v>
      </c>
      <c r="W277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{"issue":{"subject":"","project_id":79,"tracker_id":40,"status_id":1,"priority_id":2,"assigned_to_id":23,"start_date":"2016-09-05","description":"","custom_fields":[{"id":1,"name":"Subdivision","value":"NW"},{"id":4,"name":"Milepost","value":"0.0575"},{"id":17,"name":"Train ID","value":"844-05"},{"id":16,"name":"Locomotive ID","value":"4030"},{"id":130,"name":"Impact","value":""},{"id":150,"name":"Time of Event (Mountain Time)","value":"21:45:36"},{"id":151,"name":"Denver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8" spans="1:23" x14ac:dyDescent="0.25">
      <c r="A278" s="172">
        <v>42618.608993055554</v>
      </c>
      <c r="B278" s="173" t="s">
        <v>91</v>
      </c>
      <c r="C278" s="173" t="s">
        <v>1849</v>
      </c>
      <c r="D278" s="173" t="s">
        <v>49</v>
      </c>
      <c r="E278" s="173" t="s">
        <v>50</v>
      </c>
      <c r="F278" s="174">
        <v>0</v>
      </c>
      <c r="G278" s="174">
        <v>50</v>
      </c>
      <c r="H278" s="174">
        <v>58884</v>
      </c>
      <c r="I278" s="173" t="s">
        <v>51</v>
      </c>
      <c r="J278" s="174">
        <v>59048</v>
      </c>
      <c r="K278" s="173" t="s">
        <v>52</v>
      </c>
      <c r="L278" s="175" t="str">
        <f>VLOOKUP(C278,'[10]Trips&amp;Operators'!$C$1:$E$9999,3,0)</f>
        <v>BRUDER</v>
      </c>
      <c r="M278" s="182" t="s">
        <v>86</v>
      </c>
      <c r="N278" s="177"/>
      <c r="P278" s="183" t="str">
        <f>VLOOKUP(C278,'[10]Train Runs'!$A$13:$AE$10002,31,0)</f>
        <v>aws s3 cp s3://rtdc.mdm.uploadarchive/RTDC4029/2016-09-05/ "%USERPROFILE%\AppData\Local\Temp\OnboardLogs"\RTDC4029\2016-09-05 --recursive &amp; "%USERPROFILE%\Documents\GitHub\mrs-test-scripts\Headless Mode &amp; Sideloading\WalkAndUnGZ.bat" "%USERPROFILE%\AppData\Local\Temp\OnboardLogs"\RTDC4029\2016-09-05 &amp; aws s3 cp s3://rtdc.mdm.uploadarchive/RTDC4029/2016-09-06/ "%USERPROFILE%\AppData\Local\Temp\OnboardLogs"\RTDC4029\2016-09-06 --recursive &amp; "%USERPROFILE%\Documents\GitHub\mrs-test-scripts\Headless Mode &amp; Sideloading\WalkAndUnGZ.bat" "%USERPROFILE%\AppData\Local\Temp\OnboardLogs"\RTDC4029\2016-09-06</v>
      </c>
      <c r="Q278" s="184" t="str">
        <f>VLOOKUP(C278,'[10]Train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13:14:18-0600',mode:absolute,to:'2016-09-05 15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278" s="185" t="str">
        <f t="shared" si="32"/>
        <v>"C:\Program Files (x86)\AstroGrep\AstroGrep.exe" /spath="C:\Users\stu\Documents\Analysis\2016-02-23 RTDC Observations" /stypes="*4029*201609052*" /stext=" 20:.+((SYSTEM_STATE.+slice.+state.+changed )|(ment ac)|(system.+state.+changed )|(\|lc)|(penalty)|(\[timeout)|(PRM\|1\|D))" /e /r /s</v>
      </c>
      <c r="S278" s="176" t="str">
        <f t="shared" si="34"/>
        <v>4029</v>
      </c>
      <c r="T278" s="172">
        <f t="shared" si="35"/>
        <v>42618.858993055554</v>
      </c>
      <c r="U278" s="181" t="str">
        <f t="shared" si="37"/>
        <v>NW</v>
      </c>
      <c r="V278" s="181" t="str">
        <f t="shared" si="36"/>
        <v>KEEP</v>
      </c>
      <c r="W278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{"issue":{"subject":"","project_id":79,"tracker_id":40,"status_id":1,"priority_id":2,"assigned_to_id":23,"start_date":"2016-09-05","description":"","custom_fields":[{"id":1,"name":"Subdivision","value":"NW"},{"id":4,"name":"Milepost","value":"5.9048"},{"id":17,"name":"Train ID","value":"823-05"},{"id":16,"name":"Locomotive ID","value":"4029"},{"id":130,"name":"Impact","value":""},{"id":150,"name":"Time of Event (Mountain Time)","value":"14:36:57"},{"id":151,"name":"Denver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79" spans="1:23" x14ac:dyDescent="0.25">
      <c r="A279" s="172">
        <v>42618.670671296299</v>
      </c>
      <c r="B279" s="173" t="s">
        <v>144</v>
      </c>
      <c r="C279" s="173" t="s">
        <v>1866</v>
      </c>
      <c r="D279" s="173" t="s">
        <v>49</v>
      </c>
      <c r="E279" s="173" t="s">
        <v>50</v>
      </c>
      <c r="F279" s="174">
        <v>0</v>
      </c>
      <c r="G279" s="174">
        <v>58</v>
      </c>
      <c r="H279" s="174">
        <v>58873</v>
      </c>
      <c r="I279" s="173" t="s">
        <v>51</v>
      </c>
      <c r="J279" s="174">
        <v>59048</v>
      </c>
      <c r="K279" s="173" t="s">
        <v>52</v>
      </c>
      <c r="L279" s="175" t="str">
        <f>VLOOKUP(C279,'[10]Trips&amp;Operators'!$C$1:$E$9999,3,0)</f>
        <v>COOLAHAN</v>
      </c>
      <c r="M279" s="182" t="s">
        <v>86</v>
      </c>
      <c r="N279" s="177"/>
      <c r="P279" s="183" t="str">
        <f>VLOOKUP(C279,'[10]Train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279" s="184" t="str">
        <f>VLOOKUP(C279,'[10]Train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14:46:08-0600',mode:absolute,to:'2016-09-05 17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79" s="185" t="str">
        <f t="shared" si="32"/>
        <v>"C:\Program Files (x86)\AstroGrep\AstroGrep.exe" /spath="C:\Users\stu\Documents\Analysis\2016-02-23 RTDC Observations" /stypes="*4038*201609052*" /stext=" 22:.+((SYSTEM_STATE.+slice.+state.+changed )|(ment ac)|(system.+state.+changed )|(\|lc)|(penalty)|(\[timeout)|(PRM\|1\|D))" /e /r /s</v>
      </c>
      <c r="S279" s="176" t="str">
        <f t="shared" si="34"/>
        <v>4038</v>
      </c>
      <c r="T279" s="172">
        <f t="shared" si="35"/>
        <v>42618.920671296299</v>
      </c>
      <c r="U279" s="181" t="str">
        <f t="shared" si="37"/>
        <v>NW</v>
      </c>
      <c r="V279" s="181" t="str">
        <f t="shared" si="36"/>
        <v>KEEP</v>
      </c>
      <c r="W279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{"issue":{"subject":"","project_id":79,"tracker_id":40,"status_id":1,"priority_id":2,"assigned_to_id":23,"start_date":"2016-09-05","description":"","custom_fields":[{"id":1,"name":"Subdivision","value":"NW"},{"id":4,"name":"Milepost","value":"5.9048"},{"id":17,"name":"Train ID","value":"827-05"},{"id":16,"name":"Locomotive ID","value":"4038"},{"id":130,"name":"Impact","value":""},{"id":150,"name":"Time of Event (Mountain Time)","value":"16:05:46"},{"id":151,"name":"Denver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0" spans="1:23" x14ac:dyDescent="0.25">
      <c r="A280" s="172">
        <v>42618.671469907407</v>
      </c>
      <c r="B280" s="173" t="s">
        <v>144</v>
      </c>
      <c r="C280" s="173" t="s">
        <v>1866</v>
      </c>
      <c r="D280" s="173" t="s">
        <v>49</v>
      </c>
      <c r="E280" s="173" t="s">
        <v>50</v>
      </c>
      <c r="F280" s="174">
        <v>0</v>
      </c>
      <c r="G280" s="174">
        <v>20</v>
      </c>
      <c r="H280" s="174">
        <v>58988</v>
      </c>
      <c r="I280" s="173" t="s">
        <v>51</v>
      </c>
      <c r="J280" s="174">
        <v>59048</v>
      </c>
      <c r="K280" s="173" t="s">
        <v>52</v>
      </c>
      <c r="L280" s="175" t="str">
        <f>VLOOKUP(C280,'[10]Trips&amp;Operators'!$C$1:$E$9999,3,0)</f>
        <v>COOLAHAN</v>
      </c>
      <c r="M280" s="182" t="s">
        <v>86</v>
      </c>
      <c r="N280" s="177"/>
      <c r="P280" s="183" t="str">
        <f>VLOOKUP(C280,'[10]Train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280" s="184" t="str">
        <f>VLOOKUP(C280,'[10]Train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14:46:08-0600',mode:absolute,to:'2016-09-05 17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80" s="185" t="str">
        <f t="shared" si="32"/>
        <v>"C:\Program Files (x86)\AstroGrep\AstroGrep.exe" /spath="C:\Users\stu\Documents\Analysis\2016-02-23 RTDC Observations" /stypes="*4038*201609052*" /stext=" 22:.+((SYSTEM_STATE.+slice.+state.+changed )|(ment ac)|(system.+state.+changed )|(\|lc)|(penalty)|(\[timeout)|(PRM\|1\|D))" /e /r /s</v>
      </c>
      <c r="S280" s="176" t="str">
        <f t="shared" si="34"/>
        <v>4038</v>
      </c>
      <c r="T280" s="172">
        <f t="shared" si="35"/>
        <v>42618.921469907407</v>
      </c>
      <c r="U280" s="181" t="str">
        <f t="shared" si="37"/>
        <v>NW</v>
      </c>
      <c r="V280" s="181" t="str">
        <f t="shared" si="36"/>
        <v>KEEP</v>
      </c>
      <c r="W280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{"issue":{"subject":"","project_id":79,"tracker_id":40,"status_id":1,"priority_id":2,"assigned_to_id":23,"start_date":"2016-09-05","description":"","custom_fields":[{"id":1,"name":"Subdivision","value":"NW"},{"id":4,"name":"Milepost","value":"5.9048"},{"id":17,"name":"Train ID","value":"827-05"},{"id":16,"name":"Locomotive ID","value":"4038"},{"id":130,"name":"Impact","value":""},{"id":150,"name":"Time of Event (Mountain Time)","value":"16:06:55"},{"id":151,"name":"Denver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1" spans="1:23" x14ac:dyDescent="0.25">
      <c r="A281" s="172">
        <v>42618.711724537039</v>
      </c>
      <c r="B281" s="173" t="s">
        <v>144</v>
      </c>
      <c r="C281" s="173" t="s">
        <v>1877</v>
      </c>
      <c r="D281" s="173" t="s">
        <v>49</v>
      </c>
      <c r="E281" s="173" t="s">
        <v>50</v>
      </c>
      <c r="F281" s="174">
        <v>0</v>
      </c>
      <c r="G281" s="174">
        <v>9</v>
      </c>
      <c r="H281" s="174">
        <v>59016</v>
      </c>
      <c r="I281" s="173" t="s">
        <v>51</v>
      </c>
      <c r="J281" s="174">
        <v>59048</v>
      </c>
      <c r="K281" s="173" t="s">
        <v>52</v>
      </c>
      <c r="L281" s="175" t="str">
        <f>VLOOKUP(C281,'[10]Trips&amp;Operators'!$C$1:$E$9999,3,0)</f>
        <v>COOLAHAN</v>
      </c>
      <c r="M281" s="182" t="s">
        <v>86</v>
      </c>
      <c r="N281" s="177"/>
      <c r="P281" s="183" t="str">
        <f>VLOOKUP(C281,'[10]Train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281" s="184" t="str">
        <f>VLOOKUP(C281,'[10]Train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15:44:26-0600',mode:absolute,to:'2016-09-05 18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81" s="185" t="str">
        <f t="shared" si="32"/>
        <v>"C:\Program Files (x86)\AstroGrep\AstroGrep.exe" /spath="C:\Users\stu\Documents\Analysis\2016-02-23 RTDC Observations" /stypes="*4038*201609052*" /stext=" 23:.+((SYSTEM_STATE.+slice.+state.+changed )|(ment ac)|(system.+state.+changed )|(\|lc)|(penalty)|(\[timeout)|(PRM\|1\|D))" /e /r /s</v>
      </c>
      <c r="S281" s="176" t="str">
        <f t="shared" si="34"/>
        <v>4038</v>
      </c>
      <c r="T281" s="172">
        <f t="shared" si="35"/>
        <v>42618.961724537039</v>
      </c>
      <c r="U281" s="181" t="str">
        <f t="shared" si="37"/>
        <v>NW</v>
      </c>
      <c r="V281" s="181" t="str">
        <f t="shared" si="36"/>
        <v>OMIT</v>
      </c>
      <c r="W281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{"issue":{"subject":"","project_id":79,"tracker_id":40,"status_id":1,"priority_id":2,"assigned_to_id":23,"start_date":"2016-09-05","description":"","custom_fields":[{"id":1,"name":"Subdivision","value":"NW"},{"id":4,"name":"Milepost","value":"5.9048"},{"id":17,"name":"Train ID","value":"831-05"},{"id":16,"name":"Locomotive ID","value":"4038"},{"id":130,"name":"Impact","value":""},{"id":150,"name":"Time of Event (Mountain Time)","value":"17:04:53"},{"id":151,"name":"Denver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2" spans="1:23" x14ac:dyDescent="0.25">
      <c r="A282" s="172">
        <v>42618.795312499999</v>
      </c>
      <c r="B282" s="173" t="s">
        <v>144</v>
      </c>
      <c r="C282" s="173" t="s">
        <v>1900</v>
      </c>
      <c r="D282" s="173" t="s">
        <v>49</v>
      </c>
      <c r="E282" s="173" t="s">
        <v>50</v>
      </c>
      <c r="F282" s="174">
        <v>0</v>
      </c>
      <c r="G282" s="174">
        <v>67</v>
      </c>
      <c r="H282" s="174">
        <v>58807</v>
      </c>
      <c r="I282" s="173" t="s">
        <v>51</v>
      </c>
      <c r="J282" s="174">
        <v>59048</v>
      </c>
      <c r="K282" s="173" t="s">
        <v>52</v>
      </c>
      <c r="L282" s="175" t="str">
        <f>VLOOKUP(C282,'[10]Trips&amp;Operators'!$C$1:$E$9999,3,0)</f>
        <v>COOLAHAN</v>
      </c>
      <c r="M282" s="182" t="s">
        <v>86</v>
      </c>
      <c r="N282" s="177"/>
      <c r="P282" s="183" t="str">
        <f>VLOOKUP(C282,'[10]Train Runs'!$A$13:$AE$10002,31,0)</f>
        <v>aws s3 cp s3://rtdc.mdm.uploadarchive/RTDC4038/2016-09-05/ "%USERPROFILE%\AppData\Local\Temp\OnboardLogs"\RTDC4038\2016-09-05 --recursive &amp; "%USERPROFILE%\Documents\GitHub\mrs-test-scripts\Headless Mode &amp; Sideloading\WalkAndUnGZ.bat" "%USERPROFILE%\AppData\Local\Temp\OnboardLogs"\RTDC4038\2016-09-05 &amp; aws s3 cp s3://rtdc.mdm.uploadarchive/RTDC4038/2016-09-06/ "%USERPROFILE%\AppData\Local\Temp\OnboardLogs"\RTDC4038\2016-09-06 --recursive &amp; "%USERPROFILE%\Documents\GitHub\mrs-test-scripts\Headless Mode &amp; Sideloading\WalkAndUnGZ.bat" "%USERPROFILE%\AppData\Local\Temp\OnboardLogs"\RTDC4038\2016-09-06</v>
      </c>
      <c r="Q282" s="184" t="str">
        <f>VLOOKUP(C282,'[10]Train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17:45:58-0600',mode:absolute,to:'2016-09-05 20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R282" s="185" t="str">
        <f t="shared" si="32"/>
        <v>"C:\Program Files (x86)\AstroGrep\AstroGrep.exe" /spath="C:\Users\stu\Documents\Analysis\2016-02-23 RTDC Observations" /stypes="*4038*201609060*" /stext=" 01:.+((SYSTEM_STATE.+slice.+state.+changed )|(ment ac)|(system.+state.+changed )|(\|lc)|(penalty)|(\[timeout)|(PRM\|1\|D))" /e /r /s</v>
      </c>
      <c r="S282" s="176" t="str">
        <f t="shared" si="34"/>
        <v>4038</v>
      </c>
      <c r="T282" s="172">
        <f t="shared" si="35"/>
        <v>42619.045312499999</v>
      </c>
      <c r="U282" s="181" t="str">
        <f t="shared" si="37"/>
        <v>NW</v>
      </c>
      <c r="V282" s="181" t="str">
        <f t="shared" si="36"/>
        <v>KEEP</v>
      </c>
      <c r="W282" s="186" t="str">
        <f t="shared" si="33"/>
        <v>echo {"issue":{"subject":"","project_id":79,"tracker_id":40,"status_id":1,"priority_id":2,"assigned_to_id":23,"start_date":"2016-09-05","description":"","custom_fields":[{"id":1,"name":"Subdivision","value":"NW"},{"id":4,"name":"Milepost","value":"5.9048"},{"id":17,"name":"Train ID","value":"839-05"},{"id":16,"name":"Locomotive ID","value":"4038"},{"id":130,"name":"Impact","value":""},{"id":150,"name":"Time of Event (Mountain Time)","value":"19:05:15"},{"id":151,"name":"Denver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3" spans="1:23" x14ac:dyDescent="0.25">
      <c r="A283" s="172">
        <v>42619.032210648147</v>
      </c>
      <c r="B283" s="173" t="s">
        <v>111</v>
      </c>
      <c r="C283" s="173" t="s">
        <v>1936</v>
      </c>
      <c r="D283" s="173" t="s">
        <v>110</v>
      </c>
      <c r="E283" s="173" t="s">
        <v>56</v>
      </c>
      <c r="F283" s="174">
        <v>200</v>
      </c>
      <c r="G283" s="174">
        <v>253</v>
      </c>
      <c r="H283" s="174">
        <v>6163</v>
      </c>
      <c r="I283" s="173" t="s">
        <v>57</v>
      </c>
      <c r="J283" s="174">
        <v>4790</v>
      </c>
      <c r="K283" s="173" t="s">
        <v>52</v>
      </c>
      <c r="L283" s="175" t="str">
        <f>VLOOKUP(C283,'[10]Trips&amp;Operators'!$C$1:$E$9999,3,0)</f>
        <v>LEVERE</v>
      </c>
      <c r="M283" s="182" t="s">
        <v>86</v>
      </c>
      <c r="N283" s="177"/>
      <c r="P283" s="183" t="str">
        <f>VLOOKUP(C283,'[10]Train Runs'!$A$13:$AE$10002,31,0)</f>
        <v>aws s3 cp s3://rtdc.mdm.uploadarchive/RTDC4014/2016-09-06/ "%USERPROFILE%\AppData\Local\Temp\OnboardLogs"\RTDC4014\2016-09-06 --recursive &amp; "%USERPROFILE%\Documents\GitHub\mrs-test-scripts\Headless Mode &amp; Sideloading\WalkAndUnGZ.bat" "%USERPROFILE%\AppData\Local\Temp\OnboardLogs"\RTDC4014\2016-09-06 &amp; aws s3 cp s3://rtdc.mdm.uploadarchive/RTDC4014/2016-09-07/ "%USERPROFILE%\AppData\Local\Temp\OnboardLogs"\RTDC4014\2016-09-07 --recursive &amp; "%USERPROFILE%\Documents\GitHub\mrs-test-scripts\Headless Mode &amp; Sideloading\WalkAndUnGZ.bat" "%USERPROFILE%\AppData\Local\Temp\OnboardLogs"\RTDC4014\2016-09-07</v>
      </c>
      <c r="Q283" s="184" t="str">
        <f>VLOOKUP(C283,'[10]Train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23:41:59-0600',mode:absolute,to:'2016-09-06 01:53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83" s="185" t="str">
        <f t="shared" si="32"/>
        <v>"C:\Program Files (x86)\AstroGrep\AstroGrep.exe" /spath="C:\Users\stu\Documents\Analysis\2016-02-23 RTDC Observations" /stypes="*4014*201609060*" /stext=" 06:.+((SYSTEM_STATE.+slice.+state.+changed )|(ment ac)|(system.+state.+changed )|(\|lc)|(penalty)|(\[timeout)|(PRM\|1\|D))" /e /r /s</v>
      </c>
      <c r="S283" s="176" t="str">
        <f t="shared" si="34"/>
        <v>4014</v>
      </c>
      <c r="T283" s="172">
        <f t="shared" si="35"/>
        <v>42619.282210648147</v>
      </c>
      <c r="U283" s="181" t="str">
        <f t="shared" si="37"/>
        <v>Other</v>
      </c>
      <c r="V283" s="181" t="str">
        <f t="shared" si="36"/>
        <v>KEEP</v>
      </c>
      <c r="W283" s="186" t="str">
        <f t="shared" si="33"/>
        <v>echo {"issue":{"subject":"","project_id":79,"tracker_id":40,"status_id":1,"priority_id":2,"assigned_to_id":23,"start_date":"2016-09-06","description":"","custom_fields":[{"id":1,"name":"Subdivision","value":"Other"},{"id":4,"name":"Milepost","value":"0.479"},{"id":17,"name":"Train ID","value":"309-05"},{"id":16,"name":"Locomotive ID","value":"4014"},{"id":130,"name":"Impact","value":""},{"id":150,"name":"Time of Event (Mountain Time)","value":"00:46:23"},{"id":151,"name":"Denver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4" spans="1:23" x14ac:dyDescent="0.25">
      <c r="A284" s="172">
        <v>42618.772534722222</v>
      </c>
      <c r="B284" s="173" t="s">
        <v>257</v>
      </c>
      <c r="C284" s="173" t="s">
        <v>1894</v>
      </c>
      <c r="D284" s="173" t="s">
        <v>110</v>
      </c>
      <c r="E284" s="173" t="s">
        <v>54</v>
      </c>
      <c r="F284" s="174">
        <v>0</v>
      </c>
      <c r="G284" s="174">
        <v>57</v>
      </c>
      <c r="H284" s="174">
        <v>1817</v>
      </c>
      <c r="I284" s="173" t="s">
        <v>55</v>
      </c>
      <c r="J284" s="174">
        <v>1692</v>
      </c>
      <c r="K284" s="173" t="s">
        <v>52</v>
      </c>
      <c r="L284" s="175" t="str">
        <f>VLOOKUP(C284,'[10]Trips&amp;Operators'!$C$1:$E$9999,3,0)</f>
        <v>DE LA ROSA</v>
      </c>
      <c r="M284" s="182" t="s">
        <v>86</v>
      </c>
      <c r="N284" s="177"/>
      <c r="P284" s="183" t="str">
        <f>VLOOKUP(C284,'[10]Train Runs'!$A$13:$AE$10002,31,0)</f>
        <v>aws s3 cp s3://rtdc.mdm.uploadarchive/RTDC4025/2016-09-05/ "%USERPROFILE%\AppData\Local\Temp\OnboardLogs"\RTDC4025\2016-09-05 --recursive &amp; "%USERPROFILE%\Documents\GitHub\mrs-test-scripts\Headless Mode &amp; Sideloading\WalkAndUnGZ.bat" "%USERPROFILE%\AppData\Local\Temp\OnboardLogs"\RTDC4025\2016-09-05 &amp; aws s3 cp s3://rtdc.mdm.uploadarchive/RTDC4025/2016-09-06/ "%USERPROFILE%\AppData\Local\Temp\OnboardLogs"\RTDC4025\2016-09-06 --recursive &amp; "%USERPROFILE%\Documents\GitHub\mrs-test-scripts\Headless Mode &amp; Sideloading\WalkAndUnGZ.bat" "%USERPROFILE%\AppData\Local\Temp\OnboardLogs"\RTDC4025\2016-09-06</v>
      </c>
      <c r="Q284" s="184" t="str">
        <f>VLOOKUP(C284,'[10]Train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17:07:40-0600',mode:absolute,to:'2016-09-05 19:33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284" s="185" t="str">
        <f t="shared" si="32"/>
        <v>"C:\Program Files (x86)\AstroGrep\AstroGrep.exe" /spath="C:\Users\stu\Documents\Analysis\2016-02-23 RTDC Observations" /stypes="*4025*201609060*" /stext=" 00:.+((SYSTEM_STATE.+slice.+state.+changed )|(ment ac)|(system.+state.+changed )|(\|lc)|(penalty)|(\[timeout)|(PRM\|1\|D))" /e /r /s</v>
      </c>
      <c r="S284" s="176" t="str">
        <f t="shared" si="34"/>
        <v>4025</v>
      </c>
      <c r="T284" s="172">
        <f t="shared" si="35"/>
        <v>42619.022534722222</v>
      </c>
      <c r="U284" s="181" t="str">
        <f t="shared" si="37"/>
        <v>Other</v>
      </c>
      <c r="V284" s="181" t="str">
        <f t="shared" si="36"/>
        <v>KEEP</v>
      </c>
      <c r="W284" s="186" t="str">
        <f t="shared" si="33"/>
        <v>echo {"issue":{"subject":"","project_id":79,"tracker_id":40,"status_id":1,"priority_id":2,"assigned_to_id":23,"start_date":"2016-09-05","description":"","custom_fields":[{"id":1,"name":"Subdivision","value":"Other"},{"id":4,"name":"Milepost","value":"0.1692"},{"id":17,"name":"Train ID","value":"63-05"},{"id":16,"name":"Locomotive ID","value":"4025"},{"id":130,"name":"Impact","value":""},{"id":150,"name":"Time of Event (Mountain Time)","value":"18:32:27"},{"id":151,"name":"Denver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5" spans="1:23" x14ac:dyDescent="0.25">
      <c r="A285" s="172">
        <v>42619.06925925926</v>
      </c>
      <c r="B285" s="173" t="s">
        <v>327</v>
      </c>
      <c r="C285" s="173" t="s">
        <v>310</v>
      </c>
      <c r="D285" s="173" t="s">
        <v>110</v>
      </c>
      <c r="E285" s="173" t="s">
        <v>54</v>
      </c>
      <c r="F285" s="174">
        <v>0</v>
      </c>
      <c r="G285" s="174">
        <v>60</v>
      </c>
      <c r="H285" s="174">
        <v>1789</v>
      </c>
      <c r="I285" s="173" t="s">
        <v>55</v>
      </c>
      <c r="J285" s="174">
        <v>1692</v>
      </c>
      <c r="K285" s="173" t="s">
        <v>52</v>
      </c>
      <c r="L285" s="175" t="b">
        <f>VLOOKUP(C285,'[10]Trips&amp;Operators'!$C$1:$E$9999,3,0)</f>
        <v>1</v>
      </c>
      <c r="M285" s="182" t="s">
        <v>86</v>
      </c>
      <c r="N285" s="177"/>
      <c r="P285" s="183" t="str">
        <f>VLOOKUP(C285,'[10]Train Runs'!$A$13:$AE$10002,31,0)</f>
        <v>aws s3 cp s3://rtdc.mdm.uploadarchive/RTDC4051/2016-09-06/ "%USERPROFILE%\AppData\Local\Temp\OnboardLogs"\RTDC4051\2016-09-06 --recursive &amp; "%USERPROFILE%\Documents\GitHub\mrs-test-scripts\Headless Mode &amp; Sideloading\WalkAndUnGZ.bat" "%USERPROFILE%\AppData\Local\Temp\OnboardLogs"\RTDC4051\2016-09-06 &amp; aws s3 cp s3://rtdc.mdm.uploadarchive/RTDC4051/2016-09-07/ "%USERPROFILE%\AppData\Local\Temp\OnboardLogs"\RTDC4051\2016-09-07 --recursive &amp; "%USERPROFILE%\Documents\GitHub\mrs-test-scripts\Headless Mode &amp; Sideloading\WalkAndUnGZ.bat" "%USERPROFILE%\AppData\Local\Temp\OnboardLogs"\RTDC4051\2016-09-07</v>
      </c>
      <c r="Q285" s="184" t="str">
        <f>VLOOKUP(C285,'[10]Train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https://search-rtdc-monitor-bjffxe2xuh6vdkpspy63sjmuny.us-east-1.es.amazonaws.com/_plugin/kibana/#/discover/Steve-Slow-Train-Analysis-(2080s-and-2083s)?_g=(refreshInterval:(display:Off,section:0,value:0),time:(from:'2016-09-06 00:45:44-0600',mode:absolute,to:'2016-09-06 03:09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4051%22')),sort:!(Time,asc))</v>
      </c>
      <c r="R285" s="185" t="str">
        <f t="shared" si="32"/>
        <v>"C:\Program Files (x86)\AstroGrep\AstroGrep.exe" /spath="C:\Users\stu\Documents\Analysis\2016-02-23 RTDC Observations" /stypes="*4051*201609060*" /stext=" 07:.+((SYSTEM_STATE.+slice.+state.+changed )|(ment ac)|(system.+state.+changed )|(\|lc)|(penalty)|(\[timeout)|(PRM\|1\|D))" /e /r /s</v>
      </c>
      <c r="S285" s="176" t="str">
        <f t="shared" si="34"/>
        <v>4051</v>
      </c>
      <c r="T285" s="172">
        <f t="shared" si="35"/>
        <v>42619.31925925926</v>
      </c>
      <c r="U285" s="181" t="str">
        <f t="shared" si="37"/>
        <v>Other</v>
      </c>
      <c r="V285" s="181" t="str">
        <f t="shared" si="36"/>
        <v>KEEP</v>
      </c>
      <c r="W285" s="186" t="str">
        <f t="shared" si="33"/>
        <v>echo {"issue":{"subject":"","project_id":79,"tracker_id":40,"status_id":1,"priority_id":2,"assigned_to_id":23,"start_date":"2016-09-06","description":"","custom_fields":[{"id":1,"name":"Subdivision","value":"Other"},{"id":4,"name":"Milepost","value":"0.1692"},{"id":17,"name":"Train ID","value":"65-05"},{"id":16,"name":"Locomotive ID","value":"4051"},{"id":130,"name":"Impact","value":""},{"id":150,"name":"Time of Event (Mountain Time)","value":"01:39:44"},{"id":151,"name":"Denver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6" spans="1:23" x14ac:dyDescent="0.25">
      <c r="A286" s="172">
        <v>42618.648611111108</v>
      </c>
      <c r="B286" s="173" t="s">
        <v>139</v>
      </c>
      <c r="C286" s="173" t="s">
        <v>1860</v>
      </c>
      <c r="D286" s="173" t="s">
        <v>49</v>
      </c>
      <c r="E286" s="173" t="s">
        <v>50</v>
      </c>
      <c r="F286" s="174">
        <v>0</v>
      </c>
      <c r="G286" s="174">
        <v>26</v>
      </c>
      <c r="H286" s="174">
        <v>647</v>
      </c>
      <c r="I286" s="173" t="s">
        <v>51</v>
      </c>
      <c r="J286" s="174">
        <v>575</v>
      </c>
      <c r="K286" s="173" t="s">
        <v>53</v>
      </c>
      <c r="L286" s="175" t="str">
        <f>VLOOKUP(C286,'[10]Trips&amp;Operators'!$C$1:$E$9999,3,0)</f>
        <v>COOLAHAN</v>
      </c>
      <c r="M286" s="182" t="s">
        <v>86</v>
      </c>
      <c r="N286" s="177"/>
      <c r="P286" s="183" t="str">
        <f>VLOOKUP(C286,'[10]Train Runs'!$A$13:$AE$10002,31,0)</f>
        <v>aws s3 cp s3://rtdc.mdm.uploadarchive/RTDC4037/2016-09-05/ "%USERPROFILE%\AppData\Local\Temp\OnboardLogs"\RTDC4037\2016-09-05 --recursive &amp; "%USERPROFILE%\Documents\GitHub\mrs-test-scripts\Headless Mode &amp; Sideloading\WalkAndUnGZ.bat" "%USERPROFILE%\AppData\Local\Temp\OnboardLogs"\RTDC4037\2016-09-05 &amp; aws s3 cp s3://rtdc.mdm.uploadarchive/RTDC4037/2016-09-06/ "%USERPROFILE%\AppData\Local\Temp\OnboardLogs"\RTDC4037\2016-09-06 --recursive &amp; "%USERPROFILE%\Documents\GitHub\mrs-test-scripts\Headless Mode &amp; Sideloading\WalkAndUnGZ.bat" "%USERPROFILE%\AppData\Local\Temp\OnboardLogs"\RTDC4037\2016-09-06</v>
      </c>
      <c r="Q286" s="184" t="str">
        <f>VLOOKUP(C286,'[10]Train Runs'!$A$13:$AE$10002,22,0)</f>
        <v>https://search-rtdc-monitor-bjffxe2xuh6vdkpspy63sjmuny.us-east-1.es.amazonaws.com/_plugin/kibana/#/discover/Steve-Slow-Train-Analysis-(2080s-and-2083s)?_g=(refreshInterval:(display:Off,section:0,value:0),time:(from:'2016-09-05 14:19:25-0600',mode:absolute,to:'2016-09-05 16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86" s="185" t="str">
        <f t="shared" si="32"/>
        <v>"C:\Program Files (x86)\AstroGrep\AstroGrep.exe" /spath="C:\Users\stu\Documents\Analysis\2016-02-23 RTDC Observations" /stypes="*4037*201609052*" /stext=" 21:.+((SYSTEM_STATE.+slice.+state.+changed )|(ment ac)|(system.+state.+changed )|(\|lc)|(penalty)|(\[timeout)|(PRM\|1\|D))" /e /r /s</v>
      </c>
      <c r="S286" s="176" t="str">
        <f t="shared" si="34"/>
        <v>4037</v>
      </c>
      <c r="T286" s="172">
        <f t="shared" si="35"/>
        <v>42618.898611111108</v>
      </c>
      <c r="U286" s="181" t="str">
        <f t="shared" si="37"/>
        <v>Other</v>
      </c>
      <c r="V286" s="181" t="str">
        <f t="shared" si="36"/>
        <v>KEEP</v>
      </c>
      <c r="W286" s="186" t="str">
        <f t="shared" si="33"/>
        <v>echo {"issue":{"subject":"","project_id":79,"tracker_id":40,"status_id":1,"priority_id":2,"assigned_to_id":23,"start_date":"2016-09-05","description":"","custom_fields":[{"id":1,"name":"Subdivision","value":"Other"},{"id":4,"name":"Milepost","value":"0.0575"},{"id":17,"name":"Train ID","value":"904-05"},{"id":16,"name":"Locomotive ID","value":"4037"},{"id":130,"name":"Impact","value":""},{"id":150,"name":"Time of Event (Mountain Time)","value":"15:34:00"},{"id":151,"name":"Denver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287" spans="1:23" x14ac:dyDescent="0.25">
      <c r="A287" s="172"/>
      <c r="F287" s="174"/>
      <c r="G287" s="174"/>
      <c r="H287" s="174"/>
      <c r="J287" s="174"/>
      <c r="L287" s="175"/>
      <c r="M287" s="176"/>
      <c r="N287" s="177"/>
      <c r="P287" s="183"/>
      <c r="Q287" s="184"/>
      <c r="R287" s="185"/>
      <c r="S287" s="176"/>
      <c r="T287" s="172"/>
      <c r="U287" s="181"/>
      <c r="V287" s="181"/>
    </row>
    <row r="288" spans="1:23" x14ac:dyDescent="0.25">
      <c r="A288" s="172"/>
      <c r="F288" s="174"/>
      <c r="G288" s="174"/>
      <c r="H288" s="174"/>
      <c r="J288" s="174"/>
      <c r="L288" s="175"/>
      <c r="M288" s="176"/>
      <c r="N288" s="177"/>
      <c r="P288" s="183"/>
      <c r="Q288" s="184"/>
      <c r="R288" s="185"/>
      <c r="S288" s="176"/>
      <c r="T288" s="172"/>
      <c r="U288" s="181"/>
      <c r="V288" s="181"/>
    </row>
    <row r="289" spans="1:22" x14ac:dyDescent="0.25">
      <c r="A289" s="172"/>
      <c r="F289" s="174"/>
      <c r="G289" s="174"/>
      <c r="H289" s="174"/>
      <c r="J289" s="174"/>
      <c r="L289" s="175"/>
      <c r="M289" s="176"/>
      <c r="N289" s="177"/>
      <c r="P289" s="183"/>
      <c r="Q289" s="184"/>
      <c r="R289" s="185"/>
      <c r="S289" s="176"/>
      <c r="T289" s="172"/>
      <c r="U289" s="181"/>
      <c r="V289" s="181"/>
    </row>
    <row r="290" spans="1:22" x14ac:dyDescent="0.25">
      <c r="A290" s="172"/>
      <c r="F290" s="174"/>
      <c r="G290" s="174"/>
      <c r="H290" s="174"/>
      <c r="J290" s="174"/>
      <c r="L290" s="175"/>
      <c r="M290" s="176"/>
      <c r="N290" s="177"/>
      <c r="P290" s="183"/>
      <c r="Q290" s="184"/>
      <c r="R290" s="185"/>
      <c r="S290" s="176"/>
      <c r="T290" s="172"/>
      <c r="U290" s="181"/>
      <c r="V290" s="181"/>
    </row>
    <row r="291" spans="1:22" x14ac:dyDescent="0.25">
      <c r="A291" s="172"/>
      <c r="F291" s="174"/>
      <c r="G291" s="174"/>
      <c r="H291" s="174"/>
      <c r="J291" s="174"/>
      <c r="L291" s="175"/>
      <c r="M291" s="176"/>
      <c r="N291" s="177"/>
      <c r="P291" s="183"/>
      <c r="Q291" s="184"/>
      <c r="R291" s="185"/>
      <c r="S291" s="176"/>
      <c r="T291" s="172"/>
      <c r="U291" s="181"/>
      <c r="V291" s="181"/>
    </row>
    <row r="292" spans="1:22" x14ac:dyDescent="0.25">
      <c r="A292" s="172"/>
      <c r="F292" s="174"/>
      <c r="G292" s="174"/>
      <c r="H292" s="174"/>
      <c r="J292" s="174"/>
      <c r="L292" s="175"/>
      <c r="M292" s="176"/>
      <c r="N292" s="177"/>
      <c r="P292" s="183"/>
      <c r="Q292" s="184"/>
      <c r="R292" s="185"/>
      <c r="S292" s="176"/>
      <c r="T292" s="172"/>
      <c r="U292" s="181"/>
      <c r="V292" s="181"/>
    </row>
    <row r="293" spans="1:22" x14ac:dyDescent="0.25">
      <c r="A293" s="172"/>
      <c r="F293" s="174"/>
      <c r="G293" s="174"/>
      <c r="H293" s="174"/>
      <c r="J293" s="174"/>
      <c r="L293" s="175"/>
      <c r="M293" s="176"/>
      <c r="N293" s="177"/>
      <c r="P293" s="183"/>
      <c r="Q293" s="184"/>
      <c r="R293" s="185"/>
      <c r="S293" s="176"/>
      <c r="T293" s="172"/>
      <c r="U293" s="181"/>
      <c r="V293" s="181"/>
    </row>
    <row r="294" spans="1:22" x14ac:dyDescent="0.25">
      <c r="A294" s="172"/>
      <c r="F294" s="174"/>
      <c r="G294" s="174"/>
      <c r="H294" s="174"/>
      <c r="J294" s="174"/>
      <c r="L294" s="175"/>
      <c r="M294" s="176"/>
      <c r="N294" s="177"/>
      <c r="P294" s="183"/>
      <c r="Q294" s="184"/>
      <c r="R294" s="185"/>
      <c r="S294" s="176"/>
      <c r="T294" s="172"/>
      <c r="U294" s="181"/>
      <c r="V294" s="181"/>
    </row>
    <row r="295" spans="1:22" x14ac:dyDescent="0.25">
      <c r="A295" s="172"/>
      <c r="F295" s="174"/>
      <c r="G295" s="174"/>
      <c r="H295" s="174"/>
      <c r="J295" s="174"/>
      <c r="L295" s="175"/>
      <c r="M295" s="176"/>
      <c r="N295" s="177"/>
      <c r="P295" s="183"/>
      <c r="Q295" s="184"/>
      <c r="R295" s="185"/>
      <c r="S295" s="176"/>
      <c r="T295" s="172"/>
      <c r="U295" s="181"/>
      <c r="V295" s="181"/>
    </row>
    <row r="296" spans="1:22" x14ac:dyDescent="0.25">
      <c r="A296" s="172"/>
      <c r="F296" s="174"/>
      <c r="G296" s="174"/>
      <c r="H296" s="174"/>
      <c r="J296" s="174"/>
      <c r="L296" s="175"/>
      <c r="M296" s="176"/>
      <c r="N296" s="177"/>
      <c r="P296" s="183"/>
      <c r="Q296" s="184"/>
      <c r="R296" s="185"/>
      <c r="S296" s="176"/>
      <c r="T296" s="172"/>
      <c r="U296" s="181"/>
      <c r="V296" s="181"/>
    </row>
    <row r="297" spans="1:22" x14ac:dyDescent="0.25">
      <c r="A297" s="172"/>
      <c r="F297" s="174"/>
      <c r="G297" s="174"/>
      <c r="H297" s="174"/>
      <c r="J297" s="174"/>
      <c r="L297" s="175"/>
      <c r="M297" s="176"/>
      <c r="N297" s="177"/>
      <c r="P297" s="183"/>
      <c r="Q297" s="184"/>
      <c r="R297" s="185"/>
      <c r="S297" s="176"/>
      <c r="T297" s="172"/>
      <c r="U297" s="181"/>
      <c r="V297" s="181"/>
    </row>
    <row r="298" spans="1:22" x14ac:dyDescent="0.25">
      <c r="A298" s="172"/>
      <c r="F298" s="174"/>
      <c r="G298" s="174"/>
      <c r="H298" s="174"/>
      <c r="J298" s="174"/>
      <c r="L298" s="175"/>
      <c r="M298" s="176"/>
      <c r="N298" s="177"/>
      <c r="P298" s="183"/>
      <c r="Q298" s="184"/>
      <c r="R298" s="185"/>
      <c r="S298" s="176"/>
      <c r="T298" s="172"/>
      <c r="U298" s="181"/>
      <c r="V298" s="181"/>
    </row>
    <row r="299" spans="1:22" x14ac:dyDescent="0.25">
      <c r="A299" s="172"/>
      <c r="F299" s="174"/>
      <c r="G299" s="174"/>
      <c r="H299" s="174"/>
      <c r="J299" s="174"/>
      <c r="L299" s="175"/>
      <c r="M299" s="176"/>
      <c r="N299" s="177"/>
      <c r="P299" s="183"/>
      <c r="Q299" s="184"/>
      <c r="R299" s="185"/>
      <c r="S299" s="176"/>
      <c r="T299" s="172"/>
      <c r="U299" s="181"/>
      <c r="V299" s="181"/>
    </row>
    <row r="300" spans="1:22" x14ac:dyDescent="0.25">
      <c r="A300" s="172"/>
      <c r="F300" s="174"/>
      <c r="G300" s="174"/>
      <c r="H300" s="174"/>
      <c r="J300" s="174"/>
      <c r="L300" s="175"/>
      <c r="M300" s="176"/>
      <c r="N300" s="177"/>
      <c r="P300" s="183"/>
      <c r="Q300" s="184"/>
      <c r="R300" s="185"/>
      <c r="S300" s="176"/>
      <c r="T300" s="172"/>
      <c r="U300" s="181"/>
      <c r="V300" s="181"/>
    </row>
    <row r="301" spans="1:22" x14ac:dyDescent="0.25">
      <c r="A301" s="172"/>
      <c r="F301" s="174"/>
      <c r="G301" s="174"/>
      <c r="H301" s="174"/>
      <c r="J301" s="174"/>
      <c r="L301" s="175"/>
      <c r="M301" s="176"/>
      <c r="N301" s="177"/>
      <c r="P301" s="183"/>
      <c r="Q301" s="184"/>
      <c r="R301" s="185"/>
      <c r="S301" s="176"/>
      <c r="T301" s="172"/>
      <c r="U301" s="181"/>
      <c r="V301" s="181"/>
    </row>
    <row r="302" spans="1:22" x14ac:dyDescent="0.25">
      <c r="A302" s="172"/>
      <c r="F302" s="174"/>
      <c r="G302" s="174"/>
      <c r="H302" s="174"/>
      <c r="J302" s="174"/>
      <c r="L302" s="175"/>
      <c r="M302" s="176"/>
      <c r="N302" s="177"/>
      <c r="P302" s="183"/>
      <c r="Q302" s="184"/>
      <c r="R302" s="185"/>
      <c r="S302" s="176"/>
      <c r="T302" s="172"/>
      <c r="U302" s="181"/>
      <c r="V302" s="181"/>
    </row>
    <row r="303" spans="1:22" x14ac:dyDescent="0.25">
      <c r="A303" s="172"/>
      <c r="F303" s="174"/>
      <c r="G303" s="174"/>
      <c r="H303" s="174"/>
      <c r="J303" s="174"/>
      <c r="L303" s="175"/>
      <c r="M303" s="176"/>
      <c r="N303" s="177"/>
      <c r="P303" s="183"/>
      <c r="Q303" s="184"/>
      <c r="R303" s="185"/>
      <c r="S303" s="176"/>
      <c r="T303" s="172"/>
      <c r="U303" s="181"/>
      <c r="V303" s="181"/>
    </row>
    <row r="304" spans="1:22" x14ac:dyDescent="0.25">
      <c r="A304" s="172"/>
      <c r="F304" s="174"/>
      <c r="G304" s="174"/>
      <c r="H304" s="174"/>
      <c r="J304" s="174"/>
      <c r="L304" s="175"/>
      <c r="M304" s="176"/>
      <c r="N304" s="177"/>
      <c r="P304" s="183"/>
      <c r="Q304" s="184"/>
      <c r="R304" s="185"/>
      <c r="S304" s="176"/>
      <c r="T304" s="172"/>
      <c r="U304" s="181"/>
      <c r="V304" s="181"/>
    </row>
    <row r="305" spans="1:22" x14ac:dyDescent="0.25">
      <c r="A305" s="172"/>
      <c r="F305" s="174"/>
      <c r="G305" s="174"/>
      <c r="H305" s="174"/>
      <c r="J305" s="174"/>
      <c r="L305" s="175"/>
      <c r="M305" s="176"/>
      <c r="N305" s="177"/>
      <c r="P305" s="183"/>
      <c r="Q305" s="184"/>
      <c r="R305" s="185"/>
      <c r="S305" s="176"/>
      <c r="T305" s="172"/>
      <c r="U305" s="181"/>
      <c r="V305" s="181"/>
    </row>
    <row r="306" spans="1:22" x14ac:dyDescent="0.25">
      <c r="A306" s="172"/>
      <c r="F306" s="174"/>
      <c r="G306" s="174"/>
      <c r="H306" s="174"/>
      <c r="J306" s="174"/>
      <c r="L306" s="175"/>
      <c r="M306" s="176"/>
      <c r="N306" s="177"/>
      <c r="P306" s="183"/>
      <c r="Q306" s="184"/>
      <c r="R306" s="185"/>
      <c r="S306" s="176"/>
      <c r="T306" s="172"/>
      <c r="U306" s="181"/>
      <c r="V306" s="181"/>
    </row>
    <row r="307" spans="1:22" x14ac:dyDescent="0.25">
      <c r="A307" s="172"/>
      <c r="F307" s="174"/>
      <c r="G307" s="174"/>
      <c r="H307" s="174"/>
      <c r="J307" s="174"/>
      <c r="L307" s="175"/>
      <c r="M307" s="176"/>
      <c r="N307" s="177"/>
      <c r="P307" s="183"/>
      <c r="Q307" s="184"/>
      <c r="R307" s="185"/>
      <c r="S307" s="176"/>
      <c r="T307" s="172"/>
      <c r="U307" s="181"/>
      <c r="V307" s="181"/>
    </row>
    <row r="308" spans="1:22" x14ac:dyDescent="0.25">
      <c r="A308" s="172"/>
      <c r="F308" s="174"/>
      <c r="G308" s="174"/>
      <c r="H308" s="174"/>
      <c r="J308" s="174"/>
      <c r="L308" s="175"/>
      <c r="M308" s="176"/>
      <c r="N308" s="177"/>
      <c r="P308" s="183"/>
      <c r="Q308" s="184"/>
      <c r="R308" s="185"/>
      <c r="S308" s="176"/>
      <c r="T308" s="172"/>
      <c r="U308" s="181"/>
      <c r="V308" s="181"/>
    </row>
    <row r="309" spans="1:22" x14ac:dyDescent="0.25">
      <c r="A309" s="172"/>
      <c r="F309" s="174"/>
      <c r="G309" s="174"/>
      <c r="H309" s="174"/>
      <c r="J309" s="174"/>
      <c r="L309" s="175"/>
      <c r="M309" s="176"/>
      <c r="N309" s="177"/>
      <c r="P309" s="183"/>
      <c r="Q309" s="184"/>
      <c r="R309" s="185"/>
      <c r="S309" s="176"/>
      <c r="T309" s="172"/>
      <c r="U309" s="181"/>
      <c r="V309" s="181"/>
    </row>
    <row r="310" spans="1:22" x14ac:dyDescent="0.25">
      <c r="A310" s="172"/>
      <c r="F310" s="174"/>
      <c r="G310" s="174"/>
      <c r="H310" s="174"/>
      <c r="J310" s="174"/>
      <c r="L310" s="175"/>
      <c r="M310" s="176"/>
      <c r="N310" s="177"/>
      <c r="P310" s="183"/>
      <c r="Q310" s="184"/>
      <c r="R310" s="185"/>
      <c r="S310" s="176"/>
      <c r="T310" s="172"/>
      <c r="U310" s="181"/>
      <c r="V310" s="181"/>
    </row>
    <row r="311" spans="1:22" x14ac:dyDescent="0.25">
      <c r="A311" s="172"/>
      <c r="F311" s="174"/>
      <c r="G311" s="174"/>
      <c r="H311" s="174"/>
      <c r="J311" s="174"/>
      <c r="L311" s="175"/>
      <c r="M311" s="176"/>
      <c r="N311" s="177"/>
      <c r="P311" s="183"/>
      <c r="Q311" s="184"/>
      <c r="R311" s="185"/>
      <c r="S311" s="176"/>
      <c r="T311" s="172"/>
      <c r="U311" s="181"/>
      <c r="V311" s="181"/>
    </row>
    <row r="312" spans="1:22" x14ac:dyDescent="0.25">
      <c r="A312" s="172"/>
      <c r="F312" s="174"/>
      <c r="G312" s="174"/>
      <c r="H312" s="174"/>
      <c r="J312" s="174"/>
      <c r="L312" s="175"/>
      <c r="M312" s="176"/>
      <c r="N312" s="177"/>
      <c r="P312" s="183"/>
      <c r="Q312" s="184"/>
      <c r="R312" s="185"/>
      <c r="S312" s="176"/>
      <c r="T312" s="172"/>
      <c r="U312" s="181"/>
      <c r="V312" s="181"/>
    </row>
    <row r="313" spans="1:22" x14ac:dyDescent="0.25">
      <c r="A313" s="172"/>
      <c r="F313" s="174"/>
      <c r="G313" s="174"/>
      <c r="H313" s="174"/>
      <c r="J313" s="174"/>
      <c r="L313" s="175"/>
      <c r="M313" s="176"/>
      <c r="N313" s="177"/>
      <c r="P313" s="183"/>
      <c r="Q313" s="184"/>
      <c r="R313" s="185"/>
      <c r="S313" s="176"/>
      <c r="T313" s="172"/>
      <c r="U313" s="181"/>
      <c r="V313" s="181"/>
    </row>
    <row r="314" spans="1:22" x14ac:dyDescent="0.25">
      <c r="A314" s="172"/>
      <c r="F314" s="174"/>
      <c r="G314" s="174"/>
      <c r="H314" s="174"/>
      <c r="J314" s="174"/>
      <c r="L314" s="175"/>
      <c r="M314" s="176"/>
      <c r="N314" s="177"/>
      <c r="P314" s="183"/>
      <c r="Q314" s="184"/>
      <c r="R314" s="185"/>
      <c r="S314" s="176"/>
      <c r="T314" s="172"/>
      <c r="U314" s="181"/>
      <c r="V314" s="181"/>
    </row>
    <row r="315" spans="1:22" x14ac:dyDescent="0.25">
      <c r="A315" s="172"/>
      <c r="F315" s="174"/>
      <c r="G315" s="174"/>
      <c r="H315" s="174"/>
      <c r="J315" s="174"/>
      <c r="L315" s="175"/>
      <c r="M315" s="176"/>
      <c r="N315" s="177"/>
      <c r="P315" s="183"/>
      <c r="Q315" s="184"/>
      <c r="R315" s="185"/>
      <c r="S315" s="176"/>
      <c r="T315" s="172"/>
      <c r="U315" s="181"/>
      <c r="V315" s="181"/>
    </row>
    <row r="316" spans="1:22" x14ac:dyDescent="0.25">
      <c r="A316" s="172"/>
      <c r="F316" s="174"/>
      <c r="G316" s="174"/>
      <c r="H316" s="174"/>
      <c r="J316" s="174"/>
      <c r="L316" s="175"/>
      <c r="M316" s="176"/>
      <c r="N316" s="177"/>
      <c r="P316" s="183"/>
      <c r="Q316" s="184"/>
      <c r="R316" s="185"/>
      <c r="S316" s="176"/>
      <c r="T316" s="172"/>
      <c r="U316" s="181"/>
      <c r="V316" s="181"/>
    </row>
    <row r="317" spans="1:22" x14ac:dyDescent="0.25">
      <c r="A317" s="172"/>
      <c r="F317" s="174"/>
      <c r="G317" s="174"/>
      <c r="H317" s="174"/>
      <c r="J317" s="174"/>
      <c r="L317" s="175"/>
      <c r="M317" s="176"/>
      <c r="N317" s="177"/>
      <c r="P317" s="183"/>
      <c r="Q317" s="184"/>
      <c r="R317" s="185"/>
      <c r="S317" s="176"/>
      <c r="T317" s="172"/>
      <c r="U317" s="181"/>
      <c r="V317" s="181"/>
    </row>
    <row r="318" spans="1:22" x14ac:dyDescent="0.25">
      <c r="A318" s="172"/>
      <c r="F318" s="174"/>
      <c r="G318" s="174"/>
      <c r="H318" s="174"/>
      <c r="J318" s="174"/>
      <c r="L318" s="175"/>
      <c r="M318" s="176"/>
      <c r="N318" s="177"/>
      <c r="P318" s="183"/>
      <c r="Q318" s="184"/>
      <c r="R318" s="185"/>
      <c r="S318" s="176"/>
      <c r="T318" s="172"/>
      <c r="U318" s="181"/>
      <c r="V318" s="181"/>
    </row>
    <row r="319" spans="1:22" x14ac:dyDescent="0.25">
      <c r="A319" s="172"/>
      <c r="F319" s="174"/>
      <c r="G319" s="174"/>
      <c r="H319" s="174"/>
      <c r="J319" s="174"/>
      <c r="L319" s="175"/>
      <c r="M319" s="176"/>
      <c r="N319" s="177"/>
      <c r="P319" s="183"/>
      <c r="Q319" s="184"/>
      <c r="R319" s="185"/>
      <c r="S319" s="176"/>
      <c r="T319" s="172"/>
      <c r="U319" s="181"/>
      <c r="V319" s="181"/>
    </row>
    <row r="320" spans="1:22" x14ac:dyDescent="0.25">
      <c r="A320" s="172"/>
      <c r="F320" s="174"/>
      <c r="G320" s="174"/>
      <c r="H320" s="174"/>
      <c r="J320" s="174"/>
      <c r="L320" s="175"/>
      <c r="M320" s="176"/>
      <c r="N320" s="177"/>
      <c r="P320" s="183"/>
      <c r="Q320" s="184"/>
      <c r="R320" s="185"/>
      <c r="S320" s="176"/>
      <c r="T320" s="172"/>
      <c r="U320" s="181"/>
      <c r="V320" s="181"/>
    </row>
    <row r="321" spans="1:22" x14ac:dyDescent="0.25">
      <c r="A321" s="172"/>
      <c r="F321" s="174"/>
      <c r="G321" s="174"/>
      <c r="H321" s="174"/>
      <c r="J321" s="174"/>
      <c r="L321" s="175"/>
      <c r="M321" s="176"/>
      <c r="N321" s="177"/>
      <c r="P321" s="183"/>
      <c r="Q321" s="184"/>
      <c r="R321" s="185"/>
      <c r="S321" s="176"/>
      <c r="T321" s="172"/>
      <c r="U321" s="181"/>
      <c r="V321" s="181"/>
    </row>
    <row r="322" spans="1:22" x14ac:dyDescent="0.25">
      <c r="A322" s="172"/>
      <c r="F322" s="174"/>
      <c r="G322" s="174"/>
      <c r="H322" s="174"/>
      <c r="J322" s="174"/>
      <c r="L322" s="175"/>
      <c r="M322" s="176"/>
      <c r="N322" s="177"/>
      <c r="P322" s="183"/>
      <c r="Q322" s="184"/>
      <c r="R322" s="185"/>
      <c r="S322" s="176"/>
      <c r="T322" s="172"/>
      <c r="U322" s="181"/>
      <c r="V322" s="181"/>
    </row>
    <row r="323" spans="1:22" x14ac:dyDescent="0.25">
      <c r="A323" s="172"/>
      <c r="F323" s="174"/>
      <c r="G323" s="174"/>
      <c r="H323" s="174"/>
      <c r="J323" s="174"/>
      <c r="L323" s="175"/>
      <c r="M323" s="176"/>
      <c r="N323" s="177"/>
      <c r="P323" s="183"/>
      <c r="Q323" s="184"/>
      <c r="R323" s="185"/>
      <c r="S323" s="176"/>
      <c r="T323" s="172"/>
      <c r="U323" s="181"/>
      <c r="V323" s="181"/>
    </row>
    <row r="324" spans="1:22" x14ac:dyDescent="0.25">
      <c r="A324" s="172"/>
      <c r="F324" s="174"/>
      <c r="G324" s="174"/>
      <c r="H324" s="174"/>
      <c r="J324" s="174"/>
      <c r="L324" s="175"/>
      <c r="M324" s="176"/>
      <c r="N324" s="177"/>
      <c r="P324" s="183"/>
      <c r="Q324" s="184"/>
      <c r="R324" s="185"/>
      <c r="S324" s="176"/>
      <c r="T324" s="172"/>
      <c r="U324" s="181"/>
      <c r="V324" s="181"/>
    </row>
    <row r="325" spans="1:22" x14ac:dyDescent="0.25">
      <c r="A325" s="172"/>
      <c r="F325" s="174"/>
      <c r="G325" s="174"/>
      <c r="H325" s="174"/>
      <c r="J325" s="174"/>
      <c r="L325" s="175"/>
      <c r="M325" s="176"/>
      <c r="N325" s="177"/>
      <c r="P325" s="183"/>
      <c r="Q325" s="184"/>
      <c r="R325" s="185"/>
      <c r="S325" s="176"/>
      <c r="T325" s="172"/>
      <c r="U325" s="181"/>
      <c r="V325" s="181"/>
    </row>
    <row r="326" spans="1:22" x14ac:dyDescent="0.25">
      <c r="A326" s="172"/>
      <c r="F326" s="174"/>
      <c r="G326" s="174"/>
      <c r="H326" s="174"/>
      <c r="J326" s="174"/>
      <c r="L326" s="175"/>
      <c r="M326" s="176"/>
      <c r="N326" s="177"/>
      <c r="P326" s="183"/>
      <c r="Q326" s="184"/>
      <c r="R326" s="185"/>
      <c r="S326" s="176"/>
      <c r="T326" s="172"/>
      <c r="U326" s="181"/>
      <c r="V326" s="181"/>
    </row>
    <row r="327" spans="1:22" x14ac:dyDescent="0.25">
      <c r="A327" s="172"/>
      <c r="F327" s="174"/>
      <c r="G327" s="174"/>
      <c r="H327" s="174"/>
      <c r="J327" s="174"/>
      <c r="L327" s="175"/>
      <c r="M327" s="176"/>
      <c r="N327" s="177"/>
      <c r="P327" s="183"/>
      <c r="Q327" s="184"/>
      <c r="R327" s="185"/>
      <c r="S327" s="176"/>
      <c r="T327" s="172"/>
      <c r="U327" s="181"/>
      <c r="V327" s="181"/>
    </row>
    <row r="328" spans="1:22" x14ac:dyDescent="0.25">
      <c r="A328" s="172"/>
      <c r="F328" s="174"/>
      <c r="G328" s="174"/>
      <c r="H328" s="174"/>
      <c r="J328" s="174"/>
      <c r="L328" s="175"/>
      <c r="M328" s="176"/>
      <c r="N328" s="177"/>
      <c r="P328" s="183"/>
      <c r="Q328" s="184"/>
      <c r="R328" s="185"/>
      <c r="S328" s="176"/>
      <c r="T328" s="172"/>
      <c r="U328" s="181"/>
      <c r="V328" s="181"/>
    </row>
    <row r="329" spans="1:22" x14ac:dyDescent="0.25">
      <c r="A329" s="172"/>
      <c r="F329" s="174"/>
      <c r="G329" s="174"/>
      <c r="H329" s="174"/>
      <c r="J329" s="174"/>
      <c r="L329" s="175"/>
      <c r="M329" s="176"/>
      <c r="N329" s="177"/>
      <c r="P329" s="183"/>
      <c r="Q329" s="184"/>
      <c r="R329" s="185"/>
      <c r="S329" s="176"/>
      <c r="T329" s="172"/>
      <c r="U329" s="181"/>
      <c r="V329" s="181"/>
    </row>
    <row r="330" spans="1:22" x14ac:dyDescent="0.25">
      <c r="A330" s="172"/>
      <c r="F330" s="174"/>
      <c r="G330" s="174"/>
      <c r="H330" s="174"/>
      <c r="J330" s="174"/>
      <c r="L330" s="175"/>
      <c r="M330" s="176"/>
      <c r="N330" s="177"/>
      <c r="P330" s="183"/>
      <c r="Q330" s="184"/>
      <c r="R330" s="185"/>
      <c r="S330" s="176"/>
      <c r="T330" s="172"/>
      <c r="U330" s="181"/>
      <c r="V330" s="181"/>
    </row>
    <row r="331" spans="1:22" x14ac:dyDescent="0.25">
      <c r="A331" s="172"/>
      <c r="F331" s="174"/>
      <c r="G331" s="174"/>
      <c r="H331" s="174"/>
      <c r="J331" s="174"/>
      <c r="L331" s="175"/>
      <c r="M331" s="176"/>
      <c r="N331" s="177"/>
      <c r="P331" s="183"/>
      <c r="Q331" s="184"/>
      <c r="R331" s="185"/>
      <c r="S331" s="176"/>
      <c r="T331" s="172"/>
      <c r="U331" s="181"/>
      <c r="V331" s="181"/>
    </row>
    <row r="332" spans="1:22" x14ac:dyDescent="0.25">
      <c r="A332" s="172"/>
      <c r="F332" s="174"/>
      <c r="G332" s="174"/>
      <c r="H332" s="174"/>
      <c r="J332" s="174"/>
      <c r="L332" s="175"/>
      <c r="M332" s="176"/>
      <c r="N332" s="177"/>
      <c r="P332" s="183"/>
      <c r="Q332" s="184"/>
      <c r="R332" s="185"/>
      <c r="S332" s="176"/>
      <c r="T332" s="172"/>
      <c r="U332" s="181"/>
      <c r="V332" s="181"/>
    </row>
    <row r="333" spans="1:22" x14ac:dyDescent="0.25">
      <c r="A333" s="172"/>
      <c r="F333" s="174"/>
      <c r="G333" s="174"/>
      <c r="H333" s="174"/>
      <c r="J333" s="174"/>
      <c r="L333" s="175"/>
      <c r="M333" s="176"/>
      <c r="N333" s="177"/>
      <c r="P333" s="183"/>
      <c r="Q333" s="184"/>
      <c r="R333" s="185"/>
      <c r="S333" s="176"/>
      <c r="T333" s="172"/>
      <c r="U333" s="181"/>
      <c r="V333" s="181"/>
    </row>
    <row r="334" spans="1:22" x14ac:dyDescent="0.25">
      <c r="A334" s="172"/>
      <c r="F334" s="174"/>
      <c r="G334" s="174"/>
      <c r="H334" s="174"/>
      <c r="J334" s="174"/>
      <c r="L334" s="175"/>
      <c r="M334" s="176"/>
      <c r="N334" s="177"/>
      <c r="P334" s="183"/>
      <c r="Q334" s="184"/>
      <c r="R334" s="185"/>
      <c r="S334" s="176"/>
      <c r="T334" s="172"/>
      <c r="U334" s="181"/>
      <c r="V334" s="181"/>
    </row>
    <row r="335" spans="1:22" x14ac:dyDescent="0.25">
      <c r="A335" s="172"/>
      <c r="F335" s="174"/>
      <c r="G335" s="174"/>
      <c r="H335" s="174"/>
      <c r="J335" s="174"/>
      <c r="L335" s="175"/>
      <c r="M335" s="176"/>
      <c r="N335" s="177"/>
      <c r="P335" s="183"/>
      <c r="Q335" s="184"/>
      <c r="R335" s="185"/>
      <c r="S335" s="176"/>
      <c r="T335" s="172"/>
      <c r="U335" s="181"/>
      <c r="V335" s="181"/>
    </row>
    <row r="336" spans="1:22" x14ac:dyDescent="0.25">
      <c r="A336" s="172"/>
      <c r="F336" s="174"/>
      <c r="G336" s="174"/>
      <c r="H336" s="174"/>
      <c r="J336" s="174"/>
      <c r="L336" s="175"/>
      <c r="M336" s="176"/>
      <c r="N336" s="177"/>
      <c r="P336" s="183"/>
      <c r="Q336" s="184"/>
      <c r="R336" s="185"/>
      <c r="S336" s="176"/>
      <c r="T336" s="172"/>
      <c r="U336" s="181"/>
      <c r="V336" s="181"/>
    </row>
    <row r="337" spans="1:22" x14ac:dyDescent="0.25">
      <c r="A337" s="172"/>
      <c r="F337" s="174"/>
      <c r="G337" s="174"/>
      <c r="H337" s="174"/>
      <c r="J337" s="174"/>
      <c r="L337" s="175"/>
      <c r="M337" s="176"/>
      <c r="N337" s="177"/>
      <c r="P337" s="183"/>
      <c r="Q337" s="184"/>
      <c r="R337" s="185"/>
      <c r="S337" s="176"/>
      <c r="T337" s="172"/>
      <c r="U337" s="181"/>
      <c r="V337" s="181"/>
    </row>
    <row r="338" spans="1:22" x14ac:dyDescent="0.25">
      <c r="A338" s="172"/>
      <c r="F338" s="174"/>
      <c r="G338" s="174"/>
      <c r="H338" s="174"/>
      <c r="J338" s="174"/>
      <c r="L338" s="175"/>
      <c r="M338" s="176"/>
      <c r="N338" s="177"/>
      <c r="P338" s="183"/>
      <c r="Q338" s="184"/>
      <c r="R338" s="185"/>
      <c r="S338" s="176"/>
      <c r="T338" s="172"/>
      <c r="U338" s="181"/>
      <c r="V338" s="181"/>
    </row>
    <row r="339" spans="1:22" x14ac:dyDescent="0.25">
      <c r="A339" s="172"/>
      <c r="F339" s="174"/>
      <c r="G339" s="174"/>
      <c r="H339" s="174"/>
      <c r="J339" s="174"/>
      <c r="L339" s="175"/>
      <c r="M339" s="176"/>
      <c r="N339" s="177"/>
      <c r="P339" s="183"/>
      <c r="Q339" s="184"/>
      <c r="R339" s="185"/>
      <c r="S339" s="176"/>
      <c r="T339" s="172"/>
      <c r="U339" s="181"/>
      <c r="V339" s="181"/>
    </row>
    <row r="340" spans="1:22" x14ac:dyDescent="0.25">
      <c r="A340" s="172"/>
      <c r="F340" s="174"/>
      <c r="G340" s="174"/>
      <c r="H340" s="174"/>
      <c r="J340" s="174"/>
      <c r="L340" s="175"/>
      <c r="M340" s="176"/>
      <c r="N340" s="177"/>
      <c r="P340" s="183"/>
      <c r="Q340" s="184"/>
      <c r="R340" s="185"/>
      <c r="S340" s="176"/>
      <c r="T340" s="172"/>
      <c r="U340" s="181"/>
      <c r="V340" s="181"/>
    </row>
    <row r="341" spans="1:22" x14ac:dyDescent="0.25">
      <c r="A341" s="172"/>
      <c r="F341" s="174"/>
      <c r="G341" s="174"/>
      <c r="H341" s="174"/>
      <c r="J341" s="174"/>
      <c r="L341" s="175"/>
      <c r="M341" s="176"/>
      <c r="N341" s="177"/>
      <c r="P341" s="183"/>
      <c r="Q341" s="184"/>
      <c r="R341" s="185"/>
      <c r="S341" s="176"/>
      <c r="T341" s="172"/>
      <c r="U341" s="181"/>
      <c r="V341" s="181"/>
    </row>
    <row r="342" spans="1:22" x14ac:dyDescent="0.25">
      <c r="A342" s="172"/>
      <c r="F342" s="174"/>
      <c r="G342" s="174"/>
      <c r="H342" s="174"/>
      <c r="J342" s="174"/>
      <c r="L342" s="175"/>
      <c r="M342" s="176"/>
      <c r="N342" s="177"/>
      <c r="P342" s="183"/>
      <c r="Q342" s="184"/>
      <c r="R342" s="185"/>
      <c r="S342" s="176"/>
      <c r="T342" s="172"/>
      <c r="U342" s="181"/>
      <c r="V342" s="181"/>
    </row>
    <row r="343" spans="1:22" x14ac:dyDescent="0.25">
      <c r="A343" s="172"/>
      <c r="F343" s="174"/>
      <c r="G343" s="174"/>
      <c r="H343" s="174"/>
      <c r="J343" s="174"/>
      <c r="L343" s="175"/>
      <c r="M343" s="176"/>
      <c r="N343" s="177"/>
      <c r="P343" s="183"/>
      <c r="Q343" s="184"/>
      <c r="R343" s="185"/>
      <c r="S343" s="176"/>
      <c r="T343" s="172"/>
      <c r="U343" s="181"/>
      <c r="V343" s="181"/>
    </row>
    <row r="344" spans="1:22" x14ac:dyDescent="0.25">
      <c r="A344" s="172"/>
      <c r="F344" s="174"/>
      <c r="G344" s="174"/>
      <c r="H344" s="174"/>
      <c r="J344" s="174"/>
      <c r="L344" s="175"/>
      <c r="M344" s="176"/>
      <c r="N344" s="177"/>
      <c r="P344" s="183"/>
      <c r="Q344" s="184"/>
      <c r="R344" s="185"/>
      <c r="S344" s="176"/>
      <c r="T344" s="172"/>
      <c r="U344" s="181"/>
      <c r="V344" s="181"/>
    </row>
    <row r="345" spans="1:22" x14ac:dyDescent="0.25">
      <c r="A345" s="172"/>
      <c r="F345" s="174"/>
      <c r="G345" s="174"/>
      <c r="H345" s="174"/>
      <c r="J345" s="174"/>
      <c r="L345" s="175"/>
      <c r="M345" s="176"/>
      <c r="N345" s="177"/>
      <c r="P345" s="183"/>
      <c r="Q345" s="184"/>
      <c r="R345" s="185"/>
      <c r="S345" s="176"/>
      <c r="T345" s="172"/>
      <c r="U345" s="181"/>
      <c r="V345" s="181"/>
    </row>
    <row r="346" spans="1:22" x14ac:dyDescent="0.25">
      <c r="A346" s="172"/>
      <c r="F346" s="174"/>
      <c r="G346" s="174"/>
      <c r="H346" s="174"/>
      <c r="J346" s="174"/>
      <c r="L346" s="175"/>
      <c r="M346" s="176"/>
      <c r="N346" s="177"/>
      <c r="P346" s="183"/>
      <c r="Q346" s="184"/>
      <c r="R346" s="185"/>
      <c r="S346" s="176"/>
      <c r="T346" s="172"/>
      <c r="U346" s="181"/>
      <c r="V346" s="181"/>
    </row>
    <row r="347" spans="1:22" x14ac:dyDescent="0.25">
      <c r="A347" s="172"/>
      <c r="F347" s="174"/>
      <c r="G347" s="174"/>
      <c r="H347" s="174"/>
      <c r="J347" s="174"/>
      <c r="L347" s="175"/>
      <c r="M347" s="176"/>
      <c r="N347" s="177"/>
      <c r="P347" s="183"/>
      <c r="Q347" s="184"/>
      <c r="R347" s="185"/>
      <c r="S347" s="176"/>
      <c r="T347" s="172"/>
      <c r="U347" s="181"/>
      <c r="V347" s="181"/>
    </row>
    <row r="348" spans="1:22" x14ac:dyDescent="0.25">
      <c r="A348" s="172"/>
      <c r="F348" s="174"/>
      <c r="G348" s="174"/>
      <c r="H348" s="174"/>
      <c r="J348" s="174"/>
      <c r="L348" s="175"/>
      <c r="M348" s="176"/>
      <c r="N348" s="177"/>
      <c r="P348" s="183"/>
      <c r="Q348" s="184"/>
      <c r="R348" s="185"/>
      <c r="S348" s="176"/>
      <c r="T348" s="172"/>
      <c r="U348" s="181"/>
      <c r="V348" s="181"/>
    </row>
    <row r="349" spans="1:22" x14ac:dyDescent="0.25">
      <c r="A349" s="172"/>
      <c r="F349" s="174"/>
      <c r="G349" s="174"/>
      <c r="H349" s="174"/>
      <c r="J349" s="174"/>
      <c r="L349" s="175"/>
      <c r="M349" s="176"/>
      <c r="N349" s="177"/>
      <c r="P349" s="183"/>
      <c r="Q349" s="184"/>
      <c r="R349" s="185"/>
      <c r="S349" s="176"/>
      <c r="T349" s="172"/>
      <c r="U349" s="181"/>
      <c r="V349" s="181"/>
    </row>
    <row r="350" spans="1:22" x14ac:dyDescent="0.25">
      <c r="A350" s="172"/>
      <c r="F350" s="174"/>
      <c r="G350" s="174"/>
      <c r="H350" s="174"/>
      <c r="J350" s="174"/>
      <c r="L350" s="175"/>
      <c r="M350" s="176"/>
      <c r="N350" s="177"/>
      <c r="P350" s="183"/>
      <c r="Q350" s="184"/>
      <c r="R350" s="185"/>
      <c r="S350" s="176"/>
      <c r="T350" s="172"/>
      <c r="U350" s="181"/>
      <c r="V350" s="181"/>
    </row>
    <row r="351" spans="1:22" x14ac:dyDescent="0.25">
      <c r="A351" s="172"/>
      <c r="F351" s="174"/>
      <c r="G351" s="174"/>
      <c r="H351" s="174"/>
      <c r="J351" s="174"/>
      <c r="L351" s="175"/>
      <c r="M351" s="176"/>
      <c r="N351" s="177"/>
      <c r="P351" s="183"/>
      <c r="Q351" s="184"/>
      <c r="R351" s="185"/>
      <c r="S351" s="176"/>
      <c r="T351" s="172"/>
      <c r="U351" s="181"/>
      <c r="V351" s="181"/>
    </row>
    <row r="352" spans="1:22" x14ac:dyDescent="0.25">
      <c r="A352" s="172"/>
      <c r="F352" s="174"/>
      <c r="G352" s="174"/>
      <c r="H352" s="174"/>
      <c r="J352" s="174"/>
      <c r="L352" s="175"/>
      <c r="M352" s="176"/>
      <c r="N352" s="177"/>
      <c r="P352" s="183"/>
      <c r="Q352" s="184"/>
      <c r="R352" s="185"/>
      <c r="S352" s="176"/>
      <c r="T352" s="172"/>
      <c r="U352" s="181"/>
      <c r="V352" s="181"/>
    </row>
    <row r="353" spans="1:22" x14ac:dyDescent="0.25">
      <c r="A353" s="172"/>
      <c r="F353" s="174"/>
      <c r="G353" s="174"/>
      <c r="H353" s="174"/>
      <c r="J353" s="174"/>
      <c r="L353" s="175"/>
      <c r="M353" s="176"/>
      <c r="N353" s="177"/>
      <c r="P353" s="183"/>
      <c r="Q353" s="184"/>
      <c r="R353" s="185"/>
      <c r="S353" s="176"/>
      <c r="T353" s="172"/>
      <c r="U353" s="181"/>
      <c r="V353" s="181"/>
    </row>
    <row r="354" spans="1:22" x14ac:dyDescent="0.25">
      <c r="A354" s="172"/>
      <c r="F354" s="174"/>
      <c r="G354" s="174"/>
      <c r="H354" s="174"/>
      <c r="J354" s="174"/>
      <c r="L354" s="175"/>
      <c r="M354" s="176"/>
      <c r="N354" s="177"/>
      <c r="P354" s="183"/>
      <c r="Q354" s="184"/>
      <c r="R354" s="185"/>
      <c r="S354" s="176"/>
      <c r="T354" s="172"/>
      <c r="U354" s="181"/>
      <c r="V354" s="181"/>
    </row>
    <row r="355" spans="1:22" x14ac:dyDescent="0.25">
      <c r="A355" s="172"/>
      <c r="F355" s="174"/>
      <c r="G355" s="174"/>
      <c r="H355" s="174"/>
      <c r="J355" s="174"/>
      <c r="L355" s="175"/>
      <c r="M355" s="176"/>
      <c r="N355" s="177"/>
      <c r="P355" s="183"/>
      <c r="Q355" s="184"/>
      <c r="R355" s="185"/>
      <c r="S355" s="176"/>
      <c r="T355" s="172"/>
      <c r="U355" s="181"/>
      <c r="V355" s="181"/>
    </row>
    <row r="356" spans="1:22" x14ac:dyDescent="0.25">
      <c r="A356" s="172"/>
      <c r="F356" s="174"/>
      <c r="G356" s="174"/>
      <c r="H356" s="174"/>
      <c r="J356" s="174"/>
      <c r="L356" s="175"/>
      <c r="M356" s="176"/>
      <c r="N356" s="177"/>
      <c r="P356" s="183"/>
      <c r="Q356" s="184"/>
      <c r="R356" s="185"/>
      <c r="S356" s="176"/>
      <c r="T356" s="172"/>
      <c r="U356" s="181"/>
      <c r="V356" s="181"/>
    </row>
    <row r="357" spans="1:22" x14ac:dyDescent="0.25">
      <c r="A357" s="172"/>
      <c r="F357" s="174"/>
      <c r="G357" s="174"/>
      <c r="H357" s="174"/>
      <c r="J357" s="174"/>
      <c r="L357" s="175"/>
      <c r="M357" s="176"/>
      <c r="N357" s="177"/>
      <c r="P357" s="183"/>
      <c r="Q357" s="184"/>
      <c r="R357" s="185"/>
      <c r="S357" s="176"/>
      <c r="T357" s="172"/>
      <c r="U357" s="181"/>
      <c r="V357" s="181"/>
    </row>
    <row r="358" spans="1:22" x14ac:dyDescent="0.25">
      <c r="A358" s="172"/>
      <c r="F358" s="174"/>
      <c r="G358" s="174"/>
      <c r="H358" s="174"/>
      <c r="J358" s="174"/>
      <c r="L358" s="175"/>
      <c r="M358" s="176"/>
      <c r="N358" s="177"/>
      <c r="P358" s="183"/>
      <c r="Q358" s="184"/>
      <c r="R358" s="185"/>
      <c r="S358" s="176"/>
      <c r="T358" s="172"/>
      <c r="U358" s="181"/>
      <c r="V358" s="181"/>
    </row>
    <row r="359" spans="1:22" x14ac:dyDescent="0.25">
      <c r="A359" s="172"/>
      <c r="F359" s="174"/>
      <c r="G359" s="174"/>
      <c r="H359" s="174"/>
      <c r="J359" s="174"/>
      <c r="L359" s="175"/>
      <c r="M359" s="176"/>
      <c r="N359" s="177"/>
      <c r="P359" s="183"/>
      <c r="Q359" s="184"/>
      <c r="R359" s="185"/>
      <c r="S359" s="176"/>
      <c r="T359" s="172"/>
      <c r="U359" s="181"/>
      <c r="V359" s="181"/>
    </row>
    <row r="360" spans="1:22" x14ac:dyDescent="0.25">
      <c r="A360" s="172"/>
      <c r="F360" s="174"/>
      <c r="G360" s="174"/>
      <c r="H360" s="174"/>
      <c r="J360" s="174"/>
      <c r="L360" s="175"/>
      <c r="M360" s="176"/>
      <c r="N360" s="177"/>
      <c r="P360" s="183"/>
      <c r="Q360" s="184"/>
      <c r="R360" s="185"/>
      <c r="S360" s="176"/>
      <c r="T360" s="172"/>
      <c r="U360" s="181"/>
      <c r="V360" s="181"/>
    </row>
    <row r="361" spans="1:22" x14ac:dyDescent="0.25">
      <c r="A361" s="172"/>
      <c r="F361" s="174"/>
      <c r="G361" s="174"/>
      <c r="H361" s="174"/>
      <c r="J361" s="174"/>
      <c r="L361" s="175"/>
      <c r="M361" s="176"/>
      <c r="N361" s="177"/>
      <c r="P361" s="183"/>
      <c r="Q361" s="184"/>
      <c r="R361" s="185"/>
      <c r="S361" s="176"/>
      <c r="T361" s="172"/>
      <c r="U361" s="181"/>
      <c r="V361" s="181"/>
    </row>
    <row r="362" spans="1:22" x14ac:dyDescent="0.25">
      <c r="A362" s="172"/>
      <c r="F362" s="174"/>
      <c r="G362" s="174"/>
      <c r="H362" s="174"/>
      <c r="J362" s="174"/>
      <c r="L362" s="175"/>
      <c r="M362" s="176"/>
      <c r="N362" s="177"/>
      <c r="P362" s="183"/>
      <c r="Q362" s="184"/>
      <c r="R362" s="185"/>
      <c r="S362" s="176"/>
      <c r="T362" s="172"/>
      <c r="U362" s="181"/>
      <c r="V362" s="181"/>
    </row>
    <row r="363" spans="1:22" x14ac:dyDescent="0.25">
      <c r="A363" s="172"/>
      <c r="F363" s="174"/>
      <c r="G363" s="174"/>
      <c r="H363" s="174"/>
      <c r="J363" s="174"/>
      <c r="L363" s="175"/>
      <c r="M363" s="176"/>
      <c r="N363" s="177"/>
      <c r="P363" s="183"/>
      <c r="Q363" s="184"/>
      <c r="R363" s="185"/>
      <c r="S363" s="176"/>
      <c r="T363" s="172"/>
      <c r="U363" s="181"/>
      <c r="V363" s="181"/>
    </row>
    <row r="364" spans="1:22" x14ac:dyDescent="0.25">
      <c r="A364" s="172"/>
      <c r="F364" s="174"/>
      <c r="G364" s="174"/>
      <c r="H364" s="174"/>
      <c r="J364" s="174"/>
      <c r="L364" s="175"/>
      <c r="M364" s="176"/>
      <c r="N364" s="177"/>
      <c r="P364" s="183"/>
      <c r="Q364" s="184"/>
      <c r="R364" s="185"/>
      <c r="S364" s="176"/>
      <c r="T364" s="172"/>
      <c r="U364" s="181"/>
      <c r="V364" s="181"/>
    </row>
    <row r="365" spans="1:22" x14ac:dyDescent="0.25">
      <c r="A365" s="172"/>
      <c r="F365" s="174"/>
      <c r="G365" s="174"/>
      <c r="H365" s="174"/>
      <c r="J365" s="174"/>
      <c r="L365" s="175"/>
      <c r="M365" s="176"/>
      <c r="N365" s="177"/>
      <c r="P365" s="183"/>
      <c r="Q365" s="184"/>
      <c r="R365" s="185"/>
      <c r="S365" s="176"/>
      <c r="T365" s="172"/>
      <c r="U365" s="181"/>
      <c r="V365" s="181"/>
    </row>
    <row r="366" spans="1:22" x14ac:dyDescent="0.25">
      <c r="A366" s="172"/>
      <c r="F366" s="174"/>
      <c r="G366" s="174"/>
      <c r="H366" s="174"/>
      <c r="J366" s="174"/>
      <c r="L366" s="175"/>
      <c r="M366" s="176"/>
      <c r="N366" s="177"/>
      <c r="P366" s="183"/>
      <c r="Q366" s="184"/>
      <c r="R366" s="185"/>
      <c r="S366" s="176"/>
      <c r="T366" s="172"/>
      <c r="U366" s="181"/>
      <c r="V366" s="181"/>
    </row>
    <row r="367" spans="1:22" x14ac:dyDescent="0.25">
      <c r="A367" s="172"/>
      <c r="F367" s="174"/>
      <c r="G367" s="174"/>
      <c r="H367" s="174"/>
      <c r="J367" s="174"/>
      <c r="L367" s="175"/>
      <c r="M367" s="176"/>
      <c r="N367" s="177"/>
      <c r="P367" s="183"/>
      <c r="Q367" s="184"/>
      <c r="R367" s="185"/>
      <c r="S367" s="176"/>
      <c r="T367" s="172"/>
      <c r="U367" s="181"/>
      <c r="V367" s="181"/>
    </row>
    <row r="368" spans="1:22" x14ac:dyDescent="0.25">
      <c r="A368" s="172"/>
      <c r="F368" s="174"/>
      <c r="G368" s="174"/>
      <c r="H368" s="174"/>
      <c r="J368" s="174"/>
      <c r="L368" s="175"/>
      <c r="M368" s="176"/>
      <c r="N368" s="177"/>
      <c r="P368" s="183"/>
      <c r="Q368" s="184"/>
      <c r="R368" s="185"/>
      <c r="S368" s="176"/>
      <c r="T368" s="172"/>
      <c r="U368" s="181"/>
      <c r="V368" s="181"/>
    </row>
    <row r="369" spans="1:22" x14ac:dyDescent="0.25">
      <c r="A369" s="172"/>
      <c r="F369" s="174"/>
      <c r="G369" s="174"/>
      <c r="H369" s="174"/>
      <c r="J369" s="174"/>
      <c r="L369" s="175"/>
      <c r="M369" s="176"/>
      <c r="N369" s="177"/>
      <c r="P369" s="183"/>
      <c r="Q369" s="184"/>
      <c r="R369" s="185"/>
      <c r="S369" s="176"/>
      <c r="T369" s="172"/>
      <c r="U369" s="181"/>
      <c r="V369" s="181"/>
    </row>
    <row r="370" spans="1:22" x14ac:dyDescent="0.25">
      <c r="A370" s="172"/>
      <c r="F370" s="174"/>
      <c r="G370" s="174"/>
      <c r="H370" s="174"/>
      <c r="J370" s="174"/>
      <c r="L370" s="175"/>
      <c r="M370" s="176"/>
      <c r="N370" s="177"/>
      <c r="P370" s="183"/>
      <c r="Q370" s="184"/>
      <c r="R370" s="185"/>
      <c r="S370" s="176"/>
      <c r="T370" s="172"/>
      <c r="U370" s="181"/>
      <c r="V370" s="181"/>
    </row>
    <row r="371" spans="1:22" x14ac:dyDescent="0.25">
      <c r="A371" s="172"/>
      <c r="F371" s="174"/>
      <c r="G371" s="174"/>
      <c r="H371" s="174"/>
      <c r="J371" s="174"/>
      <c r="L371" s="175"/>
      <c r="M371" s="176"/>
      <c r="N371" s="177"/>
      <c r="P371" s="183"/>
      <c r="Q371" s="184"/>
      <c r="R371" s="185"/>
      <c r="S371" s="176"/>
      <c r="T371" s="172"/>
      <c r="U371" s="181"/>
      <c r="V371" s="181"/>
    </row>
    <row r="372" spans="1:22" x14ac:dyDescent="0.25">
      <c r="A372" s="172"/>
      <c r="F372" s="174"/>
      <c r="G372" s="174"/>
      <c r="H372" s="174"/>
      <c r="J372" s="174"/>
      <c r="L372" s="175"/>
      <c r="M372" s="176"/>
      <c r="N372" s="177"/>
      <c r="P372" s="183"/>
      <c r="Q372" s="184"/>
      <c r="R372" s="185"/>
      <c r="S372" s="176"/>
      <c r="T372" s="172"/>
      <c r="U372" s="181"/>
      <c r="V372" s="181"/>
    </row>
    <row r="373" spans="1:22" x14ac:dyDescent="0.25">
      <c r="A373" s="172"/>
      <c r="F373" s="174"/>
      <c r="G373" s="174"/>
      <c r="H373" s="174"/>
      <c r="J373" s="174"/>
      <c r="L373" s="175"/>
      <c r="M373" s="176"/>
      <c r="N373" s="177"/>
      <c r="P373" s="183"/>
      <c r="Q373" s="184"/>
      <c r="R373" s="185"/>
      <c r="S373" s="176"/>
      <c r="T373" s="172"/>
      <c r="U373" s="181"/>
      <c r="V373" s="181"/>
    </row>
    <row r="374" spans="1:22" x14ac:dyDescent="0.25">
      <c r="A374" s="172"/>
      <c r="F374" s="174"/>
      <c r="G374" s="174"/>
      <c r="H374" s="174"/>
      <c r="J374" s="174"/>
      <c r="L374" s="175"/>
      <c r="M374" s="176"/>
      <c r="N374" s="177"/>
      <c r="P374" s="183"/>
      <c r="Q374" s="184"/>
      <c r="R374" s="185"/>
      <c r="S374" s="176"/>
      <c r="T374" s="172"/>
      <c r="U374" s="181"/>
      <c r="V374" s="181"/>
    </row>
    <row r="375" spans="1:22" x14ac:dyDescent="0.25">
      <c r="A375" s="172"/>
      <c r="F375" s="174"/>
      <c r="G375" s="174"/>
      <c r="H375" s="174"/>
      <c r="J375" s="174"/>
      <c r="L375" s="175"/>
      <c r="M375" s="176"/>
      <c r="N375" s="177"/>
      <c r="P375" s="183"/>
      <c r="Q375" s="184"/>
      <c r="R375" s="185"/>
      <c r="S375" s="176"/>
      <c r="T375" s="172"/>
      <c r="U375" s="181"/>
      <c r="V375" s="181"/>
    </row>
    <row r="376" spans="1:22" x14ac:dyDescent="0.25">
      <c r="A376" s="172"/>
      <c r="F376" s="174"/>
      <c r="G376" s="174"/>
      <c r="H376" s="174"/>
      <c r="J376" s="174"/>
      <c r="L376" s="175"/>
      <c r="M376" s="176"/>
      <c r="N376" s="177"/>
      <c r="P376" s="183"/>
      <c r="Q376" s="184"/>
      <c r="R376" s="185"/>
      <c r="S376" s="176"/>
      <c r="T376" s="172"/>
      <c r="U376" s="181"/>
      <c r="V376" s="181"/>
    </row>
    <row r="377" spans="1:22" x14ac:dyDescent="0.25">
      <c r="A377" s="172"/>
      <c r="F377" s="174"/>
      <c r="G377" s="174"/>
      <c r="H377" s="174"/>
      <c r="J377" s="174"/>
      <c r="L377" s="175"/>
      <c r="M377" s="176"/>
      <c r="N377" s="177"/>
      <c r="P377" s="183"/>
      <c r="Q377" s="184"/>
      <c r="R377" s="185"/>
      <c r="S377" s="176"/>
      <c r="T377" s="172"/>
      <c r="U377" s="181"/>
      <c r="V377" s="181"/>
    </row>
    <row r="378" spans="1:22" x14ac:dyDescent="0.25">
      <c r="A378" s="172"/>
      <c r="F378" s="174"/>
      <c r="G378" s="174"/>
      <c r="H378" s="174"/>
      <c r="J378" s="174"/>
      <c r="L378" s="175"/>
      <c r="M378" s="176"/>
      <c r="N378" s="177"/>
      <c r="P378" s="183"/>
      <c r="Q378" s="184"/>
      <c r="R378" s="185"/>
      <c r="S378" s="176"/>
      <c r="T378" s="172"/>
      <c r="U378" s="181"/>
      <c r="V378" s="181"/>
    </row>
    <row r="379" spans="1:22" x14ac:dyDescent="0.25">
      <c r="A379" s="172"/>
      <c r="F379" s="174"/>
      <c r="G379" s="174"/>
      <c r="H379" s="174"/>
      <c r="J379" s="174"/>
      <c r="L379" s="175"/>
      <c r="M379" s="176"/>
      <c r="N379" s="177"/>
      <c r="P379" s="183"/>
      <c r="Q379" s="184"/>
      <c r="R379" s="185"/>
      <c r="S379" s="176"/>
      <c r="T379" s="172"/>
      <c r="U379" s="181"/>
      <c r="V379" s="181"/>
    </row>
    <row r="380" spans="1:22" x14ac:dyDescent="0.25">
      <c r="A380" s="172"/>
      <c r="F380" s="174"/>
      <c r="G380" s="174"/>
      <c r="H380" s="174"/>
      <c r="J380" s="174"/>
      <c r="L380" s="175"/>
      <c r="M380" s="176"/>
      <c r="N380" s="177"/>
      <c r="P380" s="183"/>
      <c r="Q380" s="184"/>
      <c r="R380" s="185"/>
      <c r="S380" s="176"/>
      <c r="T380" s="172"/>
      <c r="U380" s="181"/>
      <c r="V380" s="181"/>
    </row>
    <row r="381" spans="1:22" x14ac:dyDescent="0.25">
      <c r="A381" s="172"/>
      <c r="F381" s="174"/>
      <c r="G381" s="174"/>
      <c r="H381" s="174"/>
      <c r="J381" s="174"/>
      <c r="L381" s="175"/>
      <c r="M381" s="176"/>
      <c r="N381" s="177"/>
      <c r="P381" s="183"/>
      <c r="Q381" s="184"/>
      <c r="R381" s="185"/>
      <c r="S381" s="176"/>
      <c r="T381" s="172"/>
      <c r="U381" s="181"/>
      <c r="V381" s="181"/>
    </row>
    <row r="382" spans="1:22" x14ac:dyDescent="0.25">
      <c r="A382" s="172"/>
      <c r="F382" s="174"/>
      <c r="G382" s="174"/>
      <c r="H382" s="174"/>
      <c r="J382" s="174"/>
      <c r="L382" s="175"/>
      <c r="M382" s="176"/>
      <c r="N382" s="177"/>
      <c r="P382" s="183"/>
      <c r="Q382" s="184"/>
      <c r="R382" s="185"/>
      <c r="S382" s="176"/>
      <c r="T382" s="172"/>
      <c r="U382" s="181"/>
      <c r="V382" s="181"/>
    </row>
    <row r="383" spans="1:22" x14ac:dyDescent="0.25">
      <c r="A383" s="172"/>
      <c r="F383" s="174"/>
      <c r="G383" s="174"/>
      <c r="H383" s="174"/>
      <c r="J383" s="174"/>
      <c r="L383" s="175"/>
      <c r="M383" s="176"/>
      <c r="N383" s="177"/>
      <c r="P383" s="183"/>
      <c r="Q383" s="184"/>
      <c r="R383" s="185"/>
      <c r="S383" s="176"/>
      <c r="T383" s="172"/>
      <c r="U383" s="181"/>
      <c r="V383" s="181"/>
    </row>
    <row r="384" spans="1:22" x14ac:dyDescent="0.25">
      <c r="A384" s="172"/>
      <c r="F384" s="174"/>
      <c r="G384" s="174"/>
      <c r="H384" s="174"/>
      <c r="J384" s="174"/>
      <c r="L384" s="175"/>
      <c r="M384" s="176"/>
      <c r="N384" s="177"/>
      <c r="P384" s="183"/>
      <c r="Q384" s="184"/>
      <c r="R384" s="185"/>
      <c r="S384" s="176"/>
      <c r="T384" s="172"/>
      <c r="U384" s="181"/>
      <c r="V384" s="181"/>
    </row>
    <row r="385" spans="1:22" x14ac:dyDescent="0.25">
      <c r="A385" s="172"/>
      <c r="F385" s="174"/>
      <c r="G385" s="174"/>
      <c r="H385" s="174"/>
      <c r="J385" s="174"/>
      <c r="L385" s="175"/>
      <c r="M385" s="176"/>
      <c r="N385" s="177"/>
      <c r="P385" s="183"/>
      <c r="Q385" s="184"/>
      <c r="R385" s="185"/>
      <c r="S385" s="176"/>
      <c r="T385" s="172"/>
      <c r="U385" s="181"/>
      <c r="V385" s="181"/>
    </row>
    <row r="386" spans="1:22" x14ac:dyDescent="0.25">
      <c r="A386" s="172"/>
      <c r="F386" s="174"/>
      <c r="G386" s="174"/>
      <c r="H386" s="174"/>
      <c r="J386" s="174"/>
      <c r="L386" s="175"/>
      <c r="M386" s="176"/>
      <c r="N386" s="177"/>
      <c r="P386" s="183"/>
      <c r="Q386" s="184"/>
      <c r="R386" s="185"/>
      <c r="S386" s="176"/>
      <c r="T386" s="172"/>
      <c r="U386" s="181"/>
      <c r="V386" s="181"/>
    </row>
    <row r="387" spans="1:22" x14ac:dyDescent="0.25">
      <c r="A387" s="172"/>
      <c r="F387" s="174"/>
      <c r="G387" s="174"/>
      <c r="H387" s="174"/>
      <c r="J387" s="174"/>
      <c r="L387" s="175"/>
      <c r="M387" s="176"/>
      <c r="N387" s="177"/>
      <c r="P387" s="183"/>
      <c r="Q387" s="184"/>
      <c r="R387" s="185"/>
      <c r="S387" s="176"/>
      <c r="T387" s="172"/>
      <c r="U387" s="181"/>
      <c r="V387" s="181"/>
    </row>
    <row r="388" spans="1:22" x14ac:dyDescent="0.25">
      <c r="A388" s="172"/>
      <c r="F388" s="174"/>
      <c r="G388" s="174"/>
      <c r="H388" s="174"/>
      <c r="J388" s="174"/>
      <c r="L388" s="175"/>
      <c r="M388" s="176"/>
      <c r="N388" s="177"/>
      <c r="P388" s="183"/>
      <c r="Q388" s="184"/>
      <c r="R388" s="185"/>
      <c r="S388" s="176"/>
      <c r="T388" s="172"/>
      <c r="U388" s="181"/>
      <c r="V388" s="181"/>
    </row>
    <row r="389" spans="1:22" x14ac:dyDescent="0.25">
      <c r="A389" s="172"/>
      <c r="F389" s="174"/>
      <c r="G389" s="174"/>
      <c r="H389" s="174"/>
      <c r="J389" s="174"/>
      <c r="L389" s="175"/>
      <c r="M389" s="176"/>
      <c r="N389" s="177"/>
      <c r="P389" s="183"/>
      <c r="Q389" s="184"/>
      <c r="R389" s="185"/>
      <c r="S389" s="176"/>
      <c r="T389" s="172"/>
      <c r="U389" s="181"/>
      <c r="V389" s="181"/>
    </row>
    <row r="390" spans="1:22" x14ac:dyDescent="0.25">
      <c r="A390" s="172"/>
      <c r="F390" s="174"/>
      <c r="G390" s="174"/>
      <c r="H390" s="174"/>
      <c r="J390" s="174"/>
      <c r="L390" s="175"/>
      <c r="M390" s="176"/>
      <c r="N390" s="177"/>
      <c r="P390" s="183"/>
      <c r="Q390" s="184"/>
      <c r="R390" s="185"/>
      <c r="S390" s="176"/>
      <c r="T390" s="172"/>
      <c r="U390" s="181"/>
      <c r="V390" s="181"/>
    </row>
    <row r="391" spans="1:22" x14ac:dyDescent="0.25">
      <c r="A391" s="172"/>
      <c r="F391" s="174"/>
      <c r="G391" s="174"/>
      <c r="H391" s="174"/>
      <c r="J391" s="174"/>
      <c r="L391" s="175"/>
      <c r="M391" s="176"/>
      <c r="N391" s="177"/>
      <c r="P391" s="183"/>
      <c r="Q391" s="184"/>
      <c r="R391" s="185"/>
      <c r="S391" s="176"/>
      <c r="T391" s="172"/>
      <c r="U391" s="181"/>
      <c r="V391" s="181"/>
    </row>
    <row r="392" spans="1:22" x14ac:dyDescent="0.25">
      <c r="A392" s="172"/>
      <c r="F392" s="174"/>
      <c r="G392" s="174"/>
      <c r="H392" s="174"/>
      <c r="J392" s="174"/>
      <c r="L392" s="175"/>
      <c r="M392" s="176"/>
      <c r="N392" s="177"/>
      <c r="P392" s="183"/>
      <c r="Q392" s="184"/>
      <c r="R392" s="185"/>
      <c r="S392" s="176"/>
      <c r="T392" s="172"/>
      <c r="U392" s="181"/>
      <c r="V392" s="181"/>
    </row>
    <row r="393" spans="1:22" x14ac:dyDescent="0.25">
      <c r="A393" s="172"/>
      <c r="F393" s="174"/>
      <c r="G393" s="174"/>
      <c r="H393" s="174"/>
      <c r="J393" s="174"/>
      <c r="L393" s="175"/>
      <c r="M393" s="176"/>
      <c r="N393" s="177"/>
      <c r="P393" s="183"/>
      <c r="Q393" s="184"/>
      <c r="R393" s="185"/>
      <c r="S393" s="176"/>
      <c r="T393" s="172"/>
      <c r="U393" s="181"/>
      <c r="V393" s="181"/>
    </row>
    <row r="394" spans="1:22" x14ac:dyDescent="0.25">
      <c r="A394" s="172"/>
      <c r="F394" s="174"/>
      <c r="G394" s="174"/>
      <c r="H394" s="174"/>
      <c r="J394" s="174"/>
      <c r="L394" s="175"/>
      <c r="M394" s="176"/>
      <c r="N394" s="177"/>
      <c r="P394" s="183"/>
      <c r="Q394" s="184"/>
      <c r="R394" s="185"/>
      <c r="S394" s="176"/>
      <c r="T394" s="172"/>
      <c r="U394" s="181"/>
      <c r="V394" s="181"/>
    </row>
    <row r="395" spans="1:22" x14ac:dyDescent="0.25">
      <c r="A395" s="172"/>
      <c r="F395" s="174"/>
      <c r="G395" s="174"/>
      <c r="H395" s="174"/>
      <c r="J395" s="174"/>
      <c r="L395" s="175"/>
      <c r="M395" s="176"/>
      <c r="N395" s="177"/>
      <c r="P395" s="183"/>
      <c r="Q395" s="184"/>
      <c r="R395" s="185"/>
      <c r="S395" s="176"/>
      <c r="T395" s="172"/>
      <c r="U395" s="181"/>
      <c r="V395" s="181"/>
    </row>
    <row r="396" spans="1:22" x14ac:dyDescent="0.25">
      <c r="A396" s="172"/>
      <c r="F396" s="174"/>
      <c r="G396" s="174"/>
      <c r="H396" s="174"/>
      <c r="J396" s="174"/>
      <c r="L396" s="175"/>
      <c r="M396" s="176"/>
      <c r="N396" s="177"/>
      <c r="P396" s="183"/>
      <c r="Q396" s="184"/>
      <c r="R396" s="185"/>
      <c r="S396" s="176"/>
      <c r="T396" s="172"/>
      <c r="U396" s="181"/>
      <c r="V396" s="181"/>
    </row>
    <row r="397" spans="1:22" x14ac:dyDescent="0.25">
      <c r="A397" s="172"/>
      <c r="F397" s="174"/>
      <c r="G397" s="174"/>
      <c r="H397" s="174"/>
      <c r="J397" s="174"/>
      <c r="L397" s="175"/>
      <c r="M397" s="176"/>
      <c r="N397" s="177"/>
      <c r="P397" s="183"/>
      <c r="Q397" s="184"/>
      <c r="R397" s="185"/>
      <c r="S397" s="176"/>
      <c r="T397" s="172"/>
      <c r="U397" s="181"/>
      <c r="V397" s="181"/>
    </row>
    <row r="398" spans="1:22" x14ac:dyDescent="0.25">
      <c r="A398" s="172"/>
      <c r="F398" s="174"/>
      <c r="G398" s="174"/>
      <c r="H398" s="174"/>
      <c r="J398" s="174"/>
      <c r="L398" s="175"/>
      <c r="M398" s="182"/>
      <c r="N398" s="177"/>
      <c r="P398" s="183"/>
      <c r="Q398" s="184"/>
      <c r="R398" s="185"/>
      <c r="S398" s="176"/>
      <c r="T398" s="172"/>
      <c r="U398" s="181"/>
      <c r="V398" s="181"/>
    </row>
    <row r="399" spans="1:22" x14ac:dyDescent="0.25">
      <c r="A399" s="172"/>
      <c r="F399" s="174"/>
      <c r="G399" s="174"/>
      <c r="H399" s="174"/>
      <c r="J399" s="174"/>
      <c r="L399" s="175"/>
      <c r="M399" s="182"/>
      <c r="N399" s="177"/>
      <c r="P399" s="183"/>
      <c r="Q399" s="184"/>
      <c r="R399" s="185"/>
      <c r="S399" s="176"/>
      <c r="T399" s="172"/>
      <c r="U399" s="181"/>
      <c r="V399" s="181"/>
    </row>
    <row r="400" spans="1:22" x14ac:dyDescent="0.25">
      <c r="A400" s="172"/>
      <c r="F400" s="174"/>
      <c r="G400" s="174"/>
      <c r="H400" s="174"/>
      <c r="J400" s="174"/>
      <c r="L400" s="175"/>
      <c r="M400" s="182"/>
      <c r="N400" s="177"/>
      <c r="P400" s="183"/>
      <c r="Q400" s="184"/>
      <c r="R400" s="185"/>
      <c r="S400" s="176"/>
      <c r="T400" s="172"/>
      <c r="U400" s="181"/>
      <c r="V400" s="181"/>
    </row>
    <row r="401" spans="1:22" x14ac:dyDescent="0.25">
      <c r="A401" s="172"/>
      <c r="F401" s="174"/>
      <c r="G401" s="174"/>
      <c r="H401" s="174"/>
      <c r="J401" s="174"/>
      <c r="L401" s="175"/>
      <c r="M401" s="182"/>
      <c r="N401" s="177"/>
      <c r="P401" s="183"/>
      <c r="Q401" s="184"/>
      <c r="R401" s="185"/>
      <c r="S401" s="176"/>
      <c r="T401" s="172"/>
      <c r="U401" s="181"/>
      <c r="V401" s="181"/>
    </row>
    <row r="402" spans="1:22" x14ac:dyDescent="0.25">
      <c r="A402" s="172"/>
      <c r="F402" s="174"/>
      <c r="G402" s="174"/>
      <c r="H402" s="174"/>
      <c r="J402" s="174"/>
      <c r="L402" s="175"/>
      <c r="M402" s="182"/>
      <c r="N402" s="177"/>
      <c r="P402" s="183"/>
      <c r="Q402" s="184"/>
      <c r="R402" s="185"/>
      <c r="S402" s="176"/>
      <c r="T402" s="172"/>
      <c r="U402" s="181"/>
      <c r="V402" s="181"/>
    </row>
    <row r="403" spans="1:22" x14ac:dyDescent="0.25">
      <c r="A403" s="172"/>
      <c r="F403" s="174"/>
      <c r="G403" s="174"/>
      <c r="H403" s="174"/>
      <c r="J403" s="174"/>
      <c r="L403" s="175"/>
      <c r="M403" s="182"/>
      <c r="N403" s="177"/>
      <c r="P403" s="183"/>
      <c r="Q403" s="184"/>
      <c r="R403" s="185"/>
      <c r="S403" s="176"/>
      <c r="T403" s="172"/>
      <c r="U403" s="181"/>
      <c r="V403" s="181"/>
    </row>
    <row r="404" spans="1:22" x14ac:dyDescent="0.25">
      <c r="A404" s="172"/>
      <c r="F404" s="174"/>
      <c r="G404" s="174"/>
      <c r="H404" s="174"/>
      <c r="J404" s="174"/>
      <c r="L404" s="175"/>
      <c r="M404" s="182"/>
      <c r="N404" s="177"/>
      <c r="P404" s="183"/>
      <c r="Q404" s="184"/>
      <c r="R404" s="185"/>
      <c r="S404" s="176"/>
      <c r="T404" s="172"/>
      <c r="U404" s="181"/>
      <c r="V404" s="181"/>
    </row>
    <row r="405" spans="1:22" x14ac:dyDescent="0.25">
      <c r="A405" s="172"/>
      <c r="F405" s="174"/>
      <c r="G405" s="174"/>
      <c r="H405" s="174"/>
      <c r="J405" s="174"/>
      <c r="L405" s="175"/>
      <c r="M405" s="182"/>
      <c r="N405" s="177"/>
      <c r="P405" s="183"/>
      <c r="Q405" s="184"/>
      <c r="R405" s="185"/>
      <c r="S405" s="176"/>
      <c r="T405" s="172"/>
      <c r="U405" s="181"/>
      <c r="V405" s="181"/>
    </row>
    <row r="406" spans="1:22" x14ac:dyDescent="0.25">
      <c r="A406" s="172"/>
      <c r="F406" s="174"/>
      <c r="G406" s="174"/>
      <c r="H406" s="174"/>
      <c r="J406" s="174"/>
      <c r="L406" s="175"/>
      <c r="M406" s="182"/>
      <c r="N406" s="177"/>
      <c r="P406" s="183"/>
      <c r="Q406" s="184"/>
      <c r="R406" s="185"/>
      <c r="S406" s="176"/>
      <c r="T406" s="172"/>
      <c r="U406" s="181"/>
      <c r="V406" s="181"/>
    </row>
    <row r="407" spans="1:22" x14ac:dyDescent="0.25">
      <c r="A407" s="172"/>
      <c r="F407" s="174"/>
      <c r="G407" s="174"/>
      <c r="H407" s="174"/>
      <c r="J407" s="174"/>
      <c r="L407" s="175"/>
      <c r="M407" s="182"/>
      <c r="N407" s="177"/>
      <c r="P407" s="183"/>
      <c r="Q407" s="184"/>
      <c r="R407" s="185"/>
      <c r="S407" s="176"/>
      <c r="T407" s="172"/>
      <c r="U407" s="181"/>
      <c r="V407" s="181"/>
    </row>
    <row r="408" spans="1:22" x14ac:dyDescent="0.25">
      <c r="A408" s="172"/>
      <c r="F408" s="174"/>
      <c r="G408" s="174"/>
      <c r="H408" s="174"/>
      <c r="J408" s="174"/>
      <c r="L408" s="175"/>
      <c r="M408" s="182"/>
      <c r="N408" s="177"/>
      <c r="P408" s="183"/>
      <c r="Q408" s="184"/>
      <c r="R408" s="185"/>
      <c r="S408" s="176"/>
      <c r="T408" s="172"/>
      <c r="U408" s="181"/>
      <c r="V408" s="181"/>
    </row>
    <row r="409" spans="1:22" x14ac:dyDescent="0.25">
      <c r="A409" s="172"/>
      <c r="F409" s="174"/>
      <c r="G409" s="174"/>
      <c r="H409" s="174"/>
      <c r="J409" s="174"/>
      <c r="L409" s="175"/>
      <c r="M409" s="182"/>
      <c r="N409" s="177"/>
      <c r="P409" s="183"/>
      <c r="Q409" s="184"/>
      <c r="R409" s="185"/>
      <c r="S409" s="176"/>
      <c r="T409" s="172"/>
      <c r="U409" s="181"/>
      <c r="V409" s="181"/>
    </row>
    <row r="410" spans="1:22" x14ac:dyDescent="0.25">
      <c r="A410" s="172"/>
      <c r="F410" s="174"/>
      <c r="G410" s="174"/>
      <c r="H410" s="174"/>
      <c r="J410" s="174"/>
      <c r="L410" s="175"/>
      <c r="M410" s="182"/>
      <c r="N410" s="177"/>
      <c r="P410" s="183"/>
      <c r="Q410" s="184"/>
      <c r="R410" s="185"/>
      <c r="S410" s="176"/>
      <c r="T410" s="172"/>
      <c r="U410" s="181"/>
      <c r="V410" s="181"/>
    </row>
    <row r="411" spans="1:22" x14ac:dyDescent="0.25">
      <c r="A411" s="172"/>
      <c r="F411" s="174"/>
      <c r="G411" s="174"/>
      <c r="H411" s="174"/>
      <c r="J411" s="174"/>
      <c r="L411" s="175"/>
      <c r="M411" s="182"/>
      <c r="N411" s="177"/>
      <c r="P411" s="183"/>
      <c r="Q411" s="184"/>
      <c r="R411" s="185"/>
      <c r="S411" s="176"/>
      <c r="T411" s="172"/>
      <c r="U411" s="181"/>
      <c r="V411" s="181"/>
    </row>
    <row r="412" spans="1:22" x14ac:dyDescent="0.25">
      <c r="A412" s="172"/>
      <c r="F412" s="174"/>
      <c r="G412" s="174"/>
      <c r="H412" s="174"/>
      <c r="J412" s="174"/>
      <c r="L412" s="175"/>
      <c r="M412" s="182"/>
      <c r="N412" s="177"/>
      <c r="P412" s="183"/>
      <c r="Q412" s="184"/>
      <c r="R412" s="185"/>
      <c r="S412" s="176"/>
      <c r="T412" s="172"/>
      <c r="U412" s="181"/>
      <c r="V412" s="181"/>
    </row>
    <row r="413" spans="1:22" x14ac:dyDescent="0.25">
      <c r="A413" s="172"/>
      <c r="F413" s="174"/>
      <c r="G413" s="174"/>
      <c r="H413" s="174"/>
      <c r="J413" s="174"/>
      <c r="L413" s="175"/>
      <c r="M413" s="182"/>
      <c r="N413" s="177"/>
      <c r="P413" s="183"/>
      <c r="Q413" s="184"/>
      <c r="R413" s="185"/>
      <c r="S413" s="176"/>
      <c r="T413" s="172"/>
      <c r="U413" s="181"/>
      <c r="V413" s="181"/>
    </row>
    <row r="414" spans="1:22" x14ac:dyDescent="0.25">
      <c r="A414" s="172"/>
      <c r="F414" s="174"/>
      <c r="G414" s="174"/>
      <c r="H414" s="174"/>
      <c r="J414" s="174"/>
      <c r="L414" s="175"/>
      <c r="M414" s="182"/>
      <c r="N414" s="177"/>
      <c r="P414" s="183"/>
      <c r="Q414" s="184"/>
      <c r="R414" s="185"/>
      <c r="S414" s="176"/>
      <c r="T414" s="172"/>
      <c r="U414" s="181"/>
      <c r="V414" s="181"/>
    </row>
    <row r="415" spans="1:22" x14ac:dyDescent="0.25">
      <c r="A415" s="172"/>
      <c r="F415" s="174"/>
      <c r="G415" s="174"/>
      <c r="H415" s="174"/>
      <c r="J415" s="174"/>
      <c r="L415" s="175"/>
      <c r="M415" s="182"/>
      <c r="N415" s="177"/>
      <c r="P415" s="183"/>
      <c r="Q415" s="184"/>
      <c r="R415" s="185"/>
      <c r="S415" s="176"/>
      <c r="T415" s="172"/>
      <c r="U415" s="181"/>
      <c r="V415" s="181"/>
    </row>
    <row r="416" spans="1:22" x14ac:dyDescent="0.25">
      <c r="A416" s="172"/>
      <c r="F416" s="174"/>
      <c r="G416" s="174"/>
      <c r="H416" s="174"/>
      <c r="J416" s="174"/>
      <c r="L416" s="175"/>
      <c r="M416" s="182"/>
      <c r="N416" s="177"/>
      <c r="P416" s="183"/>
      <c r="Q416" s="184"/>
      <c r="R416" s="185"/>
      <c r="S416" s="176"/>
      <c r="T416" s="172"/>
      <c r="U416" s="181"/>
      <c r="V416" s="181"/>
    </row>
    <row r="417" spans="1:22" x14ac:dyDescent="0.25">
      <c r="A417" s="172"/>
      <c r="F417" s="174"/>
      <c r="G417" s="174"/>
      <c r="H417" s="174"/>
      <c r="J417" s="174"/>
      <c r="L417" s="175"/>
      <c r="M417" s="182"/>
      <c r="N417" s="177"/>
      <c r="P417" s="183"/>
      <c r="Q417" s="184"/>
      <c r="R417" s="185"/>
      <c r="S417" s="176"/>
      <c r="T417" s="172"/>
      <c r="U417" s="181"/>
      <c r="V417" s="181"/>
    </row>
    <row r="418" spans="1:22" x14ac:dyDescent="0.25">
      <c r="A418" s="172"/>
      <c r="F418" s="174"/>
      <c r="G418" s="174"/>
      <c r="H418" s="174"/>
      <c r="J418" s="174"/>
      <c r="L418" s="175"/>
      <c r="M418" s="182"/>
      <c r="N418" s="177"/>
      <c r="P418" s="183"/>
      <c r="Q418" s="184"/>
      <c r="R418" s="185"/>
      <c r="S418" s="176"/>
      <c r="T418" s="172"/>
      <c r="U418" s="181"/>
      <c r="V418" s="181"/>
    </row>
    <row r="419" spans="1:22" x14ac:dyDescent="0.25">
      <c r="A419" s="172"/>
      <c r="F419" s="174"/>
      <c r="G419" s="174"/>
      <c r="H419" s="174"/>
      <c r="J419" s="174"/>
      <c r="L419" s="175"/>
      <c r="M419" s="182"/>
      <c r="N419" s="177"/>
      <c r="P419" s="183"/>
      <c r="Q419" s="184"/>
      <c r="R419" s="185"/>
      <c r="S419" s="176"/>
      <c r="T419" s="172"/>
      <c r="U419" s="181"/>
      <c r="V419" s="181"/>
    </row>
    <row r="420" spans="1:22" x14ac:dyDescent="0.25">
      <c r="A420" s="172"/>
      <c r="F420" s="174"/>
      <c r="G420" s="174"/>
      <c r="H420" s="174"/>
      <c r="J420" s="174"/>
      <c r="L420" s="175"/>
      <c r="M420" s="182"/>
      <c r="N420" s="177"/>
      <c r="P420" s="183"/>
      <c r="Q420" s="184"/>
      <c r="R420" s="185"/>
      <c r="S420" s="176"/>
      <c r="T420" s="172"/>
      <c r="U420" s="181"/>
      <c r="V420" s="181"/>
    </row>
    <row r="421" spans="1:22" x14ac:dyDescent="0.25">
      <c r="A421" s="172"/>
      <c r="F421" s="174"/>
      <c r="G421" s="174"/>
      <c r="H421" s="174"/>
      <c r="J421" s="174"/>
      <c r="L421" s="175"/>
      <c r="M421" s="182"/>
      <c r="N421" s="177"/>
      <c r="P421" s="183"/>
      <c r="Q421" s="184"/>
      <c r="R421" s="185"/>
      <c r="S421" s="176"/>
      <c r="T421" s="172"/>
      <c r="U421" s="181"/>
      <c r="V421" s="181"/>
    </row>
    <row r="422" spans="1:22" x14ac:dyDescent="0.25">
      <c r="A422" s="172"/>
      <c r="F422" s="174"/>
      <c r="G422" s="174"/>
      <c r="H422" s="174"/>
      <c r="J422" s="174"/>
      <c r="L422" s="175"/>
      <c r="M422" s="182"/>
      <c r="N422" s="177"/>
      <c r="P422" s="183"/>
      <c r="Q422" s="184"/>
      <c r="R422" s="185"/>
      <c r="S422" s="176"/>
      <c r="T422" s="172"/>
      <c r="U422" s="181"/>
      <c r="V422" s="181"/>
    </row>
    <row r="423" spans="1:22" x14ac:dyDescent="0.25">
      <c r="A423" s="172"/>
      <c r="F423" s="174"/>
      <c r="G423" s="174"/>
      <c r="H423" s="174"/>
      <c r="J423" s="174"/>
      <c r="L423" s="175"/>
      <c r="M423" s="182"/>
      <c r="N423" s="177"/>
      <c r="P423" s="183"/>
      <c r="Q423" s="184"/>
      <c r="R423" s="185"/>
      <c r="S423" s="176"/>
      <c r="T423" s="172"/>
      <c r="U423" s="181"/>
      <c r="V423" s="181"/>
    </row>
    <row r="424" spans="1:22" x14ac:dyDescent="0.25">
      <c r="A424" s="172"/>
      <c r="F424" s="174"/>
      <c r="G424" s="174"/>
      <c r="H424" s="174"/>
      <c r="J424" s="174"/>
      <c r="L424" s="175"/>
      <c r="M424" s="182"/>
      <c r="N424" s="177"/>
      <c r="P424" s="183"/>
      <c r="Q424" s="184"/>
      <c r="R424" s="185"/>
      <c r="S424" s="176"/>
      <c r="T424" s="172"/>
      <c r="U424" s="181"/>
      <c r="V424" s="181"/>
    </row>
    <row r="425" spans="1:22" x14ac:dyDescent="0.25">
      <c r="A425" s="172"/>
      <c r="F425" s="174"/>
      <c r="G425" s="174"/>
      <c r="H425" s="174"/>
      <c r="J425" s="174"/>
      <c r="L425" s="175"/>
      <c r="M425" s="182"/>
      <c r="N425" s="177"/>
      <c r="P425" s="183"/>
      <c r="Q425" s="184"/>
      <c r="R425" s="185"/>
      <c r="S425" s="176"/>
      <c r="T425" s="172"/>
      <c r="U425" s="181"/>
      <c r="V425" s="181"/>
    </row>
    <row r="426" spans="1:22" x14ac:dyDescent="0.25">
      <c r="A426" s="172"/>
      <c r="F426" s="174"/>
      <c r="G426" s="174"/>
      <c r="H426" s="174"/>
      <c r="J426" s="174"/>
      <c r="L426" s="175"/>
      <c r="M426" s="182"/>
      <c r="N426" s="177"/>
      <c r="P426" s="183"/>
      <c r="Q426" s="184"/>
      <c r="R426" s="185"/>
      <c r="S426" s="176"/>
      <c r="T426" s="172"/>
      <c r="U426" s="181"/>
      <c r="V426" s="181"/>
    </row>
    <row r="427" spans="1:22" x14ac:dyDescent="0.25">
      <c r="A427" s="172"/>
      <c r="F427" s="174"/>
      <c r="G427" s="174"/>
      <c r="H427" s="174"/>
      <c r="J427" s="174"/>
      <c r="L427" s="175"/>
      <c r="M427" s="182"/>
      <c r="N427" s="177"/>
      <c r="P427" s="183"/>
      <c r="Q427" s="184"/>
      <c r="R427" s="185"/>
      <c r="S427" s="176"/>
      <c r="T427" s="172"/>
      <c r="U427" s="181"/>
      <c r="V427" s="181"/>
    </row>
    <row r="428" spans="1:22" x14ac:dyDescent="0.25">
      <c r="A428" s="172"/>
      <c r="F428" s="174"/>
      <c r="G428" s="174"/>
      <c r="H428" s="174"/>
      <c r="J428" s="174"/>
      <c r="L428" s="175"/>
      <c r="M428" s="182"/>
      <c r="N428" s="177"/>
      <c r="P428" s="183"/>
      <c r="Q428" s="184"/>
      <c r="R428" s="185"/>
      <c r="S428" s="176"/>
      <c r="T428" s="172"/>
      <c r="U428" s="181"/>
      <c r="V428" s="181"/>
    </row>
    <row r="429" spans="1:22" x14ac:dyDescent="0.25">
      <c r="A429" s="172"/>
      <c r="F429" s="174"/>
      <c r="G429" s="174"/>
      <c r="H429" s="174"/>
      <c r="J429" s="174"/>
      <c r="L429" s="175"/>
      <c r="M429" s="182"/>
      <c r="N429" s="177"/>
      <c r="P429" s="183"/>
      <c r="Q429" s="184"/>
      <c r="R429" s="185"/>
      <c r="S429" s="176"/>
      <c r="T429" s="172"/>
      <c r="U429" s="181"/>
      <c r="V429" s="181"/>
    </row>
    <row r="430" spans="1:22" x14ac:dyDescent="0.25">
      <c r="A430" s="172"/>
      <c r="F430" s="174"/>
      <c r="G430" s="174"/>
      <c r="H430" s="174"/>
      <c r="J430" s="174"/>
      <c r="L430" s="175"/>
      <c r="M430" s="182"/>
      <c r="N430" s="177"/>
      <c r="P430" s="183"/>
      <c r="Q430" s="184"/>
      <c r="R430" s="185"/>
      <c r="S430" s="176"/>
      <c r="T430" s="172"/>
      <c r="U430" s="181"/>
      <c r="V430" s="181"/>
    </row>
    <row r="431" spans="1:22" x14ac:dyDescent="0.25">
      <c r="A431" s="172"/>
      <c r="F431" s="174"/>
      <c r="G431" s="174"/>
      <c r="H431" s="174"/>
      <c r="J431" s="174"/>
      <c r="L431" s="175"/>
      <c r="M431" s="182"/>
      <c r="N431" s="177"/>
      <c r="P431" s="183"/>
      <c r="Q431" s="184"/>
      <c r="R431" s="185"/>
      <c r="S431" s="176"/>
      <c r="T431" s="172"/>
      <c r="U431" s="181"/>
      <c r="V431" s="181"/>
    </row>
    <row r="432" spans="1:22" x14ac:dyDescent="0.25">
      <c r="A432" s="172"/>
      <c r="F432" s="174"/>
      <c r="G432" s="174"/>
      <c r="H432" s="174"/>
      <c r="J432" s="174"/>
      <c r="L432" s="175"/>
      <c r="M432" s="182"/>
      <c r="N432" s="177"/>
      <c r="P432" s="183"/>
      <c r="Q432" s="184"/>
      <c r="R432" s="185"/>
      <c r="S432" s="176"/>
      <c r="T432" s="172"/>
      <c r="U432" s="181"/>
      <c r="V432" s="181"/>
    </row>
    <row r="433" spans="1:22" x14ac:dyDescent="0.25">
      <c r="A433" s="172"/>
      <c r="F433" s="174"/>
      <c r="G433" s="174"/>
      <c r="H433" s="174"/>
      <c r="J433" s="174"/>
      <c r="L433" s="175"/>
      <c r="M433" s="182"/>
      <c r="N433" s="177"/>
      <c r="P433" s="183"/>
      <c r="Q433" s="184"/>
      <c r="R433" s="185"/>
      <c r="S433" s="176"/>
      <c r="T433" s="172"/>
      <c r="U433" s="181"/>
      <c r="V433" s="181"/>
    </row>
    <row r="434" spans="1:22" x14ac:dyDescent="0.25">
      <c r="A434" s="172"/>
      <c r="F434" s="174"/>
      <c r="G434" s="174"/>
      <c r="H434" s="174"/>
      <c r="J434" s="174"/>
      <c r="L434" s="175"/>
      <c r="M434" s="182"/>
      <c r="N434" s="177"/>
      <c r="P434" s="183"/>
      <c r="Q434" s="184"/>
      <c r="R434" s="185"/>
      <c r="S434" s="176"/>
      <c r="T434" s="172"/>
      <c r="U434" s="181"/>
      <c r="V434" s="181"/>
    </row>
    <row r="435" spans="1:22" x14ac:dyDescent="0.25">
      <c r="A435" s="172"/>
      <c r="F435" s="174"/>
      <c r="G435" s="174"/>
      <c r="H435" s="174"/>
      <c r="J435" s="174"/>
      <c r="L435" s="175"/>
      <c r="M435" s="182"/>
      <c r="N435" s="177"/>
      <c r="P435" s="183"/>
      <c r="Q435" s="184"/>
      <c r="R435" s="185"/>
      <c r="S435" s="176"/>
      <c r="T435" s="172"/>
      <c r="U435" s="181"/>
      <c r="V435" s="181"/>
    </row>
    <row r="436" spans="1:22" x14ac:dyDescent="0.25">
      <c r="A436" s="172"/>
      <c r="F436" s="174"/>
      <c r="G436" s="174"/>
      <c r="H436" s="174"/>
      <c r="J436" s="174"/>
      <c r="L436" s="175"/>
      <c r="M436" s="182"/>
      <c r="N436" s="177"/>
      <c r="P436" s="183"/>
      <c r="Q436" s="184"/>
      <c r="R436" s="185"/>
      <c r="S436" s="176"/>
      <c r="T436" s="172"/>
      <c r="U436" s="181"/>
      <c r="V436" s="181"/>
    </row>
    <row r="437" spans="1:22" x14ac:dyDescent="0.25">
      <c r="A437" s="172"/>
      <c r="F437" s="174"/>
      <c r="G437" s="174"/>
      <c r="H437" s="174"/>
      <c r="J437" s="174"/>
      <c r="L437" s="175"/>
      <c r="M437" s="182"/>
      <c r="N437" s="177"/>
      <c r="P437" s="183"/>
      <c r="Q437" s="184"/>
      <c r="R437" s="185"/>
      <c r="S437" s="176"/>
      <c r="T437" s="172"/>
      <c r="U437" s="181"/>
      <c r="V437" s="181"/>
    </row>
    <row r="438" spans="1:22" x14ac:dyDescent="0.25">
      <c r="A438" s="172"/>
      <c r="F438" s="174"/>
      <c r="G438" s="174"/>
      <c r="H438" s="174"/>
      <c r="J438" s="174"/>
      <c r="L438" s="175"/>
      <c r="M438" s="182"/>
      <c r="N438" s="177"/>
      <c r="P438" s="183"/>
      <c r="Q438" s="184"/>
      <c r="R438" s="185"/>
      <c r="S438" s="176"/>
      <c r="T438" s="172"/>
      <c r="U438" s="181"/>
      <c r="V438" s="181"/>
    </row>
    <row r="439" spans="1:22" x14ac:dyDescent="0.25">
      <c r="A439" s="172"/>
      <c r="F439" s="174"/>
      <c r="G439" s="174"/>
      <c r="H439" s="174"/>
      <c r="J439" s="174"/>
      <c r="L439" s="175"/>
      <c r="M439" s="182"/>
      <c r="N439" s="177"/>
      <c r="P439" s="183"/>
      <c r="Q439" s="184"/>
      <c r="R439" s="185"/>
      <c r="S439" s="176"/>
      <c r="T439" s="172"/>
      <c r="U439" s="181"/>
      <c r="V439" s="181"/>
    </row>
    <row r="440" spans="1:22" x14ac:dyDescent="0.25">
      <c r="A440" s="172"/>
      <c r="F440" s="174"/>
      <c r="G440" s="174"/>
      <c r="H440" s="174"/>
      <c r="J440" s="174"/>
      <c r="L440" s="175"/>
      <c r="M440" s="182"/>
      <c r="N440" s="177"/>
      <c r="P440" s="183"/>
      <c r="Q440" s="184"/>
      <c r="R440" s="185"/>
      <c r="S440" s="176"/>
      <c r="T440" s="172"/>
      <c r="U440" s="181"/>
      <c r="V440" s="181"/>
    </row>
    <row r="441" spans="1:22" x14ac:dyDescent="0.25">
      <c r="A441" s="172"/>
      <c r="F441" s="174"/>
      <c r="G441" s="174"/>
      <c r="H441" s="174"/>
      <c r="J441" s="174"/>
      <c r="L441" s="175"/>
      <c r="M441" s="182"/>
      <c r="N441" s="177"/>
      <c r="P441" s="183"/>
      <c r="Q441" s="184"/>
      <c r="R441" s="185"/>
      <c r="S441" s="176"/>
      <c r="T441" s="172"/>
      <c r="U441" s="181"/>
      <c r="V441" s="181"/>
    </row>
    <row r="442" spans="1:22" x14ac:dyDescent="0.25">
      <c r="A442" s="172"/>
      <c r="F442" s="174"/>
      <c r="G442" s="174"/>
      <c r="H442" s="174"/>
      <c r="J442" s="174"/>
      <c r="L442" s="175"/>
      <c r="M442" s="182"/>
      <c r="N442" s="177"/>
      <c r="P442" s="183"/>
      <c r="Q442" s="184"/>
      <c r="R442" s="185"/>
      <c r="S442" s="176"/>
      <c r="T442" s="172"/>
      <c r="U442" s="181"/>
      <c r="V442" s="181"/>
    </row>
    <row r="443" spans="1:22" x14ac:dyDescent="0.25">
      <c r="A443" s="172"/>
      <c r="F443" s="174"/>
      <c r="G443" s="174"/>
      <c r="H443" s="174"/>
      <c r="J443" s="174"/>
      <c r="L443" s="175"/>
      <c r="M443" s="182"/>
      <c r="N443" s="177"/>
      <c r="P443" s="183"/>
      <c r="Q443" s="184"/>
      <c r="R443" s="185"/>
      <c r="S443" s="176"/>
      <c r="T443" s="172"/>
      <c r="U443" s="181"/>
      <c r="V443" s="181"/>
    </row>
    <row r="444" spans="1:22" x14ac:dyDescent="0.25">
      <c r="A444" s="172"/>
      <c r="F444" s="174"/>
      <c r="G444" s="174"/>
      <c r="H444" s="174"/>
      <c r="J444" s="174"/>
      <c r="L444" s="175"/>
      <c r="M444" s="182"/>
      <c r="N444" s="177"/>
      <c r="P444" s="183"/>
      <c r="Q444" s="184"/>
      <c r="R444" s="185"/>
      <c r="S444" s="176"/>
      <c r="T444" s="172"/>
      <c r="U444" s="181"/>
      <c r="V444" s="181"/>
    </row>
    <row r="445" spans="1:22" x14ac:dyDescent="0.25">
      <c r="A445" s="172"/>
      <c r="F445" s="174"/>
      <c r="G445" s="174"/>
      <c r="H445" s="174"/>
      <c r="J445" s="174"/>
      <c r="L445" s="175"/>
      <c r="M445" s="182"/>
      <c r="N445" s="177"/>
      <c r="P445" s="183"/>
      <c r="Q445" s="184"/>
      <c r="R445" s="185"/>
      <c r="S445" s="176"/>
      <c r="T445" s="172"/>
      <c r="U445" s="181"/>
      <c r="V445" s="181"/>
    </row>
    <row r="446" spans="1:22" x14ac:dyDescent="0.25">
      <c r="A446" s="172"/>
      <c r="F446" s="174"/>
      <c r="G446" s="174"/>
      <c r="H446" s="174"/>
      <c r="J446" s="174"/>
      <c r="L446" s="175"/>
      <c r="M446" s="182"/>
      <c r="N446" s="177"/>
      <c r="P446" s="183"/>
      <c r="Q446" s="184"/>
      <c r="R446" s="185"/>
      <c r="S446" s="176"/>
      <c r="T446" s="172"/>
      <c r="U446" s="181"/>
      <c r="V446" s="181"/>
    </row>
    <row r="447" spans="1:22" x14ac:dyDescent="0.25">
      <c r="A447" s="172"/>
      <c r="F447" s="174"/>
      <c r="G447" s="174"/>
      <c r="H447" s="174"/>
      <c r="J447" s="174"/>
      <c r="L447" s="175"/>
      <c r="M447" s="182"/>
      <c r="N447" s="177"/>
      <c r="P447" s="183"/>
      <c r="Q447" s="184"/>
      <c r="R447" s="185"/>
      <c r="S447" s="176"/>
      <c r="T447" s="172"/>
      <c r="U447" s="181"/>
      <c r="V447" s="181"/>
    </row>
    <row r="448" spans="1:22" x14ac:dyDescent="0.25">
      <c r="A448" s="172"/>
      <c r="F448" s="174"/>
      <c r="G448" s="174"/>
      <c r="H448" s="174"/>
      <c r="J448" s="174"/>
      <c r="L448" s="175"/>
      <c r="M448" s="182"/>
      <c r="N448" s="177"/>
      <c r="P448" s="183"/>
      <c r="Q448" s="184"/>
      <c r="R448" s="185"/>
      <c r="S448" s="176"/>
      <c r="T448" s="172"/>
      <c r="U448" s="181"/>
      <c r="V448" s="181"/>
    </row>
    <row r="449" spans="1:22" x14ac:dyDescent="0.25">
      <c r="A449" s="172"/>
      <c r="F449" s="174"/>
      <c r="G449" s="174"/>
      <c r="H449" s="174"/>
      <c r="J449" s="174"/>
      <c r="L449" s="175"/>
      <c r="M449" s="182"/>
      <c r="N449" s="177"/>
      <c r="P449" s="183"/>
      <c r="Q449" s="184"/>
      <c r="R449" s="185"/>
      <c r="S449" s="176"/>
      <c r="T449" s="172"/>
      <c r="U449" s="181"/>
      <c r="V449" s="181"/>
    </row>
    <row r="450" spans="1:22" x14ac:dyDescent="0.25">
      <c r="A450" s="172"/>
      <c r="F450" s="174"/>
      <c r="G450" s="174"/>
      <c r="H450" s="174"/>
      <c r="J450" s="174"/>
      <c r="L450" s="175"/>
      <c r="M450" s="182"/>
      <c r="N450" s="177"/>
      <c r="P450" s="183"/>
      <c r="Q450" s="184"/>
      <c r="R450" s="185"/>
      <c r="S450" s="176"/>
      <c r="T450" s="172"/>
      <c r="U450" s="181"/>
      <c r="V450" s="181"/>
    </row>
    <row r="451" spans="1:22" x14ac:dyDescent="0.25">
      <c r="A451" s="172"/>
      <c r="F451" s="174"/>
      <c r="G451" s="174"/>
      <c r="H451" s="174"/>
      <c r="J451" s="174"/>
      <c r="L451" s="175"/>
      <c r="M451" s="182"/>
      <c r="N451" s="177"/>
      <c r="P451" s="183"/>
      <c r="Q451" s="184"/>
      <c r="R451" s="185"/>
      <c r="S451" s="176"/>
      <c r="T451" s="172"/>
      <c r="U451" s="181"/>
      <c r="V451" s="181"/>
    </row>
    <row r="452" spans="1:22" x14ac:dyDescent="0.25">
      <c r="A452" s="172"/>
      <c r="F452" s="174"/>
      <c r="G452" s="174"/>
      <c r="H452" s="174"/>
      <c r="J452" s="174"/>
      <c r="L452" s="175"/>
      <c r="M452" s="182"/>
      <c r="N452" s="177"/>
      <c r="P452" s="183"/>
      <c r="Q452" s="184"/>
      <c r="R452" s="185"/>
      <c r="S452" s="176"/>
      <c r="T452" s="172"/>
      <c r="U452" s="181"/>
      <c r="V452" s="181"/>
    </row>
    <row r="453" spans="1:22" x14ac:dyDescent="0.25">
      <c r="A453" s="172"/>
      <c r="F453" s="174"/>
      <c r="G453" s="174"/>
      <c r="H453" s="174"/>
      <c r="J453" s="174"/>
      <c r="L453" s="175"/>
      <c r="M453" s="182"/>
      <c r="N453" s="177"/>
      <c r="P453" s="183"/>
      <c r="Q453" s="184"/>
      <c r="R453" s="185"/>
      <c r="S453" s="176"/>
      <c r="T453" s="172"/>
      <c r="U453" s="181"/>
      <c r="V453" s="181"/>
    </row>
    <row r="454" spans="1:22" x14ac:dyDescent="0.25">
      <c r="A454" s="172"/>
      <c r="F454" s="174"/>
      <c r="G454" s="174"/>
      <c r="H454" s="174"/>
      <c r="J454" s="174"/>
      <c r="L454" s="175"/>
      <c r="M454" s="182"/>
      <c r="N454" s="177"/>
      <c r="P454" s="183"/>
      <c r="Q454" s="184"/>
      <c r="R454" s="185"/>
      <c r="S454" s="176"/>
      <c r="T454" s="172"/>
      <c r="U454" s="181"/>
      <c r="V454" s="181"/>
    </row>
    <row r="455" spans="1:22" x14ac:dyDescent="0.25">
      <c r="A455" s="172"/>
      <c r="F455" s="174"/>
      <c r="G455" s="174"/>
      <c r="H455" s="174"/>
      <c r="J455" s="174"/>
      <c r="L455" s="175"/>
      <c r="M455" s="182"/>
      <c r="N455" s="177"/>
      <c r="P455" s="183"/>
      <c r="Q455" s="184"/>
      <c r="R455" s="185"/>
      <c r="S455" s="176"/>
      <c r="T455" s="172"/>
      <c r="U455" s="181"/>
      <c r="V455" s="181"/>
    </row>
    <row r="456" spans="1:22" x14ac:dyDescent="0.25">
      <c r="A456" s="172"/>
      <c r="F456" s="174"/>
      <c r="G456" s="174"/>
      <c r="H456" s="174"/>
      <c r="J456" s="174"/>
      <c r="L456" s="175"/>
      <c r="M456" s="182"/>
      <c r="N456" s="177"/>
      <c r="P456" s="183"/>
      <c r="Q456" s="184"/>
      <c r="R456" s="185"/>
      <c r="S456" s="176"/>
      <c r="T456" s="172"/>
      <c r="U456" s="181"/>
      <c r="V456" s="181"/>
    </row>
    <row r="457" spans="1:22" x14ac:dyDescent="0.25">
      <c r="A457" s="172"/>
      <c r="F457" s="174"/>
      <c r="G457" s="174"/>
      <c r="H457" s="174"/>
      <c r="J457" s="174"/>
      <c r="L457" s="175"/>
      <c r="M457" s="182"/>
      <c r="N457" s="177"/>
      <c r="P457" s="183"/>
      <c r="Q457" s="184"/>
      <c r="R457" s="185"/>
      <c r="S457" s="176"/>
      <c r="T457" s="172"/>
      <c r="U457" s="181"/>
      <c r="V457" s="181"/>
    </row>
    <row r="458" spans="1:22" x14ac:dyDescent="0.25">
      <c r="A458" s="172"/>
      <c r="F458" s="174"/>
      <c r="G458" s="174"/>
      <c r="H458" s="174"/>
      <c r="J458" s="174"/>
      <c r="L458" s="175"/>
      <c r="M458" s="182"/>
      <c r="N458" s="177"/>
      <c r="P458" s="183"/>
      <c r="Q458" s="184"/>
      <c r="R458" s="185"/>
      <c r="S458" s="176"/>
      <c r="T458" s="172"/>
      <c r="U458" s="181"/>
      <c r="V458" s="181"/>
    </row>
    <row r="459" spans="1:22" x14ac:dyDescent="0.25">
      <c r="A459" s="172"/>
      <c r="F459" s="174"/>
      <c r="G459" s="174"/>
      <c r="H459" s="174"/>
      <c r="J459" s="174"/>
      <c r="L459" s="175"/>
      <c r="M459" s="182"/>
      <c r="N459" s="177"/>
      <c r="P459" s="183"/>
      <c r="Q459" s="184"/>
      <c r="R459" s="185"/>
      <c r="S459" s="176"/>
      <c r="T459" s="172"/>
      <c r="U459" s="181"/>
      <c r="V459" s="181"/>
    </row>
    <row r="460" spans="1:22" x14ac:dyDescent="0.25">
      <c r="A460" s="172"/>
      <c r="F460" s="174"/>
      <c r="G460" s="174"/>
      <c r="H460" s="174"/>
      <c r="J460" s="174"/>
      <c r="L460" s="175"/>
      <c r="M460" s="182"/>
      <c r="N460" s="177"/>
      <c r="P460" s="183"/>
      <c r="Q460" s="184"/>
      <c r="R460" s="185"/>
      <c r="S460" s="176"/>
      <c r="T460" s="172"/>
      <c r="U460" s="181"/>
      <c r="V460" s="181"/>
    </row>
    <row r="461" spans="1:22" x14ac:dyDescent="0.25">
      <c r="A461" s="172"/>
      <c r="F461" s="174"/>
      <c r="G461" s="174"/>
      <c r="H461" s="174"/>
      <c r="J461" s="174"/>
      <c r="L461" s="175"/>
      <c r="M461" s="182"/>
      <c r="N461" s="177"/>
      <c r="P461" s="183"/>
      <c r="Q461" s="184"/>
      <c r="R461" s="185"/>
      <c r="S461" s="176"/>
      <c r="T461" s="172"/>
      <c r="U461" s="181"/>
      <c r="V461" s="181"/>
    </row>
    <row r="462" spans="1:22" x14ac:dyDescent="0.25">
      <c r="A462" s="172"/>
      <c r="F462" s="174"/>
      <c r="G462" s="174"/>
      <c r="H462" s="174"/>
      <c r="J462" s="174"/>
      <c r="L462" s="175"/>
      <c r="M462" s="182"/>
      <c r="N462" s="177"/>
      <c r="P462" s="183"/>
      <c r="Q462" s="184"/>
      <c r="R462" s="185"/>
      <c r="S462" s="176"/>
      <c r="T462" s="172"/>
      <c r="U462" s="181"/>
      <c r="V462" s="181"/>
    </row>
    <row r="463" spans="1:22" x14ac:dyDescent="0.25">
      <c r="A463" s="172"/>
      <c r="F463" s="174"/>
      <c r="G463" s="174"/>
      <c r="H463" s="174"/>
      <c r="J463" s="174"/>
      <c r="L463" s="175"/>
      <c r="M463" s="182"/>
      <c r="N463" s="177"/>
      <c r="P463" s="183"/>
      <c r="Q463" s="184"/>
      <c r="R463" s="185"/>
      <c r="S463" s="176"/>
      <c r="T463" s="172"/>
      <c r="U463" s="181"/>
      <c r="V463" s="181"/>
    </row>
    <row r="464" spans="1:22" x14ac:dyDescent="0.25">
      <c r="A464" s="172"/>
      <c r="F464" s="174"/>
      <c r="G464" s="174"/>
      <c r="H464" s="174"/>
      <c r="J464" s="174"/>
      <c r="L464" s="175"/>
      <c r="M464" s="182"/>
      <c r="N464" s="177"/>
      <c r="P464" s="183"/>
      <c r="Q464" s="184"/>
      <c r="R464" s="185"/>
      <c r="S464" s="176"/>
      <c r="T464" s="172"/>
      <c r="U464" s="181"/>
      <c r="V464" s="181"/>
    </row>
    <row r="465" spans="1:22" x14ac:dyDescent="0.25">
      <c r="A465" s="172"/>
      <c r="F465" s="174"/>
      <c r="G465" s="174"/>
      <c r="H465" s="174"/>
      <c r="J465" s="174"/>
      <c r="L465" s="175"/>
      <c r="M465" s="182"/>
      <c r="N465" s="177"/>
      <c r="P465" s="183"/>
      <c r="Q465" s="184"/>
      <c r="R465" s="185"/>
      <c r="S465" s="176"/>
      <c r="T465" s="172"/>
      <c r="U465" s="181"/>
      <c r="V465" s="181"/>
    </row>
    <row r="466" spans="1:22" x14ac:dyDescent="0.25">
      <c r="A466" s="172"/>
      <c r="F466" s="174"/>
      <c r="G466" s="174"/>
      <c r="H466" s="174"/>
      <c r="J466" s="174"/>
      <c r="L466" s="175"/>
      <c r="M466" s="182"/>
      <c r="N466" s="177"/>
      <c r="P466" s="183"/>
      <c r="Q466" s="184"/>
      <c r="R466" s="185"/>
      <c r="S466" s="176"/>
      <c r="T466" s="172"/>
      <c r="U466" s="181"/>
      <c r="V466" s="181"/>
    </row>
    <row r="467" spans="1:22" x14ac:dyDescent="0.25">
      <c r="A467" s="172"/>
      <c r="F467" s="174"/>
      <c r="G467" s="174"/>
      <c r="H467" s="174"/>
      <c r="J467" s="174"/>
      <c r="L467" s="175"/>
      <c r="M467" s="182"/>
      <c r="N467" s="177"/>
      <c r="P467" s="183"/>
      <c r="Q467" s="184"/>
      <c r="R467" s="185"/>
      <c r="S467" s="176"/>
      <c r="T467" s="172"/>
      <c r="U467" s="181"/>
      <c r="V467" s="181"/>
    </row>
    <row r="468" spans="1:22" x14ac:dyDescent="0.25">
      <c r="A468" s="172"/>
      <c r="F468" s="174"/>
      <c r="G468" s="174"/>
      <c r="H468" s="174"/>
      <c r="J468" s="174"/>
      <c r="L468" s="175"/>
      <c r="M468" s="182"/>
      <c r="N468" s="177"/>
      <c r="P468" s="183"/>
      <c r="Q468" s="184"/>
      <c r="R468" s="185"/>
      <c r="S468" s="176"/>
      <c r="T468" s="172"/>
      <c r="U468" s="181"/>
      <c r="V468" s="181"/>
    </row>
    <row r="469" spans="1:22" x14ac:dyDescent="0.25">
      <c r="A469" s="172"/>
      <c r="F469" s="174"/>
      <c r="G469" s="174"/>
      <c r="H469" s="174"/>
      <c r="J469" s="174"/>
      <c r="L469" s="175"/>
      <c r="M469" s="182"/>
      <c r="N469" s="177"/>
      <c r="P469" s="183"/>
      <c r="Q469" s="184"/>
      <c r="R469" s="185"/>
      <c r="S469" s="176"/>
      <c r="T469" s="172"/>
      <c r="U469" s="181"/>
      <c r="V469" s="181"/>
    </row>
    <row r="470" spans="1:22" x14ac:dyDescent="0.25">
      <c r="A470" s="172"/>
      <c r="F470" s="174"/>
      <c r="G470" s="174"/>
      <c r="H470" s="174"/>
      <c r="J470" s="174"/>
      <c r="L470" s="175"/>
      <c r="M470" s="182"/>
      <c r="N470" s="177"/>
      <c r="P470" s="183"/>
      <c r="Q470" s="184"/>
      <c r="R470" s="185"/>
      <c r="S470" s="176"/>
      <c r="T470" s="172"/>
      <c r="U470" s="181"/>
      <c r="V470" s="181"/>
    </row>
    <row r="471" spans="1:22" x14ac:dyDescent="0.25">
      <c r="A471" s="172"/>
      <c r="F471" s="174"/>
      <c r="G471" s="174"/>
      <c r="H471" s="174"/>
      <c r="J471" s="174"/>
      <c r="L471" s="175"/>
      <c r="M471" s="182"/>
      <c r="N471" s="177"/>
      <c r="P471" s="183"/>
      <c r="Q471" s="184"/>
      <c r="R471" s="185"/>
      <c r="S471" s="176"/>
      <c r="T471" s="172"/>
      <c r="U471" s="181"/>
      <c r="V471" s="181"/>
    </row>
    <row r="472" spans="1:22" x14ac:dyDescent="0.25">
      <c r="A472" s="172"/>
      <c r="F472" s="174"/>
      <c r="G472" s="174"/>
      <c r="H472" s="174"/>
      <c r="J472" s="174"/>
      <c r="L472" s="175"/>
      <c r="M472" s="182"/>
      <c r="N472" s="177"/>
      <c r="P472" s="183"/>
      <c r="Q472" s="184"/>
      <c r="R472" s="185"/>
      <c r="S472" s="176"/>
      <c r="T472" s="172"/>
      <c r="U472" s="181"/>
      <c r="V472" s="181"/>
    </row>
    <row r="473" spans="1:22" x14ac:dyDescent="0.25">
      <c r="A473" s="172"/>
      <c r="F473" s="174"/>
      <c r="G473" s="174"/>
      <c r="H473" s="174"/>
      <c r="J473" s="174"/>
      <c r="L473" s="175"/>
      <c r="M473" s="182"/>
      <c r="N473" s="177"/>
      <c r="P473" s="183"/>
      <c r="Q473" s="184"/>
      <c r="R473" s="185"/>
      <c r="S473" s="176"/>
      <c r="T473" s="172"/>
      <c r="U473" s="181"/>
      <c r="V473" s="181"/>
    </row>
    <row r="474" spans="1:22" x14ac:dyDescent="0.25">
      <c r="A474" s="172"/>
      <c r="F474" s="174"/>
      <c r="G474" s="174"/>
      <c r="H474" s="174"/>
      <c r="J474" s="174"/>
      <c r="L474" s="175"/>
      <c r="M474" s="182"/>
      <c r="N474" s="177"/>
      <c r="P474" s="183"/>
      <c r="Q474" s="184"/>
      <c r="R474" s="185"/>
      <c r="S474" s="176"/>
      <c r="T474" s="172"/>
      <c r="U474" s="181"/>
      <c r="V474" s="181"/>
    </row>
    <row r="475" spans="1:22" x14ac:dyDescent="0.25">
      <c r="A475" s="172"/>
      <c r="F475" s="174"/>
      <c r="G475" s="174"/>
      <c r="H475" s="174"/>
      <c r="J475" s="174"/>
      <c r="L475" s="175"/>
      <c r="M475" s="182"/>
      <c r="N475" s="177"/>
      <c r="P475" s="183"/>
      <c r="Q475" s="184"/>
      <c r="R475" s="185"/>
      <c r="S475" s="176"/>
      <c r="T475" s="172"/>
      <c r="U475" s="181"/>
      <c r="V475" s="181"/>
    </row>
    <row r="476" spans="1:22" x14ac:dyDescent="0.25">
      <c r="A476" s="172"/>
      <c r="F476" s="174"/>
      <c r="G476" s="174"/>
      <c r="H476" s="174"/>
      <c r="J476" s="174"/>
      <c r="L476" s="175"/>
      <c r="M476" s="182"/>
      <c r="N476" s="177"/>
      <c r="P476" s="183"/>
      <c r="Q476" s="184"/>
      <c r="R476" s="185"/>
      <c r="S476" s="176"/>
      <c r="T476" s="172"/>
      <c r="U476" s="181"/>
      <c r="V476" s="181"/>
    </row>
    <row r="477" spans="1:22" x14ac:dyDescent="0.25">
      <c r="A477" s="172"/>
      <c r="F477" s="174"/>
      <c r="G477" s="174"/>
      <c r="H477" s="174"/>
      <c r="J477" s="174"/>
      <c r="L477" s="175"/>
      <c r="M477" s="182"/>
      <c r="N477" s="177"/>
      <c r="P477" s="183"/>
      <c r="Q477" s="184"/>
      <c r="R477" s="185"/>
      <c r="S477" s="176"/>
      <c r="T477" s="172"/>
      <c r="U477" s="181"/>
      <c r="V477" s="181"/>
    </row>
    <row r="478" spans="1:22" x14ac:dyDescent="0.25">
      <c r="A478" s="172"/>
      <c r="F478" s="174"/>
      <c r="G478" s="174"/>
      <c r="H478" s="174"/>
      <c r="J478" s="174"/>
      <c r="L478" s="175"/>
      <c r="M478" s="182"/>
      <c r="N478" s="177"/>
      <c r="P478" s="183"/>
      <c r="Q478" s="184"/>
      <c r="R478" s="185"/>
      <c r="S478" s="176"/>
      <c r="T478" s="172"/>
      <c r="U478" s="181"/>
      <c r="V478" s="181"/>
    </row>
    <row r="479" spans="1:22" x14ac:dyDescent="0.25">
      <c r="A479" s="172"/>
      <c r="F479" s="174"/>
      <c r="G479" s="174"/>
      <c r="H479" s="174"/>
      <c r="J479" s="174"/>
      <c r="L479" s="175"/>
      <c r="M479" s="182"/>
      <c r="N479" s="177"/>
      <c r="P479" s="183"/>
      <c r="Q479" s="184"/>
      <c r="R479" s="185"/>
      <c r="S479" s="176"/>
      <c r="T479" s="172"/>
      <c r="U479" s="181"/>
      <c r="V479" s="181"/>
    </row>
    <row r="480" spans="1:22" x14ac:dyDescent="0.25">
      <c r="A480" s="172"/>
      <c r="F480" s="174"/>
      <c r="G480" s="174"/>
      <c r="H480" s="174"/>
      <c r="J480" s="174"/>
      <c r="L480" s="175"/>
      <c r="M480" s="182"/>
      <c r="N480" s="177"/>
      <c r="P480" s="183"/>
      <c r="Q480" s="184"/>
      <c r="R480" s="185"/>
      <c r="S480" s="176"/>
      <c r="T480" s="172"/>
      <c r="U480" s="181"/>
      <c r="V480" s="181"/>
    </row>
    <row r="481" spans="1:22" x14ac:dyDescent="0.25">
      <c r="A481" s="172"/>
      <c r="F481" s="174"/>
      <c r="G481" s="174"/>
      <c r="H481" s="174"/>
      <c r="J481" s="174"/>
      <c r="L481" s="175"/>
      <c r="M481" s="182"/>
      <c r="N481" s="177"/>
      <c r="P481" s="183"/>
      <c r="Q481" s="184"/>
      <c r="R481" s="185"/>
      <c r="S481" s="176"/>
      <c r="T481" s="172"/>
      <c r="U481" s="181"/>
      <c r="V481" s="181"/>
    </row>
    <row r="482" spans="1:22" x14ac:dyDescent="0.25">
      <c r="A482" s="172"/>
      <c r="F482" s="174"/>
      <c r="G482" s="174"/>
      <c r="H482" s="174"/>
      <c r="J482" s="174"/>
      <c r="L482" s="175"/>
      <c r="M482" s="182"/>
      <c r="N482" s="177"/>
      <c r="P482" s="183"/>
      <c r="Q482" s="184"/>
      <c r="R482" s="185"/>
      <c r="S482" s="176"/>
      <c r="T482" s="172"/>
      <c r="U482" s="181"/>
      <c r="V482" s="181"/>
    </row>
    <row r="483" spans="1:22" x14ac:dyDescent="0.25">
      <c r="A483" s="172"/>
      <c r="F483" s="174"/>
      <c r="G483" s="174"/>
      <c r="H483" s="174"/>
      <c r="J483" s="174"/>
      <c r="L483" s="175"/>
      <c r="M483" s="182"/>
      <c r="N483" s="177"/>
      <c r="P483" s="183"/>
      <c r="Q483" s="184"/>
      <c r="R483" s="185"/>
      <c r="S483" s="176"/>
      <c r="T483" s="172"/>
      <c r="U483" s="181"/>
      <c r="V483" s="181"/>
    </row>
    <row r="484" spans="1:22" x14ac:dyDescent="0.25">
      <c r="A484" s="172"/>
      <c r="F484" s="174"/>
      <c r="G484" s="174"/>
      <c r="H484" s="174"/>
      <c r="J484" s="174"/>
      <c r="L484" s="175"/>
      <c r="M484" s="182"/>
      <c r="N484" s="177"/>
      <c r="P484" s="183"/>
      <c r="Q484" s="184"/>
      <c r="R484" s="185"/>
      <c r="S484" s="176"/>
      <c r="T484" s="172"/>
      <c r="U484" s="181"/>
      <c r="V484" s="181"/>
    </row>
    <row r="485" spans="1:22" x14ac:dyDescent="0.25">
      <c r="A485" s="172"/>
      <c r="F485" s="174"/>
      <c r="G485" s="174"/>
      <c r="H485" s="174"/>
      <c r="J485" s="174"/>
      <c r="L485" s="175"/>
      <c r="M485" s="182"/>
      <c r="N485" s="177"/>
      <c r="P485" s="183"/>
      <c r="Q485" s="184"/>
      <c r="R485" s="185"/>
      <c r="S485" s="176"/>
      <c r="T485" s="172"/>
      <c r="U485" s="181"/>
      <c r="V485" s="181"/>
    </row>
    <row r="486" spans="1:22" x14ac:dyDescent="0.25">
      <c r="A486" s="172"/>
      <c r="F486" s="174"/>
      <c r="G486" s="174"/>
      <c r="H486" s="174"/>
      <c r="J486" s="174"/>
      <c r="L486" s="175"/>
      <c r="M486" s="182"/>
      <c r="N486" s="177"/>
      <c r="P486" s="183"/>
      <c r="Q486" s="184"/>
      <c r="R486" s="185"/>
      <c r="S486" s="176"/>
      <c r="T486" s="172"/>
      <c r="U486" s="181"/>
      <c r="V486" s="181"/>
    </row>
    <row r="487" spans="1:22" x14ac:dyDescent="0.25">
      <c r="A487" s="172"/>
      <c r="F487" s="174"/>
      <c r="G487" s="174"/>
      <c r="H487" s="174"/>
      <c r="J487" s="174"/>
      <c r="L487" s="175"/>
      <c r="M487" s="182"/>
      <c r="N487" s="177"/>
      <c r="P487" s="183"/>
      <c r="Q487" s="184"/>
      <c r="R487" s="185"/>
      <c r="S487" s="176"/>
      <c r="T487" s="172"/>
      <c r="U487" s="181"/>
      <c r="V487" s="181"/>
    </row>
    <row r="488" spans="1:22" x14ac:dyDescent="0.25">
      <c r="A488" s="172"/>
      <c r="F488" s="174"/>
      <c r="G488" s="174"/>
      <c r="H488" s="174"/>
      <c r="J488" s="174"/>
      <c r="L488" s="175"/>
      <c r="M488" s="182"/>
      <c r="N488" s="177"/>
      <c r="P488" s="183"/>
      <c r="Q488" s="184"/>
      <c r="R488" s="185"/>
      <c r="S488" s="176"/>
      <c r="T488" s="172"/>
      <c r="U488" s="181"/>
      <c r="V488" s="181"/>
    </row>
    <row r="489" spans="1:22" x14ac:dyDescent="0.25">
      <c r="A489" s="172"/>
      <c r="F489" s="174"/>
      <c r="G489" s="174"/>
      <c r="H489" s="174"/>
      <c r="J489" s="174"/>
      <c r="L489" s="175"/>
      <c r="M489" s="182"/>
      <c r="N489" s="177"/>
      <c r="P489" s="183"/>
      <c r="Q489" s="184"/>
      <c r="R489" s="185"/>
      <c r="S489" s="176"/>
      <c r="T489" s="172"/>
      <c r="U489" s="181"/>
      <c r="V489" s="181"/>
    </row>
    <row r="490" spans="1:22" x14ac:dyDescent="0.25">
      <c r="A490" s="172"/>
      <c r="F490" s="174"/>
      <c r="G490" s="174"/>
      <c r="H490" s="174"/>
      <c r="J490" s="174"/>
      <c r="L490" s="175"/>
      <c r="M490" s="182"/>
      <c r="N490" s="177"/>
      <c r="P490" s="183"/>
      <c r="Q490" s="184"/>
      <c r="R490" s="185"/>
      <c r="S490" s="176"/>
      <c r="T490" s="172"/>
      <c r="U490" s="181"/>
      <c r="V490" s="181"/>
    </row>
    <row r="491" spans="1:22" x14ac:dyDescent="0.25">
      <c r="A491" s="172"/>
      <c r="F491" s="174"/>
      <c r="G491" s="174"/>
      <c r="H491" s="174"/>
      <c r="J491" s="174"/>
      <c r="L491" s="175"/>
      <c r="M491" s="182"/>
      <c r="N491" s="177"/>
      <c r="P491" s="183"/>
      <c r="Q491" s="184"/>
      <c r="R491" s="185"/>
      <c r="S491" s="176"/>
      <c r="T491" s="172"/>
      <c r="U491" s="181"/>
      <c r="V491" s="181"/>
    </row>
    <row r="492" spans="1:22" x14ac:dyDescent="0.25">
      <c r="A492" s="172"/>
      <c r="F492" s="174"/>
      <c r="G492" s="174"/>
      <c r="H492" s="174"/>
      <c r="J492" s="174"/>
      <c r="L492" s="175"/>
      <c r="M492" s="182"/>
      <c r="N492" s="177"/>
      <c r="P492" s="183"/>
      <c r="Q492" s="184"/>
      <c r="R492" s="185"/>
      <c r="S492" s="176"/>
      <c r="T492" s="172"/>
      <c r="U492" s="181"/>
      <c r="V492" s="181"/>
    </row>
    <row r="493" spans="1:22" x14ac:dyDescent="0.25">
      <c r="A493" s="172"/>
      <c r="F493" s="174"/>
      <c r="G493" s="174"/>
      <c r="H493" s="174"/>
      <c r="J493" s="174"/>
      <c r="L493" s="175"/>
      <c r="M493" s="182"/>
      <c r="N493" s="177"/>
      <c r="P493" s="183"/>
      <c r="Q493" s="184"/>
      <c r="R493" s="185"/>
      <c r="S493" s="176"/>
      <c r="T493" s="172"/>
      <c r="U493" s="181"/>
      <c r="V493" s="181"/>
    </row>
    <row r="494" spans="1:22" x14ac:dyDescent="0.25">
      <c r="A494" s="172"/>
      <c r="F494" s="174"/>
      <c r="G494" s="174"/>
      <c r="H494" s="174"/>
      <c r="J494" s="174"/>
      <c r="L494" s="175"/>
      <c r="M494" s="182"/>
      <c r="N494" s="177"/>
      <c r="P494" s="183"/>
      <c r="Q494" s="184"/>
      <c r="R494" s="185"/>
      <c r="S494" s="176"/>
      <c r="T494" s="172"/>
      <c r="U494" s="181"/>
      <c r="V494" s="181"/>
    </row>
    <row r="495" spans="1:22" x14ac:dyDescent="0.25">
      <c r="A495" s="172"/>
      <c r="F495" s="174"/>
      <c r="G495" s="174"/>
      <c r="H495" s="174"/>
      <c r="J495" s="174"/>
      <c r="L495" s="175"/>
      <c r="M495" s="182"/>
      <c r="N495" s="177"/>
      <c r="P495" s="183"/>
      <c r="Q495" s="184"/>
      <c r="R495" s="185"/>
      <c r="S495" s="176"/>
      <c r="T495" s="172"/>
      <c r="U495" s="181"/>
      <c r="V495" s="181"/>
    </row>
    <row r="496" spans="1:22" x14ac:dyDescent="0.25">
      <c r="A496" s="172"/>
      <c r="F496" s="174"/>
      <c r="G496" s="174"/>
      <c r="H496" s="174"/>
      <c r="J496" s="174"/>
      <c r="L496" s="175"/>
      <c r="M496" s="182"/>
      <c r="N496" s="177"/>
      <c r="P496" s="183"/>
      <c r="Q496" s="184"/>
      <c r="R496" s="185"/>
      <c r="S496" s="176"/>
      <c r="T496" s="172"/>
      <c r="U496" s="181"/>
      <c r="V496" s="181"/>
    </row>
    <row r="497" spans="1:22" x14ac:dyDescent="0.25">
      <c r="A497" s="172"/>
      <c r="F497" s="174"/>
      <c r="G497" s="174"/>
      <c r="H497" s="174"/>
      <c r="J497" s="174"/>
      <c r="L497" s="175"/>
      <c r="M497" s="182"/>
      <c r="N497" s="177"/>
      <c r="P497" s="183"/>
      <c r="Q497" s="184"/>
      <c r="R497" s="185"/>
      <c r="S497" s="176"/>
      <c r="T497" s="172"/>
      <c r="U497" s="181"/>
      <c r="V497" s="181"/>
    </row>
    <row r="498" spans="1:22" x14ac:dyDescent="0.25">
      <c r="A498" s="172"/>
      <c r="F498" s="174"/>
      <c r="G498" s="174"/>
      <c r="H498" s="174"/>
      <c r="J498" s="174"/>
      <c r="L498" s="175"/>
      <c r="M498" s="182"/>
      <c r="N498" s="177"/>
      <c r="P498" s="183"/>
      <c r="Q498" s="184"/>
      <c r="R498" s="185"/>
      <c r="S498" s="176"/>
      <c r="T498" s="172"/>
      <c r="U498" s="181"/>
      <c r="V498" s="181"/>
    </row>
    <row r="499" spans="1:22" x14ac:dyDescent="0.25">
      <c r="A499" s="172"/>
      <c r="F499" s="174"/>
      <c r="G499" s="174"/>
      <c r="H499" s="174"/>
      <c r="J499" s="174"/>
      <c r="L499" s="175"/>
      <c r="M499" s="182"/>
      <c r="N499" s="177"/>
      <c r="P499" s="183"/>
      <c r="Q499" s="184"/>
      <c r="R499" s="185"/>
      <c r="S499" s="176"/>
      <c r="T499" s="172"/>
      <c r="U499" s="181"/>
      <c r="V499" s="181"/>
    </row>
    <row r="500" spans="1:22" x14ac:dyDescent="0.25">
      <c r="A500" s="172"/>
      <c r="F500" s="174"/>
      <c r="G500" s="174"/>
      <c r="H500" s="174"/>
      <c r="J500" s="174"/>
      <c r="L500" s="175"/>
      <c r="M500" s="182"/>
      <c r="N500" s="177"/>
      <c r="P500" s="183"/>
      <c r="Q500" s="184"/>
      <c r="R500" s="185"/>
      <c r="S500" s="176"/>
      <c r="T500" s="172"/>
      <c r="U500" s="181"/>
      <c r="V500" s="181"/>
    </row>
    <row r="501" spans="1:22" x14ac:dyDescent="0.25">
      <c r="A501" s="172"/>
      <c r="F501" s="174"/>
      <c r="G501" s="174"/>
      <c r="H501" s="174"/>
      <c r="J501" s="174"/>
      <c r="L501" s="175"/>
      <c r="M501" s="182"/>
      <c r="N501" s="177"/>
      <c r="P501" s="183"/>
      <c r="Q501" s="184"/>
      <c r="R501" s="185"/>
      <c r="S501" s="176"/>
      <c r="T501" s="172"/>
      <c r="U501" s="181"/>
      <c r="V501" s="181"/>
    </row>
    <row r="502" spans="1:22" x14ac:dyDescent="0.25">
      <c r="A502" s="172"/>
      <c r="F502" s="174"/>
      <c r="G502" s="174"/>
      <c r="H502" s="174"/>
      <c r="J502" s="174"/>
      <c r="L502" s="175"/>
      <c r="M502" s="182"/>
      <c r="N502" s="177"/>
      <c r="P502" s="183"/>
      <c r="Q502" s="184"/>
      <c r="R502" s="185"/>
      <c r="S502" s="176"/>
      <c r="T502" s="172"/>
      <c r="U502" s="181"/>
      <c r="V502" s="181"/>
    </row>
    <row r="503" spans="1:22" x14ac:dyDescent="0.25">
      <c r="A503" s="172"/>
      <c r="F503" s="174"/>
      <c r="G503" s="174"/>
      <c r="H503" s="174"/>
      <c r="J503" s="174"/>
      <c r="L503" s="175"/>
      <c r="M503" s="182"/>
      <c r="N503" s="177"/>
      <c r="P503" s="183"/>
      <c r="Q503" s="184"/>
      <c r="R503" s="185"/>
      <c r="S503" s="176"/>
      <c r="T503" s="172"/>
      <c r="U503" s="181"/>
      <c r="V503" s="181"/>
    </row>
    <row r="504" spans="1:22" x14ac:dyDescent="0.25">
      <c r="A504" s="172"/>
      <c r="F504" s="174"/>
      <c r="G504" s="174"/>
      <c r="H504" s="174"/>
      <c r="J504" s="174"/>
      <c r="L504" s="175"/>
      <c r="M504" s="182"/>
      <c r="N504" s="177"/>
      <c r="P504" s="183"/>
      <c r="Q504" s="184"/>
      <c r="R504" s="185"/>
      <c r="S504" s="176"/>
      <c r="T504" s="172"/>
      <c r="U504" s="181"/>
      <c r="V504" s="181"/>
    </row>
    <row r="505" spans="1:22" x14ac:dyDescent="0.25">
      <c r="A505" s="172"/>
      <c r="F505" s="174"/>
      <c r="G505" s="174"/>
      <c r="H505" s="174"/>
      <c r="J505" s="174"/>
      <c r="L505" s="175"/>
      <c r="M505" s="182"/>
      <c r="N505" s="177"/>
      <c r="P505" s="183"/>
      <c r="Q505" s="184"/>
      <c r="R505" s="185"/>
      <c r="S505" s="176"/>
      <c r="T505" s="172"/>
      <c r="U505" s="181"/>
      <c r="V505" s="181"/>
    </row>
    <row r="506" spans="1:22" x14ac:dyDescent="0.25">
      <c r="A506" s="172"/>
      <c r="F506" s="174"/>
      <c r="G506" s="174"/>
      <c r="H506" s="174"/>
      <c r="J506" s="174"/>
      <c r="L506" s="175"/>
      <c r="M506" s="182"/>
      <c r="N506" s="177"/>
      <c r="P506" s="183"/>
      <c r="Q506" s="184"/>
      <c r="R506" s="185"/>
      <c r="S506" s="176"/>
      <c r="T506" s="172"/>
      <c r="U506" s="181"/>
      <c r="V506" s="181"/>
    </row>
    <row r="507" spans="1:22" x14ac:dyDescent="0.25">
      <c r="A507" s="172"/>
      <c r="F507" s="174"/>
      <c r="G507" s="174"/>
      <c r="H507" s="174"/>
      <c r="J507" s="174"/>
      <c r="L507" s="175"/>
      <c r="M507" s="182"/>
      <c r="N507" s="177"/>
      <c r="P507" s="183"/>
      <c r="Q507" s="184"/>
      <c r="R507" s="185"/>
      <c r="S507" s="176"/>
      <c r="T507" s="172"/>
      <c r="U507" s="181"/>
      <c r="V507" s="181"/>
    </row>
    <row r="508" spans="1:22" x14ac:dyDescent="0.25">
      <c r="A508" s="172"/>
      <c r="F508" s="174"/>
      <c r="G508" s="174"/>
      <c r="H508" s="174"/>
      <c r="J508" s="174"/>
      <c r="L508" s="175"/>
      <c r="M508" s="182"/>
      <c r="N508" s="177"/>
      <c r="P508" s="183"/>
      <c r="Q508" s="184"/>
      <c r="R508" s="185"/>
      <c r="S508" s="176"/>
      <c r="T508" s="172"/>
      <c r="U508" s="181"/>
      <c r="V508" s="181"/>
    </row>
    <row r="509" spans="1:22" x14ac:dyDescent="0.25">
      <c r="A509" s="172"/>
      <c r="F509" s="174"/>
      <c r="G509" s="174"/>
      <c r="H509" s="174"/>
      <c r="J509" s="174"/>
      <c r="L509" s="175"/>
      <c r="M509" s="182"/>
      <c r="N509" s="177"/>
      <c r="P509" s="183"/>
      <c r="Q509" s="184"/>
      <c r="R509" s="185"/>
      <c r="S509" s="176"/>
      <c r="T509" s="172"/>
      <c r="U509" s="181"/>
      <c r="V509" s="181"/>
    </row>
    <row r="510" spans="1:22" x14ac:dyDescent="0.25">
      <c r="A510" s="172"/>
      <c r="F510" s="174"/>
      <c r="G510" s="174"/>
      <c r="H510" s="174"/>
      <c r="J510" s="174"/>
      <c r="L510" s="175"/>
      <c r="M510" s="182"/>
      <c r="N510" s="177"/>
      <c r="P510" s="183"/>
      <c r="Q510" s="184"/>
      <c r="R510" s="185"/>
      <c r="S510" s="176"/>
      <c r="T510" s="172"/>
      <c r="U510" s="181"/>
      <c r="V510" s="181"/>
    </row>
    <row r="511" spans="1:22" x14ac:dyDescent="0.25">
      <c r="A511" s="172"/>
      <c r="F511" s="174"/>
      <c r="G511" s="174"/>
      <c r="H511" s="174"/>
      <c r="J511" s="174"/>
      <c r="L511" s="175"/>
      <c r="M511" s="182"/>
      <c r="N511" s="177"/>
      <c r="P511" s="183"/>
      <c r="Q511" s="184"/>
      <c r="R511" s="185"/>
      <c r="S511" s="176"/>
      <c r="T511" s="172"/>
      <c r="U511" s="181"/>
      <c r="V511" s="181"/>
    </row>
    <row r="512" spans="1:22" x14ac:dyDescent="0.25">
      <c r="A512" s="172"/>
      <c r="F512" s="174"/>
      <c r="G512" s="174"/>
      <c r="H512" s="174"/>
      <c r="J512" s="174"/>
      <c r="L512" s="175"/>
      <c r="M512" s="182"/>
      <c r="N512" s="177"/>
      <c r="P512" s="183"/>
      <c r="Q512" s="184"/>
      <c r="R512" s="185"/>
      <c r="S512" s="176"/>
      <c r="T512" s="172"/>
      <c r="U512" s="181"/>
      <c r="V512" s="181"/>
    </row>
    <row r="513" spans="1:22" x14ac:dyDescent="0.25">
      <c r="A513" s="172"/>
      <c r="F513" s="174"/>
      <c r="G513" s="174"/>
      <c r="H513" s="174"/>
      <c r="J513" s="174"/>
      <c r="L513" s="175"/>
      <c r="M513" s="182"/>
      <c r="N513" s="177"/>
      <c r="P513" s="183"/>
      <c r="Q513" s="184"/>
      <c r="R513" s="185"/>
      <c r="S513" s="176"/>
      <c r="T513" s="172"/>
      <c r="U513" s="181"/>
      <c r="V513" s="181"/>
    </row>
    <row r="514" spans="1:22" x14ac:dyDescent="0.25">
      <c r="A514" s="172"/>
      <c r="F514" s="174"/>
      <c r="G514" s="174"/>
      <c r="H514" s="174"/>
      <c r="J514" s="174"/>
      <c r="L514" s="175"/>
      <c r="M514" s="182"/>
      <c r="N514" s="177"/>
      <c r="P514" s="183"/>
      <c r="Q514" s="184"/>
      <c r="R514" s="185"/>
      <c r="S514" s="176"/>
      <c r="T514" s="172"/>
      <c r="U514" s="181"/>
      <c r="V514" s="181"/>
    </row>
    <row r="515" spans="1:22" x14ac:dyDescent="0.25">
      <c r="A515" s="172"/>
      <c r="F515" s="174"/>
      <c r="G515" s="174"/>
      <c r="H515" s="174"/>
      <c r="J515" s="174"/>
      <c r="L515" s="175"/>
      <c r="M515" s="182"/>
      <c r="N515" s="177"/>
      <c r="P515" s="183"/>
      <c r="Q515" s="184"/>
      <c r="R515" s="185"/>
      <c r="S515" s="176"/>
      <c r="T515" s="172"/>
      <c r="U515" s="181"/>
      <c r="V515" s="181"/>
    </row>
    <row r="516" spans="1:22" x14ac:dyDescent="0.25">
      <c r="A516" s="172"/>
      <c r="F516" s="174"/>
      <c r="G516" s="174"/>
      <c r="H516" s="174"/>
      <c r="J516" s="174"/>
      <c r="L516" s="175"/>
      <c r="M516" s="182"/>
      <c r="N516" s="177"/>
      <c r="P516" s="183"/>
      <c r="Q516" s="184"/>
      <c r="R516" s="185"/>
      <c r="S516" s="176"/>
      <c r="T516" s="172"/>
      <c r="U516" s="181"/>
      <c r="V516" s="181"/>
    </row>
    <row r="517" spans="1:22" x14ac:dyDescent="0.25">
      <c r="A517" s="172"/>
      <c r="F517" s="174"/>
      <c r="G517" s="174"/>
      <c r="H517" s="174"/>
      <c r="J517" s="174"/>
      <c r="L517" s="175"/>
      <c r="M517" s="182"/>
      <c r="N517" s="177"/>
      <c r="P517" s="183"/>
      <c r="Q517" s="184"/>
      <c r="R517" s="185"/>
      <c r="S517" s="176"/>
      <c r="T517" s="172"/>
      <c r="U517" s="181"/>
      <c r="V517" s="181"/>
    </row>
    <row r="518" spans="1:22" x14ac:dyDescent="0.25">
      <c r="A518" s="172"/>
      <c r="F518" s="174"/>
      <c r="G518" s="174"/>
      <c r="H518" s="174"/>
      <c r="J518" s="174"/>
      <c r="L518" s="175"/>
      <c r="M518" s="182"/>
      <c r="N518" s="177"/>
      <c r="P518" s="183"/>
      <c r="Q518" s="184"/>
      <c r="R518" s="185"/>
      <c r="S518" s="176"/>
      <c r="T518" s="172"/>
      <c r="U518" s="181"/>
      <c r="V518" s="181"/>
    </row>
    <row r="519" spans="1:22" x14ac:dyDescent="0.25">
      <c r="A519" s="172"/>
      <c r="F519" s="174"/>
      <c r="G519" s="174"/>
      <c r="H519" s="174"/>
      <c r="J519" s="174"/>
      <c r="L519" s="175"/>
      <c r="M519" s="182"/>
      <c r="N519" s="177"/>
      <c r="P519" s="183"/>
      <c r="Q519" s="184"/>
      <c r="R519" s="185"/>
      <c r="S519" s="176"/>
      <c r="T519" s="172"/>
      <c r="U519" s="181"/>
      <c r="V519" s="181"/>
    </row>
    <row r="520" spans="1:22" x14ac:dyDescent="0.25">
      <c r="A520" s="172"/>
      <c r="F520" s="174"/>
      <c r="G520" s="174"/>
      <c r="H520" s="174"/>
      <c r="J520" s="174"/>
      <c r="L520" s="175"/>
      <c r="M520" s="182"/>
      <c r="N520" s="177"/>
      <c r="P520" s="183"/>
      <c r="Q520" s="184"/>
      <c r="R520" s="185"/>
      <c r="S520" s="176"/>
      <c r="T520" s="172"/>
      <c r="U520" s="181"/>
      <c r="V520" s="181"/>
    </row>
    <row r="521" spans="1:22" x14ac:dyDescent="0.25">
      <c r="A521" s="172"/>
      <c r="F521" s="174"/>
      <c r="G521" s="174"/>
      <c r="H521" s="174"/>
      <c r="J521" s="174"/>
      <c r="L521" s="175"/>
      <c r="M521" s="182"/>
      <c r="N521" s="177"/>
      <c r="P521" s="183"/>
      <c r="Q521" s="184"/>
      <c r="R521" s="185"/>
      <c r="S521" s="176"/>
      <c r="T521" s="172"/>
      <c r="U521" s="181"/>
      <c r="V521" s="181"/>
    </row>
    <row r="522" spans="1:22" x14ac:dyDescent="0.25">
      <c r="A522" s="172"/>
      <c r="F522" s="174"/>
      <c r="G522" s="174"/>
      <c r="H522" s="174"/>
      <c r="J522" s="174"/>
      <c r="L522" s="175"/>
      <c r="M522" s="182"/>
      <c r="N522" s="177"/>
      <c r="P522" s="183"/>
      <c r="Q522" s="184"/>
      <c r="R522" s="185"/>
      <c r="S522" s="176"/>
      <c r="T522" s="172"/>
      <c r="U522" s="181"/>
      <c r="V522" s="181"/>
    </row>
    <row r="523" spans="1:22" x14ac:dyDescent="0.25">
      <c r="A523" s="172"/>
      <c r="F523" s="174"/>
      <c r="G523" s="174"/>
      <c r="H523" s="174"/>
      <c r="J523" s="174"/>
      <c r="L523" s="175"/>
      <c r="M523" s="182"/>
      <c r="N523" s="177"/>
      <c r="P523" s="183"/>
      <c r="Q523" s="184"/>
      <c r="R523" s="185"/>
      <c r="S523" s="176"/>
      <c r="T523" s="172"/>
      <c r="U523" s="181"/>
      <c r="V523" s="181"/>
    </row>
    <row r="524" spans="1:22" x14ac:dyDescent="0.25">
      <c r="A524" s="172"/>
      <c r="F524" s="174"/>
      <c r="G524" s="174"/>
      <c r="H524" s="174"/>
      <c r="J524" s="174"/>
      <c r="L524" s="175"/>
      <c r="M524" s="182"/>
      <c r="N524" s="177"/>
      <c r="P524" s="183"/>
      <c r="Q524" s="184"/>
      <c r="R524" s="185"/>
      <c r="S524" s="176"/>
      <c r="T524" s="172"/>
      <c r="U524" s="181"/>
      <c r="V524" s="181"/>
    </row>
    <row r="525" spans="1:22" x14ac:dyDescent="0.25">
      <c r="A525" s="172"/>
      <c r="F525" s="174"/>
      <c r="G525" s="174"/>
      <c r="H525" s="174"/>
      <c r="J525" s="174"/>
      <c r="L525" s="175"/>
      <c r="M525" s="182"/>
      <c r="N525" s="177"/>
      <c r="P525" s="183"/>
      <c r="Q525" s="184"/>
      <c r="R525" s="185"/>
      <c r="S525" s="176"/>
      <c r="T525" s="172"/>
      <c r="U525" s="181"/>
      <c r="V525" s="181"/>
    </row>
    <row r="526" spans="1:22" x14ac:dyDescent="0.25">
      <c r="A526" s="172"/>
      <c r="F526" s="174"/>
      <c r="G526" s="174"/>
      <c r="H526" s="174"/>
      <c r="J526" s="174"/>
      <c r="L526" s="175"/>
      <c r="M526" s="182"/>
      <c r="N526" s="177"/>
      <c r="P526" s="183"/>
      <c r="Q526" s="184"/>
      <c r="R526" s="185"/>
      <c r="S526" s="176"/>
      <c r="T526" s="172"/>
      <c r="U526" s="181"/>
      <c r="V526" s="181"/>
    </row>
    <row r="527" spans="1:22" x14ac:dyDescent="0.25">
      <c r="A527" s="172"/>
      <c r="F527" s="174"/>
      <c r="G527" s="174"/>
      <c r="H527" s="174"/>
      <c r="J527" s="174"/>
      <c r="L527" s="175"/>
      <c r="M527" s="182"/>
      <c r="N527" s="177"/>
      <c r="P527" s="183"/>
      <c r="Q527" s="184"/>
      <c r="R527" s="185"/>
      <c r="S527" s="176"/>
      <c r="T527" s="172"/>
      <c r="U527" s="181"/>
      <c r="V527" s="181"/>
    </row>
    <row r="528" spans="1:22" x14ac:dyDescent="0.25">
      <c r="A528" s="172"/>
      <c r="F528" s="174"/>
      <c r="G528" s="174"/>
      <c r="H528" s="174"/>
      <c r="J528" s="174"/>
      <c r="L528" s="175"/>
      <c r="M528" s="182"/>
      <c r="N528" s="177"/>
      <c r="P528" s="183"/>
      <c r="Q528" s="184"/>
      <c r="R528" s="185"/>
      <c r="S528" s="176"/>
      <c r="T528" s="172"/>
      <c r="U528" s="181"/>
      <c r="V528" s="181"/>
    </row>
    <row r="529" spans="1:22" x14ac:dyDescent="0.25">
      <c r="A529" s="172"/>
      <c r="F529" s="174"/>
      <c r="G529" s="174"/>
      <c r="H529" s="174"/>
      <c r="J529" s="174"/>
      <c r="L529" s="175"/>
      <c r="M529" s="182"/>
      <c r="N529" s="177"/>
      <c r="P529" s="183"/>
      <c r="Q529" s="184"/>
      <c r="R529" s="185"/>
      <c r="S529" s="176"/>
      <c r="T529" s="172"/>
      <c r="U529" s="181"/>
      <c r="V529" s="181"/>
    </row>
    <row r="530" spans="1:22" x14ac:dyDescent="0.25">
      <c r="A530" s="172"/>
      <c r="F530" s="174"/>
      <c r="G530" s="174"/>
      <c r="H530" s="174"/>
      <c r="J530" s="174"/>
      <c r="L530" s="175"/>
      <c r="M530" s="182"/>
      <c r="N530" s="177"/>
      <c r="P530" s="183"/>
      <c r="Q530" s="184"/>
      <c r="R530" s="185"/>
      <c r="S530" s="176"/>
      <c r="T530" s="172"/>
      <c r="U530" s="181"/>
      <c r="V530" s="181"/>
    </row>
    <row r="531" spans="1:22" x14ac:dyDescent="0.25">
      <c r="A531" s="172"/>
      <c r="F531" s="174"/>
      <c r="G531" s="174"/>
      <c r="H531" s="174"/>
      <c r="J531" s="174"/>
      <c r="L531" s="175"/>
      <c r="M531" s="182"/>
      <c r="N531" s="177"/>
      <c r="P531" s="183"/>
      <c r="Q531" s="184"/>
      <c r="R531" s="185"/>
      <c r="S531" s="176"/>
      <c r="T531" s="172"/>
      <c r="U531" s="181"/>
      <c r="V531" s="181"/>
    </row>
    <row r="532" spans="1:22" x14ac:dyDescent="0.25">
      <c r="A532" s="172"/>
      <c r="F532" s="174"/>
      <c r="G532" s="174"/>
      <c r="H532" s="174"/>
      <c r="J532" s="174"/>
      <c r="L532" s="175"/>
      <c r="M532" s="182"/>
      <c r="N532" s="177"/>
      <c r="P532" s="183"/>
      <c r="Q532" s="184"/>
      <c r="R532" s="185"/>
      <c r="S532" s="176"/>
      <c r="T532" s="172"/>
      <c r="U532" s="181"/>
      <c r="V532" s="181"/>
    </row>
    <row r="533" spans="1:22" x14ac:dyDescent="0.25">
      <c r="A533" s="172"/>
      <c r="F533" s="174"/>
      <c r="G533" s="174"/>
      <c r="H533" s="174"/>
      <c r="J533" s="174"/>
      <c r="L533" s="175"/>
      <c r="M533" s="182"/>
      <c r="N533" s="177"/>
      <c r="P533" s="183"/>
      <c r="Q533" s="184"/>
      <c r="R533" s="185"/>
      <c r="S533" s="176"/>
      <c r="T533" s="172"/>
      <c r="U533" s="181"/>
      <c r="V533" s="181"/>
    </row>
    <row r="534" spans="1:22" x14ac:dyDescent="0.25">
      <c r="A534" s="172"/>
      <c r="F534" s="174"/>
      <c r="G534" s="174"/>
      <c r="H534" s="174"/>
      <c r="J534" s="174"/>
      <c r="L534" s="175"/>
      <c r="M534" s="182"/>
      <c r="N534" s="177"/>
      <c r="P534" s="183"/>
      <c r="Q534" s="184"/>
      <c r="R534" s="185"/>
      <c r="S534" s="176"/>
      <c r="T534" s="172"/>
      <c r="U534" s="181"/>
      <c r="V534" s="181"/>
    </row>
    <row r="535" spans="1:22" x14ac:dyDescent="0.25">
      <c r="A535" s="172"/>
      <c r="F535" s="174"/>
      <c r="G535" s="174"/>
      <c r="H535" s="174"/>
      <c r="J535" s="174"/>
      <c r="L535" s="175"/>
      <c r="M535" s="182"/>
      <c r="N535" s="177"/>
      <c r="P535" s="183"/>
      <c r="Q535" s="184"/>
      <c r="R535" s="185"/>
      <c r="S535" s="176"/>
      <c r="T535" s="172"/>
      <c r="U535" s="181"/>
      <c r="V535" s="181"/>
    </row>
    <row r="536" spans="1:22" x14ac:dyDescent="0.25">
      <c r="A536" s="172"/>
      <c r="F536" s="174"/>
      <c r="G536" s="174"/>
      <c r="H536" s="174"/>
      <c r="J536" s="174"/>
      <c r="L536" s="175"/>
      <c r="M536" s="182"/>
      <c r="N536" s="177"/>
      <c r="P536" s="183"/>
      <c r="Q536" s="184"/>
      <c r="R536" s="185"/>
      <c r="S536" s="176"/>
      <c r="T536" s="172"/>
      <c r="U536" s="181"/>
      <c r="V536" s="181"/>
    </row>
    <row r="537" spans="1:22" x14ac:dyDescent="0.25">
      <c r="A537" s="172"/>
      <c r="F537" s="174"/>
      <c r="G537" s="174"/>
      <c r="H537" s="174"/>
      <c r="J537" s="174"/>
      <c r="L537" s="175"/>
      <c r="M537" s="182"/>
      <c r="N537" s="177"/>
      <c r="P537" s="183"/>
      <c r="Q537" s="184"/>
      <c r="R537" s="185"/>
      <c r="S537" s="176"/>
      <c r="T537" s="172"/>
      <c r="U537" s="181"/>
      <c r="V537" s="181"/>
    </row>
    <row r="538" spans="1:22" x14ac:dyDescent="0.25">
      <c r="A538" s="172"/>
      <c r="F538" s="174"/>
      <c r="G538" s="174"/>
      <c r="H538" s="174"/>
      <c r="J538" s="174"/>
      <c r="L538" s="175"/>
      <c r="M538" s="182"/>
      <c r="N538" s="177"/>
      <c r="P538" s="183"/>
      <c r="Q538" s="184"/>
      <c r="R538" s="185"/>
      <c r="S538" s="176"/>
      <c r="T538" s="172"/>
      <c r="U538" s="181"/>
      <c r="V538" s="181"/>
    </row>
    <row r="539" spans="1:22" x14ac:dyDescent="0.25">
      <c r="A539" s="172"/>
      <c r="F539" s="174"/>
      <c r="G539" s="174"/>
      <c r="H539" s="174"/>
      <c r="J539" s="174"/>
      <c r="L539" s="175"/>
      <c r="M539" s="182"/>
      <c r="N539" s="177"/>
      <c r="P539" s="183"/>
      <c r="Q539" s="184"/>
      <c r="R539" s="185"/>
      <c r="S539" s="176"/>
      <c r="T539" s="172"/>
      <c r="U539" s="181"/>
      <c r="V539" s="181"/>
    </row>
    <row r="540" spans="1:22" x14ac:dyDescent="0.25">
      <c r="A540" s="172"/>
      <c r="F540" s="174"/>
      <c r="G540" s="174"/>
      <c r="H540" s="174"/>
      <c r="J540" s="174"/>
      <c r="L540" s="175"/>
      <c r="M540" s="182"/>
      <c r="N540" s="177"/>
      <c r="P540" s="183"/>
      <c r="Q540" s="184"/>
      <c r="R540" s="185"/>
      <c r="S540" s="176"/>
      <c r="T540" s="172"/>
      <c r="U540" s="181"/>
      <c r="V540" s="181"/>
    </row>
    <row r="541" spans="1:22" x14ac:dyDescent="0.25">
      <c r="A541" s="172"/>
      <c r="F541" s="174"/>
      <c r="G541" s="174"/>
      <c r="H541" s="174"/>
      <c r="J541" s="174"/>
      <c r="L541" s="175"/>
      <c r="M541" s="182"/>
      <c r="N541" s="177"/>
      <c r="P541" s="183"/>
      <c r="Q541" s="184"/>
      <c r="R541" s="185"/>
      <c r="S541" s="176"/>
      <c r="T541" s="172"/>
      <c r="U541" s="181"/>
      <c r="V541" s="181"/>
    </row>
    <row r="542" spans="1:22" x14ac:dyDescent="0.25">
      <c r="A542" s="172"/>
      <c r="F542" s="174"/>
      <c r="G542" s="174"/>
      <c r="H542" s="174"/>
      <c r="J542" s="174"/>
      <c r="L542" s="175"/>
      <c r="M542" s="182"/>
      <c r="N542" s="177"/>
      <c r="P542" s="183"/>
      <c r="Q542" s="184"/>
      <c r="R542" s="185"/>
      <c r="S542" s="176"/>
      <c r="T542" s="172"/>
      <c r="U542" s="181"/>
      <c r="V542" s="181"/>
    </row>
    <row r="543" spans="1:22" x14ac:dyDescent="0.25">
      <c r="A543" s="172"/>
      <c r="F543" s="174"/>
      <c r="G543" s="174"/>
      <c r="H543" s="174"/>
      <c r="J543" s="174"/>
      <c r="L543" s="175"/>
      <c r="M543" s="182"/>
      <c r="N543" s="177"/>
      <c r="P543" s="183"/>
      <c r="Q543" s="184"/>
      <c r="R543" s="185"/>
      <c r="S543" s="176"/>
      <c r="T543" s="172"/>
      <c r="U543" s="181"/>
      <c r="V543" s="181"/>
    </row>
    <row r="544" spans="1:22" x14ac:dyDescent="0.25">
      <c r="A544" s="172"/>
      <c r="F544" s="174"/>
      <c r="G544" s="174"/>
      <c r="H544" s="174"/>
      <c r="J544" s="174"/>
      <c r="L544" s="175"/>
      <c r="M544" s="182"/>
      <c r="N544" s="177"/>
      <c r="P544" s="183"/>
      <c r="Q544" s="184"/>
      <c r="R544" s="185"/>
      <c r="S544" s="176"/>
      <c r="T544" s="172"/>
      <c r="U544" s="181"/>
      <c r="V544" s="181"/>
    </row>
    <row r="545" spans="1:22" x14ac:dyDescent="0.25">
      <c r="A545" s="172"/>
      <c r="F545" s="174"/>
      <c r="G545" s="174"/>
      <c r="H545" s="174"/>
      <c r="J545" s="174"/>
      <c r="L545" s="175"/>
      <c r="M545" s="182"/>
      <c r="N545" s="177"/>
      <c r="P545" s="183"/>
      <c r="Q545" s="184"/>
      <c r="R545" s="185"/>
      <c r="S545" s="176"/>
      <c r="T545" s="172"/>
      <c r="U545" s="181"/>
      <c r="V545" s="181"/>
    </row>
    <row r="546" spans="1:22" x14ac:dyDescent="0.25">
      <c r="A546" s="172"/>
      <c r="F546" s="174"/>
      <c r="G546" s="174"/>
      <c r="H546" s="174"/>
      <c r="J546" s="174"/>
      <c r="L546" s="175"/>
      <c r="M546" s="182"/>
      <c r="N546" s="177"/>
      <c r="P546" s="183"/>
      <c r="Q546" s="184"/>
      <c r="R546" s="185"/>
      <c r="S546" s="176"/>
      <c r="T546" s="172"/>
      <c r="U546" s="181"/>
      <c r="V546" s="181"/>
    </row>
    <row r="547" spans="1:22" x14ac:dyDescent="0.25">
      <c r="A547" s="172"/>
      <c r="F547" s="174"/>
      <c r="G547" s="174"/>
      <c r="H547" s="174"/>
      <c r="J547" s="174"/>
      <c r="L547" s="175"/>
      <c r="M547" s="182"/>
      <c r="N547" s="177"/>
      <c r="P547" s="183"/>
      <c r="Q547" s="184"/>
      <c r="R547" s="185"/>
      <c r="S547" s="176"/>
      <c r="T547" s="172"/>
      <c r="U547" s="181"/>
      <c r="V547" s="181"/>
    </row>
    <row r="548" spans="1:22" x14ac:dyDescent="0.25">
      <c r="A548" s="172"/>
      <c r="F548" s="174"/>
      <c r="G548" s="174"/>
      <c r="H548" s="174"/>
      <c r="J548" s="174"/>
      <c r="L548" s="175"/>
      <c r="M548" s="182"/>
      <c r="N548" s="177"/>
      <c r="P548" s="183"/>
      <c r="Q548" s="184"/>
      <c r="R548" s="185"/>
      <c r="S548" s="176"/>
      <c r="T548" s="172"/>
      <c r="U548" s="181"/>
      <c r="V548" s="181"/>
    </row>
    <row r="549" spans="1:22" x14ac:dyDescent="0.25">
      <c r="A549" s="172"/>
      <c r="F549" s="174"/>
      <c r="G549" s="174"/>
      <c r="H549" s="174"/>
      <c r="J549" s="174"/>
      <c r="L549" s="175"/>
      <c r="M549" s="182"/>
      <c r="N549" s="177"/>
      <c r="P549" s="183"/>
      <c r="Q549" s="184"/>
      <c r="R549" s="185"/>
      <c r="S549" s="176"/>
      <c r="T549" s="172"/>
      <c r="U549" s="181"/>
      <c r="V549" s="181"/>
    </row>
    <row r="550" spans="1:22" x14ac:dyDescent="0.25">
      <c r="A550" s="172"/>
      <c r="F550" s="174"/>
      <c r="G550" s="174"/>
      <c r="H550" s="174"/>
      <c r="J550" s="174"/>
      <c r="L550" s="175"/>
      <c r="M550" s="182"/>
      <c r="N550" s="177"/>
      <c r="P550" s="183"/>
      <c r="Q550" s="184"/>
      <c r="R550" s="185"/>
      <c r="S550" s="176"/>
      <c r="T550" s="172"/>
      <c r="U550" s="181"/>
      <c r="V550" s="181"/>
    </row>
    <row r="551" spans="1:22" x14ac:dyDescent="0.25">
      <c r="A551" s="172"/>
      <c r="F551" s="174"/>
      <c r="G551" s="174"/>
      <c r="H551" s="174"/>
      <c r="J551" s="174"/>
      <c r="L551" s="175"/>
      <c r="M551" s="182"/>
      <c r="N551" s="177"/>
      <c r="P551" s="183"/>
      <c r="Q551" s="184"/>
      <c r="R551" s="185"/>
      <c r="S551" s="176"/>
      <c r="T551" s="172"/>
      <c r="U551" s="181"/>
      <c r="V551" s="181"/>
    </row>
    <row r="552" spans="1:22" x14ac:dyDescent="0.25">
      <c r="A552" s="172"/>
      <c r="F552" s="174"/>
      <c r="G552" s="174"/>
      <c r="H552" s="174"/>
      <c r="J552" s="174"/>
      <c r="L552" s="175"/>
      <c r="M552" s="182"/>
      <c r="N552" s="177"/>
      <c r="P552" s="183"/>
      <c r="Q552" s="184"/>
      <c r="R552" s="185"/>
      <c r="S552" s="176"/>
      <c r="T552" s="172"/>
      <c r="U552" s="181"/>
      <c r="V552" s="181"/>
    </row>
    <row r="553" spans="1:22" x14ac:dyDescent="0.25">
      <c r="A553" s="172"/>
      <c r="F553" s="174"/>
      <c r="G553" s="174"/>
      <c r="H553" s="174"/>
      <c r="J553" s="174"/>
      <c r="L553" s="175"/>
      <c r="M553" s="182"/>
      <c r="N553" s="177"/>
      <c r="P553" s="183"/>
      <c r="Q553" s="184"/>
      <c r="R553" s="185"/>
      <c r="S553" s="176"/>
      <c r="T553" s="172"/>
      <c r="U553" s="181"/>
      <c r="V553" s="181"/>
    </row>
    <row r="554" spans="1:22" x14ac:dyDescent="0.25">
      <c r="A554" s="172"/>
      <c r="F554" s="174"/>
      <c r="G554" s="174"/>
      <c r="H554" s="174"/>
      <c r="J554" s="174"/>
      <c r="L554" s="175"/>
      <c r="M554" s="182"/>
      <c r="N554" s="177"/>
      <c r="P554" s="183"/>
      <c r="Q554" s="184"/>
      <c r="R554" s="185"/>
      <c r="S554" s="176"/>
      <c r="T554" s="172"/>
      <c r="U554" s="181"/>
      <c r="V554" s="181"/>
    </row>
    <row r="555" spans="1:22" x14ac:dyDescent="0.25">
      <c r="A555" s="172"/>
      <c r="F555" s="174"/>
      <c r="G555" s="174"/>
      <c r="H555" s="174"/>
      <c r="J555" s="174"/>
      <c r="L555" s="175"/>
      <c r="M555" s="182"/>
      <c r="N555" s="177"/>
      <c r="P555" s="183"/>
      <c r="Q555" s="184"/>
      <c r="R555" s="185"/>
      <c r="S555" s="176"/>
      <c r="T555" s="172"/>
      <c r="U555" s="181"/>
      <c r="V555" s="181"/>
    </row>
    <row r="556" spans="1:22" x14ac:dyDescent="0.25">
      <c r="A556" s="172"/>
      <c r="F556" s="174"/>
      <c r="G556" s="174"/>
      <c r="H556" s="174"/>
      <c r="J556" s="174"/>
      <c r="L556" s="175"/>
      <c r="M556" s="182"/>
      <c r="N556" s="177"/>
      <c r="P556" s="183"/>
      <c r="Q556" s="184"/>
      <c r="R556" s="185"/>
      <c r="S556" s="176"/>
      <c r="T556" s="172"/>
      <c r="U556" s="181"/>
      <c r="V556" s="181"/>
    </row>
    <row r="557" spans="1:22" x14ac:dyDescent="0.25">
      <c r="A557" s="172"/>
      <c r="F557" s="174"/>
      <c r="G557" s="174"/>
      <c r="H557" s="174"/>
      <c r="J557" s="174"/>
      <c r="L557" s="175"/>
      <c r="M557" s="182"/>
      <c r="N557" s="177"/>
      <c r="P557" s="183"/>
      <c r="Q557" s="184"/>
      <c r="R557" s="185"/>
      <c r="S557" s="176"/>
      <c r="T557" s="172"/>
      <c r="U557" s="181"/>
      <c r="V557" s="181"/>
    </row>
    <row r="558" spans="1:22" x14ac:dyDescent="0.25">
      <c r="A558" s="172"/>
      <c r="F558" s="174"/>
      <c r="G558" s="174"/>
      <c r="H558" s="174"/>
      <c r="J558" s="174"/>
      <c r="L558" s="175"/>
      <c r="M558" s="182"/>
      <c r="N558" s="177"/>
      <c r="P558" s="183"/>
      <c r="Q558" s="184"/>
      <c r="R558" s="185"/>
      <c r="S558" s="176"/>
      <c r="T558" s="172"/>
      <c r="U558" s="181"/>
      <c r="V558" s="181"/>
    </row>
    <row r="559" spans="1:22" x14ac:dyDescent="0.25">
      <c r="A559" s="172"/>
      <c r="F559" s="174"/>
      <c r="G559" s="174"/>
      <c r="H559" s="174"/>
      <c r="J559" s="174"/>
      <c r="L559" s="175"/>
      <c r="M559" s="182"/>
      <c r="N559" s="177"/>
      <c r="P559" s="183"/>
      <c r="Q559" s="184"/>
      <c r="R559" s="185"/>
      <c r="S559" s="176"/>
      <c r="T559" s="172"/>
      <c r="U559" s="181"/>
      <c r="V559" s="181"/>
    </row>
    <row r="560" spans="1:22" x14ac:dyDescent="0.25">
      <c r="A560" s="172"/>
      <c r="F560" s="174"/>
      <c r="G560" s="174"/>
      <c r="H560" s="174"/>
      <c r="J560" s="174"/>
      <c r="L560" s="175"/>
      <c r="M560" s="182"/>
      <c r="N560" s="177"/>
      <c r="P560" s="183"/>
      <c r="Q560" s="184"/>
      <c r="R560" s="185"/>
      <c r="S560" s="176"/>
      <c r="T560" s="172"/>
      <c r="U560" s="181"/>
      <c r="V560" s="181"/>
    </row>
    <row r="561" spans="1:22" x14ac:dyDescent="0.25">
      <c r="A561" s="172"/>
      <c r="F561" s="174"/>
      <c r="G561" s="174"/>
      <c r="H561" s="174"/>
      <c r="J561" s="174"/>
      <c r="L561" s="175"/>
      <c r="M561" s="182"/>
      <c r="N561" s="177"/>
      <c r="P561" s="183"/>
      <c r="Q561" s="184"/>
      <c r="R561" s="185"/>
      <c r="S561" s="176"/>
      <c r="T561" s="172"/>
      <c r="U561" s="181"/>
      <c r="V561" s="181"/>
    </row>
    <row r="562" spans="1:22" x14ac:dyDescent="0.25">
      <c r="A562" s="172"/>
      <c r="F562" s="174"/>
      <c r="G562" s="174"/>
      <c r="H562" s="174"/>
      <c r="J562" s="174"/>
      <c r="L562" s="175"/>
      <c r="M562" s="182"/>
      <c r="N562" s="177"/>
      <c r="P562" s="183"/>
      <c r="Q562" s="184"/>
      <c r="R562" s="185"/>
      <c r="S562" s="176"/>
      <c r="T562" s="172"/>
      <c r="U562" s="181"/>
      <c r="V562" s="181"/>
    </row>
    <row r="563" spans="1:22" x14ac:dyDescent="0.25">
      <c r="A563" s="172"/>
      <c r="F563" s="174"/>
      <c r="G563" s="174"/>
      <c r="H563" s="174"/>
      <c r="J563" s="174"/>
      <c r="L563" s="175"/>
      <c r="M563" s="182"/>
      <c r="N563" s="177"/>
      <c r="P563" s="183"/>
      <c r="Q563" s="184"/>
      <c r="R563" s="185"/>
      <c r="S563" s="176"/>
      <c r="T563" s="172"/>
      <c r="U563" s="181"/>
      <c r="V563" s="181"/>
    </row>
    <row r="564" spans="1:22" x14ac:dyDescent="0.25">
      <c r="A564" s="172"/>
      <c r="F564" s="174"/>
      <c r="G564" s="174"/>
      <c r="H564" s="174"/>
      <c r="J564" s="174"/>
      <c r="L564" s="175"/>
      <c r="M564" s="182"/>
      <c r="N564" s="177"/>
      <c r="P564" s="183"/>
      <c r="Q564" s="184"/>
      <c r="R564" s="185"/>
      <c r="S564" s="176"/>
      <c r="T564" s="172"/>
      <c r="U564" s="181"/>
      <c r="V564" s="181"/>
    </row>
    <row r="565" spans="1:22" x14ac:dyDescent="0.25">
      <c r="A565" s="172"/>
      <c r="F565" s="174"/>
      <c r="G565" s="174"/>
      <c r="H565" s="174"/>
      <c r="J565" s="174"/>
      <c r="L565" s="175"/>
      <c r="M565" s="182"/>
      <c r="N565" s="177"/>
      <c r="P565" s="183"/>
      <c r="Q565" s="184"/>
      <c r="R565" s="185"/>
      <c r="S565" s="176"/>
      <c r="T565" s="172"/>
      <c r="U565" s="181"/>
      <c r="V565" s="181"/>
    </row>
    <row r="566" spans="1:22" x14ac:dyDescent="0.25">
      <c r="A566" s="172"/>
      <c r="F566" s="174"/>
      <c r="G566" s="174"/>
      <c r="H566" s="174"/>
      <c r="J566" s="174"/>
      <c r="L566" s="175"/>
      <c r="M566" s="182"/>
      <c r="N566" s="177"/>
      <c r="P566" s="183"/>
      <c r="Q566" s="184"/>
      <c r="R566" s="185"/>
      <c r="S566" s="176"/>
      <c r="T566" s="172"/>
      <c r="U566" s="181"/>
      <c r="V566" s="181"/>
    </row>
    <row r="567" spans="1:22" x14ac:dyDescent="0.25">
      <c r="A567" s="172"/>
      <c r="F567" s="174"/>
      <c r="G567" s="174"/>
      <c r="H567" s="174"/>
      <c r="J567" s="174"/>
      <c r="L567" s="175"/>
      <c r="M567" s="182"/>
      <c r="N567" s="177"/>
      <c r="P567" s="183"/>
      <c r="Q567" s="184"/>
      <c r="R567" s="185"/>
      <c r="S567" s="176"/>
      <c r="T567" s="172"/>
      <c r="U567" s="181"/>
      <c r="V567" s="181"/>
    </row>
    <row r="568" spans="1:22" x14ac:dyDescent="0.25">
      <c r="A568" s="172"/>
      <c r="F568" s="174"/>
      <c r="G568" s="174"/>
      <c r="H568" s="174"/>
      <c r="J568" s="174"/>
      <c r="L568" s="175"/>
      <c r="M568" s="182"/>
      <c r="N568" s="177"/>
      <c r="P568" s="183"/>
      <c r="Q568" s="184"/>
      <c r="R568" s="185"/>
      <c r="S568" s="176"/>
      <c r="T568" s="172"/>
      <c r="U568" s="181"/>
      <c r="V568" s="181"/>
    </row>
    <row r="569" spans="1:22" x14ac:dyDescent="0.25">
      <c r="A569" s="172"/>
      <c r="F569" s="174"/>
      <c r="G569" s="174"/>
      <c r="H569" s="174"/>
      <c r="J569" s="174"/>
      <c r="L569" s="175"/>
      <c r="M569" s="182"/>
      <c r="N569" s="177"/>
      <c r="P569" s="183"/>
      <c r="Q569" s="184"/>
      <c r="R569" s="185"/>
      <c r="S569" s="176"/>
      <c r="T569" s="172"/>
      <c r="U569" s="181"/>
      <c r="V569" s="181"/>
    </row>
    <row r="570" spans="1:22" x14ac:dyDescent="0.25">
      <c r="A570" s="172"/>
      <c r="F570" s="174"/>
      <c r="G570" s="174"/>
      <c r="H570" s="174"/>
      <c r="J570" s="174"/>
      <c r="L570" s="175"/>
      <c r="M570" s="182"/>
      <c r="N570" s="177"/>
      <c r="P570" s="183"/>
      <c r="Q570" s="184"/>
      <c r="R570" s="185"/>
      <c r="S570" s="176"/>
      <c r="T570" s="172"/>
      <c r="U570" s="181"/>
      <c r="V570" s="181"/>
    </row>
    <row r="571" spans="1:22" x14ac:dyDescent="0.25">
      <c r="A571" s="172"/>
      <c r="F571" s="174"/>
      <c r="G571" s="174"/>
      <c r="H571" s="174"/>
      <c r="J571" s="174"/>
      <c r="L571" s="175"/>
      <c r="M571" s="182"/>
      <c r="N571" s="177"/>
      <c r="P571" s="183"/>
      <c r="Q571" s="184"/>
      <c r="R571" s="185"/>
      <c r="S571" s="176"/>
      <c r="T571" s="172"/>
      <c r="U571" s="181"/>
      <c r="V571" s="181"/>
    </row>
    <row r="572" spans="1:22" x14ac:dyDescent="0.25">
      <c r="A572" s="172"/>
      <c r="F572" s="174"/>
      <c r="G572" s="174"/>
      <c r="H572" s="174"/>
      <c r="J572" s="174"/>
      <c r="L572" s="175"/>
      <c r="M572" s="182"/>
      <c r="N572" s="177"/>
      <c r="P572" s="183"/>
      <c r="Q572" s="184"/>
      <c r="R572" s="185"/>
      <c r="S572" s="176"/>
      <c r="T572" s="172"/>
      <c r="U572" s="181"/>
      <c r="V572" s="181"/>
    </row>
    <row r="573" spans="1:22" x14ac:dyDescent="0.25">
      <c r="A573" s="172"/>
      <c r="F573" s="174"/>
      <c r="G573" s="174"/>
      <c r="H573" s="174"/>
      <c r="J573" s="174"/>
      <c r="L573" s="175"/>
      <c r="M573" s="182"/>
      <c r="N573" s="177"/>
      <c r="P573" s="183"/>
      <c r="Q573" s="184"/>
      <c r="R573" s="185"/>
      <c r="S573" s="176"/>
      <c r="T573" s="172"/>
      <c r="U573" s="181"/>
      <c r="V573" s="181"/>
    </row>
    <row r="574" spans="1:22" x14ac:dyDescent="0.25">
      <c r="A574" s="172"/>
      <c r="F574" s="174"/>
      <c r="G574" s="174"/>
      <c r="H574" s="174"/>
      <c r="J574" s="174"/>
      <c r="L574" s="175"/>
      <c r="M574" s="182"/>
      <c r="N574" s="177"/>
      <c r="P574" s="183"/>
      <c r="Q574" s="184"/>
      <c r="R574" s="185"/>
      <c r="S574" s="176"/>
      <c r="T574" s="172"/>
      <c r="U574" s="181"/>
      <c r="V574" s="181"/>
    </row>
    <row r="575" spans="1:22" x14ac:dyDescent="0.25">
      <c r="A575" s="172"/>
      <c r="F575" s="174"/>
      <c r="G575" s="174"/>
      <c r="H575" s="174"/>
      <c r="J575" s="174"/>
      <c r="L575" s="175"/>
      <c r="M575" s="182"/>
      <c r="N575" s="177"/>
      <c r="P575" s="183"/>
      <c r="Q575" s="184"/>
      <c r="R575" s="185"/>
      <c r="S575" s="176"/>
      <c r="T575" s="172"/>
      <c r="U575" s="181"/>
      <c r="V575" s="181"/>
    </row>
    <row r="576" spans="1:22" x14ac:dyDescent="0.25">
      <c r="A576" s="172"/>
      <c r="F576" s="174"/>
      <c r="G576" s="174"/>
      <c r="H576" s="174"/>
      <c r="J576" s="174"/>
      <c r="L576" s="175"/>
      <c r="M576" s="182"/>
      <c r="N576" s="177"/>
      <c r="P576" s="183"/>
      <c r="Q576" s="184"/>
      <c r="R576" s="185"/>
      <c r="S576" s="176"/>
      <c r="T576" s="172"/>
      <c r="U576" s="181"/>
      <c r="V576" s="181"/>
    </row>
    <row r="577" spans="1:22" x14ac:dyDescent="0.25">
      <c r="A577" s="172"/>
      <c r="F577" s="174"/>
      <c r="G577" s="174"/>
      <c r="H577" s="174"/>
      <c r="J577" s="174"/>
      <c r="L577" s="175"/>
      <c r="M577" s="182"/>
      <c r="N577" s="177"/>
      <c r="P577" s="183"/>
      <c r="Q577" s="184"/>
      <c r="R577" s="185"/>
      <c r="S577" s="176"/>
      <c r="T577" s="172"/>
      <c r="U577" s="181"/>
      <c r="V577" s="181"/>
    </row>
    <row r="578" spans="1:22" x14ac:dyDescent="0.25">
      <c r="A578" s="172"/>
      <c r="F578" s="174"/>
      <c r="G578" s="174"/>
      <c r="H578" s="174"/>
      <c r="J578" s="174"/>
      <c r="L578" s="175"/>
      <c r="M578" s="182"/>
      <c r="N578" s="177"/>
      <c r="P578" s="183"/>
      <c r="Q578" s="184"/>
      <c r="R578" s="185"/>
      <c r="S578" s="176"/>
      <c r="T578" s="172"/>
      <c r="U578" s="181"/>
      <c r="V578" s="181"/>
    </row>
    <row r="579" spans="1:22" x14ac:dyDescent="0.25">
      <c r="A579" s="172"/>
      <c r="F579" s="174"/>
      <c r="G579" s="174"/>
      <c r="H579" s="174"/>
      <c r="J579" s="174"/>
      <c r="L579" s="175"/>
      <c r="M579" s="182"/>
      <c r="N579" s="177"/>
      <c r="P579" s="183"/>
      <c r="Q579" s="184"/>
      <c r="R579" s="185"/>
      <c r="S579" s="176"/>
      <c r="T579" s="172"/>
      <c r="U579" s="181"/>
      <c r="V579" s="181"/>
    </row>
    <row r="580" spans="1:22" x14ac:dyDescent="0.25">
      <c r="A580" s="172"/>
      <c r="F580" s="174"/>
      <c r="G580" s="174"/>
      <c r="H580" s="174"/>
      <c r="J580" s="174"/>
      <c r="L580" s="175"/>
      <c r="M580" s="182"/>
      <c r="N580" s="177"/>
      <c r="P580" s="183"/>
      <c r="Q580" s="184"/>
      <c r="R580" s="185"/>
      <c r="S580" s="176"/>
      <c r="T580" s="172"/>
      <c r="U580" s="181"/>
      <c r="V580" s="181"/>
    </row>
    <row r="581" spans="1:22" x14ac:dyDescent="0.25">
      <c r="A581" s="172"/>
      <c r="F581" s="174"/>
      <c r="G581" s="174"/>
      <c r="H581" s="174"/>
      <c r="J581" s="174"/>
      <c r="L581" s="175"/>
      <c r="M581" s="182"/>
      <c r="N581" s="177"/>
      <c r="P581" s="183"/>
      <c r="Q581" s="184"/>
      <c r="R581" s="185"/>
      <c r="S581" s="176"/>
      <c r="T581" s="172"/>
      <c r="U581" s="181"/>
      <c r="V581" s="181"/>
    </row>
    <row r="582" spans="1:22" x14ac:dyDescent="0.25">
      <c r="A582" s="172"/>
      <c r="F582" s="174"/>
      <c r="G582" s="174"/>
      <c r="H582" s="174"/>
      <c r="J582" s="174"/>
      <c r="L582" s="175"/>
      <c r="M582" s="182"/>
      <c r="N582" s="177"/>
      <c r="P582" s="183"/>
      <c r="Q582" s="184"/>
      <c r="R582" s="185"/>
      <c r="S582" s="176"/>
      <c r="T582" s="172"/>
      <c r="U582" s="181"/>
      <c r="V582" s="181"/>
    </row>
    <row r="583" spans="1:22" x14ac:dyDescent="0.25">
      <c r="A583" s="172"/>
      <c r="F583" s="174"/>
      <c r="G583" s="174"/>
      <c r="H583" s="174"/>
      <c r="J583" s="174"/>
      <c r="L583" s="175"/>
      <c r="M583" s="182"/>
      <c r="N583" s="177"/>
      <c r="P583" s="183"/>
      <c r="Q583" s="184"/>
      <c r="R583" s="185"/>
      <c r="S583" s="176"/>
      <c r="T583" s="172"/>
      <c r="U583" s="181"/>
      <c r="V583" s="181"/>
    </row>
    <row r="584" spans="1:22" x14ac:dyDescent="0.25">
      <c r="A584" s="172"/>
      <c r="F584" s="174"/>
      <c r="G584" s="174"/>
      <c r="H584" s="174"/>
      <c r="J584" s="174"/>
      <c r="L584" s="175"/>
      <c r="M584" s="182"/>
      <c r="N584" s="177"/>
      <c r="O584" s="177"/>
    </row>
    <row r="585" spans="1:22" x14ac:dyDescent="0.25">
      <c r="A585" s="172"/>
      <c r="F585" s="174"/>
      <c r="G585" s="174"/>
      <c r="H585" s="174"/>
      <c r="J585" s="174"/>
      <c r="L585" s="175"/>
      <c r="M585" s="182"/>
      <c r="N585" s="177"/>
      <c r="O585" s="177"/>
    </row>
    <row r="586" spans="1:22" x14ac:dyDescent="0.25">
      <c r="A586" s="172"/>
      <c r="F586" s="174"/>
      <c r="G586" s="174"/>
      <c r="H586" s="174"/>
      <c r="J586" s="174"/>
      <c r="L586" s="175"/>
      <c r="M586" s="182"/>
      <c r="N586" s="177"/>
      <c r="O586" s="177"/>
    </row>
    <row r="587" spans="1:22" x14ac:dyDescent="0.25">
      <c r="A587" s="172"/>
      <c r="F587" s="174"/>
      <c r="G587" s="174"/>
      <c r="H587" s="174"/>
      <c r="J587" s="174"/>
      <c r="L587" s="175"/>
      <c r="M587" s="182"/>
      <c r="N587" s="177"/>
      <c r="O587" s="177"/>
    </row>
    <row r="588" spans="1:22" x14ac:dyDescent="0.25">
      <c r="A588" s="172"/>
      <c r="F588" s="174"/>
      <c r="G588" s="174"/>
      <c r="H588" s="174"/>
      <c r="J588" s="174"/>
      <c r="L588" s="175"/>
      <c r="M588" s="182"/>
      <c r="N588" s="177"/>
      <c r="O588" s="177"/>
    </row>
    <row r="589" spans="1:22" x14ac:dyDescent="0.25">
      <c r="A589" s="172"/>
      <c r="F589" s="174"/>
      <c r="G589" s="174"/>
      <c r="H589" s="174"/>
      <c r="J589" s="174"/>
      <c r="L589" s="175"/>
      <c r="M589" s="182"/>
      <c r="N589" s="177"/>
      <c r="O589" s="177"/>
    </row>
    <row r="590" spans="1:22" x14ac:dyDescent="0.25">
      <c r="A590" s="172"/>
      <c r="F590" s="174"/>
      <c r="G590" s="174"/>
      <c r="H590" s="174"/>
      <c r="J590" s="174"/>
      <c r="L590" s="175"/>
      <c r="M590" s="182"/>
      <c r="N590" s="177"/>
      <c r="O590" s="177"/>
    </row>
    <row r="591" spans="1:22" x14ac:dyDescent="0.25">
      <c r="A591" s="172"/>
      <c r="F591" s="174"/>
      <c r="G591" s="174"/>
      <c r="H591" s="174"/>
      <c r="J591" s="174"/>
      <c r="L591" s="175"/>
      <c r="M591" s="182"/>
      <c r="N591" s="177"/>
      <c r="O591" s="177"/>
    </row>
    <row r="592" spans="1:22" x14ac:dyDescent="0.25">
      <c r="A592" s="172"/>
      <c r="F592" s="174"/>
      <c r="G592" s="174"/>
      <c r="H592" s="174"/>
      <c r="J592" s="174"/>
      <c r="L592" s="175"/>
      <c r="M592" s="182"/>
      <c r="N592" s="177"/>
      <c r="O592" s="177"/>
    </row>
    <row r="593" spans="1:15" x14ac:dyDescent="0.25">
      <c r="A593" s="172"/>
      <c r="F593" s="174"/>
      <c r="G593" s="174"/>
      <c r="H593" s="174"/>
      <c r="J593" s="174"/>
      <c r="L593" s="175"/>
      <c r="M593" s="182"/>
      <c r="N593" s="177"/>
      <c r="O593" s="177"/>
    </row>
    <row r="594" spans="1:15" x14ac:dyDescent="0.25">
      <c r="A594" s="172"/>
      <c r="F594" s="174"/>
      <c r="G594" s="174"/>
      <c r="H594" s="174"/>
      <c r="J594" s="174"/>
      <c r="L594" s="175"/>
      <c r="M594" s="182"/>
      <c r="N594" s="177"/>
      <c r="O594" s="177"/>
    </row>
    <row r="595" spans="1:15" x14ac:dyDescent="0.25">
      <c r="A595" s="172"/>
      <c r="F595" s="174"/>
      <c r="G595" s="174"/>
      <c r="H595" s="174"/>
      <c r="J595" s="174"/>
      <c r="L595" s="175"/>
      <c r="M595" s="182"/>
      <c r="N595" s="177"/>
      <c r="O595" s="177"/>
    </row>
    <row r="596" spans="1:15" x14ac:dyDescent="0.25">
      <c r="A596" s="172"/>
      <c r="F596" s="174"/>
      <c r="G596" s="174"/>
      <c r="H596" s="174"/>
      <c r="J596" s="174"/>
      <c r="L596" s="175"/>
      <c r="M596" s="182"/>
      <c r="N596" s="177"/>
      <c r="O596" s="177"/>
    </row>
    <row r="597" spans="1:15" x14ac:dyDescent="0.25">
      <c r="A597" s="172"/>
      <c r="F597" s="174"/>
      <c r="G597" s="174"/>
      <c r="H597" s="174"/>
      <c r="J597" s="174"/>
      <c r="L597" s="175"/>
      <c r="M597" s="182"/>
      <c r="N597" s="177"/>
      <c r="O597" s="177"/>
    </row>
    <row r="598" spans="1:15" x14ac:dyDescent="0.25">
      <c r="A598" s="172"/>
      <c r="F598" s="174"/>
      <c r="G598" s="174"/>
      <c r="H598" s="174"/>
      <c r="J598" s="174"/>
      <c r="L598" s="175"/>
      <c r="M598" s="182"/>
      <c r="N598" s="177"/>
      <c r="O598" s="177"/>
    </row>
    <row r="599" spans="1:15" x14ac:dyDescent="0.25">
      <c r="A599" s="172"/>
      <c r="F599" s="174"/>
      <c r="G599" s="174"/>
      <c r="H599" s="174"/>
      <c r="J599" s="174"/>
      <c r="L599" s="175"/>
      <c r="M599" s="182"/>
      <c r="N599" s="177"/>
      <c r="O599" s="177"/>
    </row>
    <row r="600" spans="1:15" x14ac:dyDescent="0.25">
      <c r="A600" s="172"/>
      <c r="F600" s="174"/>
      <c r="G600" s="174"/>
      <c r="H600" s="174"/>
      <c r="J600" s="174"/>
      <c r="L600" s="175"/>
      <c r="M600" s="182"/>
      <c r="N600" s="177"/>
      <c r="O600" s="177"/>
    </row>
    <row r="601" spans="1:15" x14ac:dyDescent="0.25">
      <c r="A601" s="172"/>
      <c r="F601" s="174"/>
      <c r="G601" s="174"/>
      <c r="H601" s="174"/>
      <c r="J601" s="174"/>
      <c r="L601" s="175"/>
      <c r="M601" s="182"/>
      <c r="N601" s="177"/>
      <c r="O601" s="177"/>
    </row>
    <row r="602" spans="1:15" x14ac:dyDescent="0.25">
      <c r="A602" s="172"/>
      <c r="F602" s="174"/>
      <c r="G602" s="174"/>
      <c r="H602" s="174"/>
      <c r="J602" s="174"/>
      <c r="L602" s="175"/>
      <c r="M602" s="182"/>
      <c r="N602" s="177"/>
      <c r="O602" s="177"/>
    </row>
    <row r="603" spans="1:15" x14ac:dyDescent="0.25">
      <c r="A603" s="172"/>
      <c r="F603" s="174"/>
      <c r="G603" s="174"/>
      <c r="H603" s="174"/>
      <c r="J603" s="174"/>
      <c r="L603" s="175"/>
      <c r="M603" s="182"/>
      <c r="N603" s="177"/>
      <c r="O603" s="177"/>
    </row>
    <row r="604" spans="1:15" x14ac:dyDescent="0.25">
      <c r="A604" s="172"/>
      <c r="F604" s="174"/>
      <c r="G604" s="174"/>
      <c r="H604" s="174"/>
      <c r="J604" s="174"/>
      <c r="L604" s="175"/>
      <c r="M604" s="182"/>
      <c r="N604" s="177"/>
      <c r="O604" s="177"/>
    </row>
    <row r="605" spans="1:15" x14ac:dyDescent="0.25">
      <c r="A605" s="172"/>
      <c r="F605" s="174"/>
      <c r="G605" s="174"/>
      <c r="H605" s="174"/>
      <c r="J605" s="174"/>
      <c r="L605" s="175"/>
      <c r="M605" s="182"/>
      <c r="N605" s="177"/>
      <c r="O605" s="177"/>
    </row>
    <row r="606" spans="1:15" x14ac:dyDescent="0.25">
      <c r="A606" s="172"/>
      <c r="F606" s="174"/>
      <c r="G606" s="174"/>
      <c r="H606" s="174"/>
      <c r="J606" s="174"/>
      <c r="L606" s="175"/>
      <c r="M606" s="182"/>
      <c r="N606" s="177"/>
      <c r="O606" s="177"/>
    </row>
    <row r="607" spans="1:15" x14ac:dyDescent="0.25">
      <c r="A607" s="172"/>
      <c r="F607" s="174"/>
      <c r="G607" s="174"/>
      <c r="H607" s="174"/>
      <c r="J607" s="174"/>
      <c r="L607" s="175"/>
      <c r="M607" s="182"/>
      <c r="N607" s="177"/>
      <c r="O607" s="177"/>
    </row>
    <row r="608" spans="1:15" x14ac:dyDescent="0.25">
      <c r="A608" s="172"/>
      <c r="F608" s="174"/>
      <c r="G608" s="174"/>
      <c r="H608" s="174"/>
      <c r="J608" s="174"/>
      <c r="L608" s="175"/>
      <c r="M608" s="182"/>
      <c r="N608" s="177"/>
      <c r="O608" s="177"/>
    </row>
    <row r="609" spans="1:15" x14ac:dyDescent="0.25">
      <c r="A609" s="172"/>
      <c r="F609" s="174"/>
      <c r="G609" s="174"/>
      <c r="H609" s="174"/>
      <c r="J609" s="174"/>
      <c r="L609" s="175"/>
      <c r="M609" s="182"/>
      <c r="N609" s="177"/>
      <c r="O609" s="177"/>
    </row>
    <row r="610" spans="1:15" x14ac:dyDescent="0.25">
      <c r="A610" s="172"/>
      <c r="F610" s="174"/>
      <c r="G610" s="174"/>
      <c r="H610" s="174"/>
      <c r="J610" s="174"/>
      <c r="L610" s="175"/>
      <c r="M610" s="182"/>
      <c r="N610" s="177"/>
      <c r="O610" s="177"/>
    </row>
    <row r="611" spans="1:15" x14ac:dyDescent="0.25">
      <c r="A611" s="172"/>
      <c r="F611" s="174"/>
      <c r="G611" s="174"/>
      <c r="H611" s="174"/>
      <c r="J611" s="174"/>
      <c r="L611" s="175"/>
      <c r="M611" s="182"/>
      <c r="N611" s="177"/>
      <c r="O611" s="177"/>
    </row>
    <row r="612" spans="1:15" x14ac:dyDescent="0.25">
      <c r="A612" s="172"/>
      <c r="F612" s="174"/>
      <c r="G612" s="174"/>
      <c r="H612" s="174"/>
      <c r="J612" s="174"/>
      <c r="L612" s="175"/>
      <c r="M612" s="182"/>
      <c r="N612" s="177"/>
      <c r="O612" s="177"/>
    </row>
    <row r="613" spans="1:15" x14ac:dyDescent="0.25">
      <c r="A613" s="172"/>
      <c r="F613" s="174"/>
      <c r="G613" s="174"/>
      <c r="H613" s="174"/>
      <c r="J613" s="174"/>
      <c r="L613" s="175"/>
      <c r="M613" s="182"/>
      <c r="N613" s="177"/>
      <c r="O613" s="177"/>
    </row>
    <row r="614" spans="1:15" x14ac:dyDescent="0.25">
      <c r="A614" s="172"/>
      <c r="F614" s="174"/>
      <c r="G614" s="174"/>
      <c r="H614" s="174"/>
      <c r="J614" s="174"/>
      <c r="L614" s="175"/>
      <c r="M614" s="182"/>
      <c r="N614" s="177"/>
      <c r="O614" s="177"/>
    </row>
    <row r="615" spans="1:15" x14ac:dyDescent="0.25">
      <c r="A615" s="172"/>
      <c r="F615" s="174"/>
      <c r="G615" s="174"/>
      <c r="H615" s="174"/>
      <c r="J615" s="174"/>
      <c r="L615" s="175"/>
      <c r="M615" s="182"/>
      <c r="N615" s="177"/>
      <c r="O615" s="177"/>
    </row>
    <row r="616" spans="1:15" x14ac:dyDescent="0.25">
      <c r="A616" s="172"/>
      <c r="F616" s="174"/>
      <c r="G616" s="174"/>
      <c r="H616" s="174"/>
      <c r="J616" s="174"/>
      <c r="L616" s="175"/>
      <c r="M616" s="182"/>
      <c r="N616" s="177"/>
      <c r="O616" s="177"/>
    </row>
    <row r="617" spans="1:15" x14ac:dyDescent="0.25">
      <c r="A617" s="172"/>
      <c r="F617" s="174"/>
      <c r="G617" s="174"/>
      <c r="H617" s="174"/>
      <c r="J617" s="174"/>
      <c r="L617" s="175"/>
      <c r="M617" s="182"/>
      <c r="N617" s="177"/>
      <c r="O617" s="177"/>
    </row>
    <row r="618" spans="1:15" x14ac:dyDescent="0.25">
      <c r="A618" s="172"/>
      <c r="F618" s="174"/>
      <c r="G618" s="174"/>
      <c r="H618" s="174"/>
      <c r="J618" s="174"/>
      <c r="L618" s="175"/>
      <c r="M618" s="182"/>
      <c r="N618" s="177"/>
      <c r="O618" s="177"/>
    </row>
    <row r="619" spans="1:15" x14ac:dyDescent="0.25">
      <c r="A619" s="172"/>
      <c r="F619" s="174"/>
      <c r="G619" s="174"/>
      <c r="H619" s="174"/>
      <c r="J619" s="174"/>
      <c r="L619" s="175"/>
      <c r="M619" s="182"/>
      <c r="N619" s="177"/>
      <c r="O619" s="177"/>
    </row>
    <row r="620" spans="1:15" x14ac:dyDescent="0.25">
      <c r="A620" s="172"/>
      <c r="F620" s="174"/>
      <c r="G620" s="174"/>
      <c r="H620" s="174"/>
      <c r="J620" s="174"/>
      <c r="L620" s="175"/>
      <c r="M620" s="182"/>
      <c r="N620" s="177"/>
      <c r="O620" s="177"/>
    </row>
    <row r="621" spans="1:15" x14ac:dyDescent="0.25">
      <c r="A621" s="172"/>
      <c r="F621" s="174"/>
      <c r="G621" s="174"/>
      <c r="H621" s="174"/>
      <c r="J621" s="174"/>
      <c r="L621" s="175"/>
      <c r="M621" s="182"/>
      <c r="N621" s="177"/>
      <c r="O621" s="177"/>
    </row>
    <row r="622" spans="1:15" x14ac:dyDescent="0.25">
      <c r="A622" s="172"/>
      <c r="F622" s="174"/>
      <c r="G622" s="174"/>
      <c r="H622" s="174"/>
      <c r="J622" s="174"/>
      <c r="L622" s="175"/>
      <c r="M622" s="182"/>
      <c r="N622" s="177"/>
      <c r="O622" s="177"/>
    </row>
    <row r="623" spans="1:15" x14ac:dyDescent="0.25">
      <c r="A623" s="172"/>
      <c r="F623" s="174"/>
      <c r="G623" s="174"/>
      <c r="H623" s="174"/>
      <c r="J623" s="174"/>
      <c r="L623" s="175"/>
      <c r="M623" s="182"/>
      <c r="N623" s="177"/>
      <c r="O623" s="177"/>
    </row>
    <row r="624" spans="1:15" x14ac:dyDescent="0.25">
      <c r="A624" s="172"/>
      <c r="F624" s="174"/>
      <c r="G624" s="174"/>
      <c r="H624" s="174"/>
      <c r="J624" s="174"/>
      <c r="L624" s="175"/>
      <c r="M624" s="182"/>
      <c r="N624" s="177"/>
      <c r="O624" s="177"/>
    </row>
    <row r="625" spans="1:15" x14ac:dyDescent="0.25">
      <c r="A625" s="172"/>
      <c r="F625" s="174"/>
      <c r="G625" s="174"/>
      <c r="H625" s="174"/>
      <c r="J625" s="174"/>
      <c r="L625" s="175"/>
      <c r="M625" s="182"/>
      <c r="N625" s="177"/>
      <c r="O625" s="177"/>
    </row>
    <row r="626" spans="1:15" x14ac:dyDescent="0.25">
      <c r="A626" s="172"/>
      <c r="F626" s="174"/>
      <c r="G626" s="174"/>
      <c r="H626" s="174"/>
      <c r="J626" s="174"/>
      <c r="L626" s="175"/>
      <c r="M626" s="182"/>
      <c r="N626" s="177"/>
      <c r="O626" s="177"/>
    </row>
    <row r="627" spans="1:15" x14ac:dyDescent="0.25">
      <c r="A627" s="172"/>
      <c r="F627" s="174"/>
      <c r="G627" s="174"/>
      <c r="H627" s="174"/>
      <c r="J627" s="174"/>
      <c r="L627" s="175"/>
      <c r="M627" s="182"/>
      <c r="N627" s="177"/>
      <c r="O627" s="177"/>
    </row>
    <row r="628" spans="1:15" x14ac:dyDescent="0.25">
      <c r="A628" s="172"/>
      <c r="F628" s="174"/>
      <c r="G628" s="174"/>
      <c r="H628" s="174"/>
      <c r="J628" s="174"/>
      <c r="L628" s="175"/>
      <c r="M628" s="182"/>
      <c r="N628" s="177"/>
      <c r="O628" s="177"/>
    </row>
    <row r="629" spans="1:15" x14ac:dyDescent="0.25">
      <c r="A629" s="172"/>
      <c r="F629" s="174"/>
      <c r="G629" s="174"/>
      <c r="H629" s="174"/>
      <c r="J629" s="174"/>
      <c r="L629" s="175"/>
      <c r="M629" s="182"/>
      <c r="N629" s="177"/>
      <c r="O629" s="177"/>
    </row>
    <row r="630" spans="1:15" x14ac:dyDescent="0.25">
      <c r="A630" s="172"/>
      <c r="F630" s="174"/>
      <c r="G630" s="174"/>
      <c r="H630" s="174"/>
      <c r="J630" s="174"/>
      <c r="L630" s="175"/>
      <c r="M630" s="182"/>
      <c r="N630" s="177"/>
      <c r="O630" s="177"/>
    </row>
    <row r="631" spans="1:15" x14ac:dyDescent="0.25">
      <c r="A631" s="172"/>
      <c r="F631" s="174"/>
      <c r="G631" s="174"/>
      <c r="H631" s="174"/>
      <c r="J631" s="174"/>
      <c r="L631" s="175"/>
      <c r="M631" s="182"/>
      <c r="N631" s="177"/>
      <c r="O631" s="177"/>
    </row>
    <row r="632" spans="1:15" x14ac:dyDescent="0.25">
      <c r="A632" s="172"/>
      <c r="F632" s="174"/>
      <c r="G632" s="174"/>
      <c r="H632" s="174"/>
      <c r="J632" s="174"/>
      <c r="L632" s="175"/>
      <c r="M632" s="182"/>
      <c r="N632" s="177"/>
      <c r="O632" s="177"/>
    </row>
    <row r="633" spans="1:15" x14ac:dyDescent="0.25">
      <c r="A633" s="172"/>
      <c r="F633" s="174"/>
      <c r="G633" s="174"/>
      <c r="H633" s="174"/>
      <c r="J633" s="174"/>
      <c r="L633" s="175"/>
      <c r="M633" s="182"/>
      <c r="N633" s="177"/>
      <c r="O633" s="177"/>
    </row>
    <row r="634" spans="1:15" x14ac:dyDescent="0.25">
      <c r="A634" s="172"/>
      <c r="F634" s="174"/>
      <c r="G634" s="174"/>
      <c r="H634" s="174"/>
      <c r="J634" s="174"/>
      <c r="L634" s="175"/>
      <c r="M634" s="182"/>
      <c r="N634" s="177"/>
      <c r="O634" s="177"/>
    </row>
    <row r="635" spans="1:15" x14ac:dyDescent="0.25">
      <c r="A635" s="172"/>
      <c r="F635" s="174"/>
      <c r="G635" s="174"/>
      <c r="H635" s="174"/>
      <c r="J635" s="174"/>
      <c r="L635" s="175"/>
      <c r="M635" s="182"/>
      <c r="N635" s="177"/>
      <c r="O635" s="177"/>
    </row>
    <row r="636" spans="1:15" x14ac:dyDescent="0.25">
      <c r="A636" s="172"/>
      <c r="F636" s="174"/>
      <c r="G636" s="174"/>
      <c r="H636" s="174"/>
      <c r="J636" s="174"/>
      <c r="L636" s="175"/>
      <c r="M636" s="182"/>
      <c r="N636" s="177"/>
      <c r="O636" s="177"/>
    </row>
    <row r="637" spans="1:15" x14ac:dyDescent="0.25">
      <c r="A637" s="172"/>
      <c r="F637" s="174"/>
      <c r="G637" s="174"/>
      <c r="H637" s="174"/>
      <c r="J637" s="174"/>
      <c r="L637" s="175"/>
      <c r="M637" s="182"/>
      <c r="N637" s="177"/>
      <c r="O637" s="177"/>
    </row>
    <row r="638" spans="1:15" x14ac:dyDescent="0.25">
      <c r="A638" s="172"/>
      <c r="F638" s="174"/>
      <c r="G638" s="174"/>
      <c r="H638" s="174"/>
      <c r="J638" s="174"/>
      <c r="L638" s="175"/>
      <c r="M638" s="182"/>
      <c r="N638" s="177"/>
      <c r="O638" s="177"/>
    </row>
    <row r="639" spans="1:15" x14ac:dyDescent="0.25">
      <c r="A639" s="172"/>
      <c r="F639" s="174"/>
      <c r="G639" s="174"/>
      <c r="H639" s="174"/>
      <c r="J639" s="174"/>
      <c r="L639" s="175"/>
      <c r="M639" s="182"/>
      <c r="N639" s="177"/>
      <c r="O639" s="177"/>
    </row>
    <row r="640" spans="1:15" x14ac:dyDescent="0.25">
      <c r="A640" s="172"/>
      <c r="F640" s="174"/>
      <c r="G640" s="174"/>
      <c r="H640" s="174"/>
      <c r="J640" s="174"/>
      <c r="L640" s="175"/>
      <c r="M640" s="182"/>
      <c r="N640" s="177"/>
      <c r="O640" s="177"/>
    </row>
    <row r="641" spans="1:15" x14ac:dyDescent="0.25">
      <c r="A641" s="172"/>
      <c r="F641" s="174"/>
      <c r="G641" s="174"/>
      <c r="H641" s="174"/>
      <c r="J641" s="174"/>
      <c r="L641" s="175"/>
      <c r="M641" s="182"/>
      <c r="N641" s="177"/>
      <c r="O641" s="177"/>
    </row>
    <row r="642" spans="1:15" x14ac:dyDescent="0.25">
      <c r="A642" s="172"/>
      <c r="F642" s="174"/>
      <c r="G642" s="174"/>
      <c r="H642" s="174"/>
      <c r="J642" s="174"/>
      <c r="L642" s="175"/>
      <c r="M642" s="182"/>
      <c r="N642" s="177"/>
      <c r="O642" s="177"/>
    </row>
    <row r="643" spans="1:15" x14ac:dyDescent="0.25">
      <c r="A643" s="172"/>
      <c r="F643" s="174"/>
      <c r="G643" s="174"/>
      <c r="H643" s="174"/>
      <c r="J643" s="174"/>
      <c r="L643" s="175"/>
      <c r="M643" s="182"/>
      <c r="N643" s="177"/>
      <c r="O643" s="177"/>
    </row>
    <row r="644" spans="1:15" x14ac:dyDescent="0.25">
      <c r="A644" s="172"/>
      <c r="F644" s="174"/>
      <c r="G644" s="174"/>
      <c r="H644" s="174"/>
      <c r="J644" s="174"/>
      <c r="L644" s="175"/>
      <c r="M644" s="182"/>
      <c r="N644" s="177"/>
      <c r="O644" s="177"/>
    </row>
    <row r="645" spans="1:15" x14ac:dyDescent="0.25">
      <c r="A645" s="172"/>
      <c r="F645" s="174"/>
      <c r="G645" s="174"/>
      <c r="H645" s="174"/>
      <c r="J645" s="174"/>
      <c r="L645" s="175"/>
      <c r="M645" s="182"/>
      <c r="N645" s="177"/>
      <c r="O645" s="177"/>
    </row>
    <row r="646" spans="1:15" x14ac:dyDescent="0.25">
      <c r="A646" s="172"/>
      <c r="F646" s="174"/>
      <c r="G646" s="174"/>
      <c r="H646" s="174"/>
      <c r="J646" s="174"/>
      <c r="L646" s="175"/>
      <c r="M646" s="182"/>
      <c r="N646" s="177"/>
      <c r="O646" s="177"/>
    </row>
    <row r="647" spans="1:15" x14ac:dyDescent="0.25">
      <c r="A647" s="172"/>
      <c r="F647" s="174"/>
      <c r="G647" s="174"/>
      <c r="H647" s="174"/>
      <c r="J647" s="174"/>
      <c r="L647" s="175"/>
      <c r="M647" s="182"/>
      <c r="N647" s="177"/>
      <c r="O647" s="177"/>
    </row>
    <row r="648" spans="1:15" x14ac:dyDescent="0.25">
      <c r="A648" s="172"/>
      <c r="F648" s="174"/>
      <c r="G648" s="174"/>
      <c r="H648" s="174"/>
      <c r="J648" s="174"/>
      <c r="L648" s="175"/>
      <c r="M648" s="182"/>
      <c r="N648" s="177"/>
      <c r="O648" s="177"/>
    </row>
    <row r="649" spans="1:15" x14ac:dyDescent="0.25">
      <c r="A649" s="172"/>
      <c r="F649" s="174"/>
      <c r="G649" s="174"/>
      <c r="H649" s="174"/>
      <c r="J649" s="174"/>
      <c r="L649" s="175"/>
      <c r="M649" s="182"/>
      <c r="N649" s="177"/>
      <c r="O649" s="177"/>
    </row>
    <row r="650" spans="1:15" x14ac:dyDescent="0.25">
      <c r="A650" s="172"/>
      <c r="F650" s="174"/>
      <c r="G650" s="174"/>
      <c r="H650" s="174"/>
      <c r="J650" s="174"/>
      <c r="L650" s="175"/>
      <c r="M650" s="182"/>
      <c r="N650" s="177"/>
      <c r="O650" s="177"/>
    </row>
    <row r="651" spans="1:15" x14ac:dyDescent="0.25">
      <c r="A651" s="172"/>
      <c r="F651" s="174"/>
      <c r="G651" s="174"/>
      <c r="H651" s="174"/>
      <c r="J651" s="174"/>
      <c r="L651" s="175"/>
      <c r="M651" s="182"/>
      <c r="N651" s="177"/>
      <c r="O651" s="177"/>
    </row>
    <row r="652" spans="1:15" x14ac:dyDescent="0.25">
      <c r="A652" s="172"/>
      <c r="F652" s="174"/>
      <c r="G652" s="174"/>
      <c r="H652" s="174"/>
      <c r="J652" s="174"/>
      <c r="L652" s="175"/>
      <c r="M652" s="182"/>
      <c r="N652" s="177"/>
      <c r="O652" s="177"/>
    </row>
    <row r="653" spans="1:15" x14ac:dyDescent="0.25">
      <c r="A653" s="172"/>
      <c r="F653" s="174"/>
      <c r="G653" s="174"/>
      <c r="H653" s="174"/>
      <c r="J653" s="174"/>
      <c r="L653" s="175"/>
      <c r="M653" s="182"/>
      <c r="N653" s="177"/>
      <c r="O653" s="177"/>
    </row>
    <row r="654" spans="1:15" x14ac:dyDescent="0.25">
      <c r="A654" s="172"/>
      <c r="F654" s="174"/>
      <c r="G654" s="174"/>
      <c r="H654" s="174"/>
      <c r="J654" s="174"/>
      <c r="L654" s="175"/>
      <c r="M654" s="182"/>
      <c r="N654" s="177"/>
      <c r="O654" s="177"/>
    </row>
    <row r="655" spans="1:15" x14ac:dyDescent="0.25">
      <c r="A655" s="172"/>
      <c r="F655" s="174"/>
      <c r="G655" s="174"/>
      <c r="H655" s="174"/>
      <c r="J655" s="174"/>
      <c r="L655" s="175"/>
      <c r="M655" s="182"/>
      <c r="N655" s="177"/>
      <c r="O655" s="177"/>
    </row>
    <row r="656" spans="1:15" x14ac:dyDescent="0.25">
      <c r="A656" s="172"/>
      <c r="F656" s="174"/>
      <c r="G656" s="174"/>
      <c r="H656" s="174"/>
      <c r="J656" s="174"/>
      <c r="L656" s="175"/>
      <c r="M656" s="182"/>
      <c r="N656" s="177"/>
      <c r="O656" s="177"/>
    </row>
    <row r="657" spans="1:15" x14ac:dyDescent="0.25">
      <c r="A657" s="172"/>
      <c r="F657" s="174"/>
      <c r="G657" s="174"/>
      <c r="H657" s="174"/>
      <c r="J657" s="174"/>
      <c r="L657" s="175"/>
      <c r="M657" s="182"/>
      <c r="N657" s="177"/>
      <c r="O657" s="177"/>
    </row>
    <row r="658" spans="1:15" x14ac:dyDescent="0.25">
      <c r="A658" s="172"/>
      <c r="F658" s="174"/>
      <c r="G658" s="174"/>
      <c r="H658" s="174"/>
      <c r="J658" s="174"/>
      <c r="L658" s="175"/>
      <c r="M658" s="182"/>
      <c r="N658" s="177"/>
      <c r="O658" s="177"/>
    </row>
    <row r="659" spans="1:15" x14ac:dyDescent="0.25">
      <c r="A659" s="172"/>
      <c r="F659" s="174"/>
      <c r="G659" s="174"/>
      <c r="H659" s="174"/>
      <c r="J659" s="174"/>
      <c r="L659" s="175"/>
      <c r="M659" s="182"/>
      <c r="N659" s="177"/>
      <c r="O659" s="177"/>
    </row>
    <row r="660" spans="1:15" x14ac:dyDescent="0.25">
      <c r="A660" s="172"/>
      <c r="F660" s="174"/>
      <c r="G660" s="174"/>
      <c r="H660" s="174"/>
      <c r="J660" s="174"/>
      <c r="L660" s="175"/>
      <c r="M660" s="182"/>
      <c r="N660" s="177"/>
      <c r="O660" s="177"/>
    </row>
    <row r="661" spans="1:15" x14ac:dyDescent="0.25">
      <c r="A661" s="172"/>
      <c r="F661" s="174"/>
      <c r="G661" s="174"/>
      <c r="H661" s="174"/>
      <c r="J661" s="174"/>
      <c r="L661" s="175"/>
      <c r="M661" s="182"/>
      <c r="N661" s="177"/>
      <c r="O661" s="177"/>
    </row>
    <row r="662" spans="1:15" x14ac:dyDescent="0.25">
      <c r="A662" s="172"/>
      <c r="F662" s="174"/>
      <c r="G662" s="174"/>
      <c r="H662" s="174"/>
      <c r="J662" s="174"/>
      <c r="L662" s="175"/>
      <c r="M662" s="182"/>
      <c r="N662" s="177"/>
      <c r="O662" s="177"/>
    </row>
    <row r="663" spans="1:15" x14ac:dyDescent="0.25">
      <c r="A663" s="172"/>
      <c r="F663" s="174"/>
      <c r="G663" s="174"/>
      <c r="H663" s="174"/>
      <c r="J663" s="174"/>
      <c r="L663" s="175"/>
      <c r="M663" s="182"/>
      <c r="N663" s="177"/>
      <c r="O663" s="177"/>
    </row>
    <row r="664" spans="1:15" x14ac:dyDescent="0.25">
      <c r="A664" s="172"/>
      <c r="F664" s="174"/>
      <c r="G664" s="174"/>
      <c r="H664" s="174"/>
      <c r="J664" s="174"/>
      <c r="L664" s="175"/>
      <c r="M664" s="182"/>
      <c r="N664" s="177"/>
      <c r="O664" s="177"/>
    </row>
    <row r="665" spans="1:15" x14ac:dyDescent="0.25">
      <c r="A665" s="172"/>
      <c r="F665" s="174"/>
      <c r="G665" s="174"/>
      <c r="H665" s="174"/>
      <c r="J665" s="174"/>
      <c r="L665" s="175"/>
      <c r="M665" s="182"/>
      <c r="N665" s="177"/>
      <c r="O665" s="177"/>
    </row>
    <row r="666" spans="1:15" x14ac:dyDescent="0.25">
      <c r="A666" s="172"/>
      <c r="F666" s="174"/>
      <c r="G666" s="174"/>
      <c r="H666" s="174"/>
      <c r="J666" s="174"/>
      <c r="L666" s="175"/>
      <c r="M666" s="182"/>
      <c r="N666" s="177"/>
      <c r="O666" s="177"/>
    </row>
    <row r="667" spans="1:15" x14ac:dyDescent="0.25">
      <c r="A667" s="172"/>
      <c r="F667" s="174"/>
      <c r="G667" s="174"/>
      <c r="H667" s="174"/>
      <c r="J667" s="174"/>
      <c r="L667" s="175"/>
      <c r="M667" s="182"/>
      <c r="N667" s="177"/>
      <c r="O667" s="177"/>
    </row>
    <row r="668" spans="1:15" x14ac:dyDescent="0.25">
      <c r="A668" s="172"/>
      <c r="F668" s="174"/>
      <c r="G668" s="174"/>
      <c r="H668" s="174"/>
      <c r="J668" s="174"/>
      <c r="L668" s="175"/>
      <c r="M668" s="182"/>
      <c r="N668" s="177"/>
      <c r="O668" s="177"/>
    </row>
    <row r="669" spans="1:15" x14ac:dyDescent="0.25">
      <c r="A669" s="172"/>
      <c r="F669" s="174"/>
      <c r="G669" s="174"/>
      <c r="H669" s="174"/>
      <c r="J669" s="174"/>
      <c r="L669" s="175"/>
      <c r="M669" s="182"/>
      <c r="N669" s="177"/>
      <c r="O669" s="177"/>
    </row>
    <row r="670" spans="1:15" x14ac:dyDescent="0.25">
      <c r="A670" s="172"/>
      <c r="F670" s="174"/>
      <c r="G670" s="174"/>
      <c r="H670" s="174"/>
      <c r="J670" s="174"/>
      <c r="L670" s="175"/>
      <c r="M670" s="182"/>
      <c r="N670" s="177"/>
      <c r="O670" s="177"/>
    </row>
    <row r="671" spans="1:15" x14ac:dyDescent="0.25">
      <c r="A671" s="172"/>
      <c r="F671" s="174"/>
      <c r="G671" s="174"/>
      <c r="H671" s="174"/>
      <c r="J671" s="174"/>
      <c r="L671" s="175"/>
      <c r="M671" s="182"/>
      <c r="N671" s="177"/>
      <c r="O671" s="177"/>
    </row>
    <row r="672" spans="1:15" x14ac:dyDescent="0.25">
      <c r="A672" s="172"/>
      <c r="F672" s="174"/>
      <c r="G672" s="174"/>
      <c r="H672" s="174"/>
      <c r="J672" s="174"/>
      <c r="L672" s="175"/>
      <c r="M672" s="182"/>
      <c r="N672" s="177"/>
      <c r="O672" s="177"/>
    </row>
    <row r="673" spans="1:22" x14ac:dyDescent="0.25">
      <c r="A673" s="172"/>
      <c r="F673" s="174"/>
      <c r="G673" s="174"/>
      <c r="H673" s="174"/>
      <c r="J673" s="174"/>
      <c r="L673" s="175"/>
      <c r="M673" s="182"/>
      <c r="N673" s="177"/>
      <c r="O673" s="177"/>
    </row>
    <row r="674" spans="1:22" x14ac:dyDescent="0.25">
      <c r="A674" s="172"/>
      <c r="F674" s="174"/>
      <c r="G674" s="174"/>
      <c r="H674" s="174"/>
      <c r="J674" s="174"/>
      <c r="L674" s="175"/>
      <c r="M674" s="182"/>
      <c r="N674" s="177"/>
      <c r="O674" s="177"/>
    </row>
    <row r="675" spans="1:22" x14ac:dyDescent="0.25">
      <c r="A675" s="172"/>
      <c r="F675" s="174"/>
      <c r="G675" s="174"/>
      <c r="H675" s="174"/>
      <c r="J675" s="174"/>
      <c r="L675" s="175"/>
      <c r="M675" s="182"/>
      <c r="N675" s="177"/>
      <c r="O675" s="177"/>
    </row>
    <row r="676" spans="1:22" x14ac:dyDescent="0.25">
      <c r="A676" s="172"/>
      <c r="F676" s="174"/>
      <c r="G676" s="174"/>
      <c r="H676" s="174"/>
      <c r="J676" s="174"/>
      <c r="L676" s="175"/>
      <c r="M676" s="182"/>
      <c r="N676" s="177"/>
      <c r="P676" s="183"/>
      <c r="Q676" s="184"/>
      <c r="R676" s="185"/>
      <c r="S676" s="176"/>
      <c r="T676" s="172"/>
      <c r="U676" s="181"/>
      <c r="V676" s="181"/>
    </row>
    <row r="677" spans="1:22" x14ac:dyDescent="0.25">
      <c r="A677" s="172"/>
      <c r="F677" s="174"/>
      <c r="G677" s="174"/>
      <c r="H677" s="174"/>
      <c r="J677" s="174"/>
      <c r="L677" s="175"/>
      <c r="M677" s="182"/>
      <c r="N677" s="177"/>
      <c r="P677" s="183"/>
      <c r="Q677" s="184"/>
      <c r="R677" s="185"/>
      <c r="S677" s="176"/>
      <c r="T677" s="172"/>
      <c r="U677" s="181"/>
      <c r="V677" s="181"/>
    </row>
    <row r="678" spans="1:22" x14ac:dyDescent="0.25">
      <c r="A678" s="172"/>
      <c r="F678" s="174"/>
      <c r="G678" s="174"/>
      <c r="H678" s="174"/>
      <c r="J678" s="174"/>
      <c r="L678" s="175"/>
      <c r="M678" s="182"/>
      <c r="N678" s="177"/>
      <c r="P678" s="183"/>
      <c r="Q678" s="184"/>
      <c r="R678" s="185"/>
      <c r="S678" s="176"/>
      <c r="T678" s="172"/>
      <c r="U678" s="181"/>
      <c r="V678" s="181"/>
    </row>
    <row r="679" spans="1:22" x14ac:dyDescent="0.25">
      <c r="A679" s="172"/>
      <c r="F679" s="174"/>
      <c r="G679" s="174"/>
      <c r="H679" s="174"/>
      <c r="J679" s="174"/>
      <c r="L679" s="175"/>
      <c r="M679" s="182"/>
      <c r="N679" s="177"/>
      <c r="P679" s="183"/>
      <c r="Q679" s="184"/>
      <c r="R679" s="185"/>
      <c r="S679" s="176"/>
      <c r="T679" s="172"/>
      <c r="U679" s="181"/>
      <c r="V679" s="181"/>
    </row>
    <row r="680" spans="1:22" x14ac:dyDescent="0.25">
      <c r="A680" s="172"/>
      <c r="F680" s="174"/>
      <c r="G680" s="174"/>
      <c r="H680" s="174"/>
      <c r="J680" s="174"/>
      <c r="L680" s="175"/>
      <c r="M680" s="182"/>
      <c r="N680" s="177"/>
      <c r="P680" s="183"/>
      <c r="Q680" s="184"/>
      <c r="R680" s="185"/>
      <c r="S680" s="176"/>
      <c r="T680" s="172"/>
      <c r="U680" s="181"/>
      <c r="V680" s="181"/>
    </row>
    <row r="681" spans="1:22" x14ac:dyDescent="0.25">
      <c r="A681" s="172"/>
      <c r="F681" s="174"/>
      <c r="G681" s="174"/>
      <c r="H681" s="174"/>
      <c r="J681" s="174"/>
      <c r="L681" s="175"/>
      <c r="M681" s="182"/>
      <c r="N681" s="177"/>
      <c r="P681" s="183"/>
      <c r="Q681" s="184"/>
      <c r="R681" s="185"/>
      <c r="S681" s="176"/>
      <c r="T681" s="172"/>
      <c r="U681" s="181"/>
      <c r="V681" s="181"/>
    </row>
    <row r="682" spans="1:22" x14ac:dyDescent="0.25">
      <c r="A682" s="172"/>
      <c r="F682" s="174"/>
      <c r="G682" s="174"/>
      <c r="H682" s="174"/>
      <c r="J682" s="174"/>
      <c r="L682" s="175"/>
      <c r="M682" s="182"/>
      <c r="N682" s="177"/>
      <c r="P682" s="183"/>
      <c r="Q682" s="184"/>
      <c r="R682" s="185"/>
      <c r="S682" s="176"/>
      <c r="T682" s="172"/>
      <c r="U682" s="181"/>
      <c r="V682" s="181"/>
    </row>
    <row r="683" spans="1:22" x14ac:dyDescent="0.25">
      <c r="A683" s="172"/>
      <c r="F683" s="174"/>
      <c r="G683" s="174"/>
      <c r="H683" s="174"/>
      <c r="J683" s="174"/>
      <c r="L683" s="175"/>
      <c r="M683" s="182"/>
      <c r="N683" s="177"/>
      <c r="P683" s="183"/>
      <c r="Q683" s="184"/>
      <c r="R683" s="185"/>
      <c r="S683" s="176"/>
      <c r="T683" s="172"/>
      <c r="U683" s="181"/>
      <c r="V683" s="181"/>
    </row>
    <row r="684" spans="1:22" x14ac:dyDescent="0.25">
      <c r="A684" s="172"/>
      <c r="F684" s="174"/>
      <c r="G684" s="174"/>
      <c r="H684" s="174"/>
      <c r="J684" s="174"/>
      <c r="L684" s="175"/>
      <c r="M684" s="182"/>
      <c r="N684" s="177"/>
      <c r="P684" s="183"/>
      <c r="Q684" s="184"/>
      <c r="R684" s="185"/>
      <c r="S684" s="176"/>
      <c r="T684" s="172"/>
      <c r="U684" s="181"/>
      <c r="V684" s="181"/>
    </row>
    <row r="685" spans="1:22" x14ac:dyDescent="0.25">
      <c r="A685" s="172"/>
      <c r="F685" s="174"/>
      <c r="G685" s="174"/>
      <c r="H685" s="174"/>
      <c r="J685" s="174"/>
      <c r="L685" s="175"/>
      <c r="M685" s="182"/>
      <c r="N685" s="177"/>
      <c r="P685" s="183"/>
      <c r="Q685" s="184"/>
      <c r="R685" s="185"/>
      <c r="S685" s="176"/>
      <c r="T685" s="172"/>
      <c r="U685" s="181"/>
      <c r="V685" s="181"/>
    </row>
    <row r="686" spans="1:22" x14ac:dyDescent="0.25">
      <c r="A686" s="172"/>
      <c r="F686" s="174"/>
      <c r="G686" s="174"/>
      <c r="H686" s="174"/>
      <c r="J686" s="174"/>
      <c r="L686" s="175"/>
      <c r="M686" s="182"/>
      <c r="N686" s="177"/>
      <c r="P686" s="183"/>
      <c r="Q686" s="184"/>
      <c r="R686" s="185"/>
      <c r="S686" s="176"/>
      <c r="T686" s="172"/>
      <c r="U686" s="181"/>
      <c r="V686" s="181"/>
    </row>
    <row r="687" spans="1:22" x14ac:dyDescent="0.25">
      <c r="A687" s="172"/>
      <c r="F687" s="174"/>
      <c r="G687" s="174"/>
      <c r="H687" s="174"/>
      <c r="J687" s="174"/>
      <c r="L687" s="175"/>
      <c r="M687" s="182"/>
      <c r="N687" s="177"/>
      <c r="P687" s="183"/>
      <c r="Q687" s="184"/>
      <c r="R687" s="185"/>
      <c r="S687" s="176"/>
      <c r="T687" s="172"/>
      <c r="U687" s="181"/>
      <c r="V687" s="181"/>
    </row>
    <row r="688" spans="1:22" x14ac:dyDescent="0.25">
      <c r="A688" s="172"/>
      <c r="F688" s="174"/>
      <c r="G688" s="174"/>
      <c r="H688" s="174"/>
      <c r="J688" s="174"/>
      <c r="L688" s="175"/>
      <c r="M688" s="182"/>
      <c r="N688" s="177"/>
      <c r="P688" s="183"/>
      <c r="Q688" s="184"/>
      <c r="R688" s="185"/>
      <c r="S688" s="176"/>
      <c r="T688" s="172"/>
      <c r="U688" s="181"/>
      <c r="V688" s="181"/>
    </row>
    <row r="689" spans="1:22" x14ac:dyDescent="0.25">
      <c r="A689" s="172"/>
      <c r="F689" s="174"/>
      <c r="G689" s="174"/>
      <c r="H689" s="174"/>
      <c r="J689" s="174"/>
      <c r="L689" s="175"/>
      <c r="M689" s="182"/>
      <c r="N689" s="177"/>
      <c r="P689" s="183"/>
      <c r="Q689" s="184"/>
      <c r="R689" s="185"/>
      <c r="S689" s="176"/>
      <c r="T689" s="172"/>
      <c r="U689" s="181"/>
      <c r="V689" s="181"/>
    </row>
    <row r="690" spans="1:22" x14ac:dyDescent="0.25">
      <c r="A690" s="172"/>
      <c r="F690" s="174"/>
      <c r="G690" s="174"/>
      <c r="H690" s="174"/>
      <c r="J690" s="174"/>
      <c r="L690" s="175"/>
      <c r="M690" s="182"/>
      <c r="N690" s="177"/>
      <c r="P690" s="183"/>
      <c r="Q690" s="184"/>
      <c r="R690" s="185"/>
      <c r="S690" s="176"/>
      <c r="T690" s="172"/>
      <c r="U690" s="181"/>
      <c r="V690" s="181"/>
    </row>
    <row r="691" spans="1:22" x14ac:dyDescent="0.25">
      <c r="A691" s="172"/>
      <c r="F691" s="174"/>
      <c r="G691" s="174"/>
      <c r="H691" s="174"/>
      <c r="J691" s="174"/>
      <c r="L691" s="175"/>
      <c r="M691" s="182"/>
      <c r="N691" s="177"/>
      <c r="P691" s="183"/>
      <c r="Q691" s="184"/>
      <c r="R691" s="185"/>
      <c r="S691" s="176"/>
      <c r="T691" s="172"/>
      <c r="U691" s="181"/>
      <c r="V691" s="181"/>
    </row>
    <row r="692" spans="1:22" x14ac:dyDescent="0.25">
      <c r="A692" s="172"/>
      <c r="F692" s="174"/>
      <c r="G692" s="174"/>
      <c r="H692" s="174"/>
      <c r="J692" s="174"/>
      <c r="L692" s="175"/>
      <c r="M692" s="182"/>
      <c r="N692" s="177"/>
      <c r="P692" s="183"/>
      <c r="Q692" s="184"/>
      <c r="R692" s="185"/>
      <c r="S692" s="176"/>
      <c r="T692" s="172"/>
      <c r="U692" s="181"/>
      <c r="V692" s="181"/>
    </row>
    <row r="693" spans="1:22" x14ac:dyDescent="0.25">
      <c r="A693" s="172"/>
      <c r="F693" s="174"/>
      <c r="G693" s="174"/>
      <c r="H693" s="174"/>
      <c r="J693" s="174"/>
      <c r="L693" s="175"/>
      <c r="M693" s="182"/>
      <c r="N693" s="177"/>
      <c r="P693" s="183"/>
      <c r="Q693" s="184"/>
      <c r="R693" s="185"/>
      <c r="S693" s="176"/>
      <c r="T693" s="172"/>
      <c r="U693" s="181"/>
      <c r="V693" s="181"/>
    </row>
    <row r="694" spans="1:22" x14ac:dyDescent="0.25">
      <c r="A694" s="172"/>
      <c r="F694" s="174"/>
      <c r="G694" s="174"/>
      <c r="H694" s="174"/>
      <c r="J694" s="174"/>
      <c r="L694" s="175"/>
      <c r="M694" s="182"/>
      <c r="N694" s="177"/>
      <c r="P694" s="183"/>
      <c r="Q694" s="184"/>
      <c r="R694" s="185"/>
      <c r="S694" s="176"/>
      <c r="T694" s="172"/>
      <c r="U694" s="181"/>
      <c r="V694" s="181"/>
    </row>
    <row r="695" spans="1:22" x14ac:dyDescent="0.25">
      <c r="A695" s="172"/>
      <c r="F695" s="174"/>
      <c r="G695" s="174"/>
      <c r="H695" s="174"/>
      <c r="J695" s="174"/>
      <c r="L695" s="175"/>
      <c r="M695" s="182"/>
      <c r="N695" s="177"/>
      <c r="P695" s="183"/>
      <c r="Q695" s="184"/>
      <c r="R695" s="185"/>
      <c r="S695" s="176"/>
      <c r="T695" s="172"/>
      <c r="U695" s="181"/>
      <c r="V695" s="181"/>
    </row>
    <row r="696" spans="1:22" x14ac:dyDescent="0.25">
      <c r="A696" s="172"/>
      <c r="F696" s="174"/>
      <c r="G696" s="174"/>
      <c r="H696" s="174"/>
      <c r="J696" s="174"/>
      <c r="L696" s="175"/>
      <c r="M696" s="182"/>
      <c r="N696" s="177"/>
      <c r="P696" s="183"/>
      <c r="Q696" s="184"/>
      <c r="R696" s="185"/>
      <c r="S696" s="176"/>
      <c r="T696" s="172"/>
      <c r="U696" s="181"/>
      <c r="V696" s="181"/>
    </row>
    <row r="697" spans="1:22" x14ac:dyDescent="0.25">
      <c r="A697" s="172"/>
      <c r="F697" s="174"/>
      <c r="G697" s="174"/>
      <c r="H697" s="174"/>
      <c r="J697" s="174"/>
      <c r="L697" s="175"/>
      <c r="M697" s="182"/>
      <c r="N697" s="177"/>
      <c r="P697" s="183"/>
      <c r="Q697" s="184"/>
      <c r="R697" s="185"/>
      <c r="S697" s="176"/>
      <c r="T697" s="172"/>
      <c r="U697" s="181"/>
      <c r="V697" s="181"/>
    </row>
    <row r="698" spans="1:22" x14ac:dyDescent="0.25">
      <c r="A698" s="172"/>
      <c r="F698" s="174"/>
      <c r="G698" s="174"/>
      <c r="H698" s="174"/>
      <c r="J698" s="174"/>
      <c r="L698" s="175"/>
      <c r="M698" s="182"/>
      <c r="N698" s="177"/>
      <c r="P698" s="183"/>
      <c r="Q698" s="184"/>
      <c r="R698" s="185"/>
      <c r="S698" s="176"/>
      <c r="T698" s="172"/>
      <c r="U698" s="181"/>
      <c r="V698" s="181"/>
    </row>
    <row r="699" spans="1:22" x14ac:dyDescent="0.25">
      <c r="A699" s="172"/>
      <c r="F699" s="174"/>
      <c r="G699" s="174"/>
      <c r="H699" s="174"/>
      <c r="J699" s="174"/>
      <c r="L699" s="175"/>
      <c r="M699" s="182"/>
      <c r="N699" s="177"/>
      <c r="P699" s="183"/>
      <c r="Q699" s="184"/>
      <c r="R699" s="185"/>
      <c r="S699" s="176"/>
      <c r="T699" s="172"/>
      <c r="U699" s="181"/>
      <c r="V699" s="181"/>
    </row>
    <row r="700" spans="1:22" x14ac:dyDescent="0.25">
      <c r="A700" s="172"/>
      <c r="F700" s="174"/>
      <c r="G700" s="174"/>
      <c r="H700" s="174"/>
      <c r="J700" s="174"/>
      <c r="L700" s="175"/>
      <c r="M700" s="182"/>
      <c r="N700" s="177"/>
      <c r="P700" s="183"/>
      <c r="Q700" s="184"/>
      <c r="R700" s="185"/>
      <c r="S700" s="176"/>
      <c r="T700" s="172"/>
      <c r="U700" s="181"/>
      <c r="V700" s="181"/>
    </row>
    <row r="701" spans="1:22" x14ac:dyDescent="0.25">
      <c r="A701" s="172"/>
      <c r="F701" s="174"/>
      <c r="G701" s="174"/>
      <c r="H701" s="174"/>
      <c r="J701" s="174"/>
      <c r="L701" s="175"/>
      <c r="M701" s="182"/>
      <c r="N701" s="177"/>
      <c r="P701" s="183"/>
      <c r="Q701" s="184"/>
      <c r="R701" s="185"/>
      <c r="S701" s="176"/>
      <c r="T701" s="172"/>
      <c r="U701" s="181"/>
      <c r="V701" s="181"/>
    </row>
    <row r="702" spans="1:22" x14ac:dyDescent="0.25">
      <c r="A702" s="172"/>
      <c r="F702" s="174"/>
      <c r="G702" s="174"/>
      <c r="H702" s="174"/>
      <c r="J702" s="174"/>
      <c r="L702" s="175"/>
      <c r="M702" s="182"/>
      <c r="N702" s="177"/>
      <c r="P702" s="183"/>
      <c r="Q702" s="184"/>
      <c r="R702" s="185"/>
      <c r="S702" s="176"/>
      <c r="T702" s="172"/>
      <c r="U702" s="181"/>
      <c r="V702" s="181"/>
    </row>
    <row r="703" spans="1:22" x14ac:dyDescent="0.25">
      <c r="A703" s="172"/>
      <c r="F703" s="174"/>
      <c r="G703" s="174"/>
      <c r="H703" s="174"/>
      <c r="J703" s="174"/>
      <c r="L703" s="175"/>
      <c r="M703" s="182"/>
      <c r="N703" s="177"/>
      <c r="P703" s="183"/>
      <c r="Q703" s="184"/>
      <c r="R703" s="185"/>
      <c r="S703" s="176"/>
      <c r="T703" s="172"/>
      <c r="U703" s="181"/>
      <c r="V703" s="181"/>
    </row>
    <row r="704" spans="1:22" x14ac:dyDescent="0.25">
      <c r="A704" s="172"/>
      <c r="F704" s="174"/>
      <c r="G704" s="174"/>
      <c r="H704" s="174"/>
      <c r="J704" s="174"/>
      <c r="L704" s="175"/>
      <c r="M704" s="182"/>
      <c r="N704" s="177"/>
      <c r="P704" s="183"/>
      <c r="Q704" s="184"/>
      <c r="R704" s="185"/>
      <c r="S704" s="176"/>
      <c r="T704" s="172"/>
      <c r="U704" s="181"/>
      <c r="V704" s="181"/>
    </row>
    <row r="705" spans="1:22" x14ac:dyDescent="0.25">
      <c r="A705" s="172"/>
      <c r="F705" s="174"/>
      <c r="G705" s="174"/>
      <c r="H705" s="174"/>
      <c r="J705" s="174"/>
      <c r="L705" s="175"/>
      <c r="M705" s="182"/>
      <c r="N705" s="177"/>
      <c r="P705" s="183"/>
      <c r="Q705" s="184"/>
      <c r="R705" s="185"/>
      <c r="S705" s="176"/>
      <c r="T705" s="172"/>
      <c r="U705" s="181"/>
      <c r="V705" s="181"/>
    </row>
    <row r="706" spans="1:22" x14ac:dyDescent="0.25">
      <c r="A706" s="172"/>
      <c r="F706" s="174"/>
      <c r="G706" s="174"/>
      <c r="H706" s="174"/>
      <c r="J706" s="174"/>
      <c r="L706" s="175"/>
      <c r="M706" s="182"/>
      <c r="N706" s="177"/>
      <c r="P706" s="183"/>
      <c r="Q706" s="184"/>
      <c r="R706" s="185"/>
      <c r="S706" s="176"/>
      <c r="T706" s="172"/>
      <c r="U706" s="181"/>
      <c r="V706" s="181"/>
    </row>
    <row r="707" spans="1:22" x14ac:dyDescent="0.25">
      <c r="A707" s="172"/>
      <c r="F707" s="174"/>
      <c r="G707" s="174"/>
      <c r="H707" s="174"/>
      <c r="J707" s="174"/>
      <c r="L707" s="175"/>
      <c r="M707" s="182"/>
      <c r="N707" s="177"/>
      <c r="P707" s="183"/>
      <c r="Q707" s="184"/>
      <c r="R707" s="185"/>
      <c r="S707" s="176"/>
      <c r="T707" s="172"/>
      <c r="U707" s="181"/>
      <c r="V707" s="181"/>
    </row>
    <row r="708" spans="1:22" x14ac:dyDescent="0.25">
      <c r="A708" s="172"/>
      <c r="F708" s="174"/>
      <c r="G708" s="174"/>
      <c r="H708" s="174"/>
      <c r="J708" s="174"/>
      <c r="L708" s="175"/>
      <c r="M708" s="182"/>
      <c r="N708" s="177"/>
      <c r="P708" s="183"/>
      <c r="Q708" s="184"/>
      <c r="R708" s="185"/>
      <c r="S708" s="176"/>
      <c r="T708" s="172"/>
      <c r="U708" s="181"/>
      <c r="V708" s="181"/>
    </row>
    <row r="709" spans="1:22" x14ac:dyDescent="0.25">
      <c r="A709" s="172"/>
      <c r="F709" s="174"/>
      <c r="G709" s="174"/>
      <c r="H709" s="174"/>
      <c r="J709" s="174"/>
      <c r="L709" s="175"/>
      <c r="M709" s="182"/>
      <c r="N709" s="177"/>
      <c r="P709" s="183"/>
      <c r="Q709" s="184"/>
      <c r="R709" s="185"/>
      <c r="S709" s="176"/>
      <c r="T709" s="172"/>
      <c r="U709" s="181"/>
      <c r="V709" s="181"/>
    </row>
    <row r="710" spans="1:22" x14ac:dyDescent="0.25">
      <c r="A710" s="172"/>
      <c r="F710" s="174"/>
      <c r="G710" s="174"/>
      <c r="H710" s="174"/>
      <c r="J710" s="174"/>
      <c r="L710" s="175"/>
      <c r="M710" s="182"/>
      <c r="N710" s="177"/>
      <c r="P710" s="183"/>
      <c r="Q710" s="184"/>
      <c r="R710" s="185"/>
      <c r="S710" s="176"/>
      <c r="T710" s="172"/>
      <c r="U710" s="181"/>
      <c r="V710" s="181"/>
    </row>
    <row r="711" spans="1:22" x14ac:dyDescent="0.25">
      <c r="A711" s="172"/>
      <c r="F711" s="174"/>
      <c r="G711" s="174"/>
      <c r="H711" s="174"/>
      <c r="J711" s="174"/>
      <c r="L711" s="175"/>
      <c r="M711" s="182"/>
      <c r="N711" s="177"/>
      <c r="P711" s="183"/>
      <c r="Q711" s="184"/>
      <c r="R711" s="185"/>
      <c r="S711" s="176"/>
      <c r="T711" s="172"/>
      <c r="U711" s="181"/>
      <c r="V711" s="181"/>
    </row>
    <row r="712" spans="1:22" x14ac:dyDescent="0.25">
      <c r="A712" s="172"/>
      <c r="F712" s="174"/>
      <c r="G712" s="174"/>
      <c r="H712" s="174"/>
      <c r="J712" s="174"/>
      <c r="L712" s="175"/>
      <c r="M712" s="182"/>
      <c r="N712" s="177"/>
      <c r="P712" s="183"/>
      <c r="Q712" s="184"/>
      <c r="R712" s="185"/>
      <c r="S712" s="176"/>
      <c r="T712" s="172"/>
      <c r="U712" s="181"/>
      <c r="V712" s="181"/>
    </row>
    <row r="713" spans="1:22" x14ac:dyDescent="0.25">
      <c r="A713" s="172"/>
      <c r="F713" s="174"/>
      <c r="G713" s="174"/>
      <c r="H713" s="174"/>
      <c r="J713" s="174"/>
      <c r="L713" s="175"/>
      <c r="M713" s="182"/>
      <c r="N713" s="177"/>
      <c r="P713" s="183"/>
      <c r="Q713" s="184"/>
      <c r="R713" s="185"/>
      <c r="S713" s="176"/>
      <c r="T713" s="172"/>
      <c r="U713" s="181"/>
      <c r="V713" s="181"/>
    </row>
    <row r="714" spans="1:22" x14ac:dyDescent="0.25">
      <c r="A714" s="172"/>
      <c r="F714" s="174"/>
      <c r="G714" s="174"/>
      <c r="H714" s="174"/>
      <c r="J714" s="174"/>
      <c r="L714" s="175"/>
      <c r="M714" s="182"/>
      <c r="N714" s="177"/>
      <c r="P714" s="183"/>
      <c r="Q714" s="184"/>
      <c r="R714" s="185"/>
      <c r="S714" s="176"/>
      <c r="T714" s="172"/>
      <c r="U714" s="181"/>
      <c r="V714" s="181"/>
    </row>
    <row r="715" spans="1:22" x14ac:dyDescent="0.25">
      <c r="A715" s="172"/>
      <c r="F715" s="174"/>
      <c r="G715" s="174"/>
      <c r="H715" s="174"/>
      <c r="J715" s="174"/>
      <c r="L715" s="175"/>
      <c r="M715" s="182"/>
      <c r="N715" s="177"/>
      <c r="P715" s="183"/>
      <c r="Q715" s="184"/>
      <c r="R715" s="185"/>
      <c r="S715" s="176"/>
      <c r="T715" s="172"/>
      <c r="U715" s="181"/>
      <c r="V715" s="181"/>
    </row>
    <row r="716" spans="1:22" x14ac:dyDescent="0.25">
      <c r="A716" s="172"/>
      <c r="F716" s="174"/>
      <c r="G716" s="174"/>
      <c r="H716" s="174"/>
      <c r="J716" s="174"/>
      <c r="L716" s="175"/>
      <c r="M716" s="182"/>
      <c r="N716" s="177"/>
      <c r="P716" s="183"/>
      <c r="Q716" s="184"/>
      <c r="R716" s="185"/>
      <c r="S716" s="176"/>
      <c r="T716" s="172"/>
      <c r="U716" s="181"/>
      <c r="V716" s="181"/>
    </row>
    <row r="717" spans="1:22" x14ac:dyDescent="0.25">
      <c r="A717" s="172"/>
      <c r="F717" s="174"/>
      <c r="G717" s="174"/>
      <c r="H717" s="174"/>
      <c r="J717" s="174"/>
      <c r="L717" s="175"/>
      <c r="M717" s="182"/>
      <c r="N717" s="177"/>
      <c r="P717" s="183"/>
      <c r="Q717" s="184"/>
      <c r="R717" s="185"/>
      <c r="S717" s="176"/>
      <c r="T717" s="172"/>
      <c r="U717" s="181"/>
      <c r="V717" s="181"/>
    </row>
    <row r="718" spans="1:22" x14ac:dyDescent="0.25">
      <c r="A718" s="172"/>
      <c r="F718" s="174"/>
      <c r="G718" s="174"/>
      <c r="H718" s="174"/>
      <c r="J718" s="174"/>
      <c r="L718" s="175"/>
      <c r="M718" s="182"/>
      <c r="N718" s="177"/>
      <c r="P718" s="183"/>
      <c r="Q718" s="184"/>
      <c r="R718" s="185"/>
      <c r="S718" s="176"/>
      <c r="T718" s="172"/>
      <c r="U718" s="181"/>
      <c r="V718" s="181"/>
    </row>
    <row r="719" spans="1:22" x14ac:dyDescent="0.25">
      <c r="A719" s="172"/>
      <c r="F719" s="174"/>
      <c r="G719" s="174"/>
      <c r="H719" s="174"/>
      <c r="J719" s="174"/>
      <c r="L719" s="175"/>
      <c r="M719" s="182"/>
      <c r="N719" s="177"/>
      <c r="P719" s="183"/>
      <c r="Q719" s="184"/>
      <c r="R719" s="185"/>
      <c r="S719" s="176"/>
      <c r="T719" s="172"/>
      <c r="U719" s="181"/>
      <c r="V719" s="181"/>
    </row>
    <row r="720" spans="1:22" x14ac:dyDescent="0.25">
      <c r="A720" s="172"/>
      <c r="F720" s="174"/>
      <c r="G720" s="174"/>
      <c r="H720" s="174"/>
      <c r="J720" s="174"/>
      <c r="L720" s="175"/>
      <c r="M720" s="182"/>
      <c r="N720" s="177"/>
      <c r="P720" s="183"/>
      <c r="Q720" s="184"/>
      <c r="R720" s="185"/>
      <c r="S720" s="176"/>
      <c r="T720" s="172"/>
      <c r="U720" s="181"/>
      <c r="V720" s="181"/>
    </row>
    <row r="721" spans="1:22" x14ac:dyDescent="0.25">
      <c r="A721" s="172"/>
      <c r="F721" s="174"/>
      <c r="G721" s="174"/>
      <c r="H721" s="174"/>
      <c r="J721" s="174"/>
      <c r="L721" s="175"/>
      <c r="M721" s="182"/>
      <c r="N721" s="177"/>
      <c r="P721" s="183"/>
      <c r="Q721" s="184"/>
      <c r="R721" s="185"/>
      <c r="S721" s="176"/>
      <c r="T721" s="172"/>
      <c r="U721" s="181"/>
      <c r="V721" s="181"/>
    </row>
    <row r="722" spans="1:22" x14ac:dyDescent="0.25">
      <c r="A722" s="172"/>
      <c r="F722" s="174"/>
      <c r="G722" s="174"/>
      <c r="H722" s="174"/>
      <c r="J722" s="174"/>
      <c r="L722" s="175"/>
      <c r="M722" s="182"/>
      <c r="N722" s="177"/>
      <c r="P722" s="183"/>
      <c r="Q722" s="184"/>
      <c r="R722" s="185"/>
      <c r="S722" s="176"/>
      <c r="T722" s="172"/>
      <c r="U722" s="181"/>
      <c r="V722" s="181"/>
    </row>
    <row r="723" spans="1:22" x14ac:dyDescent="0.25">
      <c r="A723" s="172"/>
      <c r="F723" s="174"/>
      <c r="G723" s="174"/>
      <c r="H723" s="174"/>
      <c r="J723" s="174"/>
      <c r="L723" s="175"/>
      <c r="M723" s="182"/>
      <c r="N723" s="177"/>
      <c r="P723" s="183"/>
      <c r="Q723" s="184"/>
      <c r="R723" s="185"/>
      <c r="S723" s="176"/>
      <c r="T723" s="172"/>
      <c r="U723" s="181"/>
      <c r="V723" s="181"/>
    </row>
    <row r="724" spans="1:22" x14ac:dyDescent="0.25">
      <c r="A724" s="172"/>
      <c r="F724" s="174"/>
      <c r="G724" s="174"/>
      <c r="H724" s="174"/>
      <c r="J724" s="174"/>
      <c r="L724" s="175"/>
      <c r="M724" s="182"/>
      <c r="N724" s="177"/>
      <c r="P724" s="183"/>
      <c r="Q724" s="184"/>
      <c r="R724" s="185"/>
      <c r="S724" s="176"/>
      <c r="T724" s="172"/>
      <c r="U724" s="181"/>
      <c r="V724" s="181"/>
    </row>
    <row r="725" spans="1:22" x14ac:dyDescent="0.25">
      <c r="A725" s="172"/>
      <c r="F725" s="174"/>
      <c r="G725" s="174"/>
      <c r="H725" s="174"/>
      <c r="J725" s="174"/>
      <c r="L725" s="175"/>
      <c r="M725" s="182"/>
      <c r="N725" s="177"/>
      <c r="P725" s="183"/>
      <c r="Q725" s="184"/>
      <c r="R725" s="185"/>
      <c r="S725" s="176"/>
      <c r="T725" s="172"/>
      <c r="U725" s="181"/>
      <c r="V725" s="181"/>
    </row>
    <row r="726" spans="1:22" x14ac:dyDescent="0.25">
      <c r="A726" s="172"/>
      <c r="F726" s="174"/>
      <c r="G726" s="174"/>
      <c r="H726" s="174"/>
      <c r="J726" s="174"/>
      <c r="L726" s="175"/>
      <c r="M726" s="182"/>
      <c r="N726" s="177"/>
      <c r="P726" s="183"/>
      <c r="Q726" s="184"/>
      <c r="R726" s="185"/>
      <c r="S726" s="176"/>
      <c r="T726" s="172"/>
      <c r="U726" s="181"/>
      <c r="V726" s="181"/>
    </row>
    <row r="727" spans="1:22" x14ac:dyDescent="0.25">
      <c r="A727" s="172"/>
      <c r="F727" s="174"/>
      <c r="G727" s="174"/>
      <c r="H727" s="174"/>
      <c r="J727" s="174"/>
      <c r="L727" s="175"/>
      <c r="M727" s="182"/>
      <c r="N727" s="177"/>
      <c r="P727" s="183"/>
      <c r="Q727" s="184"/>
      <c r="R727" s="185"/>
      <c r="S727" s="176"/>
      <c r="T727" s="172"/>
      <c r="U727" s="181"/>
      <c r="V727" s="181"/>
    </row>
    <row r="728" spans="1:22" x14ac:dyDescent="0.25">
      <c r="A728" s="172"/>
      <c r="F728" s="174"/>
      <c r="G728" s="174"/>
      <c r="H728" s="174"/>
      <c r="J728" s="174"/>
      <c r="L728" s="175"/>
      <c r="M728" s="182"/>
      <c r="N728" s="177"/>
      <c r="P728" s="183"/>
      <c r="Q728" s="184"/>
      <c r="R728" s="185"/>
      <c r="S728" s="176"/>
      <c r="T728" s="172"/>
      <c r="U728" s="181"/>
      <c r="V728" s="181"/>
    </row>
    <row r="729" spans="1:22" x14ac:dyDescent="0.25">
      <c r="A729" s="172"/>
      <c r="F729" s="174"/>
      <c r="G729" s="174"/>
      <c r="H729" s="174"/>
      <c r="J729" s="174"/>
      <c r="L729" s="175"/>
      <c r="M729" s="182"/>
      <c r="N729" s="177"/>
      <c r="P729" s="183"/>
      <c r="Q729" s="184"/>
      <c r="R729" s="185"/>
      <c r="S729" s="176"/>
      <c r="T729" s="172"/>
      <c r="U729" s="181"/>
      <c r="V729" s="181"/>
    </row>
    <row r="730" spans="1:22" x14ac:dyDescent="0.25">
      <c r="A730" s="172"/>
      <c r="F730" s="174"/>
      <c r="G730" s="174"/>
      <c r="H730" s="174"/>
      <c r="J730" s="174"/>
      <c r="L730" s="175"/>
      <c r="M730" s="182"/>
      <c r="N730" s="177"/>
      <c r="P730" s="183"/>
      <c r="Q730" s="184"/>
      <c r="R730" s="185"/>
      <c r="S730" s="176"/>
      <c r="T730" s="172"/>
      <c r="U730" s="181"/>
      <c r="V730" s="181"/>
    </row>
    <row r="731" spans="1:22" x14ac:dyDescent="0.25">
      <c r="A731" s="172"/>
      <c r="F731" s="174"/>
      <c r="G731" s="174"/>
      <c r="H731" s="174"/>
      <c r="J731" s="174"/>
      <c r="L731" s="175"/>
      <c r="M731" s="182"/>
      <c r="N731" s="177"/>
      <c r="P731" s="183"/>
      <c r="Q731" s="184"/>
      <c r="R731" s="185"/>
      <c r="S731" s="176"/>
      <c r="T731" s="172"/>
      <c r="U731" s="181"/>
      <c r="V731" s="181"/>
    </row>
    <row r="732" spans="1:22" x14ac:dyDescent="0.25">
      <c r="A732" s="172"/>
      <c r="F732" s="174"/>
      <c r="G732" s="174"/>
      <c r="H732" s="174"/>
      <c r="J732" s="174"/>
      <c r="L732" s="175"/>
      <c r="M732" s="182"/>
      <c r="N732" s="177"/>
      <c r="P732" s="183"/>
      <c r="Q732" s="184"/>
      <c r="R732" s="185"/>
      <c r="S732" s="176"/>
      <c r="T732" s="172"/>
      <c r="U732" s="181"/>
      <c r="V732" s="181"/>
    </row>
    <row r="733" spans="1:22" x14ac:dyDescent="0.25">
      <c r="A733" s="172"/>
      <c r="F733" s="174"/>
      <c r="G733" s="174"/>
      <c r="H733" s="174"/>
      <c r="J733" s="174"/>
      <c r="L733" s="175"/>
      <c r="M733" s="182"/>
      <c r="N733" s="177"/>
      <c r="P733" s="183"/>
      <c r="Q733" s="184"/>
      <c r="R733" s="185"/>
      <c r="S733" s="176"/>
      <c r="T733" s="172"/>
      <c r="U733" s="181"/>
      <c r="V733" s="181"/>
    </row>
    <row r="734" spans="1:22" x14ac:dyDescent="0.25">
      <c r="A734" s="172"/>
      <c r="F734" s="174"/>
      <c r="G734" s="174"/>
      <c r="H734" s="174"/>
      <c r="J734" s="174"/>
      <c r="L734" s="175"/>
      <c r="M734" s="182"/>
      <c r="N734" s="177"/>
      <c r="P734" s="183"/>
      <c r="Q734" s="184"/>
      <c r="R734" s="185"/>
      <c r="S734" s="176"/>
      <c r="T734" s="172"/>
      <c r="U734" s="181"/>
      <c r="V734" s="181"/>
    </row>
    <row r="735" spans="1:22" x14ac:dyDescent="0.25">
      <c r="A735" s="172"/>
      <c r="F735" s="174"/>
      <c r="G735" s="174"/>
      <c r="H735" s="174"/>
      <c r="J735" s="174"/>
      <c r="L735" s="175"/>
      <c r="M735" s="182"/>
      <c r="N735" s="177"/>
      <c r="P735" s="183"/>
      <c r="Q735" s="184"/>
      <c r="R735" s="185"/>
      <c r="S735" s="176"/>
      <c r="T735" s="172"/>
      <c r="U735" s="181"/>
      <c r="V735" s="181"/>
    </row>
    <row r="736" spans="1:22" x14ac:dyDescent="0.25">
      <c r="A736" s="172"/>
      <c r="F736" s="174"/>
      <c r="G736" s="174"/>
      <c r="H736" s="174"/>
      <c r="J736" s="174"/>
      <c r="L736" s="175"/>
      <c r="M736" s="182"/>
      <c r="N736" s="177"/>
      <c r="P736" s="183"/>
      <c r="Q736" s="184"/>
      <c r="R736" s="185"/>
      <c r="S736" s="176"/>
      <c r="T736" s="172"/>
      <c r="U736" s="181"/>
      <c r="V736" s="181"/>
    </row>
    <row r="737" spans="1:22" x14ac:dyDescent="0.25">
      <c r="A737" s="172"/>
      <c r="F737" s="174"/>
      <c r="G737" s="174"/>
      <c r="H737" s="174"/>
      <c r="J737" s="174"/>
      <c r="L737" s="175"/>
      <c r="M737" s="182"/>
      <c r="N737" s="177"/>
      <c r="P737" s="183"/>
      <c r="Q737" s="184"/>
      <c r="R737" s="185"/>
      <c r="S737" s="176"/>
      <c r="T737" s="172"/>
      <c r="U737" s="181"/>
      <c r="V737" s="181"/>
    </row>
    <row r="738" spans="1:22" x14ac:dyDescent="0.25">
      <c r="A738" s="172"/>
      <c r="F738" s="174"/>
      <c r="G738" s="174"/>
      <c r="H738" s="174"/>
      <c r="J738" s="174"/>
      <c r="L738" s="175"/>
      <c r="M738" s="182"/>
      <c r="N738" s="177"/>
      <c r="P738" s="183"/>
      <c r="Q738" s="184"/>
      <c r="R738" s="185"/>
      <c r="S738" s="176"/>
      <c r="T738" s="172"/>
      <c r="U738" s="181"/>
      <c r="V738" s="181"/>
    </row>
    <row r="739" spans="1:22" x14ac:dyDescent="0.25">
      <c r="A739" s="172"/>
      <c r="F739" s="174"/>
      <c r="G739" s="174"/>
      <c r="H739" s="174"/>
      <c r="J739" s="174"/>
      <c r="L739" s="175"/>
      <c r="M739" s="182"/>
      <c r="N739" s="177"/>
      <c r="P739" s="183"/>
      <c r="Q739" s="184"/>
      <c r="R739" s="185"/>
      <c r="S739" s="176"/>
      <c r="T739" s="172"/>
      <c r="U739" s="181"/>
      <c r="V739" s="181"/>
    </row>
    <row r="740" spans="1:22" x14ac:dyDescent="0.25">
      <c r="A740" s="172"/>
      <c r="F740" s="174"/>
      <c r="G740" s="174"/>
      <c r="H740" s="174"/>
      <c r="J740" s="174"/>
      <c r="L740" s="175"/>
      <c r="M740" s="182"/>
      <c r="N740" s="177"/>
      <c r="P740" s="183"/>
      <c r="Q740" s="184"/>
      <c r="R740" s="185"/>
      <c r="S740" s="176"/>
      <c r="T740" s="172"/>
      <c r="U740" s="181"/>
      <c r="V740" s="181"/>
    </row>
    <row r="741" spans="1:22" x14ac:dyDescent="0.25">
      <c r="A741" s="172"/>
      <c r="F741" s="174"/>
      <c r="G741" s="174"/>
      <c r="H741" s="174"/>
      <c r="J741" s="174"/>
      <c r="L741" s="175"/>
      <c r="M741" s="182"/>
      <c r="N741" s="177"/>
      <c r="P741" s="183"/>
      <c r="Q741" s="184"/>
      <c r="R741" s="185"/>
      <c r="S741" s="176"/>
      <c r="T741" s="172"/>
      <c r="U741" s="181"/>
      <c r="V741" s="181"/>
    </row>
    <row r="742" spans="1:22" x14ac:dyDescent="0.25">
      <c r="A742" s="172"/>
      <c r="F742" s="174"/>
      <c r="G742" s="174"/>
      <c r="H742" s="174"/>
      <c r="J742" s="174"/>
      <c r="L742" s="175"/>
      <c r="M742" s="182"/>
      <c r="N742" s="177"/>
      <c r="P742" s="183"/>
      <c r="Q742" s="184"/>
      <c r="R742" s="185"/>
      <c r="S742" s="176"/>
      <c r="T742" s="172"/>
      <c r="U742" s="181"/>
      <c r="V742" s="181"/>
    </row>
    <row r="743" spans="1:22" x14ac:dyDescent="0.25">
      <c r="A743" s="172"/>
      <c r="F743" s="174"/>
      <c r="G743" s="174"/>
      <c r="H743" s="174"/>
      <c r="J743" s="174"/>
      <c r="L743" s="175"/>
      <c r="M743" s="182"/>
      <c r="N743" s="177"/>
      <c r="P743" s="183"/>
      <c r="Q743" s="184"/>
      <c r="R743" s="185"/>
      <c r="S743" s="176"/>
      <c r="T743" s="172"/>
      <c r="U743" s="181"/>
      <c r="V743" s="181"/>
    </row>
    <row r="744" spans="1:22" x14ac:dyDescent="0.25">
      <c r="A744" s="172"/>
      <c r="F744" s="174"/>
      <c r="G744" s="174"/>
      <c r="H744" s="174"/>
      <c r="J744" s="174"/>
      <c r="L744" s="175"/>
      <c r="M744" s="182"/>
      <c r="N744" s="177"/>
      <c r="P744" s="183"/>
      <c r="Q744" s="184"/>
      <c r="R744" s="185"/>
      <c r="S744" s="176"/>
      <c r="T744" s="172"/>
      <c r="U744" s="181"/>
      <c r="V744" s="181"/>
    </row>
    <row r="745" spans="1:22" x14ac:dyDescent="0.25">
      <c r="A745" s="172"/>
      <c r="F745" s="174"/>
      <c r="G745" s="174"/>
      <c r="H745" s="174"/>
      <c r="J745" s="174"/>
      <c r="L745" s="175"/>
      <c r="M745" s="182"/>
      <c r="N745" s="177"/>
      <c r="P745" s="183"/>
      <c r="Q745" s="184"/>
      <c r="R745" s="185"/>
      <c r="S745" s="176"/>
      <c r="T745" s="172"/>
      <c r="U745" s="181"/>
      <c r="V745" s="181"/>
    </row>
    <row r="746" spans="1:22" x14ac:dyDescent="0.25">
      <c r="A746" s="172"/>
      <c r="F746" s="174"/>
      <c r="G746" s="174"/>
      <c r="H746" s="174"/>
      <c r="J746" s="174"/>
      <c r="L746" s="175"/>
      <c r="M746" s="182"/>
      <c r="N746" s="177"/>
      <c r="P746" s="183"/>
      <c r="Q746" s="184"/>
      <c r="R746" s="185"/>
      <c r="S746" s="176"/>
      <c r="T746" s="172"/>
      <c r="U746" s="181"/>
      <c r="V746" s="181"/>
    </row>
    <row r="747" spans="1:22" x14ac:dyDescent="0.25">
      <c r="A747" s="172"/>
      <c r="F747" s="174"/>
      <c r="G747" s="174"/>
      <c r="H747" s="174"/>
      <c r="J747" s="174"/>
      <c r="L747" s="175"/>
      <c r="M747" s="182"/>
      <c r="N747" s="177"/>
      <c r="P747" s="183"/>
      <c r="Q747" s="184"/>
      <c r="R747" s="185"/>
      <c r="S747" s="176"/>
      <c r="T747" s="172"/>
      <c r="U747" s="181"/>
      <c r="V747" s="181"/>
    </row>
    <row r="748" spans="1:22" x14ac:dyDescent="0.25">
      <c r="A748" s="172"/>
      <c r="F748" s="174"/>
      <c r="G748" s="174"/>
      <c r="H748" s="174"/>
      <c r="J748" s="174"/>
      <c r="L748" s="175"/>
      <c r="M748" s="182"/>
      <c r="N748" s="177"/>
      <c r="P748" s="183"/>
      <c r="Q748" s="184"/>
      <c r="R748" s="185"/>
      <c r="S748" s="176"/>
      <c r="T748" s="172"/>
      <c r="U748" s="181"/>
      <c r="V748" s="181"/>
    </row>
    <row r="749" spans="1:22" x14ac:dyDescent="0.25">
      <c r="A749" s="172"/>
      <c r="F749" s="174"/>
      <c r="G749" s="174"/>
      <c r="H749" s="174"/>
      <c r="J749" s="174"/>
      <c r="L749" s="175"/>
      <c r="M749" s="182"/>
      <c r="N749" s="177"/>
      <c r="P749" s="183"/>
      <c r="Q749" s="184"/>
      <c r="R749" s="185"/>
      <c r="S749" s="176"/>
      <c r="T749" s="172"/>
      <c r="U749" s="181"/>
      <c r="V749" s="181"/>
    </row>
    <row r="750" spans="1:22" x14ac:dyDescent="0.25">
      <c r="A750" s="172"/>
      <c r="F750" s="174"/>
      <c r="G750" s="174"/>
      <c r="H750" s="174"/>
      <c r="J750" s="174"/>
      <c r="L750" s="175"/>
      <c r="M750" s="182"/>
      <c r="N750" s="177"/>
      <c r="P750" s="183"/>
      <c r="Q750" s="184"/>
      <c r="R750" s="185"/>
      <c r="S750" s="176"/>
      <c r="T750" s="172"/>
      <c r="U750" s="181"/>
      <c r="V750" s="181"/>
    </row>
    <row r="751" spans="1:22" x14ac:dyDescent="0.25">
      <c r="A751" s="172"/>
      <c r="F751" s="174"/>
      <c r="G751" s="174"/>
      <c r="H751" s="174"/>
      <c r="J751" s="174"/>
      <c r="L751" s="175"/>
      <c r="M751" s="182"/>
      <c r="N751" s="177"/>
      <c r="P751" s="183"/>
      <c r="Q751" s="184"/>
      <c r="R751" s="185"/>
      <c r="S751" s="176"/>
      <c r="T751" s="172"/>
      <c r="U751" s="181"/>
      <c r="V751" s="181"/>
    </row>
    <row r="752" spans="1:22" x14ac:dyDescent="0.25">
      <c r="A752" s="172"/>
      <c r="F752" s="174"/>
      <c r="G752" s="174"/>
      <c r="H752" s="174"/>
      <c r="J752" s="174"/>
      <c r="L752" s="175"/>
      <c r="M752" s="182"/>
      <c r="N752" s="177"/>
      <c r="P752" s="183"/>
      <c r="Q752" s="184"/>
      <c r="R752" s="185"/>
      <c r="S752" s="176"/>
      <c r="T752" s="172"/>
      <c r="U752" s="181"/>
      <c r="V752" s="181"/>
    </row>
    <row r="753" spans="1:22" x14ac:dyDescent="0.25">
      <c r="A753" s="172"/>
      <c r="F753" s="174"/>
      <c r="G753" s="174"/>
      <c r="H753" s="174"/>
      <c r="J753" s="174"/>
      <c r="L753" s="175"/>
      <c r="M753" s="182"/>
      <c r="N753" s="177"/>
      <c r="P753" s="183"/>
      <c r="Q753" s="184"/>
      <c r="R753" s="185"/>
      <c r="S753" s="176"/>
      <c r="T753" s="172"/>
      <c r="U753" s="181"/>
      <c r="V753" s="181"/>
    </row>
    <row r="754" spans="1:22" x14ac:dyDescent="0.25">
      <c r="A754" s="172"/>
      <c r="F754" s="174"/>
      <c r="G754" s="174"/>
      <c r="H754" s="174"/>
      <c r="J754" s="174"/>
      <c r="L754" s="175"/>
      <c r="M754" s="182"/>
      <c r="N754" s="177"/>
      <c r="P754" s="183"/>
      <c r="Q754" s="184"/>
      <c r="R754" s="185"/>
      <c r="S754" s="176"/>
      <c r="T754" s="172"/>
      <c r="U754" s="181"/>
      <c r="V754" s="181"/>
    </row>
    <row r="755" spans="1:22" x14ac:dyDescent="0.25">
      <c r="A755" s="172"/>
      <c r="F755" s="174"/>
      <c r="G755" s="174"/>
      <c r="H755" s="174"/>
      <c r="J755" s="174"/>
      <c r="L755" s="175"/>
      <c r="M755" s="182"/>
      <c r="N755" s="177"/>
      <c r="P755" s="183"/>
      <c r="Q755" s="184"/>
      <c r="R755" s="185"/>
      <c r="S755" s="176"/>
      <c r="T755" s="172"/>
      <c r="U755" s="181"/>
      <c r="V755" s="181"/>
    </row>
    <row r="756" spans="1:22" x14ac:dyDescent="0.25">
      <c r="A756" s="172"/>
      <c r="F756" s="174"/>
      <c r="G756" s="174"/>
      <c r="H756" s="174"/>
      <c r="J756" s="174"/>
      <c r="L756" s="175"/>
      <c r="M756" s="182"/>
      <c r="N756" s="177"/>
      <c r="P756" s="183"/>
      <c r="Q756" s="184"/>
      <c r="R756" s="185"/>
      <c r="S756" s="176"/>
      <c r="T756" s="172"/>
      <c r="U756" s="181"/>
      <c r="V756" s="181"/>
    </row>
    <row r="757" spans="1:22" x14ac:dyDescent="0.25">
      <c r="A757" s="172"/>
      <c r="F757" s="174"/>
      <c r="G757" s="174"/>
      <c r="H757" s="174"/>
      <c r="J757" s="174"/>
      <c r="L757" s="175"/>
      <c r="M757" s="182"/>
      <c r="N757" s="177"/>
      <c r="P757" s="183"/>
      <c r="Q757" s="184"/>
      <c r="R757" s="185"/>
      <c r="S757" s="176"/>
      <c r="T757" s="172"/>
      <c r="U757" s="181"/>
      <c r="V757" s="181"/>
    </row>
    <row r="758" spans="1:22" x14ac:dyDescent="0.25">
      <c r="A758" s="172"/>
      <c r="F758" s="174"/>
      <c r="G758" s="174"/>
      <c r="H758" s="174"/>
      <c r="J758" s="174"/>
      <c r="L758" s="175"/>
      <c r="M758" s="182"/>
      <c r="N758" s="177"/>
      <c r="P758" s="183"/>
      <c r="Q758" s="184"/>
      <c r="R758" s="185"/>
      <c r="S758" s="176"/>
      <c r="T758" s="172"/>
      <c r="U758" s="181"/>
      <c r="V758" s="181"/>
    </row>
    <row r="759" spans="1:22" x14ac:dyDescent="0.25">
      <c r="A759" s="172"/>
      <c r="F759" s="174"/>
      <c r="G759" s="174"/>
      <c r="H759" s="174"/>
      <c r="J759" s="174"/>
      <c r="L759" s="175"/>
      <c r="M759" s="182"/>
      <c r="N759" s="177"/>
      <c r="P759" s="183"/>
      <c r="Q759" s="184"/>
      <c r="R759" s="185"/>
      <c r="S759" s="176"/>
      <c r="T759" s="172"/>
      <c r="U759" s="181"/>
      <c r="V759" s="181"/>
    </row>
    <row r="760" spans="1:22" x14ac:dyDescent="0.25">
      <c r="A760" s="172"/>
      <c r="F760" s="174"/>
      <c r="G760" s="174"/>
      <c r="H760" s="174"/>
      <c r="J760" s="174"/>
      <c r="L760" s="175"/>
      <c r="M760" s="182"/>
      <c r="N760" s="177"/>
      <c r="P760" s="183"/>
      <c r="Q760" s="184"/>
      <c r="R760" s="185"/>
      <c r="S760" s="176"/>
      <c r="T760" s="172"/>
      <c r="U760" s="181"/>
      <c r="V760" s="181"/>
    </row>
    <row r="761" spans="1:22" x14ac:dyDescent="0.25">
      <c r="A761" s="172"/>
      <c r="F761" s="174"/>
      <c r="G761" s="174"/>
      <c r="H761" s="174"/>
      <c r="J761" s="174"/>
      <c r="L761" s="175"/>
      <c r="M761" s="182"/>
      <c r="N761" s="177"/>
      <c r="P761" s="183"/>
      <c r="Q761" s="184"/>
      <c r="R761" s="185"/>
      <c r="S761" s="176"/>
      <c r="T761" s="172"/>
      <c r="U761" s="181"/>
      <c r="V761" s="181"/>
    </row>
    <row r="762" spans="1:22" x14ac:dyDescent="0.25">
      <c r="A762" s="172"/>
      <c r="F762" s="174"/>
      <c r="G762" s="174"/>
      <c r="H762" s="174"/>
      <c r="J762" s="174"/>
      <c r="L762" s="175"/>
      <c r="M762" s="182"/>
      <c r="N762" s="177"/>
      <c r="P762" s="183"/>
      <c r="Q762" s="184"/>
      <c r="R762" s="185"/>
      <c r="S762" s="176"/>
      <c r="T762" s="172"/>
      <c r="U762" s="181"/>
      <c r="V762" s="181"/>
    </row>
    <row r="763" spans="1:22" x14ac:dyDescent="0.25">
      <c r="A763" s="172"/>
      <c r="F763" s="174"/>
      <c r="G763" s="174"/>
      <c r="H763" s="174"/>
      <c r="J763" s="174"/>
      <c r="L763" s="175"/>
      <c r="M763" s="182"/>
      <c r="N763" s="177"/>
      <c r="P763" s="183"/>
      <c r="Q763" s="184"/>
      <c r="R763" s="185"/>
      <c r="S763" s="176"/>
      <c r="T763" s="172"/>
      <c r="U763" s="181"/>
      <c r="V763" s="181"/>
    </row>
    <row r="764" spans="1:22" x14ac:dyDescent="0.25">
      <c r="A764" s="172"/>
      <c r="F764" s="174"/>
      <c r="G764" s="174"/>
      <c r="H764" s="174"/>
      <c r="J764" s="174"/>
      <c r="L764" s="175"/>
      <c r="M764" s="182"/>
      <c r="N764" s="177"/>
      <c r="P764" s="183"/>
      <c r="Q764" s="184"/>
      <c r="R764" s="185"/>
      <c r="S764" s="176"/>
      <c r="T764" s="172"/>
      <c r="U764" s="181"/>
      <c r="V764" s="181"/>
    </row>
    <row r="765" spans="1:22" x14ac:dyDescent="0.25">
      <c r="A765" s="172"/>
      <c r="F765" s="174"/>
      <c r="G765" s="174"/>
      <c r="H765" s="174"/>
      <c r="J765" s="174"/>
      <c r="L765" s="175"/>
      <c r="M765" s="182"/>
      <c r="N765" s="177"/>
      <c r="P765" s="183"/>
      <c r="Q765" s="184"/>
      <c r="R765" s="185"/>
      <c r="S765" s="176"/>
      <c r="T765" s="172"/>
      <c r="U765" s="181"/>
      <c r="V765" s="181"/>
    </row>
    <row r="766" spans="1:22" x14ac:dyDescent="0.25">
      <c r="A766" s="172"/>
      <c r="F766" s="174"/>
      <c r="G766" s="174"/>
      <c r="H766" s="174"/>
      <c r="J766" s="174"/>
      <c r="L766" s="175"/>
      <c r="M766" s="182"/>
      <c r="N766" s="177"/>
      <c r="P766" s="183"/>
      <c r="Q766" s="184"/>
      <c r="R766" s="185"/>
      <c r="S766" s="176"/>
      <c r="T766" s="172"/>
      <c r="U766" s="181"/>
      <c r="V766" s="181"/>
    </row>
    <row r="767" spans="1:22" x14ac:dyDescent="0.25">
      <c r="A767" s="172"/>
      <c r="F767" s="174"/>
      <c r="G767" s="174"/>
      <c r="H767" s="174"/>
      <c r="J767" s="174"/>
      <c r="L767" s="175"/>
      <c r="M767" s="182"/>
      <c r="N767" s="177"/>
      <c r="P767" s="183"/>
      <c r="Q767" s="184"/>
      <c r="R767" s="185"/>
      <c r="S767" s="176"/>
      <c r="T767" s="172"/>
      <c r="U767" s="181"/>
      <c r="V767" s="181"/>
    </row>
    <row r="768" spans="1:22" x14ac:dyDescent="0.25">
      <c r="A768" s="172"/>
      <c r="F768" s="174"/>
      <c r="G768" s="174"/>
      <c r="H768" s="174"/>
      <c r="J768" s="174"/>
      <c r="L768" s="175"/>
      <c r="M768" s="182"/>
      <c r="N768" s="177"/>
      <c r="P768" s="183"/>
      <c r="Q768" s="184"/>
      <c r="R768" s="185"/>
      <c r="S768" s="176"/>
      <c r="T768" s="172"/>
      <c r="U768" s="181"/>
      <c r="V768" s="181"/>
    </row>
    <row r="769" spans="1:22" x14ac:dyDescent="0.25">
      <c r="A769" s="172"/>
      <c r="F769" s="174"/>
      <c r="G769" s="174"/>
      <c r="H769" s="174"/>
      <c r="J769" s="174"/>
      <c r="L769" s="175"/>
      <c r="M769" s="182"/>
      <c r="N769" s="177"/>
      <c r="P769" s="183"/>
      <c r="Q769" s="184"/>
      <c r="R769" s="185"/>
      <c r="S769" s="176"/>
      <c r="T769" s="172"/>
      <c r="U769" s="181"/>
      <c r="V769" s="181"/>
    </row>
    <row r="770" spans="1:22" x14ac:dyDescent="0.25">
      <c r="A770" s="172"/>
      <c r="F770" s="174"/>
      <c r="G770" s="174"/>
      <c r="H770" s="174"/>
      <c r="J770" s="174"/>
      <c r="L770" s="175"/>
      <c r="M770" s="182"/>
      <c r="N770" s="177"/>
      <c r="P770" s="183"/>
      <c r="Q770" s="184"/>
      <c r="R770" s="185"/>
      <c r="S770" s="176"/>
      <c r="T770" s="172"/>
      <c r="U770" s="181"/>
      <c r="V770" s="181"/>
    </row>
    <row r="771" spans="1:22" x14ac:dyDescent="0.25">
      <c r="A771" s="172"/>
      <c r="F771" s="174"/>
      <c r="G771" s="174"/>
      <c r="H771" s="174"/>
      <c r="J771" s="174"/>
      <c r="L771" s="175"/>
      <c r="M771" s="182"/>
      <c r="N771" s="177"/>
      <c r="P771" s="183"/>
      <c r="Q771" s="184"/>
      <c r="R771" s="185"/>
      <c r="S771" s="176"/>
      <c r="T771" s="172"/>
      <c r="U771" s="181"/>
      <c r="V771" s="181"/>
    </row>
    <row r="772" spans="1:22" x14ac:dyDescent="0.25">
      <c r="A772" s="172"/>
      <c r="F772" s="174"/>
      <c r="G772" s="174"/>
      <c r="H772" s="174"/>
      <c r="J772" s="174"/>
      <c r="L772" s="175"/>
      <c r="M772" s="182"/>
      <c r="N772" s="177"/>
      <c r="P772" s="183"/>
      <c r="Q772" s="184"/>
      <c r="R772" s="185"/>
      <c r="S772" s="176"/>
      <c r="T772" s="172"/>
      <c r="U772" s="181"/>
      <c r="V772" s="181"/>
    </row>
    <row r="773" spans="1:22" x14ac:dyDescent="0.25">
      <c r="A773" s="172"/>
      <c r="F773" s="174"/>
      <c r="G773" s="174"/>
      <c r="H773" s="174"/>
      <c r="J773" s="174"/>
      <c r="L773" s="175"/>
      <c r="M773" s="182"/>
      <c r="N773" s="177"/>
      <c r="P773" s="183"/>
      <c r="Q773" s="184"/>
      <c r="R773" s="185"/>
      <c r="S773" s="176"/>
      <c r="T773" s="172"/>
      <c r="U773" s="181"/>
      <c r="V773" s="181"/>
    </row>
    <row r="774" spans="1:22" x14ac:dyDescent="0.25">
      <c r="A774" s="172"/>
      <c r="F774" s="174"/>
      <c r="G774" s="174"/>
      <c r="H774" s="174"/>
      <c r="J774" s="174"/>
      <c r="L774" s="175"/>
      <c r="M774" s="182"/>
      <c r="N774" s="177"/>
      <c r="P774" s="183"/>
      <c r="Q774" s="184"/>
      <c r="R774" s="185"/>
      <c r="S774" s="176"/>
      <c r="T774" s="172"/>
      <c r="U774" s="181"/>
      <c r="V774" s="181"/>
    </row>
    <row r="775" spans="1:22" x14ac:dyDescent="0.25">
      <c r="A775" s="172"/>
      <c r="F775" s="174"/>
      <c r="G775" s="174"/>
      <c r="H775" s="174"/>
      <c r="J775" s="174"/>
      <c r="L775" s="175"/>
      <c r="M775" s="182"/>
      <c r="N775" s="177"/>
      <c r="P775" s="183"/>
      <c r="Q775" s="184"/>
      <c r="R775" s="185"/>
      <c r="S775" s="176"/>
      <c r="T775" s="172"/>
      <c r="U775" s="181"/>
      <c r="V775" s="181"/>
    </row>
    <row r="776" spans="1:22" x14ac:dyDescent="0.25">
      <c r="A776" s="172"/>
      <c r="F776" s="174"/>
      <c r="G776" s="174"/>
      <c r="H776" s="174"/>
      <c r="J776" s="174"/>
      <c r="L776" s="175"/>
      <c r="M776" s="182"/>
      <c r="N776" s="177"/>
      <c r="P776" s="183"/>
      <c r="Q776" s="184"/>
      <c r="R776" s="185"/>
      <c r="S776" s="176"/>
      <c r="T776" s="172"/>
      <c r="U776" s="181"/>
      <c r="V776" s="181"/>
    </row>
    <row r="777" spans="1:22" x14ac:dyDescent="0.25">
      <c r="A777" s="172"/>
      <c r="F777" s="174"/>
      <c r="G777" s="174"/>
      <c r="H777" s="174"/>
      <c r="J777" s="174"/>
      <c r="L777" s="175"/>
      <c r="M777" s="182"/>
      <c r="N777" s="177"/>
      <c r="P777" s="183"/>
      <c r="Q777" s="184"/>
      <c r="R777" s="185"/>
      <c r="S777" s="176"/>
      <c r="T777" s="172"/>
      <c r="U777" s="181"/>
      <c r="V777" s="181"/>
    </row>
    <row r="778" spans="1:22" x14ac:dyDescent="0.25">
      <c r="A778" s="172"/>
      <c r="F778" s="174"/>
      <c r="G778" s="174"/>
      <c r="H778" s="174"/>
      <c r="J778" s="174"/>
      <c r="L778" s="175"/>
      <c r="M778" s="182"/>
      <c r="N778" s="177"/>
      <c r="P778" s="183"/>
      <c r="Q778" s="184"/>
      <c r="R778" s="185"/>
      <c r="S778" s="176"/>
      <c r="T778" s="172"/>
      <c r="U778" s="181"/>
      <c r="V778" s="181"/>
    </row>
    <row r="779" spans="1:22" x14ac:dyDescent="0.25">
      <c r="A779" s="172"/>
      <c r="F779" s="174"/>
      <c r="G779" s="174"/>
      <c r="H779" s="174"/>
      <c r="J779" s="174"/>
      <c r="L779" s="175"/>
      <c r="M779" s="182"/>
      <c r="N779" s="177"/>
      <c r="P779" s="183"/>
      <c r="Q779" s="184"/>
      <c r="R779" s="185"/>
      <c r="S779" s="176"/>
      <c r="T779" s="172"/>
      <c r="U779" s="181"/>
      <c r="V779" s="181"/>
    </row>
    <row r="780" spans="1:22" x14ac:dyDescent="0.25">
      <c r="A780" s="172"/>
      <c r="F780" s="174"/>
      <c r="G780" s="174"/>
      <c r="H780" s="174"/>
      <c r="J780" s="174"/>
      <c r="L780" s="175"/>
      <c r="M780" s="182"/>
      <c r="N780" s="177"/>
      <c r="P780" s="183"/>
      <c r="Q780" s="184"/>
      <c r="R780" s="185"/>
      <c r="S780" s="176"/>
      <c r="T780" s="172"/>
      <c r="U780" s="181"/>
      <c r="V780" s="181"/>
    </row>
    <row r="781" spans="1:22" x14ac:dyDescent="0.25">
      <c r="A781" s="172"/>
      <c r="F781" s="174"/>
      <c r="G781" s="174"/>
      <c r="H781" s="174"/>
      <c r="J781" s="174"/>
      <c r="L781" s="175"/>
      <c r="M781" s="182"/>
      <c r="N781" s="177"/>
      <c r="P781" s="183"/>
      <c r="Q781" s="184"/>
      <c r="R781" s="185"/>
      <c r="S781" s="176"/>
      <c r="T781" s="172"/>
      <c r="U781" s="181"/>
      <c r="V781" s="181"/>
    </row>
    <row r="782" spans="1:22" x14ac:dyDescent="0.25">
      <c r="A782" s="172"/>
      <c r="F782" s="174"/>
      <c r="G782" s="174"/>
      <c r="H782" s="174"/>
      <c r="J782" s="174"/>
      <c r="L782" s="175"/>
      <c r="M782" s="182"/>
      <c r="N782" s="177"/>
      <c r="P782" s="183"/>
      <c r="Q782" s="184"/>
      <c r="R782" s="185"/>
      <c r="S782" s="176"/>
      <c r="T782" s="172"/>
      <c r="U782" s="181"/>
      <c r="V782" s="181"/>
    </row>
    <row r="783" spans="1:22" x14ac:dyDescent="0.25">
      <c r="A783" s="172"/>
      <c r="F783" s="174"/>
      <c r="G783" s="174"/>
      <c r="H783" s="174"/>
      <c r="J783" s="174"/>
      <c r="L783" s="175"/>
      <c r="M783" s="182"/>
      <c r="N783" s="177"/>
      <c r="P783" s="183"/>
      <c r="Q783" s="184"/>
      <c r="R783" s="185"/>
      <c r="S783" s="176"/>
      <c r="T783" s="172"/>
      <c r="U783" s="181"/>
      <c r="V783" s="181"/>
    </row>
    <row r="784" spans="1:22" x14ac:dyDescent="0.25">
      <c r="A784" s="172"/>
      <c r="F784" s="174"/>
      <c r="G784" s="174"/>
      <c r="H784" s="174"/>
      <c r="J784" s="174"/>
      <c r="L784" s="175"/>
      <c r="M784" s="182"/>
      <c r="N784" s="177"/>
      <c r="P784" s="183"/>
      <c r="Q784" s="184"/>
      <c r="R784" s="185"/>
      <c r="S784" s="176"/>
      <c r="T784" s="172"/>
      <c r="U784" s="181"/>
      <c r="V784" s="181"/>
    </row>
    <row r="785" spans="1:22" x14ac:dyDescent="0.25">
      <c r="A785" s="172"/>
      <c r="F785" s="174"/>
      <c r="G785" s="174"/>
      <c r="H785" s="174"/>
      <c r="J785" s="174"/>
      <c r="L785" s="175"/>
      <c r="M785" s="182"/>
      <c r="N785" s="177"/>
      <c r="P785" s="183"/>
      <c r="Q785" s="184"/>
      <c r="R785" s="185"/>
      <c r="S785" s="176"/>
      <c r="T785" s="172"/>
      <c r="U785" s="181"/>
      <c r="V785" s="181"/>
    </row>
    <row r="786" spans="1:22" x14ac:dyDescent="0.25">
      <c r="A786" s="172"/>
      <c r="F786" s="174"/>
      <c r="G786" s="174"/>
      <c r="H786" s="174"/>
      <c r="J786" s="174"/>
      <c r="L786" s="175"/>
      <c r="M786" s="182"/>
      <c r="N786" s="177"/>
      <c r="P786" s="183"/>
      <c r="Q786" s="184"/>
      <c r="R786" s="185"/>
      <c r="S786" s="176"/>
      <c r="T786" s="172"/>
      <c r="U786" s="181"/>
      <c r="V786" s="181"/>
    </row>
    <row r="787" spans="1:22" x14ac:dyDescent="0.25">
      <c r="A787" s="172"/>
      <c r="F787" s="174"/>
      <c r="G787" s="174"/>
      <c r="H787" s="174"/>
      <c r="J787" s="174"/>
      <c r="L787" s="175"/>
      <c r="M787" s="182"/>
      <c r="N787" s="177"/>
      <c r="P787" s="183"/>
      <c r="Q787" s="184"/>
      <c r="R787" s="185"/>
      <c r="S787" s="176"/>
      <c r="T787" s="172"/>
      <c r="U787" s="181"/>
      <c r="V787" s="181"/>
    </row>
    <row r="788" spans="1:22" x14ac:dyDescent="0.25">
      <c r="A788" s="172"/>
      <c r="F788" s="174"/>
      <c r="G788" s="174"/>
      <c r="H788" s="174"/>
      <c r="J788" s="174"/>
      <c r="L788" s="175"/>
      <c r="M788" s="182"/>
      <c r="N788" s="177"/>
      <c r="P788" s="183"/>
      <c r="Q788" s="184"/>
      <c r="R788" s="185"/>
      <c r="S788" s="176"/>
      <c r="T788" s="172"/>
      <c r="U788" s="181"/>
      <c r="V788" s="181"/>
    </row>
    <row r="789" spans="1:22" x14ac:dyDescent="0.25">
      <c r="A789" s="172"/>
      <c r="F789" s="174"/>
      <c r="G789" s="174"/>
      <c r="H789" s="174"/>
      <c r="J789" s="174"/>
      <c r="L789" s="175"/>
      <c r="M789" s="182"/>
      <c r="N789" s="177"/>
      <c r="P789" s="183"/>
      <c r="Q789" s="184"/>
      <c r="R789" s="185"/>
      <c r="S789" s="176"/>
      <c r="T789" s="172"/>
      <c r="U789" s="181"/>
      <c r="V789" s="181"/>
    </row>
    <row r="790" spans="1:22" x14ac:dyDescent="0.25">
      <c r="A790" s="172"/>
      <c r="F790" s="174"/>
      <c r="G790" s="174"/>
      <c r="H790" s="174"/>
      <c r="J790" s="174"/>
      <c r="L790" s="175"/>
      <c r="M790" s="182"/>
      <c r="N790" s="177"/>
      <c r="P790" s="183"/>
      <c r="Q790" s="184"/>
      <c r="R790" s="185"/>
      <c r="S790" s="176"/>
      <c r="T790" s="172"/>
      <c r="U790" s="181"/>
      <c r="V790" s="181"/>
    </row>
    <row r="791" spans="1:22" x14ac:dyDescent="0.25">
      <c r="A791" s="172"/>
      <c r="F791" s="174"/>
      <c r="G791" s="174"/>
      <c r="H791" s="174"/>
      <c r="J791" s="174"/>
      <c r="L791" s="175"/>
      <c r="M791" s="182"/>
      <c r="N791" s="177"/>
      <c r="P791" s="183"/>
      <c r="Q791" s="184"/>
      <c r="R791" s="185"/>
      <c r="S791" s="176"/>
      <c r="T791" s="172"/>
      <c r="U791" s="181"/>
      <c r="V791" s="181"/>
    </row>
    <row r="792" spans="1:22" x14ac:dyDescent="0.25">
      <c r="A792" s="172"/>
      <c r="F792" s="174"/>
      <c r="G792" s="174"/>
      <c r="H792" s="174"/>
      <c r="J792" s="174"/>
      <c r="L792" s="175"/>
      <c r="M792" s="182"/>
      <c r="N792" s="177"/>
      <c r="P792" s="183"/>
      <c r="Q792" s="184"/>
      <c r="R792" s="185"/>
      <c r="S792" s="176"/>
      <c r="T792" s="172"/>
      <c r="U792" s="181"/>
      <c r="V792" s="181"/>
    </row>
    <row r="793" spans="1:22" x14ac:dyDescent="0.25">
      <c r="A793" s="172"/>
      <c r="F793" s="174"/>
      <c r="G793" s="174"/>
      <c r="H793" s="174"/>
      <c r="J793" s="174"/>
      <c r="L793" s="175"/>
      <c r="M793" s="182"/>
      <c r="N793" s="177"/>
      <c r="P793" s="183"/>
      <c r="Q793" s="184"/>
      <c r="R793" s="185"/>
      <c r="S793" s="176"/>
      <c r="T793" s="172"/>
      <c r="U793" s="181"/>
      <c r="V793" s="181"/>
    </row>
    <row r="794" spans="1:22" x14ac:dyDescent="0.25">
      <c r="A794" s="172"/>
      <c r="F794" s="174"/>
      <c r="G794" s="174"/>
      <c r="H794" s="174"/>
      <c r="J794" s="174"/>
      <c r="L794" s="175"/>
      <c r="M794" s="182"/>
      <c r="N794" s="177"/>
      <c r="P794" s="183"/>
      <c r="Q794" s="184"/>
      <c r="R794" s="185"/>
      <c r="S794" s="176"/>
      <c r="T794" s="172"/>
      <c r="U794" s="181"/>
      <c r="V794" s="181"/>
    </row>
    <row r="795" spans="1:22" x14ac:dyDescent="0.25">
      <c r="A795" s="172"/>
      <c r="F795" s="174"/>
      <c r="G795" s="174"/>
      <c r="H795" s="174"/>
      <c r="J795" s="174"/>
      <c r="L795" s="175"/>
      <c r="M795" s="182"/>
      <c r="N795" s="177"/>
      <c r="P795" s="183"/>
      <c r="Q795" s="184"/>
      <c r="R795" s="185"/>
      <c r="S795" s="176"/>
      <c r="T795" s="172"/>
      <c r="U795" s="181"/>
      <c r="V795" s="181"/>
    </row>
    <row r="796" spans="1:22" x14ac:dyDescent="0.25">
      <c r="A796" s="172"/>
      <c r="F796" s="174"/>
      <c r="G796" s="174"/>
      <c r="H796" s="174"/>
      <c r="J796" s="174"/>
      <c r="L796" s="175"/>
      <c r="M796" s="182"/>
      <c r="N796" s="177"/>
      <c r="P796" s="183"/>
      <c r="Q796" s="184"/>
      <c r="R796" s="185"/>
      <c r="S796" s="176"/>
      <c r="T796" s="172"/>
      <c r="U796" s="181"/>
      <c r="V796" s="181"/>
    </row>
    <row r="797" spans="1:22" x14ac:dyDescent="0.25">
      <c r="A797" s="172"/>
      <c r="F797" s="174"/>
      <c r="G797" s="174"/>
      <c r="H797" s="174"/>
      <c r="J797" s="174"/>
      <c r="L797" s="175"/>
      <c r="M797" s="182"/>
      <c r="N797" s="177"/>
      <c r="P797" s="183"/>
      <c r="Q797" s="184"/>
      <c r="R797" s="185"/>
      <c r="S797" s="176"/>
      <c r="T797" s="172"/>
      <c r="U797" s="181"/>
      <c r="V797" s="181"/>
    </row>
    <row r="798" spans="1:22" x14ac:dyDescent="0.25">
      <c r="A798" s="172"/>
      <c r="F798" s="174"/>
      <c r="G798" s="174"/>
      <c r="H798" s="174"/>
      <c r="J798" s="174"/>
      <c r="L798" s="175"/>
      <c r="M798" s="182"/>
      <c r="N798" s="177"/>
      <c r="P798" s="183"/>
      <c r="Q798" s="184"/>
      <c r="R798" s="185"/>
      <c r="S798" s="176"/>
      <c r="T798" s="172"/>
      <c r="U798" s="181"/>
      <c r="V798" s="181"/>
    </row>
    <row r="799" spans="1:22" x14ac:dyDescent="0.25">
      <c r="A799" s="172"/>
      <c r="F799" s="174"/>
      <c r="G799" s="174"/>
      <c r="H799" s="174"/>
      <c r="J799" s="174"/>
      <c r="L799" s="175"/>
      <c r="M799" s="182"/>
      <c r="N799" s="177"/>
      <c r="P799" s="183"/>
      <c r="Q799" s="184"/>
      <c r="R799" s="185"/>
      <c r="S799" s="176"/>
      <c r="T799" s="172"/>
      <c r="U799" s="181"/>
      <c r="V799" s="181"/>
    </row>
    <row r="800" spans="1:22" x14ac:dyDescent="0.25">
      <c r="A800" s="172"/>
      <c r="F800" s="174"/>
      <c r="G800" s="174"/>
      <c r="H800" s="174"/>
      <c r="J800" s="174"/>
      <c r="L800" s="175"/>
      <c r="M800" s="182"/>
      <c r="N800" s="177"/>
      <c r="P800" s="183"/>
      <c r="Q800" s="184"/>
      <c r="R800" s="185"/>
      <c r="S800" s="176"/>
      <c r="T800" s="172"/>
      <c r="U800" s="181"/>
      <c r="V800" s="181"/>
    </row>
    <row r="801" spans="1:22" x14ac:dyDescent="0.25">
      <c r="A801" s="172"/>
      <c r="F801" s="174"/>
      <c r="G801" s="174"/>
      <c r="H801" s="174"/>
      <c r="J801" s="174"/>
      <c r="L801" s="175"/>
      <c r="M801" s="182"/>
      <c r="N801" s="177"/>
      <c r="P801" s="183"/>
      <c r="Q801" s="184"/>
      <c r="R801" s="185"/>
      <c r="S801" s="176"/>
      <c r="T801" s="172"/>
      <c r="U801" s="181"/>
      <c r="V801" s="181"/>
    </row>
    <row r="802" spans="1:22" x14ac:dyDescent="0.25">
      <c r="A802" s="172"/>
      <c r="F802" s="174"/>
      <c r="G802" s="174"/>
      <c r="H802" s="174"/>
      <c r="J802" s="174"/>
      <c r="L802" s="175"/>
      <c r="M802" s="182"/>
      <c r="N802" s="177"/>
      <c r="P802" s="183"/>
      <c r="Q802" s="184"/>
      <c r="R802" s="185"/>
      <c r="S802" s="176"/>
      <c r="T802" s="172"/>
      <c r="U802" s="181"/>
      <c r="V802" s="181"/>
    </row>
    <row r="803" spans="1:22" x14ac:dyDescent="0.25">
      <c r="A803" s="172"/>
      <c r="F803" s="174"/>
      <c r="G803" s="174"/>
      <c r="H803" s="174"/>
      <c r="J803" s="174"/>
      <c r="L803" s="175"/>
      <c r="M803" s="182"/>
      <c r="N803" s="177"/>
      <c r="P803" s="183"/>
      <c r="Q803" s="184"/>
      <c r="R803" s="185"/>
      <c r="S803" s="176"/>
      <c r="T803" s="172"/>
      <c r="U803" s="181"/>
      <c r="V803" s="181"/>
    </row>
    <row r="804" spans="1:22" x14ac:dyDescent="0.25">
      <c r="A804" s="172"/>
      <c r="F804" s="174"/>
      <c r="G804" s="174"/>
      <c r="H804" s="174"/>
      <c r="J804" s="174"/>
      <c r="L804" s="175"/>
      <c r="M804" s="182"/>
      <c r="N804" s="177"/>
      <c r="P804" s="183"/>
      <c r="Q804" s="184"/>
      <c r="R804" s="185"/>
      <c r="S804" s="176"/>
      <c r="T804" s="172"/>
      <c r="U804" s="181"/>
      <c r="V804" s="181"/>
    </row>
    <row r="805" spans="1:22" x14ac:dyDescent="0.25">
      <c r="A805" s="172"/>
      <c r="F805" s="174"/>
      <c r="G805" s="174"/>
      <c r="H805" s="174"/>
      <c r="J805" s="174"/>
      <c r="L805" s="175"/>
      <c r="M805" s="182"/>
      <c r="N805" s="177"/>
      <c r="P805" s="183"/>
      <c r="Q805" s="184"/>
      <c r="R805" s="185"/>
      <c r="S805" s="176"/>
      <c r="T805" s="172"/>
      <c r="U805" s="181"/>
      <c r="V805" s="181"/>
    </row>
    <row r="806" spans="1:22" x14ac:dyDescent="0.25">
      <c r="A806" s="172"/>
      <c r="F806" s="174"/>
      <c r="G806" s="174"/>
      <c r="H806" s="174"/>
      <c r="J806" s="174"/>
      <c r="L806" s="175"/>
      <c r="M806" s="182"/>
      <c r="N806" s="177"/>
      <c r="P806" s="183"/>
      <c r="Q806" s="184"/>
      <c r="R806" s="185"/>
      <c r="S806" s="176"/>
      <c r="T806" s="172"/>
      <c r="U806" s="181"/>
      <c r="V806" s="181"/>
    </row>
    <row r="807" spans="1:22" x14ac:dyDescent="0.25">
      <c r="A807" s="172"/>
      <c r="F807" s="174"/>
      <c r="G807" s="174"/>
      <c r="H807" s="174"/>
      <c r="J807" s="174"/>
      <c r="L807" s="175"/>
      <c r="M807" s="182"/>
      <c r="N807" s="177"/>
      <c r="P807" s="183"/>
      <c r="Q807" s="184"/>
      <c r="R807" s="185"/>
      <c r="S807" s="176"/>
      <c r="T807" s="172"/>
      <c r="U807" s="181"/>
      <c r="V807" s="181"/>
    </row>
    <row r="808" spans="1:22" x14ac:dyDescent="0.25">
      <c r="A808" s="172"/>
      <c r="F808" s="174"/>
      <c r="G808" s="174"/>
      <c r="H808" s="174"/>
      <c r="J808" s="174"/>
      <c r="L808" s="175"/>
      <c r="M808" s="182"/>
      <c r="N808" s="177"/>
      <c r="P808" s="183"/>
      <c r="Q808" s="184"/>
      <c r="R808" s="185"/>
      <c r="S808" s="176"/>
      <c r="T808" s="172"/>
      <c r="U808" s="181"/>
      <c r="V808" s="181"/>
    </row>
    <row r="809" spans="1:22" x14ac:dyDescent="0.25">
      <c r="A809" s="172"/>
      <c r="F809" s="174"/>
      <c r="G809" s="174"/>
      <c r="H809" s="174"/>
      <c r="J809" s="174"/>
      <c r="L809" s="175"/>
      <c r="M809" s="182"/>
      <c r="N809" s="177"/>
      <c r="P809" s="183"/>
      <c r="Q809" s="184"/>
      <c r="R809" s="185"/>
      <c r="S809" s="176"/>
      <c r="T809" s="172"/>
      <c r="U809" s="181"/>
      <c r="V809" s="181"/>
    </row>
    <row r="810" spans="1:22" x14ac:dyDescent="0.25">
      <c r="A810" s="172"/>
      <c r="F810" s="174"/>
      <c r="G810" s="174"/>
      <c r="H810" s="174"/>
      <c r="J810" s="174"/>
      <c r="L810" s="175"/>
      <c r="M810" s="182"/>
      <c r="N810" s="177"/>
      <c r="P810" s="183"/>
      <c r="Q810" s="184"/>
      <c r="R810" s="185"/>
      <c r="S810" s="176"/>
      <c r="T810" s="172"/>
      <c r="U810" s="181"/>
      <c r="V810" s="181"/>
    </row>
    <row r="811" spans="1:22" x14ac:dyDescent="0.25">
      <c r="A811" s="172"/>
      <c r="F811" s="174"/>
      <c r="G811" s="174"/>
      <c r="H811" s="174"/>
      <c r="J811" s="174"/>
      <c r="L811" s="175"/>
      <c r="M811" s="182"/>
      <c r="N811" s="177"/>
      <c r="P811" s="183"/>
      <c r="Q811" s="184"/>
      <c r="R811" s="185"/>
      <c r="S811" s="176"/>
      <c r="T811" s="172"/>
      <c r="U811" s="181"/>
      <c r="V811" s="181"/>
    </row>
    <row r="812" spans="1:22" x14ac:dyDescent="0.25">
      <c r="A812" s="172"/>
      <c r="F812" s="174"/>
      <c r="G812" s="174"/>
      <c r="H812" s="174"/>
      <c r="J812" s="174"/>
      <c r="L812" s="175"/>
      <c r="M812" s="182"/>
      <c r="N812" s="177"/>
      <c r="P812" s="183"/>
      <c r="Q812" s="184"/>
      <c r="R812" s="185"/>
      <c r="S812" s="176"/>
      <c r="T812" s="172"/>
      <c r="U812" s="181"/>
      <c r="V812" s="181"/>
    </row>
    <row r="813" spans="1:22" x14ac:dyDescent="0.25">
      <c r="A813" s="172"/>
      <c r="F813" s="174"/>
      <c r="G813" s="174"/>
      <c r="H813" s="174"/>
      <c r="J813" s="174"/>
      <c r="L813" s="175"/>
      <c r="M813" s="182"/>
      <c r="N813" s="177"/>
      <c r="P813" s="183"/>
      <c r="Q813" s="184"/>
      <c r="R813" s="185"/>
      <c r="S813" s="176"/>
      <c r="T813" s="172"/>
      <c r="U813" s="181"/>
      <c r="V813" s="181"/>
    </row>
    <row r="814" spans="1:22" x14ac:dyDescent="0.25">
      <c r="A814" s="172"/>
      <c r="F814" s="174"/>
      <c r="G814" s="174"/>
      <c r="H814" s="174"/>
      <c r="J814" s="174"/>
      <c r="L814" s="175"/>
      <c r="M814" s="182"/>
      <c r="N814" s="177"/>
      <c r="P814" s="183"/>
      <c r="Q814" s="184"/>
      <c r="R814" s="185"/>
      <c r="S814" s="176"/>
      <c r="T814" s="172"/>
      <c r="U814" s="181"/>
      <c r="V814" s="181"/>
    </row>
    <row r="815" spans="1:22" x14ac:dyDescent="0.25">
      <c r="A815" s="172"/>
      <c r="F815" s="174"/>
      <c r="G815" s="174"/>
      <c r="H815" s="174"/>
      <c r="J815" s="174"/>
      <c r="L815" s="175"/>
      <c r="M815" s="182"/>
      <c r="N815" s="177"/>
      <c r="P815" s="183"/>
      <c r="Q815" s="184"/>
      <c r="R815" s="185"/>
      <c r="S815" s="176"/>
      <c r="T815" s="172"/>
      <c r="U815" s="181"/>
      <c r="V815" s="181"/>
    </row>
    <row r="816" spans="1:22" x14ac:dyDescent="0.25">
      <c r="A816" s="172"/>
      <c r="F816" s="174"/>
      <c r="G816" s="174"/>
      <c r="H816" s="174"/>
      <c r="J816" s="174"/>
      <c r="L816" s="175"/>
      <c r="M816" s="182"/>
      <c r="N816" s="177"/>
      <c r="P816" s="183"/>
      <c r="Q816" s="184"/>
      <c r="R816" s="185"/>
      <c r="S816" s="176"/>
      <c r="T816" s="172"/>
      <c r="U816" s="181"/>
      <c r="V816" s="181"/>
    </row>
    <row r="817" spans="1:22" x14ac:dyDescent="0.25">
      <c r="A817" s="172"/>
      <c r="F817" s="174"/>
      <c r="G817" s="174"/>
      <c r="H817" s="174"/>
      <c r="J817" s="174"/>
      <c r="L817" s="175"/>
      <c r="M817" s="182"/>
      <c r="N817" s="177"/>
      <c r="P817" s="183"/>
      <c r="Q817" s="184"/>
      <c r="R817" s="185"/>
      <c r="S817" s="176"/>
      <c r="T817" s="172"/>
      <c r="U817" s="181"/>
      <c r="V817" s="181"/>
    </row>
    <row r="818" spans="1:22" x14ac:dyDescent="0.25">
      <c r="A818" s="172"/>
      <c r="F818" s="174"/>
      <c r="G818" s="174"/>
      <c r="H818" s="174"/>
      <c r="J818" s="174"/>
      <c r="L818" s="175"/>
      <c r="M818" s="182"/>
      <c r="N818" s="177"/>
      <c r="P818" s="183"/>
      <c r="Q818" s="184"/>
      <c r="R818" s="185"/>
      <c r="S818" s="176"/>
      <c r="T818" s="172"/>
      <c r="U818" s="181"/>
      <c r="V818" s="181"/>
    </row>
    <row r="819" spans="1:22" x14ac:dyDescent="0.25">
      <c r="A819" s="172"/>
      <c r="F819" s="174"/>
      <c r="G819" s="174"/>
      <c r="H819" s="174"/>
      <c r="J819" s="174"/>
      <c r="L819" s="175"/>
      <c r="M819" s="182"/>
      <c r="N819" s="177"/>
      <c r="P819" s="183"/>
      <c r="Q819" s="184"/>
      <c r="R819" s="185"/>
      <c r="S819" s="176"/>
      <c r="T819" s="172"/>
      <c r="U819" s="181"/>
      <c r="V819" s="181"/>
    </row>
    <row r="820" spans="1:22" x14ac:dyDescent="0.25">
      <c r="A820" s="172"/>
      <c r="F820" s="174"/>
      <c r="G820" s="174"/>
      <c r="H820" s="174"/>
      <c r="J820" s="174"/>
      <c r="L820" s="175"/>
      <c r="M820" s="182"/>
      <c r="N820" s="177"/>
      <c r="P820" s="183"/>
      <c r="Q820" s="184"/>
      <c r="R820" s="185"/>
      <c r="S820" s="176"/>
      <c r="T820" s="172"/>
      <c r="U820" s="181"/>
      <c r="V820" s="181"/>
    </row>
    <row r="821" spans="1:22" x14ac:dyDescent="0.25">
      <c r="A821" s="172"/>
      <c r="F821" s="174"/>
      <c r="G821" s="174"/>
      <c r="H821" s="174"/>
      <c r="J821" s="174"/>
      <c r="L821" s="175"/>
      <c r="M821" s="182"/>
      <c r="N821" s="177"/>
      <c r="P821" s="183"/>
      <c r="Q821" s="184"/>
      <c r="R821" s="185"/>
      <c r="S821" s="176"/>
      <c r="T821" s="172"/>
      <c r="U821" s="181"/>
      <c r="V821" s="181"/>
    </row>
    <row r="822" spans="1:22" x14ac:dyDescent="0.25">
      <c r="A822" s="172"/>
      <c r="F822" s="174"/>
      <c r="G822" s="174"/>
      <c r="H822" s="174"/>
      <c r="J822" s="174"/>
      <c r="L822" s="175"/>
      <c r="M822" s="182"/>
      <c r="N822" s="177"/>
      <c r="P822" s="183"/>
      <c r="Q822" s="184"/>
      <c r="R822" s="185"/>
      <c r="S822" s="176"/>
      <c r="T822" s="172"/>
      <c r="U822" s="181"/>
      <c r="V822" s="181"/>
    </row>
    <row r="823" spans="1:22" x14ac:dyDescent="0.25">
      <c r="A823" s="172"/>
      <c r="F823" s="174"/>
      <c r="G823" s="174"/>
      <c r="H823" s="174"/>
      <c r="J823" s="174"/>
      <c r="L823" s="175"/>
      <c r="M823" s="182"/>
      <c r="N823" s="177"/>
      <c r="P823" s="183"/>
      <c r="Q823" s="184"/>
      <c r="R823" s="185"/>
      <c r="S823" s="176"/>
      <c r="T823" s="172"/>
      <c r="U823" s="181"/>
      <c r="V823" s="181"/>
    </row>
    <row r="824" spans="1:22" x14ac:dyDescent="0.25">
      <c r="A824" s="172"/>
      <c r="F824" s="174"/>
      <c r="G824" s="174"/>
      <c r="H824" s="174"/>
      <c r="J824" s="174"/>
      <c r="L824" s="175"/>
      <c r="M824" s="182"/>
      <c r="N824" s="177"/>
      <c r="P824" s="183"/>
      <c r="Q824" s="184"/>
      <c r="R824" s="185"/>
      <c r="S824" s="176"/>
      <c r="T824" s="172"/>
      <c r="U824" s="181"/>
      <c r="V824" s="181"/>
    </row>
    <row r="825" spans="1:22" x14ac:dyDescent="0.25">
      <c r="A825" s="172"/>
      <c r="F825" s="174"/>
      <c r="G825" s="174"/>
      <c r="H825" s="174"/>
      <c r="J825" s="174"/>
      <c r="L825" s="175"/>
      <c r="M825" s="182"/>
      <c r="N825" s="177"/>
      <c r="P825" s="183"/>
      <c r="Q825" s="184"/>
      <c r="R825" s="185"/>
      <c r="S825" s="176"/>
      <c r="T825" s="172"/>
      <c r="U825" s="181"/>
      <c r="V825" s="181"/>
    </row>
    <row r="826" spans="1:22" x14ac:dyDescent="0.25">
      <c r="A826" s="172"/>
      <c r="F826" s="174"/>
      <c r="G826" s="174"/>
      <c r="H826" s="174"/>
      <c r="J826" s="174"/>
      <c r="L826" s="175"/>
      <c r="M826" s="182"/>
      <c r="N826" s="177"/>
      <c r="P826" s="183"/>
      <c r="Q826" s="184"/>
      <c r="R826" s="185"/>
      <c r="S826" s="176"/>
      <c r="T826" s="172"/>
      <c r="U826" s="181"/>
      <c r="V826" s="181"/>
    </row>
    <row r="827" spans="1:22" x14ac:dyDescent="0.25">
      <c r="A827" s="172"/>
      <c r="F827" s="174"/>
      <c r="G827" s="174"/>
      <c r="H827" s="174"/>
      <c r="J827" s="174"/>
      <c r="L827" s="175"/>
      <c r="M827" s="182"/>
      <c r="N827" s="177"/>
      <c r="P827" s="183"/>
      <c r="Q827" s="184"/>
      <c r="R827" s="185"/>
      <c r="S827" s="176"/>
      <c r="T827" s="172"/>
      <c r="U827" s="181"/>
      <c r="V827" s="181"/>
    </row>
    <row r="828" spans="1:22" x14ac:dyDescent="0.25">
      <c r="A828" s="172"/>
      <c r="F828" s="174"/>
      <c r="G828" s="174"/>
      <c r="H828" s="174"/>
      <c r="J828" s="174"/>
      <c r="L828" s="175"/>
      <c r="M828" s="182"/>
      <c r="N828" s="177"/>
      <c r="P828" s="183"/>
      <c r="Q828" s="184"/>
      <c r="R828" s="185"/>
      <c r="S828" s="176"/>
      <c r="T828" s="172"/>
      <c r="U828" s="181"/>
      <c r="V828" s="181"/>
    </row>
    <row r="829" spans="1:22" x14ac:dyDescent="0.25">
      <c r="A829" s="172"/>
      <c r="F829" s="174"/>
      <c r="G829" s="174"/>
      <c r="H829" s="174"/>
      <c r="J829" s="174"/>
      <c r="L829" s="175"/>
      <c r="M829" s="182"/>
      <c r="N829" s="177"/>
      <c r="P829" s="183"/>
      <c r="Q829" s="184"/>
      <c r="R829" s="185"/>
      <c r="S829" s="176"/>
      <c r="T829" s="172"/>
      <c r="U829" s="181"/>
      <c r="V829" s="181"/>
    </row>
    <row r="830" spans="1:22" x14ac:dyDescent="0.25">
      <c r="A830" s="172"/>
      <c r="F830" s="174"/>
      <c r="G830" s="174"/>
      <c r="H830" s="174"/>
      <c r="J830" s="174"/>
      <c r="L830" s="175"/>
      <c r="M830" s="182"/>
      <c r="N830" s="177"/>
      <c r="P830" s="183"/>
      <c r="Q830" s="184"/>
      <c r="R830" s="185"/>
      <c r="S830" s="176"/>
      <c r="T830" s="172"/>
      <c r="U830" s="181"/>
      <c r="V830" s="181"/>
    </row>
    <row r="831" spans="1:22" x14ac:dyDescent="0.25">
      <c r="A831" s="172"/>
      <c r="F831" s="174"/>
      <c r="G831" s="174"/>
      <c r="H831" s="174"/>
      <c r="J831" s="174"/>
      <c r="L831" s="175"/>
      <c r="M831" s="182"/>
      <c r="N831" s="177"/>
      <c r="P831" s="183"/>
      <c r="Q831" s="184"/>
      <c r="R831" s="185"/>
      <c r="S831" s="176"/>
      <c r="T831" s="172"/>
      <c r="U831" s="181"/>
      <c r="V831" s="181"/>
    </row>
    <row r="832" spans="1:22" x14ac:dyDescent="0.25">
      <c r="A832" s="172"/>
      <c r="F832" s="174"/>
      <c r="G832" s="174"/>
      <c r="H832" s="174"/>
      <c r="J832" s="174"/>
      <c r="L832" s="175"/>
      <c r="M832" s="182"/>
      <c r="N832" s="177"/>
      <c r="P832" s="183"/>
      <c r="Q832" s="184"/>
      <c r="R832" s="185"/>
      <c r="S832" s="176"/>
      <c r="T832" s="172"/>
      <c r="U832" s="181"/>
      <c r="V832" s="181"/>
    </row>
    <row r="833" spans="1:22" x14ac:dyDescent="0.25">
      <c r="A833" s="172"/>
      <c r="F833" s="174"/>
      <c r="G833" s="174"/>
      <c r="H833" s="174"/>
      <c r="J833" s="174"/>
      <c r="L833" s="175"/>
      <c r="M833" s="182"/>
      <c r="N833" s="177"/>
      <c r="P833" s="183"/>
      <c r="Q833" s="184"/>
      <c r="R833" s="185"/>
      <c r="S833" s="176"/>
      <c r="T833" s="172"/>
      <c r="U833" s="181"/>
      <c r="V833" s="181"/>
    </row>
    <row r="834" spans="1:22" x14ac:dyDescent="0.25">
      <c r="A834" s="172"/>
      <c r="F834" s="174"/>
      <c r="G834" s="174"/>
      <c r="H834" s="174"/>
      <c r="J834" s="174"/>
      <c r="L834" s="175"/>
      <c r="M834" s="182"/>
      <c r="N834" s="177"/>
      <c r="P834" s="183"/>
      <c r="Q834" s="184"/>
      <c r="R834" s="185"/>
      <c r="S834" s="176"/>
      <c r="T834" s="172"/>
      <c r="U834" s="181"/>
      <c r="V834" s="181"/>
    </row>
    <row r="835" spans="1:22" x14ac:dyDescent="0.25">
      <c r="A835" s="172"/>
      <c r="F835" s="174"/>
      <c r="G835" s="174"/>
      <c r="H835" s="174"/>
      <c r="J835" s="174"/>
      <c r="L835" s="175"/>
      <c r="M835" s="182"/>
      <c r="N835" s="177"/>
      <c r="P835" s="183"/>
      <c r="Q835" s="184"/>
      <c r="R835" s="185"/>
      <c r="S835" s="176"/>
      <c r="T835" s="172"/>
      <c r="U835" s="181"/>
      <c r="V835" s="181"/>
    </row>
    <row r="836" spans="1:22" x14ac:dyDescent="0.25">
      <c r="A836" s="172"/>
      <c r="F836" s="174"/>
      <c r="G836" s="174"/>
      <c r="H836" s="174"/>
      <c r="J836" s="174"/>
      <c r="L836" s="175"/>
      <c r="M836" s="182"/>
      <c r="N836" s="177"/>
      <c r="P836" s="183"/>
      <c r="Q836" s="184"/>
      <c r="R836" s="185"/>
      <c r="S836" s="176"/>
      <c r="T836" s="172"/>
      <c r="U836" s="181"/>
      <c r="V836" s="181"/>
    </row>
    <row r="837" spans="1:22" x14ac:dyDescent="0.25">
      <c r="A837" s="172"/>
      <c r="F837" s="174"/>
      <c r="G837" s="174"/>
      <c r="H837" s="174"/>
      <c r="J837" s="174"/>
      <c r="L837" s="175"/>
      <c r="M837" s="182"/>
      <c r="N837" s="177"/>
      <c r="P837" s="183"/>
      <c r="Q837" s="184"/>
      <c r="R837" s="185"/>
      <c r="S837" s="176"/>
      <c r="T837" s="172"/>
      <c r="U837" s="181"/>
      <c r="V837" s="181"/>
    </row>
    <row r="838" spans="1:22" x14ac:dyDescent="0.25">
      <c r="A838" s="172"/>
      <c r="F838" s="174"/>
      <c r="G838" s="174"/>
      <c r="H838" s="174"/>
      <c r="J838" s="174"/>
      <c r="L838" s="175"/>
      <c r="M838" s="182"/>
      <c r="N838" s="177"/>
      <c r="P838" s="183"/>
      <c r="Q838" s="184"/>
      <c r="R838" s="185"/>
      <c r="S838" s="176"/>
      <c r="T838" s="172"/>
      <c r="U838" s="181"/>
      <c r="V838" s="181"/>
    </row>
    <row r="839" spans="1:22" x14ac:dyDescent="0.25">
      <c r="A839" s="172"/>
      <c r="F839" s="174"/>
      <c r="G839" s="174"/>
      <c r="H839" s="174"/>
      <c r="J839" s="174"/>
      <c r="L839" s="175"/>
      <c r="M839" s="182"/>
      <c r="N839" s="177"/>
      <c r="P839" s="183"/>
      <c r="Q839" s="184"/>
      <c r="R839" s="185"/>
      <c r="S839" s="176"/>
      <c r="T839" s="172"/>
      <c r="U839" s="181"/>
      <c r="V839" s="181"/>
    </row>
    <row r="840" spans="1:22" x14ac:dyDescent="0.25">
      <c r="A840" s="172"/>
      <c r="F840" s="174"/>
      <c r="G840" s="174"/>
      <c r="H840" s="174"/>
      <c r="J840" s="174"/>
      <c r="L840" s="175"/>
      <c r="M840" s="182"/>
      <c r="N840" s="177"/>
      <c r="P840" s="183"/>
      <c r="Q840" s="184"/>
      <c r="R840" s="185"/>
      <c r="S840" s="176"/>
      <c r="T840" s="172"/>
      <c r="U840" s="181"/>
      <c r="V840" s="181"/>
    </row>
    <row r="841" spans="1:22" x14ac:dyDescent="0.25">
      <c r="A841" s="172"/>
      <c r="F841" s="174"/>
      <c r="G841" s="174"/>
      <c r="H841" s="174"/>
      <c r="J841" s="174"/>
      <c r="L841" s="175"/>
      <c r="M841" s="182"/>
      <c r="N841" s="177"/>
      <c r="P841" s="183"/>
      <c r="Q841" s="184"/>
      <c r="R841" s="185"/>
      <c r="S841" s="176"/>
      <c r="T841" s="172"/>
      <c r="U841" s="181"/>
      <c r="V841" s="181"/>
    </row>
    <row r="842" spans="1:22" x14ac:dyDescent="0.25">
      <c r="A842" s="172"/>
      <c r="F842" s="174"/>
      <c r="G842" s="174"/>
      <c r="H842" s="174"/>
      <c r="J842" s="174"/>
      <c r="L842" s="175"/>
      <c r="M842" s="182"/>
      <c r="N842" s="177"/>
      <c r="P842" s="183"/>
      <c r="Q842" s="184"/>
      <c r="R842" s="185"/>
      <c r="S842" s="176"/>
      <c r="T842" s="172"/>
      <c r="U842" s="181"/>
      <c r="V842" s="181"/>
    </row>
    <row r="843" spans="1:22" x14ac:dyDescent="0.25">
      <c r="A843" s="172"/>
      <c r="F843" s="174"/>
      <c r="G843" s="174"/>
      <c r="H843" s="174"/>
      <c r="J843" s="174"/>
      <c r="L843" s="175"/>
      <c r="M843" s="182"/>
      <c r="N843" s="177"/>
      <c r="P843" s="183"/>
      <c r="Q843" s="184"/>
      <c r="R843" s="185"/>
      <c r="S843" s="176"/>
      <c r="T843" s="172"/>
      <c r="U843" s="181"/>
      <c r="V843" s="181"/>
    </row>
    <row r="844" spans="1:22" x14ac:dyDescent="0.25">
      <c r="A844" s="172"/>
      <c r="F844" s="174"/>
      <c r="G844" s="174"/>
      <c r="H844" s="174"/>
      <c r="J844" s="174"/>
      <c r="L844" s="175"/>
      <c r="M844" s="182"/>
      <c r="N844" s="177"/>
      <c r="P844" s="183"/>
      <c r="Q844" s="184"/>
      <c r="R844" s="185"/>
      <c r="S844" s="176"/>
      <c r="T844" s="172"/>
      <c r="U844" s="181"/>
      <c r="V844" s="181"/>
    </row>
    <row r="845" spans="1:22" x14ac:dyDescent="0.25">
      <c r="A845" s="172"/>
      <c r="F845" s="174"/>
      <c r="G845" s="174"/>
      <c r="H845" s="174"/>
      <c r="J845" s="174"/>
      <c r="L845" s="175"/>
      <c r="M845" s="182"/>
      <c r="N845" s="177"/>
      <c r="P845" s="183"/>
      <c r="Q845" s="184"/>
      <c r="R845" s="185"/>
      <c r="S845" s="176"/>
      <c r="T845" s="172"/>
      <c r="U845" s="181"/>
      <c r="V845" s="181"/>
    </row>
    <row r="846" spans="1:22" x14ac:dyDescent="0.25">
      <c r="A846" s="172"/>
      <c r="F846" s="174"/>
      <c r="G846" s="174"/>
      <c r="H846" s="174"/>
      <c r="J846" s="174"/>
      <c r="L846" s="175"/>
      <c r="M846" s="182"/>
      <c r="N846" s="177"/>
      <c r="P846" s="183"/>
      <c r="Q846" s="184"/>
      <c r="R846" s="185"/>
      <c r="S846" s="176"/>
      <c r="T846" s="172"/>
      <c r="U846" s="181"/>
      <c r="V846" s="181"/>
    </row>
    <row r="847" spans="1:22" x14ac:dyDescent="0.25">
      <c r="A847" s="172"/>
      <c r="F847" s="174"/>
      <c r="G847" s="174"/>
      <c r="H847" s="174"/>
      <c r="J847" s="174"/>
      <c r="L847" s="175"/>
      <c r="M847" s="182"/>
      <c r="N847" s="177"/>
      <c r="P847" s="183"/>
      <c r="Q847" s="184"/>
      <c r="R847" s="185"/>
      <c r="S847" s="176"/>
      <c r="T847" s="172"/>
      <c r="U847" s="181"/>
      <c r="V847" s="181"/>
    </row>
    <row r="848" spans="1:22" x14ac:dyDescent="0.25">
      <c r="A848" s="172"/>
      <c r="F848" s="174"/>
      <c r="G848" s="174"/>
      <c r="H848" s="174"/>
      <c r="J848" s="174"/>
      <c r="L848" s="175"/>
      <c r="M848" s="182"/>
      <c r="N848" s="177"/>
      <c r="P848" s="183"/>
      <c r="Q848" s="184"/>
      <c r="R848" s="185"/>
      <c r="S848" s="176"/>
      <c r="T848" s="172"/>
      <c r="U848" s="181"/>
      <c r="V848" s="181"/>
    </row>
    <row r="849" spans="1:22" x14ac:dyDescent="0.25">
      <c r="A849" s="172"/>
      <c r="F849" s="174"/>
      <c r="G849" s="174"/>
      <c r="H849" s="174"/>
      <c r="J849" s="174"/>
      <c r="L849" s="175"/>
      <c r="M849" s="182"/>
      <c r="N849" s="177"/>
      <c r="P849" s="183"/>
      <c r="Q849" s="184"/>
      <c r="R849" s="185"/>
      <c r="S849" s="176"/>
      <c r="T849" s="172"/>
      <c r="U849" s="181"/>
      <c r="V849" s="181"/>
    </row>
    <row r="850" spans="1:22" x14ac:dyDescent="0.25">
      <c r="A850" s="172"/>
      <c r="F850" s="174"/>
      <c r="G850" s="174"/>
      <c r="H850" s="174"/>
      <c r="J850" s="174"/>
      <c r="L850" s="175"/>
      <c r="M850" s="182"/>
      <c r="N850" s="177"/>
      <c r="P850" s="183"/>
      <c r="Q850" s="184"/>
      <c r="R850" s="185"/>
      <c r="S850" s="176"/>
      <c r="T850" s="172"/>
      <c r="U850" s="181"/>
      <c r="V850" s="181"/>
    </row>
    <row r="851" spans="1:22" x14ac:dyDescent="0.25">
      <c r="A851" s="172"/>
      <c r="F851" s="174"/>
      <c r="G851" s="174"/>
      <c r="H851" s="174"/>
      <c r="J851" s="174"/>
      <c r="L851" s="175"/>
      <c r="M851" s="182"/>
      <c r="N851" s="177"/>
      <c r="P851" s="183"/>
      <c r="Q851" s="184"/>
      <c r="R851" s="185"/>
      <c r="S851" s="176"/>
      <c r="T851" s="172"/>
      <c r="U851" s="181"/>
      <c r="V851" s="181"/>
    </row>
    <row r="852" spans="1:22" x14ac:dyDescent="0.25">
      <c r="A852" s="172"/>
      <c r="F852" s="174"/>
      <c r="G852" s="174"/>
      <c r="H852" s="174"/>
      <c r="J852" s="174"/>
      <c r="L852" s="175"/>
      <c r="M852" s="182"/>
      <c r="N852" s="177"/>
      <c r="P852" s="183"/>
      <c r="Q852" s="184"/>
      <c r="R852" s="185"/>
      <c r="S852" s="176"/>
      <c r="T852" s="172"/>
      <c r="U852" s="181"/>
      <c r="V852" s="181"/>
    </row>
    <row r="853" spans="1:22" x14ac:dyDescent="0.25">
      <c r="A853" s="172"/>
      <c r="F853" s="174"/>
      <c r="G853" s="174"/>
      <c r="H853" s="174"/>
      <c r="J853" s="174"/>
      <c r="L853" s="175"/>
      <c r="M853" s="182"/>
      <c r="N853" s="177"/>
      <c r="P853" s="183"/>
      <c r="Q853" s="184"/>
      <c r="R853" s="185"/>
      <c r="S853" s="176"/>
      <c r="T853" s="172"/>
      <c r="U853" s="181"/>
      <c r="V853" s="181"/>
    </row>
    <row r="854" spans="1:22" x14ac:dyDescent="0.25">
      <c r="A854" s="172"/>
      <c r="F854" s="174"/>
      <c r="G854" s="174"/>
      <c r="H854" s="174"/>
      <c r="J854" s="174"/>
      <c r="L854" s="175"/>
      <c r="M854" s="182"/>
      <c r="N854" s="177"/>
      <c r="P854" s="183"/>
      <c r="Q854" s="184"/>
      <c r="R854" s="185"/>
      <c r="S854" s="176"/>
      <c r="T854" s="172"/>
      <c r="U854" s="181"/>
      <c r="V854" s="181"/>
    </row>
    <row r="855" spans="1:22" x14ac:dyDescent="0.25">
      <c r="A855" s="172"/>
      <c r="F855" s="174"/>
      <c r="G855" s="174"/>
      <c r="H855" s="174"/>
      <c r="J855" s="174"/>
      <c r="L855" s="175"/>
      <c r="M855" s="182"/>
      <c r="N855" s="177"/>
      <c r="P855" s="183"/>
      <c r="Q855" s="184"/>
      <c r="R855" s="185"/>
      <c r="S855" s="176"/>
      <c r="T855" s="172"/>
      <c r="U855" s="181"/>
      <c r="V855" s="181"/>
    </row>
    <row r="856" spans="1:22" x14ac:dyDescent="0.25">
      <c r="A856" s="172"/>
      <c r="F856" s="174"/>
      <c r="G856" s="174"/>
      <c r="H856" s="174"/>
      <c r="J856" s="174"/>
      <c r="L856" s="175"/>
      <c r="M856" s="182"/>
      <c r="N856" s="177"/>
      <c r="P856" s="183"/>
      <c r="Q856" s="184"/>
      <c r="R856" s="185"/>
      <c r="S856" s="176"/>
      <c r="T856" s="172"/>
      <c r="U856" s="181"/>
      <c r="V856" s="181"/>
    </row>
    <row r="857" spans="1:22" x14ac:dyDescent="0.25">
      <c r="A857" s="172"/>
      <c r="F857" s="174"/>
      <c r="G857" s="174"/>
      <c r="H857" s="174"/>
      <c r="J857" s="174"/>
      <c r="L857" s="175"/>
      <c r="M857" s="182"/>
      <c r="N857" s="177"/>
      <c r="P857" s="183"/>
      <c r="Q857" s="184"/>
      <c r="R857" s="185"/>
      <c r="S857" s="176"/>
      <c r="T857" s="172"/>
      <c r="U857" s="181"/>
      <c r="V857" s="181"/>
    </row>
    <row r="858" spans="1:22" x14ac:dyDescent="0.25">
      <c r="A858" s="172"/>
      <c r="F858" s="174"/>
      <c r="G858" s="174"/>
      <c r="H858" s="174"/>
      <c r="J858" s="174"/>
      <c r="L858" s="175"/>
      <c r="M858" s="182"/>
      <c r="N858" s="177"/>
      <c r="P858" s="183"/>
      <c r="Q858" s="184"/>
      <c r="R858" s="185"/>
      <c r="S858" s="176"/>
      <c r="T858" s="172"/>
      <c r="U858" s="181"/>
      <c r="V858" s="181"/>
    </row>
    <row r="859" spans="1:22" x14ac:dyDescent="0.25">
      <c r="A859" s="172"/>
      <c r="F859" s="174"/>
      <c r="G859" s="174"/>
      <c r="H859" s="174"/>
      <c r="J859" s="174"/>
      <c r="L859" s="175"/>
      <c r="M859" s="182"/>
      <c r="N859" s="177"/>
      <c r="P859" s="183"/>
      <c r="Q859" s="184"/>
      <c r="R859" s="185"/>
      <c r="S859" s="176"/>
      <c r="T859" s="172"/>
      <c r="U859" s="181"/>
      <c r="V859" s="181"/>
    </row>
    <row r="860" spans="1:22" x14ac:dyDescent="0.25">
      <c r="A860" s="172"/>
      <c r="F860" s="174"/>
      <c r="G860" s="174"/>
      <c r="H860" s="174"/>
      <c r="J860" s="174"/>
      <c r="L860" s="175"/>
      <c r="M860" s="182"/>
      <c r="N860" s="177"/>
      <c r="P860" s="183"/>
      <c r="Q860" s="184"/>
      <c r="R860" s="185"/>
      <c r="S860" s="176"/>
      <c r="T860" s="172"/>
      <c r="U860" s="181"/>
      <c r="V860" s="181"/>
    </row>
    <row r="861" spans="1:22" x14ac:dyDescent="0.25">
      <c r="A861" s="172"/>
      <c r="F861" s="174"/>
      <c r="G861" s="174"/>
      <c r="H861" s="174"/>
      <c r="J861" s="174"/>
      <c r="L861" s="175"/>
      <c r="M861" s="182"/>
      <c r="N861" s="177"/>
      <c r="P861" s="183"/>
      <c r="Q861" s="184"/>
      <c r="R861" s="185"/>
      <c r="S861" s="176"/>
      <c r="T861" s="172"/>
      <c r="U861" s="181"/>
      <c r="V861" s="181"/>
    </row>
    <row r="862" spans="1:22" x14ac:dyDescent="0.25">
      <c r="A862" s="172"/>
      <c r="F862" s="174"/>
      <c r="G862" s="174"/>
      <c r="H862" s="174"/>
      <c r="J862" s="174"/>
      <c r="L862" s="175"/>
      <c r="M862" s="182"/>
      <c r="N862" s="177"/>
      <c r="P862" s="183"/>
      <c r="Q862" s="184"/>
      <c r="R862" s="185"/>
      <c r="S862" s="176"/>
      <c r="T862" s="172"/>
      <c r="U862" s="181"/>
      <c r="V862" s="181"/>
    </row>
    <row r="863" spans="1:22" x14ac:dyDescent="0.25">
      <c r="A863" s="172"/>
      <c r="F863" s="174"/>
      <c r="G863" s="174"/>
      <c r="H863" s="174"/>
      <c r="J863" s="174"/>
      <c r="L863" s="175"/>
      <c r="M863" s="182"/>
      <c r="N863" s="177"/>
      <c r="P863" s="183"/>
      <c r="Q863" s="184"/>
      <c r="R863" s="185"/>
      <c r="S863" s="176"/>
      <c r="T863" s="172"/>
      <c r="U863" s="181"/>
      <c r="V863" s="181"/>
    </row>
    <row r="864" spans="1:22" x14ac:dyDescent="0.25">
      <c r="A864" s="172"/>
      <c r="F864" s="174"/>
      <c r="G864" s="174"/>
      <c r="H864" s="174"/>
      <c r="J864" s="174"/>
      <c r="L864" s="175"/>
      <c r="M864" s="182"/>
      <c r="N864" s="177"/>
      <c r="P864" s="183"/>
      <c r="Q864" s="184"/>
      <c r="R864" s="185"/>
      <c r="S864" s="176"/>
      <c r="T864" s="172"/>
      <c r="U864" s="181"/>
      <c r="V864" s="181"/>
    </row>
    <row r="865" spans="1:22" x14ac:dyDescent="0.25">
      <c r="A865" s="172"/>
      <c r="F865" s="174"/>
      <c r="G865" s="174"/>
      <c r="H865" s="174"/>
      <c r="J865" s="174"/>
      <c r="L865" s="175"/>
      <c r="M865" s="182"/>
      <c r="N865" s="177"/>
      <c r="P865" s="183"/>
      <c r="Q865" s="184"/>
      <c r="R865" s="185"/>
      <c r="S865" s="176"/>
      <c r="T865" s="172"/>
      <c r="U865" s="181"/>
      <c r="V865" s="181"/>
    </row>
    <row r="866" spans="1:22" x14ac:dyDescent="0.25">
      <c r="A866" s="172"/>
      <c r="F866" s="174"/>
      <c r="G866" s="174"/>
      <c r="H866" s="174"/>
      <c r="J866" s="174"/>
      <c r="L866" s="175"/>
      <c r="M866" s="182"/>
      <c r="N866" s="177"/>
      <c r="P866" s="183"/>
      <c r="Q866" s="184"/>
      <c r="R866" s="185"/>
      <c r="S866" s="176"/>
      <c r="T866" s="172"/>
      <c r="U866" s="181"/>
      <c r="V866" s="181"/>
    </row>
    <row r="867" spans="1:22" x14ac:dyDescent="0.25">
      <c r="A867" s="172"/>
      <c r="F867" s="174"/>
      <c r="G867" s="174"/>
      <c r="H867" s="174"/>
      <c r="J867" s="174"/>
      <c r="L867" s="175"/>
      <c r="M867" s="182"/>
      <c r="N867" s="177"/>
      <c r="P867" s="183"/>
      <c r="Q867" s="184"/>
      <c r="R867" s="185"/>
      <c r="S867" s="176"/>
      <c r="T867" s="172"/>
      <c r="U867" s="181"/>
      <c r="V867" s="181"/>
    </row>
    <row r="868" spans="1:22" x14ac:dyDescent="0.25">
      <c r="A868" s="172"/>
      <c r="F868" s="174"/>
      <c r="G868" s="174"/>
      <c r="H868" s="174"/>
      <c r="J868" s="174"/>
      <c r="L868" s="175"/>
      <c r="M868" s="182"/>
      <c r="N868" s="177"/>
      <c r="P868" s="183"/>
      <c r="Q868" s="184"/>
      <c r="R868" s="185"/>
      <c r="S868" s="176"/>
      <c r="T868" s="172"/>
      <c r="U868" s="181"/>
      <c r="V868" s="181"/>
    </row>
    <row r="869" spans="1:22" x14ac:dyDescent="0.25">
      <c r="A869" s="172"/>
      <c r="F869" s="174"/>
      <c r="G869" s="174"/>
      <c r="H869" s="174"/>
      <c r="J869" s="174"/>
      <c r="L869" s="175"/>
      <c r="M869" s="182"/>
      <c r="N869" s="177"/>
      <c r="P869" s="183"/>
      <c r="Q869" s="184"/>
      <c r="R869" s="185"/>
      <c r="S869" s="176"/>
      <c r="T869" s="172"/>
      <c r="U869" s="181"/>
      <c r="V869" s="181"/>
    </row>
    <row r="870" spans="1:22" x14ac:dyDescent="0.25">
      <c r="A870" s="172"/>
      <c r="F870" s="174"/>
      <c r="G870" s="174"/>
      <c r="H870" s="174"/>
      <c r="J870" s="174"/>
      <c r="L870" s="175"/>
      <c r="M870" s="182"/>
      <c r="N870" s="177"/>
      <c r="P870" s="183"/>
      <c r="Q870" s="184"/>
      <c r="R870" s="185"/>
      <c r="S870" s="176"/>
      <c r="T870" s="172"/>
      <c r="U870" s="181"/>
      <c r="V870" s="181"/>
    </row>
    <row r="871" spans="1:22" x14ac:dyDescent="0.25">
      <c r="A871" s="172"/>
      <c r="F871" s="174"/>
      <c r="G871" s="174"/>
      <c r="H871" s="174"/>
      <c r="J871" s="174"/>
      <c r="L871" s="175"/>
      <c r="M871" s="182"/>
      <c r="N871" s="177"/>
      <c r="P871" s="183"/>
      <c r="Q871" s="184"/>
      <c r="R871" s="185"/>
      <c r="S871" s="176"/>
      <c r="T871" s="172"/>
      <c r="U871" s="181"/>
      <c r="V871" s="181"/>
    </row>
    <row r="872" spans="1:22" x14ac:dyDescent="0.25">
      <c r="A872" s="172"/>
      <c r="F872" s="174"/>
      <c r="G872" s="174"/>
      <c r="H872" s="174"/>
      <c r="J872" s="174"/>
      <c r="L872" s="175"/>
      <c r="M872" s="182"/>
      <c r="N872" s="177"/>
      <c r="P872" s="183"/>
      <c r="Q872" s="184"/>
      <c r="R872" s="185"/>
      <c r="S872" s="176"/>
      <c r="T872" s="172"/>
      <c r="U872" s="181"/>
      <c r="V872" s="181"/>
    </row>
    <row r="873" spans="1:22" x14ac:dyDescent="0.25">
      <c r="A873" s="172"/>
      <c r="F873" s="174"/>
      <c r="G873" s="174"/>
      <c r="H873" s="174"/>
      <c r="J873" s="174"/>
      <c r="L873" s="175"/>
      <c r="M873" s="182"/>
      <c r="N873" s="177"/>
      <c r="P873" s="183"/>
      <c r="Q873" s="184"/>
      <c r="R873" s="185"/>
      <c r="S873" s="176"/>
      <c r="T873" s="172"/>
      <c r="U873" s="181"/>
      <c r="V873" s="181"/>
    </row>
    <row r="874" spans="1:22" x14ac:dyDescent="0.25">
      <c r="A874" s="172"/>
      <c r="F874" s="174"/>
      <c r="G874" s="174"/>
      <c r="H874" s="174"/>
      <c r="J874" s="174"/>
      <c r="L874" s="175"/>
      <c r="M874" s="182"/>
      <c r="N874" s="177"/>
      <c r="P874" s="183"/>
      <c r="Q874" s="184"/>
      <c r="R874" s="185"/>
      <c r="S874" s="176"/>
      <c r="T874" s="172"/>
      <c r="U874" s="181"/>
      <c r="V874" s="181"/>
    </row>
    <row r="875" spans="1:22" x14ac:dyDescent="0.25">
      <c r="A875" s="172"/>
      <c r="F875" s="174"/>
      <c r="G875" s="174"/>
      <c r="H875" s="174"/>
      <c r="J875" s="174"/>
      <c r="L875" s="175"/>
      <c r="M875" s="182"/>
      <c r="N875" s="177"/>
      <c r="P875" s="183"/>
      <c r="Q875" s="184"/>
      <c r="R875" s="185"/>
      <c r="S875" s="176"/>
      <c r="T875" s="172"/>
      <c r="U875" s="181"/>
      <c r="V875" s="181"/>
    </row>
    <row r="876" spans="1:22" x14ac:dyDescent="0.25">
      <c r="A876" s="172"/>
      <c r="F876" s="174"/>
      <c r="G876" s="174"/>
      <c r="H876" s="174"/>
      <c r="J876" s="174"/>
      <c r="L876" s="175"/>
      <c r="M876" s="182"/>
      <c r="N876" s="177"/>
      <c r="P876" s="183"/>
      <c r="Q876" s="184"/>
      <c r="R876" s="185"/>
      <c r="S876" s="176"/>
      <c r="T876" s="172"/>
      <c r="U876" s="181"/>
      <c r="V876" s="181"/>
    </row>
    <row r="877" spans="1:22" x14ac:dyDescent="0.25">
      <c r="A877" s="172"/>
      <c r="F877" s="174"/>
      <c r="G877" s="174"/>
      <c r="H877" s="174"/>
      <c r="J877" s="174"/>
      <c r="L877" s="175"/>
      <c r="M877" s="182"/>
      <c r="N877" s="177"/>
      <c r="P877" s="183"/>
      <c r="Q877" s="184"/>
      <c r="R877" s="185"/>
      <c r="S877" s="176"/>
      <c r="T877" s="172"/>
      <c r="U877" s="181"/>
      <c r="V877" s="181"/>
    </row>
    <row r="878" spans="1:22" x14ac:dyDescent="0.25">
      <c r="A878" s="172"/>
      <c r="F878" s="174"/>
      <c r="G878" s="174"/>
      <c r="H878" s="174"/>
      <c r="J878" s="174"/>
      <c r="L878" s="175"/>
      <c r="M878" s="182"/>
      <c r="N878" s="177"/>
      <c r="P878" s="183"/>
      <c r="Q878" s="184"/>
      <c r="R878" s="185"/>
      <c r="S878" s="176"/>
      <c r="T878" s="172"/>
      <c r="U878" s="181"/>
      <c r="V878" s="181"/>
    </row>
    <row r="879" spans="1:22" x14ac:dyDescent="0.25">
      <c r="A879" s="172"/>
      <c r="F879" s="174"/>
      <c r="G879" s="174"/>
      <c r="H879" s="174"/>
      <c r="J879" s="174"/>
      <c r="L879" s="175"/>
      <c r="M879" s="182"/>
      <c r="N879" s="177"/>
      <c r="P879" s="183"/>
      <c r="Q879" s="184"/>
      <c r="R879" s="185"/>
      <c r="S879" s="176"/>
      <c r="T879" s="172"/>
      <c r="U879" s="181"/>
      <c r="V879" s="181"/>
    </row>
    <row r="880" spans="1:22" x14ac:dyDescent="0.25">
      <c r="A880" s="172"/>
      <c r="F880" s="174"/>
      <c r="G880" s="174"/>
      <c r="H880" s="174"/>
      <c r="J880" s="174"/>
      <c r="L880" s="175"/>
      <c r="M880" s="182"/>
      <c r="N880" s="177"/>
      <c r="P880" s="183"/>
      <c r="Q880" s="184"/>
      <c r="R880" s="185"/>
      <c r="S880" s="176"/>
      <c r="T880" s="172"/>
      <c r="U880" s="181"/>
      <c r="V880" s="181"/>
    </row>
    <row r="881" spans="1:22" x14ac:dyDescent="0.25">
      <c r="A881" s="172"/>
      <c r="F881" s="174"/>
      <c r="G881" s="174"/>
      <c r="H881" s="174"/>
      <c r="J881" s="174"/>
      <c r="L881" s="175"/>
      <c r="M881" s="182"/>
      <c r="N881" s="177"/>
      <c r="P881" s="183"/>
      <c r="Q881" s="184"/>
      <c r="R881" s="185"/>
      <c r="S881" s="176"/>
      <c r="T881" s="172"/>
      <c r="U881" s="181"/>
      <c r="V881" s="181"/>
    </row>
    <row r="882" spans="1:22" x14ac:dyDescent="0.25">
      <c r="A882" s="172"/>
      <c r="F882" s="174"/>
      <c r="G882" s="174"/>
      <c r="H882" s="174"/>
      <c r="J882" s="174"/>
      <c r="L882" s="175"/>
      <c r="M882" s="182"/>
      <c r="N882" s="177"/>
      <c r="P882" s="183"/>
      <c r="Q882" s="184"/>
      <c r="R882" s="185"/>
      <c r="S882" s="176"/>
      <c r="T882" s="172"/>
      <c r="U882" s="181"/>
      <c r="V882" s="181"/>
    </row>
    <row r="883" spans="1:22" x14ac:dyDescent="0.25">
      <c r="A883" s="172"/>
      <c r="F883" s="174"/>
      <c r="G883" s="174"/>
      <c r="H883" s="174"/>
      <c r="J883" s="174"/>
      <c r="L883" s="175"/>
      <c r="M883" s="182"/>
      <c r="N883" s="177"/>
      <c r="P883" s="183"/>
      <c r="Q883" s="184"/>
      <c r="R883" s="185"/>
      <c r="S883" s="176"/>
      <c r="T883" s="172"/>
      <c r="U883" s="181"/>
      <c r="V883" s="181"/>
    </row>
    <row r="884" spans="1:22" x14ac:dyDescent="0.25">
      <c r="A884" s="172"/>
      <c r="F884" s="174"/>
      <c r="G884" s="174"/>
      <c r="H884" s="174"/>
      <c r="J884" s="174"/>
      <c r="L884" s="175"/>
      <c r="M884" s="182"/>
      <c r="N884" s="177"/>
      <c r="P884" s="183"/>
      <c r="Q884" s="184"/>
      <c r="R884" s="185"/>
      <c r="S884" s="176"/>
      <c r="T884" s="172"/>
      <c r="U884" s="181"/>
      <c r="V884" s="181"/>
    </row>
    <row r="885" spans="1:22" x14ac:dyDescent="0.25">
      <c r="A885" s="172"/>
      <c r="F885" s="174"/>
      <c r="G885" s="174"/>
      <c r="H885" s="174"/>
      <c r="J885" s="174"/>
      <c r="L885" s="175"/>
      <c r="M885" s="182"/>
      <c r="N885" s="177"/>
      <c r="P885" s="183"/>
      <c r="Q885" s="184"/>
      <c r="R885" s="185"/>
      <c r="S885" s="176"/>
      <c r="T885" s="172"/>
      <c r="U885" s="181"/>
      <c r="V885" s="181"/>
    </row>
    <row r="886" spans="1:22" x14ac:dyDescent="0.25">
      <c r="A886" s="172"/>
      <c r="F886" s="174"/>
      <c r="G886" s="174"/>
      <c r="H886" s="174"/>
      <c r="J886" s="174"/>
      <c r="L886" s="175"/>
      <c r="M886" s="182"/>
      <c r="N886" s="177"/>
      <c r="P886" s="183"/>
      <c r="Q886" s="184"/>
      <c r="R886" s="185"/>
      <c r="S886" s="176"/>
      <c r="T886" s="172"/>
      <c r="U886" s="181"/>
      <c r="V886" s="181"/>
    </row>
    <row r="887" spans="1:22" x14ac:dyDescent="0.25">
      <c r="A887" s="172"/>
      <c r="F887" s="174"/>
      <c r="G887" s="174"/>
      <c r="H887" s="174"/>
      <c r="J887" s="174"/>
      <c r="L887" s="175"/>
      <c r="M887" s="182"/>
      <c r="N887" s="177"/>
      <c r="P887" s="183"/>
      <c r="Q887" s="184"/>
      <c r="R887" s="185"/>
      <c r="S887" s="176"/>
      <c r="T887" s="172"/>
      <c r="U887" s="181"/>
      <c r="V887" s="181"/>
    </row>
    <row r="888" spans="1:22" x14ac:dyDescent="0.25">
      <c r="A888" s="172"/>
      <c r="F888" s="174"/>
      <c r="G888" s="174"/>
      <c r="H888" s="174"/>
      <c r="J888" s="174"/>
      <c r="L888" s="175"/>
      <c r="M888" s="182"/>
      <c r="N888" s="177"/>
      <c r="P888" s="183"/>
      <c r="Q888" s="184"/>
      <c r="R888" s="185"/>
      <c r="S888" s="176"/>
      <c r="T888" s="172"/>
      <c r="U888" s="181"/>
      <c r="V888" s="181"/>
    </row>
    <row r="889" spans="1:22" x14ac:dyDescent="0.25">
      <c r="A889" s="172"/>
      <c r="F889" s="174"/>
      <c r="G889" s="174"/>
      <c r="H889" s="174"/>
      <c r="J889" s="174"/>
      <c r="L889" s="175"/>
      <c r="M889" s="182"/>
      <c r="N889" s="177"/>
      <c r="P889" s="183"/>
      <c r="Q889" s="184"/>
      <c r="R889" s="185"/>
      <c r="S889" s="176"/>
      <c r="T889" s="172"/>
      <c r="U889" s="181"/>
      <c r="V889" s="181"/>
    </row>
    <row r="890" spans="1:22" x14ac:dyDescent="0.25">
      <c r="A890" s="172"/>
      <c r="F890" s="174"/>
      <c r="G890" s="174"/>
      <c r="H890" s="174"/>
      <c r="J890" s="174"/>
      <c r="L890" s="175"/>
      <c r="M890" s="182"/>
      <c r="N890" s="177"/>
      <c r="P890" s="183"/>
      <c r="Q890" s="184"/>
      <c r="R890" s="185"/>
      <c r="S890" s="176"/>
      <c r="T890" s="172"/>
      <c r="U890" s="181"/>
      <c r="V890" s="181"/>
    </row>
    <row r="891" spans="1:22" x14ac:dyDescent="0.25">
      <c r="A891" s="172"/>
      <c r="F891" s="174"/>
      <c r="G891" s="174"/>
      <c r="H891" s="174"/>
      <c r="J891" s="174"/>
      <c r="L891" s="175"/>
      <c r="M891" s="182"/>
      <c r="N891" s="177"/>
      <c r="P891" s="183"/>
      <c r="Q891" s="184"/>
      <c r="R891" s="185"/>
      <c r="S891" s="176"/>
      <c r="T891" s="172"/>
      <c r="U891" s="181"/>
      <c r="V891" s="181"/>
    </row>
    <row r="892" spans="1:22" x14ac:dyDescent="0.25">
      <c r="A892" s="172"/>
      <c r="F892" s="174"/>
      <c r="G892" s="174"/>
      <c r="H892" s="174"/>
      <c r="J892" s="174"/>
      <c r="L892" s="175"/>
      <c r="M892" s="182"/>
      <c r="N892" s="177"/>
      <c r="P892" s="183"/>
      <c r="Q892" s="184"/>
      <c r="R892" s="185"/>
      <c r="S892" s="176"/>
      <c r="T892" s="172"/>
      <c r="U892" s="181"/>
      <c r="V892" s="181"/>
    </row>
    <row r="893" spans="1:22" x14ac:dyDescent="0.25">
      <c r="A893" s="172"/>
      <c r="F893" s="174"/>
      <c r="G893" s="174"/>
      <c r="H893" s="174"/>
      <c r="J893" s="174"/>
      <c r="L893" s="175"/>
      <c r="M893" s="182"/>
      <c r="N893" s="177"/>
      <c r="P893" s="183"/>
      <c r="Q893" s="184"/>
      <c r="R893" s="185"/>
      <c r="S893" s="176"/>
      <c r="T893" s="172"/>
      <c r="U893" s="181"/>
      <c r="V893" s="181"/>
    </row>
    <row r="894" spans="1:22" x14ac:dyDescent="0.25">
      <c r="A894" s="172"/>
      <c r="F894" s="174"/>
      <c r="G894" s="174"/>
      <c r="H894" s="174"/>
      <c r="J894" s="174"/>
      <c r="L894" s="175"/>
      <c r="M894" s="182"/>
      <c r="N894" s="177"/>
      <c r="P894" s="183"/>
      <c r="Q894" s="184"/>
      <c r="R894" s="185"/>
      <c r="S894" s="176"/>
      <c r="T894" s="172"/>
      <c r="U894" s="181"/>
      <c r="V894" s="181"/>
    </row>
    <row r="895" spans="1:22" x14ac:dyDescent="0.25">
      <c r="A895" s="172"/>
      <c r="F895" s="174"/>
      <c r="G895" s="174"/>
      <c r="H895" s="174"/>
      <c r="J895" s="174"/>
      <c r="L895" s="175"/>
      <c r="M895" s="182"/>
      <c r="N895" s="177"/>
      <c r="P895" s="183"/>
      <c r="Q895" s="184"/>
      <c r="R895" s="185"/>
      <c r="S895" s="176"/>
      <c r="T895" s="172"/>
      <c r="U895" s="181"/>
      <c r="V895" s="181"/>
    </row>
    <row r="896" spans="1:22" x14ac:dyDescent="0.25">
      <c r="A896" s="172"/>
      <c r="F896" s="174"/>
      <c r="G896" s="174"/>
      <c r="H896" s="174"/>
      <c r="J896" s="174"/>
      <c r="L896" s="175"/>
      <c r="M896" s="182"/>
      <c r="N896" s="177"/>
      <c r="P896" s="183"/>
      <c r="Q896" s="184"/>
      <c r="R896" s="185"/>
      <c r="S896" s="176"/>
      <c r="T896" s="172"/>
      <c r="U896" s="181"/>
      <c r="V896" s="181"/>
    </row>
    <row r="897" spans="1:22" x14ac:dyDescent="0.25">
      <c r="A897" s="172"/>
      <c r="F897" s="174"/>
      <c r="G897" s="174"/>
      <c r="H897" s="174"/>
      <c r="J897" s="174"/>
      <c r="L897" s="175"/>
      <c r="M897" s="182"/>
      <c r="N897" s="177"/>
      <c r="P897" s="183"/>
      <c r="Q897" s="184"/>
      <c r="R897" s="185"/>
      <c r="S897" s="176"/>
      <c r="T897" s="172"/>
      <c r="U897" s="181"/>
      <c r="V897" s="181"/>
    </row>
    <row r="898" spans="1:22" x14ac:dyDescent="0.25">
      <c r="A898" s="172"/>
      <c r="F898" s="174"/>
      <c r="G898" s="174"/>
      <c r="H898" s="174"/>
      <c r="J898" s="174"/>
      <c r="L898" s="175"/>
      <c r="M898" s="182"/>
      <c r="N898" s="177"/>
      <c r="P898" s="183"/>
      <c r="Q898" s="184"/>
      <c r="R898" s="185"/>
      <c r="S898" s="176"/>
      <c r="T898" s="172"/>
      <c r="U898" s="181"/>
      <c r="V898" s="181"/>
    </row>
    <row r="899" spans="1:22" x14ac:dyDescent="0.25">
      <c r="A899" s="172"/>
      <c r="F899" s="174"/>
      <c r="G899" s="174"/>
      <c r="H899" s="174"/>
      <c r="J899" s="174"/>
      <c r="L899" s="175"/>
      <c r="M899" s="182"/>
      <c r="N899" s="177"/>
      <c r="P899" s="183"/>
      <c r="Q899" s="184"/>
      <c r="R899" s="185"/>
      <c r="S899" s="176"/>
      <c r="T899" s="172"/>
      <c r="U899" s="181"/>
      <c r="V899" s="181"/>
    </row>
    <row r="900" spans="1:22" x14ac:dyDescent="0.25">
      <c r="A900" s="172"/>
      <c r="F900" s="174"/>
      <c r="G900" s="174"/>
      <c r="H900" s="174"/>
      <c r="J900" s="174"/>
      <c r="L900" s="175"/>
      <c r="M900" s="182"/>
      <c r="N900" s="177"/>
      <c r="P900" s="183"/>
      <c r="Q900" s="184"/>
      <c r="R900" s="185"/>
      <c r="S900" s="176"/>
      <c r="T900" s="172"/>
      <c r="U900" s="181"/>
      <c r="V900" s="181"/>
    </row>
    <row r="901" spans="1:22" x14ac:dyDescent="0.25">
      <c r="A901" s="172"/>
      <c r="F901" s="174"/>
      <c r="G901" s="174"/>
      <c r="H901" s="174"/>
      <c r="J901" s="174"/>
      <c r="L901" s="175"/>
      <c r="M901" s="182"/>
      <c r="N901" s="177"/>
      <c r="P901" s="183"/>
      <c r="Q901" s="184"/>
      <c r="R901" s="185"/>
      <c r="S901" s="176"/>
      <c r="T901" s="172"/>
      <c r="U901" s="181"/>
      <c r="V901" s="181"/>
    </row>
    <row r="902" spans="1:22" x14ac:dyDescent="0.25">
      <c r="A902" s="172"/>
      <c r="F902" s="174"/>
      <c r="G902" s="174"/>
      <c r="H902" s="174"/>
      <c r="J902" s="174"/>
      <c r="L902" s="175"/>
      <c r="M902" s="182"/>
      <c r="N902" s="177"/>
      <c r="P902" s="183"/>
      <c r="Q902" s="184"/>
      <c r="R902" s="185"/>
      <c r="S902" s="176"/>
      <c r="T902" s="172"/>
      <c r="U902" s="181"/>
      <c r="V902" s="181"/>
    </row>
    <row r="903" spans="1:22" x14ac:dyDescent="0.25">
      <c r="A903" s="172"/>
      <c r="F903" s="174"/>
      <c r="G903" s="174"/>
      <c r="H903" s="174"/>
      <c r="J903" s="174"/>
      <c r="L903" s="175"/>
      <c r="M903" s="182"/>
      <c r="N903" s="177"/>
      <c r="P903" s="183"/>
      <c r="Q903" s="184"/>
      <c r="R903" s="185"/>
      <c r="S903" s="176"/>
      <c r="T903" s="172"/>
      <c r="U903" s="181"/>
      <c r="V903" s="181"/>
    </row>
    <row r="904" spans="1:22" x14ac:dyDescent="0.25">
      <c r="A904" s="172"/>
      <c r="F904" s="174"/>
      <c r="G904" s="174"/>
      <c r="H904" s="174"/>
      <c r="J904" s="174"/>
      <c r="L904" s="175"/>
      <c r="M904" s="182"/>
      <c r="N904" s="177"/>
      <c r="P904" s="183"/>
      <c r="Q904" s="184"/>
      <c r="R904" s="185"/>
      <c r="S904" s="176"/>
      <c r="T904" s="172"/>
      <c r="U904" s="181"/>
      <c r="V904" s="181"/>
    </row>
    <row r="905" spans="1:22" x14ac:dyDescent="0.25">
      <c r="A905" s="172"/>
      <c r="F905" s="174"/>
      <c r="G905" s="174"/>
      <c r="H905" s="174"/>
      <c r="J905" s="174"/>
      <c r="L905" s="175"/>
      <c r="M905" s="182"/>
      <c r="N905" s="177"/>
      <c r="P905" s="183"/>
      <c r="Q905" s="184"/>
      <c r="R905" s="185"/>
      <c r="S905" s="176"/>
      <c r="T905" s="172"/>
      <c r="U905" s="181"/>
      <c r="V905" s="181"/>
    </row>
    <row r="906" spans="1:22" x14ac:dyDescent="0.25">
      <c r="A906" s="172"/>
      <c r="F906" s="174"/>
      <c r="G906" s="174"/>
      <c r="H906" s="174"/>
      <c r="J906" s="174"/>
      <c r="L906" s="175"/>
      <c r="M906" s="182"/>
      <c r="N906" s="177"/>
      <c r="P906" s="183"/>
      <c r="Q906" s="184"/>
      <c r="R906" s="185"/>
      <c r="S906" s="176"/>
      <c r="T906" s="172"/>
      <c r="U906" s="181"/>
      <c r="V906" s="181"/>
    </row>
    <row r="907" spans="1:22" x14ac:dyDescent="0.25">
      <c r="A907" s="172"/>
      <c r="F907" s="174"/>
      <c r="G907" s="174"/>
      <c r="H907" s="174"/>
      <c r="J907" s="174"/>
      <c r="L907" s="175"/>
      <c r="M907" s="182"/>
      <c r="N907" s="177"/>
      <c r="P907" s="183"/>
      <c r="Q907" s="184"/>
      <c r="R907" s="185"/>
      <c r="S907" s="176"/>
      <c r="T907" s="172"/>
      <c r="U907" s="181"/>
      <c r="V907" s="181"/>
    </row>
    <row r="908" spans="1:22" x14ac:dyDescent="0.25">
      <c r="A908" s="172"/>
      <c r="F908" s="174"/>
      <c r="G908" s="174"/>
      <c r="H908" s="174"/>
      <c r="J908" s="174"/>
      <c r="L908" s="175"/>
      <c r="M908" s="182"/>
      <c r="N908" s="177"/>
      <c r="P908" s="183"/>
      <c r="Q908" s="184"/>
      <c r="R908" s="185"/>
      <c r="S908" s="176"/>
      <c r="T908" s="172"/>
      <c r="U908" s="181"/>
      <c r="V908" s="181"/>
    </row>
    <row r="909" spans="1:22" x14ac:dyDescent="0.25">
      <c r="A909" s="172"/>
      <c r="F909" s="174"/>
      <c r="G909" s="174"/>
      <c r="H909" s="174"/>
      <c r="J909" s="174"/>
      <c r="L909" s="175"/>
      <c r="M909" s="182"/>
      <c r="N909" s="177"/>
      <c r="P909" s="183"/>
      <c r="Q909" s="184"/>
      <c r="R909" s="185"/>
      <c r="S909" s="176"/>
      <c r="T909" s="172"/>
      <c r="U909" s="181"/>
      <c r="V909" s="181"/>
    </row>
    <row r="910" spans="1:22" x14ac:dyDescent="0.25">
      <c r="A910" s="172"/>
      <c r="F910" s="174"/>
      <c r="G910" s="174"/>
      <c r="H910" s="174"/>
      <c r="J910" s="174"/>
      <c r="L910" s="175"/>
      <c r="M910" s="182"/>
      <c r="N910" s="177"/>
      <c r="P910" s="183"/>
      <c r="Q910" s="184"/>
      <c r="R910" s="185"/>
      <c r="S910" s="176"/>
      <c r="T910" s="172"/>
      <c r="U910" s="181"/>
      <c r="V910" s="181"/>
    </row>
    <row r="911" spans="1:22" x14ac:dyDescent="0.25">
      <c r="A911" s="172"/>
      <c r="F911" s="174"/>
      <c r="G911" s="174"/>
      <c r="H911" s="174"/>
      <c r="J911" s="174"/>
      <c r="L911" s="175"/>
      <c r="M911" s="182"/>
      <c r="N911" s="177"/>
      <c r="P911" s="183"/>
      <c r="Q911" s="184"/>
      <c r="R911" s="185"/>
      <c r="S911" s="176"/>
      <c r="T911" s="172"/>
      <c r="U911" s="181"/>
      <c r="V911" s="181"/>
    </row>
    <row r="912" spans="1:22" x14ac:dyDescent="0.25">
      <c r="A912" s="172"/>
      <c r="F912" s="174"/>
      <c r="G912" s="174"/>
      <c r="H912" s="174"/>
      <c r="J912" s="174"/>
      <c r="L912" s="175"/>
      <c r="M912" s="182"/>
      <c r="N912" s="177"/>
      <c r="P912" s="183"/>
      <c r="Q912" s="184"/>
      <c r="R912" s="185"/>
      <c r="S912" s="176"/>
      <c r="T912" s="172"/>
      <c r="U912" s="181"/>
      <c r="V912" s="181"/>
    </row>
    <row r="913" spans="1:22" x14ac:dyDescent="0.25">
      <c r="A913" s="172"/>
      <c r="F913" s="174"/>
      <c r="G913" s="174"/>
      <c r="H913" s="174"/>
      <c r="J913" s="174"/>
      <c r="L913" s="175"/>
      <c r="M913" s="182"/>
      <c r="N913" s="177"/>
      <c r="P913" s="183"/>
      <c r="Q913" s="184"/>
      <c r="R913" s="185"/>
      <c r="S913" s="176"/>
      <c r="T913" s="172"/>
      <c r="U913" s="181"/>
      <c r="V913" s="181"/>
    </row>
    <row r="914" spans="1:22" x14ac:dyDescent="0.25">
      <c r="A914" s="172"/>
      <c r="F914" s="174"/>
      <c r="G914" s="174"/>
      <c r="H914" s="174"/>
      <c r="J914" s="174"/>
      <c r="L914" s="175"/>
      <c r="M914" s="182"/>
      <c r="N914" s="177"/>
      <c r="P914" s="183"/>
      <c r="Q914" s="184"/>
      <c r="R914" s="185"/>
      <c r="S914" s="176"/>
      <c r="T914" s="172"/>
      <c r="U914" s="181"/>
      <c r="V914" s="181"/>
    </row>
    <row r="915" spans="1:22" x14ac:dyDescent="0.25">
      <c r="A915" s="172"/>
      <c r="F915" s="174"/>
      <c r="G915" s="174"/>
      <c r="H915" s="174"/>
      <c r="J915" s="174"/>
      <c r="L915" s="175"/>
      <c r="M915" s="182"/>
      <c r="N915" s="177"/>
      <c r="P915" s="183"/>
      <c r="Q915" s="184"/>
      <c r="R915" s="185"/>
      <c r="S915" s="176"/>
      <c r="T915" s="172"/>
      <c r="U915" s="181"/>
      <c r="V915" s="181"/>
    </row>
    <row r="916" spans="1:22" x14ac:dyDescent="0.25">
      <c r="A916" s="172"/>
      <c r="F916" s="174"/>
      <c r="G916" s="174"/>
      <c r="H916" s="174"/>
      <c r="J916" s="174"/>
      <c r="L916" s="175"/>
      <c r="M916" s="182"/>
      <c r="N916" s="177"/>
      <c r="P916" s="183"/>
      <c r="Q916" s="184"/>
      <c r="R916" s="185"/>
      <c r="S916" s="176"/>
      <c r="T916" s="172"/>
      <c r="U916" s="181"/>
      <c r="V916" s="181"/>
    </row>
    <row r="917" spans="1:22" x14ac:dyDescent="0.25">
      <c r="A917" s="172"/>
      <c r="F917" s="174"/>
      <c r="G917" s="174"/>
      <c r="H917" s="174"/>
      <c r="J917" s="174"/>
      <c r="L917" s="175"/>
      <c r="M917" s="182"/>
      <c r="N917" s="177"/>
      <c r="P917" s="183"/>
      <c r="Q917" s="184"/>
      <c r="R917" s="185"/>
      <c r="S917" s="176"/>
      <c r="T917" s="172"/>
      <c r="U917" s="181"/>
      <c r="V917" s="181"/>
    </row>
    <row r="918" spans="1:22" x14ac:dyDescent="0.25">
      <c r="A918" s="172"/>
      <c r="F918" s="174"/>
      <c r="G918" s="174"/>
      <c r="H918" s="174"/>
      <c r="J918" s="174"/>
      <c r="L918" s="175"/>
      <c r="M918" s="182"/>
      <c r="N918" s="177"/>
      <c r="P918" s="183"/>
      <c r="Q918" s="184"/>
      <c r="R918" s="185"/>
      <c r="S918" s="176"/>
      <c r="T918" s="172"/>
      <c r="U918" s="181"/>
      <c r="V918" s="181"/>
    </row>
    <row r="919" spans="1:22" x14ac:dyDescent="0.25">
      <c r="A919" s="172"/>
      <c r="F919" s="174"/>
      <c r="G919" s="174"/>
      <c r="H919" s="174"/>
      <c r="J919" s="174"/>
      <c r="L919" s="175"/>
      <c r="M919" s="182"/>
      <c r="N919" s="177"/>
      <c r="P919" s="183"/>
      <c r="Q919" s="184"/>
      <c r="R919" s="185"/>
      <c r="S919" s="176"/>
      <c r="T919" s="172"/>
      <c r="U919" s="181"/>
      <c r="V919" s="181"/>
    </row>
    <row r="920" spans="1:22" x14ac:dyDescent="0.25">
      <c r="A920" s="172"/>
      <c r="F920" s="174"/>
      <c r="G920" s="174"/>
      <c r="H920" s="174"/>
      <c r="J920" s="174"/>
      <c r="L920" s="175"/>
      <c r="M920" s="182"/>
      <c r="N920" s="177"/>
      <c r="P920" s="183"/>
      <c r="Q920" s="184"/>
      <c r="R920" s="185"/>
      <c r="S920" s="176"/>
      <c r="T920" s="172"/>
      <c r="U920" s="181"/>
      <c r="V920" s="181"/>
    </row>
    <row r="921" spans="1:22" x14ac:dyDescent="0.25">
      <c r="A921" s="172"/>
      <c r="F921" s="174"/>
      <c r="G921" s="174"/>
      <c r="H921" s="174"/>
      <c r="J921" s="174"/>
      <c r="L921" s="175"/>
      <c r="M921" s="182"/>
      <c r="N921" s="177"/>
      <c r="P921" s="183"/>
      <c r="Q921" s="184"/>
      <c r="R921" s="185"/>
      <c r="S921" s="176"/>
      <c r="T921" s="172"/>
      <c r="U921" s="181"/>
      <c r="V921" s="181"/>
    </row>
    <row r="922" spans="1:22" x14ac:dyDescent="0.25">
      <c r="A922" s="172"/>
      <c r="F922" s="174"/>
      <c r="G922" s="174"/>
      <c r="H922" s="174"/>
      <c r="J922" s="174"/>
      <c r="L922" s="175"/>
      <c r="M922" s="182"/>
      <c r="N922" s="177"/>
      <c r="P922" s="183"/>
      <c r="Q922" s="184"/>
      <c r="R922" s="185"/>
      <c r="S922" s="176"/>
      <c r="T922" s="172"/>
      <c r="U922" s="181"/>
      <c r="V922" s="181"/>
    </row>
    <row r="923" spans="1:22" x14ac:dyDescent="0.25">
      <c r="A923" s="172"/>
      <c r="F923" s="174"/>
      <c r="G923" s="174"/>
      <c r="H923" s="174"/>
      <c r="J923" s="174"/>
      <c r="L923" s="175"/>
      <c r="M923" s="182"/>
      <c r="N923" s="177"/>
      <c r="P923" s="183"/>
      <c r="Q923" s="184"/>
      <c r="R923" s="185"/>
      <c r="S923" s="176"/>
      <c r="T923" s="172"/>
      <c r="U923" s="181"/>
      <c r="V923" s="181"/>
    </row>
    <row r="924" spans="1:22" x14ac:dyDescent="0.25">
      <c r="A924" s="172"/>
      <c r="F924" s="174"/>
      <c r="G924" s="174"/>
      <c r="H924" s="174"/>
      <c r="J924" s="174"/>
      <c r="L924" s="175"/>
      <c r="M924" s="182"/>
      <c r="N924" s="177"/>
      <c r="P924" s="183"/>
      <c r="Q924" s="184"/>
      <c r="R924" s="185"/>
      <c r="S924" s="176"/>
      <c r="T924" s="172"/>
      <c r="U924" s="181"/>
      <c r="V924" s="181"/>
    </row>
    <row r="925" spans="1:22" x14ac:dyDescent="0.25">
      <c r="A925" s="172"/>
      <c r="F925" s="174"/>
      <c r="G925" s="174"/>
      <c r="H925" s="174"/>
      <c r="J925" s="174"/>
      <c r="L925" s="175"/>
      <c r="M925" s="182"/>
      <c r="N925" s="177"/>
      <c r="P925" s="183"/>
      <c r="Q925" s="184"/>
      <c r="R925" s="185"/>
      <c r="S925" s="176"/>
      <c r="T925" s="172"/>
      <c r="U925" s="181"/>
      <c r="V925" s="181"/>
    </row>
    <row r="926" spans="1:22" x14ac:dyDescent="0.25">
      <c r="A926" s="172"/>
      <c r="F926" s="174"/>
      <c r="G926" s="174"/>
      <c r="H926" s="174"/>
      <c r="J926" s="174"/>
      <c r="L926" s="175"/>
      <c r="M926" s="182"/>
      <c r="N926" s="177"/>
      <c r="P926" s="183"/>
      <c r="Q926" s="184"/>
      <c r="R926" s="185"/>
      <c r="S926" s="176"/>
      <c r="T926" s="172"/>
      <c r="U926" s="181"/>
      <c r="V926" s="181"/>
    </row>
    <row r="927" spans="1:22" x14ac:dyDescent="0.25">
      <c r="A927" s="172"/>
      <c r="F927" s="174"/>
      <c r="G927" s="174"/>
      <c r="H927" s="174"/>
      <c r="J927" s="174"/>
      <c r="L927" s="175"/>
      <c r="M927" s="182"/>
      <c r="N927" s="177"/>
      <c r="P927" s="183"/>
      <c r="Q927" s="184"/>
      <c r="R927" s="185"/>
      <c r="S927" s="176"/>
      <c r="T927" s="172"/>
      <c r="U927" s="181"/>
      <c r="V927" s="181"/>
    </row>
    <row r="928" spans="1:22" x14ac:dyDescent="0.25">
      <c r="A928" s="172"/>
      <c r="F928" s="174"/>
      <c r="G928" s="174"/>
      <c r="H928" s="174"/>
      <c r="J928" s="174"/>
      <c r="L928" s="175"/>
      <c r="M928" s="182"/>
      <c r="N928" s="177"/>
      <c r="P928" s="183"/>
      <c r="Q928" s="184"/>
      <c r="R928" s="185"/>
      <c r="S928" s="176"/>
      <c r="T928" s="172"/>
      <c r="U928" s="181"/>
      <c r="V928" s="181"/>
    </row>
    <row r="929" spans="1:22" x14ac:dyDescent="0.25">
      <c r="A929" s="172"/>
      <c r="F929" s="174"/>
      <c r="G929" s="174"/>
      <c r="H929" s="174"/>
      <c r="J929" s="174"/>
      <c r="L929" s="175"/>
      <c r="M929" s="182"/>
      <c r="N929" s="177"/>
      <c r="P929" s="183"/>
      <c r="Q929" s="184"/>
      <c r="R929" s="185"/>
      <c r="S929" s="176"/>
      <c r="T929" s="172"/>
      <c r="U929" s="181"/>
      <c r="V929" s="181"/>
    </row>
    <row r="930" spans="1:22" x14ac:dyDescent="0.25">
      <c r="A930" s="172"/>
      <c r="F930" s="174"/>
      <c r="G930" s="174"/>
      <c r="H930" s="174"/>
      <c r="J930" s="174"/>
      <c r="L930" s="175"/>
      <c r="M930" s="182"/>
      <c r="N930" s="177"/>
      <c r="P930" s="183"/>
      <c r="Q930" s="184"/>
      <c r="R930" s="185"/>
      <c r="S930" s="176"/>
      <c r="T930" s="172"/>
      <c r="U930" s="181"/>
      <c r="V930" s="181"/>
    </row>
    <row r="931" spans="1:22" x14ac:dyDescent="0.25">
      <c r="A931" s="172"/>
      <c r="F931" s="174"/>
      <c r="G931" s="174"/>
      <c r="H931" s="174"/>
      <c r="J931" s="174"/>
      <c r="L931" s="175"/>
      <c r="M931" s="182"/>
      <c r="N931" s="177"/>
      <c r="P931" s="183"/>
      <c r="Q931" s="184"/>
      <c r="R931" s="185"/>
      <c r="S931" s="176"/>
      <c r="T931" s="172"/>
      <c r="U931" s="181"/>
      <c r="V931" s="181"/>
    </row>
    <row r="932" spans="1:22" x14ac:dyDescent="0.25">
      <c r="A932" s="172"/>
      <c r="F932" s="174"/>
      <c r="G932" s="174"/>
      <c r="H932" s="174"/>
      <c r="J932" s="174"/>
      <c r="L932" s="175"/>
      <c r="M932" s="182"/>
      <c r="N932" s="177"/>
      <c r="P932" s="183"/>
      <c r="Q932" s="184"/>
      <c r="R932" s="185"/>
      <c r="S932" s="176"/>
      <c r="T932" s="172"/>
      <c r="U932" s="181"/>
      <c r="V932" s="181"/>
    </row>
    <row r="933" spans="1:22" x14ac:dyDescent="0.25">
      <c r="A933" s="172"/>
      <c r="F933" s="174"/>
      <c r="G933" s="174"/>
      <c r="H933" s="174"/>
      <c r="J933" s="174"/>
      <c r="L933" s="175"/>
      <c r="M933" s="182"/>
      <c r="N933" s="177"/>
      <c r="P933" s="183"/>
      <c r="Q933" s="184"/>
      <c r="R933" s="185"/>
      <c r="S933" s="176"/>
      <c r="T933" s="172"/>
      <c r="U933" s="181"/>
      <c r="V933" s="181"/>
    </row>
    <row r="934" spans="1:22" x14ac:dyDescent="0.25">
      <c r="A934" s="172"/>
      <c r="F934" s="174"/>
      <c r="G934" s="174"/>
      <c r="H934" s="174"/>
      <c r="J934" s="174"/>
      <c r="L934" s="175"/>
      <c r="M934" s="182"/>
      <c r="N934" s="177"/>
      <c r="P934" s="183"/>
      <c r="Q934" s="184"/>
      <c r="R934" s="185"/>
      <c r="S934" s="176"/>
      <c r="T934" s="172"/>
      <c r="U934" s="181"/>
      <c r="V934" s="181"/>
    </row>
    <row r="935" spans="1:22" x14ac:dyDescent="0.25">
      <c r="A935" s="172"/>
      <c r="F935" s="174"/>
      <c r="G935" s="174"/>
      <c r="H935" s="174"/>
      <c r="J935" s="174"/>
      <c r="L935" s="175"/>
      <c r="M935" s="182"/>
      <c r="N935" s="177"/>
      <c r="P935" s="183"/>
      <c r="Q935" s="184"/>
      <c r="R935" s="185"/>
      <c r="S935" s="176"/>
      <c r="T935" s="172"/>
      <c r="U935" s="181"/>
      <c r="V935" s="181"/>
    </row>
    <row r="936" spans="1:22" x14ac:dyDescent="0.25">
      <c r="A936" s="172"/>
      <c r="F936" s="174"/>
      <c r="G936" s="174"/>
      <c r="H936" s="174"/>
      <c r="J936" s="174"/>
      <c r="L936" s="175"/>
      <c r="M936" s="182"/>
      <c r="N936" s="177"/>
      <c r="P936" s="183"/>
      <c r="Q936" s="184"/>
      <c r="R936" s="185"/>
      <c r="S936" s="176"/>
      <c r="T936" s="172"/>
      <c r="U936" s="181"/>
      <c r="V936" s="181"/>
    </row>
    <row r="937" spans="1:22" x14ac:dyDescent="0.25">
      <c r="A937" s="172"/>
      <c r="F937" s="174"/>
      <c r="G937" s="174"/>
      <c r="H937" s="174"/>
      <c r="J937" s="174"/>
      <c r="L937" s="175"/>
      <c r="M937" s="182"/>
      <c r="N937" s="177"/>
      <c r="P937" s="183"/>
      <c r="Q937" s="184"/>
      <c r="R937" s="185"/>
      <c r="S937" s="176"/>
      <c r="T937" s="172"/>
      <c r="U937" s="181"/>
      <c r="V937" s="181"/>
    </row>
    <row r="938" spans="1:22" x14ac:dyDescent="0.25">
      <c r="A938" s="172"/>
      <c r="F938" s="174"/>
      <c r="G938" s="174"/>
      <c r="H938" s="174"/>
      <c r="J938" s="174"/>
      <c r="L938" s="175"/>
      <c r="M938" s="182"/>
      <c r="N938" s="177"/>
      <c r="P938" s="183"/>
      <c r="Q938" s="184"/>
      <c r="R938" s="185"/>
      <c r="S938" s="176"/>
      <c r="T938" s="172"/>
      <c r="U938" s="181"/>
      <c r="V938" s="181"/>
    </row>
    <row r="939" spans="1:22" x14ac:dyDescent="0.25">
      <c r="A939" s="172"/>
      <c r="F939" s="174"/>
      <c r="G939" s="174"/>
      <c r="H939" s="174"/>
      <c r="J939" s="174"/>
      <c r="L939" s="175"/>
      <c r="M939" s="182"/>
      <c r="N939" s="177"/>
      <c r="P939" s="183"/>
      <c r="Q939" s="184"/>
      <c r="R939" s="185"/>
      <c r="S939" s="176"/>
      <c r="T939" s="172"/>
      <c r="U939" s="181"/>
      <c r="V939" s="181"/>
    </row>
    <row r="940" spans="1:22" x14ac:dyDescent="0.25">
      <c r="A940" s="172"/>
      <c r="F940" s="174"/>
      <c r="G940" s="174"/>
      <c r="H940" s="174"/>
      <c r="J940" s="174"/>
      <c r="L940" s="175"/>
      <c r="M940" s="182"/>
      <c r="N940" s="177"/>
      <c r="P940" s="183"/>
      <c r="Q940" s="184"/>
      <c r="R940" s="185"/>
      <c r="S940" s="176"/>
      <c r="T940" s="172"/>
      <c r="U940" s="181"/>
      <c r="V940" s="181"/>
    </row>
    <row r="941" spans="1:22" x14ac:dyDescent="0.25">
      <c r="A941" s="172"/>
      <c r="F941" s="174"/>
      <c r="G941" s="174"/>
      <c r="H941" s="174"/>
      <c r="J941" s="174"/>
      <c r="L941" s="175"/>
      <c r="M941" s="182"/>
      <c r="N941" s="177"/>
      <c r="P941" s="183"/>
      <c r="Q941" s="184"/>
      <c r="R941" s="185"/>
      <c r="S941" s="176"/>
      <c r="T941" s="172"/>
      <c r="U941" s="181"/>
      <c r="V941" s="181"/>
    </row>
    <row r="942" spans="1:22" x14ac:dyDescent="0.25">
      <c r="A942" s="172"/>
      <c r="F942" s="174"/>
      <c r="G942" s="174"/>
      <c r="H942" s="174"/>
      <c r="J942" s="174"/>
      <c r="L942" s="175"/>
      <c r="M942" s="182"/>
      <c r="N942" s="177"/>
      <c r="P942" s="183"/>
      <c r="Q942" s="184"/>
      <c r="R942" s="185"/>
      <c r="S942" s="176"/>
      <c r="T942" s="172"/>
      <c r="U942" s="181"/>
      <c r="V942" s="181"/>
    </row>
    <row r="943" spans="1:22" x14ac:dyDescent="0.25">
      <c r="A943" s="172"/>
      <c r="F943" s="174"/>
      <c r="G943" s="174"/>
      <c r="H943" s="174"/>
      <c r="J943" s="174"/>
      <c r="L943" s="175"/>
      <c r="M943" s="182"/>
      <c r="N943" s="177"/>
      <c r="P943" s="183"/>
      <c r="Q943" s="184"/>
      <c r="R943" s="185"/>
      <c r="S943" s="176"/>
      <c r="T943" s="172"/>
      <c r="U943" s="181"/>
      <c r="V943" s="181"/>
    </row>
    <row r="944" spans="1:22" x14ac:dyDescent="0.25">
      <c r="A944" s="172"/>
      <c r="F944" s="174"/>
      <c r="G944" s="174"/>
      <c r="H944" s="174"/>
      <c r="J944" s="174"/>
      <c r="L944" s="175"/>
      <c r="M944" s="182"/>
      <c r="N944" s="177"/>
      <c r="P944" s="183"/>
      <c r="Q944" s="184"/>
      <c r="R944" s="185"/>
      <c r="S944" s="176"/>
      <c r="T944" s="172"/>
      <c r="U944" s="181"/>
      <c r="V944" s="181"/>
    </row>
    <row r="945" spans="1:22" x14ac:dyDescent="0.25">
      <c r="A945" s="172"/>
      <c r="F945" s="174"/>
      <c r="G945" s="174"/>
      <c r="H945" s="174"/>
      <c r="J945" s="174"/>
      <c r="L945" s="175"/>
      <c r="M945" s="182"/>
      <c r="N945" s="177"/>
      <c r="P945" s="183"/>
      <c r="Q945" s="184"/>
      <c r="R945" s="185"/>
      <c r="S945" s="176"/>
      <c r="T945" s="172"/>
      <c r="U945" s="181"/>
      <c r="V945" s="181"/>
    </row>
    <row r="946" spans="1:22" x14ac:dyDescent="0.25">
      <c r="A946" s="172"/>
      <c r="F946" s="174"/>
      <c r="G946" s="174"/>
      <c r="H946" s="174"/>
      <c r="J946" s="174"/>
      <c r="L946" s="175"/>
      <c r="M946" s="182"/>
      <c r="N946" s="177"/>
      <c r="P946" s="183"/>
      <c r="Q946" s="184"/>
      <c r="R946" s="185"/>
      <c r="S946" s="176"/>
      <c r="T946" s="172"/>
      <c r="U946" s="181"/>
      <c r="V946" s="181"/>
    </row>
    <row r="947" spans="1:22" x14ac:dyDescent="0.25">
      <c r="A947" s="172"/>
      <c r="F947" s="174"/>
      <c r="G947" s="174"/>
      <c r="H947" s="174"/>
      <c r="J947" s="174"/>
      <c r="L947" s="175"/>
      <c r="M947" s="182"/>
      <c r="N947" s="177"/>
      <c r="P947" s="183"/>
      <c r="Q947" s="184"/>
      <c r="R947" s="185"/>
      <c r="S947" s="176"/>
      <c r="T947" s="172"/>
      <c r="U947" s="181"/>
      <c r="V947" s="181"/>
    </row>
    <row r="948" spans="1:22" x14ac:dyDescent="0.25">
      <c r="A948" s="172"/>
      <c r="F948" s="174"/>
      <c r="G948" s="174"/>
      <c r="H948" s="174"/>
      <c r="J948" s="174"/>
      <c r="L948" s="175"/>
      <c r="M948" s="182"/>
      <c r="N948" s="177"/>
      <c r="P948" s="183"/>
      <c r="Q948" s="184"/>
      <c r="R948" s="185"/>
      <c r="S948" s="176"/>
      <c r="T948" s="172"/>
      <c r="U948" s="181"/>
      <c r="V948" s="181"/>
    </row>
    <row r="949" spans="1:22" x14ac:dyDescent="0.25">
      <c r="A949" s="172"/>
      <c r="F949" s="174"/>
      <c r="G949" s="174"/>
      <c r="H949" s="174"/>
      <c r="J949" s="174"/>
      <c r="L949" s="175"/>
      <c r="M949" s="182"/>
      <c r="N949" s="177"/>
      <c r="P949" s="183"/>
      <c r="Q949" s="184"/>
      <c r="R949" s="185"/>
      <c r="S949" s="176"/>
      <c r="T949" s="172"/>
      <c r="U949" s="181"/>
      <c r="V949" s="181"/>
    </row>
    <row r="950" spans="1:22" x14ac:dyDescent="0.25">
      <c r="A950" s="172"/>
      <c r="F950" s="174"/>
      <c r="G950" s="174"/>
      <c r="H950" s="174"/>
      <c r="J950" s="174"/>
      <c r="L950" s="175"/>
      <c r="M950" s="182"/>
      <c r="N950" s="177"/>
      <c r="P950" s="183"/>
      <c r="Q950" s="184"/>
      <c r="R950" s="185"/>
      <c r="S950" s="176"/>
      <c r="T950" s="172"/>
      <c r="U950" s="181"/>
      <c r="V950" s="181"/>
    </row>
    <row r="951" spans="1:22" x14ac:dyDescent="0.25">
      <c r="A951" s="172"/>
      <c r="F951" s="174"/>
      <c r="G951" s="174"/>
      <c r="H951" s="174"/>
      <c r="J951" s="174"/>
      <c r="L951" s="175"/>
      <c r="M951" s="182"/>
      <c r="N951" s="177"/>
      <c r="P951" s="183"/>
      <c r="Q951" s="184"/>
      <c r="R951" s="185"/>
      <c r="S951" s="176"/>
      <c r="T951" s="172"/>
      <c r="U951" s="181"/>
      <c r="V951" s="181"/>
    </row>
    <row r="952" spans="1:22" x14ac:dyDescent="0.25">
      <c r="A952" s="172"/>
      <c r="F952" s="174"/>
      <c r="G952" s="174"/>
      <c r="H952" s="174"/>
      <c r="J952" s="174"/>
      <c r="L952" s="175"/>
      <c r="M952" s="182"/>
      <c r="N952" s="177"/>
      <c r="P952" s="183"/>
      <c r="Q952" s="184"/>
      <c r="R952" s="185"/>
      <c r="S952" s="176"/>
      <c r="T952" s="172"/>
      <c r="U952" s="181"/>
      <c r="V952" s="181"/>
    </row>
    <row r="953" spans="1:22" x14ac:dyDescent="0.25">
      <c r="A953" s="172"/>
      <c r="F953" s="174"/>
      <c r="G953" s="174"/>
      <c r="H953" s="174"/>
      <c r="J953" s="174"/>
      <c r="L953" s="175"/>
      <c r="M953" s="182"/>
      <c r="N953" s="177"/>
      <c r="P953" s="183"/>
      <c r="Q953" s="184"/>
      <c r="R953" s="185"/>
      <c r="S953" s="176"/>
      <c r="T953" s="172"/>
      <c r="U953" s="181"/>
      <c r="V953" s="181"/>
    </row>
    <row r="954" spans="1:22" x14ac:dyDescent="0.25">
      <c r="A954" s="172"/>
      <c r="F954" s="174"/>
      <c r="G954" s="174"/>
      <c r="H954" s="174"/>
      <c r="J954" s="174"/>
      <c r="L954" s="175"/>
      <c r="M954" s="182"/>
      <c r="N954" s="177"/>
      <c r="P954" s="183"/>
      <c r="Q954" s="184"/>
      <c r="R954" s="185"/>
      <c r="S954" s="176"/>
      <c r="T954" s="172"/>
      <c r="U954" s="181"/>
      <c r="V954" s="181"/>
    </row>
    <row r="955" spans="1:22" x14ac:dyDescent="0.25">
      <c r="A955" s="172"/>
      <c r="F955" s="174"/>
      <c r="G955" s="174"/>
      <c r="H955" s="174"/>
      <c r="J955" s="174"/>
      <c r="L955" s="175"/>
      <c r="M955" s="182"/>
      <c r="N955" s="177"/>
      <c r="P955" s="183"/>
      <c r="Q955" s="184"/>
      <c r="R955" s="185"/>
      <c r="S955" s="176"/>
      <c r="T955" s="172"/>
      <c r="U955" s="181"/>
      <c r="V955" s="181"/>
    </row>
    <row r="956" spans="1:22" x14ac:dyDescent="0.25">
      <c r="A956" s="172"/>
      <c r="F956" s="174"/>
      <c r="G956" s="174"/>
      <c r="H956" s="174"/>
      <c r="J956" s="174"/>
      <c r="L956" s="175"/>
      <c r="M956" s="182"/>
      <c r="N956" s="177"/>
      <c r="P956" s="183"/>
      <c r="Q956" s="184"/>
      <c r="R956" s="185"/>
      <c r="S956" s="176"/>
      <c r="T956" s="172"/>
      <c r="U956" s="181"/>
      <c r="V956" s="181"/>
    </row>
    <row r="957" spans="1:22" x14ac:dyDescent="0.25">
      <c r="A957" s="172"/>
      <c r="F957" s="174"/>
      <c r="G957" s="174"/>
      <c r="H957" s="174"/>
      <c r="J957" s="174"/>
      <c r="L957" s="175"/>
      <c r="M957" s="182"/>
      <c r="N957" s="177"/>
      <c r="P957" s="183"/>
      <c r="Q957" s="184"/>
      <c r="R957" s="185"/>
      <c r="S957" s="176"/>
      <c r="T957" s="172"/>
      <c r="U957" s="181"/>
      <c r="V957" s="181"/>
    </row>
    <row r="958" spans="1:22" x14ac:dyDescent="0.25">
      <c r="A958" s="172"/>
      <c r="F958" s="174"/>
      <c r="G958" s="174"/>
      <c r="H958" s="174"/>
      <c r="J958" s="174"/>
      <c r="L958" s="175"/>
      <c r="M958" s="182"/>
      <c r="N958" s="177"/>
      <c r="P958" s="183"/>
      <c r="Q958" s="184"/>
      <c r="R958" s="185"/>
      <c r="S958" s="176"/>
      <c r="T958" s="172"/>
      <c r="U958" s="181"/>
      <c r="V958" s="181"/>
    </row>
    <row r="959" spans="1:22" x14ac:dyDescent="0.25">
      <c r="A959" s="172"/>
      <c r="F959" s="174"/>
      <c r="G959" s="174"/>
      <c r="H959" s="174"/>
      <c r="J959" s="174"/>
      <c r="L959" s="175"/>
      <c r="M959" s="182"/>
      <c r="N959" s="177"/>
      <c r="P959" s="183"/>
      <c r="Q959" s="184"/>
      <c r="R959" s="185"/>
      <c r="S959" s="176"/>
      <c r="T959" s="172"/>
      <c r="U959" s="181"/>
      <c r="V959" s="181"/>
    </row>
    <row r="960" spans="1:22" x14ac:dyDescent="0.25">
      <c r="A960" s="172"/>
      <c r="F960" s="174"/>
      <c r="G960" s="174"/>
      <c r="H960" s="174"/>
      <c r="J960" s="174"/>
      <c r="L960" s="175"/>
      <c r="M960" s="182"/>
      <c r="N960" s="177"/>
      <c r="P960" s="183"/>
      <c r="Q960" s="184"/>
      <c r="R960" s="185"/>
      <c r="S960" s="176"/>
      <c r="T960" s="172"/>
      <c r="U960" s="181"/>
      <c r="V960" s="181"/>
    </row>
    <row r="961" spans="1:22" x14ac:dyDescent="0.25">
      <c r="A961" s="172"/>
      <c r="F961" s="174"/>
      <c r="G961" s="174"/>
      <c r="H961" s="174"/>
      <c r="J961" s="174"/>
      <c r="L961" s="175"/>
      <c r="M961" s="182"/>
      <c r="N961" s="177"/>
      <c r="P961" s="183"/>
      <c r="Q961" s="184"/>
      <c r="R961" s="185"/>
      <c r="S961" s="176"/>
      <c r="T961" s="172"/>
      <c r="U961" s="181"/>
      <c r="V961" s="181"/>
    </row>
    <row r="962" spans="1:22" x14ac:dyDescent="0.25">
      <c r="A962" s="172"/>
      <c r="F962" s="174"/>
      <c r="G962" s="174"/>
      <c r="H962" s="174"/>
      <c r="J962" s="174"/>
      <c r="L962" s="175"/>
      <c r="M962" s="182"/>
      <c r="N962" s="177"/>
      <c r="P962" s="183"/>
      <c r="Q962" s="184"/>
      <c r="R962" s="185"/>
      <c r="S962" s="176"/>
      <c r="T962" s="172"/>
      <c r="U962" s="181"/>
      <c r="V962" s="181"/>
    </row>
    <row r="963" spans="1:22" x14ac:dyDescent="0.25">
      <c r="A963" s="172"/>
      <c r="F963" s="174"/>
      <c r="G963" s="174"/>
      <c r="H963" s="174"/>
      <c r="J963" s="174"/>
      <c r="L963" s="175"/>
      <c r="M963" s="182"/>
      <c r="N963" s="177"/>
      <c r="P963" s="183"/>
      <c r="Q963" s="184"/>
      <c r="R963" s="185"/>
      <c r="S963" s="176"/>
      <c r="T963" s="172"/>
      <c r="U963" s="181"/>
      <c r="V963" s="181"/>
    </row>
    <row r="964" spans="1:22" x14ac:dyDescent="0.25">
      <c r="A964" s="172"/>
      <c r="F964" s="174"/>
      <c r="G964" s="174"/>
      <c r="H964" s="174"/>
      <c r="J964" s="174"/>
      <c r="L964" s="175"/>
      <c r="M964" s="182"/>
      <c r="N964" s="177"/>
      <c r="P964" s="183"/>
      <c r="Q964" s="184"/>
      <c r="R964" s="185"/>
      <c r="S964" s="176"/>
      <c r="T964" s="172"/>
      <c r="U964" s="181"/>
      <c r="V964" s="181"/>
    </row>
    <row r="965" spans="1:22" x14ac:dyDescent="0.25">
      <c r="A965" s="172"/>
      <c r="F965" s="174"/>
      <c r="G965" s="174"/>
      <c r="H965" s="174"/>
      <c r="J965" s="174"/>
      <c r="L965" s="175"/>
      <c r="M965" s="182"/>
      <c r="N965" s="177"/>
      <c r="P965" s="183"/>
      <c r="Q965" s="184"/>
      <c r="R965" s="185"/>
      <c r="S965" s="176"/>
      <c r="T965" s="172"/>
      <c r="U965" s="181"/>
      <c r="V965" s="181"/>
    </row>
    <row r="966" spans="1:22" x14ac:dyDescent="0.25">
      <c r="A966" s="172"/>
      <c r="F966" s="174"/>
      <c r="G966" s="174"/>
      <c r="H966" s="174"/>
      <c r="J966" s="174"/>
      <c r="L966" s="175"/>
      <c r="M966" s="182"/>
      <c r="N966" s="177"/>
      <c r="P966" s="183"/>
      <c r="Q966" s="184"/>
      <c r="R966" s="185"/>
      <c r="S966" s="176"/>
      <c r="T966" s="172"/>
      <c r="U966" s="181"/>
      <c r="V966" s="181"/>
    </row>
    <row r="967" spans="1:22" x14ac:dyDescent="0.25">
      <c r="A967" s="172"/>
      <c r="F967" s="174"/>
      <c r="G967" s="174"/>
      <c r="H967" s="174"/>
      <c r="J967" s="174"/>
      <c r="L967" s="175"/>
      <c r="M967" s="182"/>
      <c r="N967" s="177"/>
      <c r="P967" s="183"/>
      <c r="Q967" s="184"/>
      <c r="R967" s="185"/>
      <c r="S967" s="176"/>
      <c r="T967" s="172"/>
      <c r="U967" s="181"/>
      <c r="V967" s="181"/>
    </row>
    <row r="968" spans="1:22" x14ac:dyDescent="0.25">
      <c r="A968" s="172"/>
      <c r="F968" s="174"/>
      <c r="G968" s="174"/>
      <c r="H968" s="174"/>
      <c r="J968" s="174"/>
      <c r="L968" s="175"/>
      <c r="M968" s="182"/>
      <c r="N968" s="177"/>
      <c r="P968" s="183"/>
      <c r="Q968" s="184"/>
      <c r="R968" s="185"/>
      <c r="S968" s="176"/>
      <c r="T968" s="172"/>
      <c r="U968" s="181"/>
      <c r="V968" s="181"/>
    </row>
    <row r="969" spans="1:22" x14ac:dyDescent="0.25">
      <c r="A969" s="172"/>
      <c r="F969" s="174"/>
      <c r="G969" s="174"/>
      <c r="H969" s="174"/>
      <c r="J969" s="174"/>
      <c r="L969" s="175"/>
      <c r="M969" s="182"/>
      <c r="N969" s="177"/>
      <c r="P969" s="183"/>
      <c r="Q969" s="184"/>
      <c r="R969" s="185"/>
      <c r="S969" s="176"/>
      <c r="T969" s="172"/>
      <c r="U969" s="181"/>
      <c r="V969" s="181"/>
    </row>
    <row r="970" spans="1:22" x14ac:dyDescent="0.25">
      <c r="A970" s="172"/>
      <c r="F970" s="174"/>
      <c r="G970" s="174"/>
      <c r="H970" s="174"/>
      <c r="J970" s="174"/>
      <c r="L970" s="175"/>
      <c r="M970" s="182"/>
      <c r="N970" s="177"/>
      <c r="P970" s="183"/>
      <c r="Q970" s="184"/>
      <c r="R970" s="185"/>
      <c r="S970" s="176"/>
      <c r="T970" s="172"/>
      <c r="U970" s="181"/>
      <c r="V970" s="181"/>
    </row>
    <row r="971" spans="1:22" x14ac:dyDescent="0.25">
      <c r="A971" s="172"/>
      <c r="F971" s="174"/>
      <c r="G971" s="174"/>
      <c r="H971" s="174"/>
      <c r="J971" s="174"/>
      <c r="L971" s="175"/>
      <c r="M971" s="182"/>
      <c r="N971" s="177"/>
      <c r="P971" s="183"/>
      <c r="Q971" s="184"/>
      <c r="R971" s="185"/>
      <c r="S971" s="176"/>
      <c r="T971" s="172"/>
      <c r="U971" s="181"/>
      <c r="V971" s="181"/>
    </row>
    <row r="972" spans="1:22" x14ac:dyDescent="0.25">
      <c r="A972" s="172"/>
      <c r="F972" s="174"/>
      <c r="G972" s="174"/>
      <c r="H972" s="174"/>
      <c r="J972" s="174"/>
      <c r="L972" s="175"/>
      <c r="M972" s="182"/>
      <c r="N972" s="177"/>
      <c r="P972" s="183"/>
      <c r="Q972" s="184"/>
      <c r="R972" s="185"/>
      <c r="S972" s="176"/>
      <c r="T972" s="172"/>
      <c r="U972" s="181"/>
      <c r="V972" s="181"/>
    </row>
    <row r="973" spans="1:22" x14ac:dyDescent="0.25">
      <c r="A973" s="172"/>
      <c r="F973" s="174"/>
      <c r="G973" s="174"/>
      <c r="H973" s="174"/>
      <c r="J973" s="174"/>
      <c r="L973" s="175"/>
      <c r="M973" s="182"/>
      <c r="N973" s="177"/>
      <c r="P973" s="183"/>
      <c r="Q973" s="184"/>
      <c r="R973" s="185"/>
      <c r="S973" s="176"/>
      <c r="T973" s="172"/>
      <c r="U973" s="181"/>
      <c r="V973" s="181"/>
    </row>
    <row r="974" spans="1:22" x14ac:dyDescent="0.25">
      <c r="A974" s="172"/>
      <c r="F974" s="174"/>
      <c r="G974" s="174"/>
      <c r="H974" s="174"/>
      <c r="J974" s="174"/>
      <c r="L974" s="175"/>
      <c r="M974" s="182"/>
      <c r="N974" s="177"/>
      <c r="P974" s="183"/>
      <c r="Q974" s="184"/>
      <c r="R974" s="185"/>
      <c r="S974" s="176"/>
      <c r="T974" s="172"/>
      <c r="U974" s="181"/>
      <c r="V974" s="181"/>
    </row>
    <row r="975" spans="1:22" x14ac:dyDescent="0.25">
      <c r="A975" s="172"/>
      <c r="F975" s="174"/>
      <c r="G975" s="174"/>
      <c r="H975" s="174"/>
      <c r="J975" s="174"/>
      <c r="L975" s="175"/>
      <c r="M975" s="182"/>
      <c r="N975" s="177"/>
      <c r="P975" s="183"/>
      <c r="Q975" s="184"/>
      <c r="R975" s="185"/>
      <c r="S975" s="176"/>
      <c r="T975" s="172"/>
      <c r="U975" s="181"/>
      <c r="V975" s="181"/>
    </row>
    <row r="976" spans="1:22" x14ac:dyDescent="0.25">
      <c r="A976" s="172"/>
      <c r="F976" s="174"/>
      <c r="G976" s="174"/>
      <c r="H976" s="174"/>
      <c r="J976" s="174"/>
      <c r="L976" s="175"/>
      <c r="M976" s="182"/>
      <c r="N976" s="177"/>
      <c r="P976" s="183"/>
      <c r="Q976" s="184"/>
      <c r="R976" s="185"/>
      <c r="S976" s="176"/>
      <c r="T976" s="172"/>
      <c r="U976" s="181"/>
      <c r="V976" s="181"/>
    </row>
    <row r="977" spans="1:22" x14ac:dyDescent="0.25">
      <c r="A977" s="172"/>
      <c r="F977" s="174"/>
      <c r="G977" s="174"/>
      <c r="H977" s="174"/>
      <c r="J977" s="174"/>
      <c r="L977" s="175"/>
      <c r="M977" s="182"/>
      <c r="N977" s="177"/>
      <c r="P977" s="183"/>
      <c r="Q977" s="184"/>
      <c r="R977" s="185"/>
      <c r="S977" s="176"/>
      <c r="T977" s="172"/>
      <c r="U977" s="181"/>
      <c r="V977" s="181"/>
    </row>
    <row r="978" spans="1:22" x14ac:dyDescent="0.25">
      <c r="A978" s="172"/>
      <c r="F978" s="174"/>
      <c r="G978" s="174"/>
      <c r="H978" s="174"/>
      <c r="J978" s="174"/>
      <c r="L978" s="175"/>
      <c r="M978" s="182"/>
      <c r="N978" s="177"/>
      <c r="P978" s="183"/>
      <c r="Q978" s="184"/>
      <c r="R978" s="185"/>
      <c r="S978" s="176"/>
      <c r="T978" s="172"/>
      <c r="U978" s="181"/>
      <c r="V978" s="181"/>
    </row>
    <row r="979" spans="1:22" x14ac:dyDescent="0.25">
      <c r="A979" s="172"/>
      <c r="F979" s="174"/>
      <c r="G979" s="174"/>
      <c r="H979" s="174"/>
      <c r="J979" s="174"/>
      <c r="L979" s="175"/>
      <c r="M979" s="182"/>
      <c r="N979" s="177"/>
      <c r="P979" s="183"/>
      <c r="Q979" s="184"/>
      <c r="R979" s="185"/>
      <c r="S979" s="176"/>
      <c r="T979" s="172"/>
      <c r="U979" s="181"/>
      <c r="V979" s="181"/>
    </row>
    <row r="980" spans="1:22" x14ac:dyDescent="0.25">
      <c r="A980" s="172"/>
      <c r="F980" s="174"/>
      <c r="G980" s="174"/>
      <c r="H980" s="174"/>
      <c r="J980" s="174"/>
      <c r="L980" s="175"/>
      <c r="M980" s="182"/>
      <c r="N980" s="177"/>
      <c r="P980" s="183"/>
      <c r="Q980" s="184"/>
      <c r="R980" s="185"/>
      <c r="S980" s="176"/>
      <c r="T980" s="172"/>
      <c r="U980" s="181"/>
      <c r="V980" s="181"/>
    </row>
    <row r="981" spans="1:22" x14ac:dyDescent="0.25">
      <c r="A981" s="172"/>
      <c r="F981" s="174"/>
      <c r="G981" s="174"/>
      <c r="H981" s="174"/>
      <c r="J981" s="174"/>
      <c r="L981" s="175"/>
      <c r="M981" s="182"/>
      <c r="N981" s="177"/>
      <c r="P981" s="183"/>
      <c r="Q981" s="184"/>
      <c r="R981" s="185"/>
      <c r="S981" s="176"/>
      <c r="T981" s="172"/>
      <c r="U981" s="181"/>
      <c r="V981" s="181"/>
    </row>
    <row r="982" spans="1:22" x14ac:dyDescent="0.25">
      <c r="A982" s="172"/>
      <c r="F982" s="174"/>
      <c r="G982" s="174"/>
      <c r="H982" s="174"/>
      <c r="J982" s="174"/>
      <c r="L982" s="175"/>
      <c r="M982" s="182"/>
      <c r="N982" s="177"/>
      <c r="P982" s="183"/>
      <c r="Q982" s="184"/>
      <c r="R982" s="185"/>
      <c r="S982" s="176"/>
      <c r="T982" s="172"/>
      <c r="U982" s="181"/>
      <c r="V982" s="181"/>
    </row>
    <row r="983" spans="1:22" x14ac:dyDescent="0.25">
      <c r="A983" s="172"/>
      <c r="F983" s="174"/>
      <c r="G983" s="174"/>
      <c r="H983" s="174"/>
      <c r="J983" s="174"/>
      <c r="L983" s="175"/>
      <c r="M983" s="182"/>
      <c r="N983" s="177"/>
      <c r="P983" s="183"/>
      <c r="Q983" s="184"/>
      <c r="R983" s="185"/>
      <c r="S983" s="176"/>
      <c r="T983" s="172"/>
      <c r="U983" s="181"/>
      <c r="V983" s="181"/>
    </row>
    <row r="984" spans="1:22" x14ac:dyDescent="0.25">
      <c r="A984" s="172"/>
      <c r="F984" s="174"/>
      <c r="G984" s="174"/>
      <c r="H984" s="174"/>
      <c r="J984" s="174"/>
      <c r="L984" s="175"/>
      <c r="M984" s="182"/>
      <c r="N984" s="177"/>
      <c r="P984" s="183"/>
      <c r="Q984" s="184"/>
      <c r="R984" s="185"/>
      <c r="S984" s="176"/>
      <c r="T984" s="172"/>
      <c r="U984" s="181"/>
      <c r="V984" s="181"/>
    </row>
    <row r="985" spans="1:22" x14ac:dyDescent="0.25">
      <c r="A985" s="172"/>
      <c r="F985" s="174"/>
      <c r="G985" s="174"/>
      <c r="H985" s="174"/>
      <c r="J985" s="174"/>
      <c r="L985" s="175"/>
      <c r="M985" s="182"/>
      <c r="N985" s="177"/>
      <c r="P985" s="183"/>
      <c r="Q985" s="184"/>
      <c r="R985" s="185"/>
      <c r="S985" s="176"/>
      <c r="T985" s="172"/>
      <c r="U985" s="181"/>
      <c r="V985" s="181"/>
    </row>
    <row r="986" spans="1:22" x14ac:dyDescent="0.25">
      <c r="A986" s="172"/>
      <c r="F986" s="174"/>
      <c r="G986" s="174"/>
      <c r="H986" s="174"/>
      <c r="J986" s="174"/>
      <c r="L986" s="175"/>
      <c r="M986" s="182"/>
      <c r="N986" s="177"/>
      <c r="P986" s="183"/>
      <c r="Q986" s="184"/>
      <c r="R986" s="185"/>
      <c r="S986" s="176"/>
      <c r="T986" s="172"/>
      <c r="U986" s="181"/>
      <c r="V986" s="181"/>
    </row>
    <row r="987" spans="1:22" x14ac:dyDescent="0.25">
      <c r="A987" s="172"/>
      <c r="F987" s="174"/>
      <c r="G987" s="174"/>
      <c r="H987" s="174"/>
      <c r="J987" s="174"/>
      <c r="L987" s="175"/>
      <c r="M987" s="182"/>
      <c r="N987" s="177"/>
      <c r="P987" s="183"/>
      <c r="Q987" s="184"/>
      <c r="R987" s="185"/>
      <c r="S987" s="176"/>
      <c r="T987" s="172"/>
      <c r="U987" s="181"/>
      <c r="V987" s="181"/>
    </row>
    <row r="988" spans="1:22" x14ac:dyDescent="0.25">
      <c r="A988" s="172"/>
      <c r="F988" s="174"/>
      <c r="G988" s="174"/>
      <c r="H988" s="174"/>
      <c r="J988" s="174"/>
      <c r="L988" s="175"/>
      <c r="M988" s="182"/>
      <c r="N988" s="177"/>
      <c r="P988" s="183"/>
      <c r="Q988" s="184"/>
      <c r="R988" s="185"/>
      <c r="S988" s="176"/>
      <c r="T988" s="172"/>
      <c r="U988" s="181"/>
      <c r="V988" s="181"/>
    </row>
    <row r="989" spans="1:22" x14ac:dyDescent="0.25">
      <c r="A989" s="172"/>
      <c r="F989" s="174"/>
      <c r="G989" s="174"/>
      <c r="H989" s="174"/>
      <c r="J989" s="174"/>
      <c r="L989" s="175"/>
      <c r="M989" s="182"/>
      <c r="N989" s="177"/>
      <c r="P989" s="183"/>
      <c r="Q989" s="184"/>
      <c r="R989" s="185"/>
      <c r="S989" s="176"/>
      <c r="T989" s="172"/>
      <c r="U989" s="181"/>
      <c r="V989" s="181"/>
    </row>
    <row r="990" spans="1:22" x14ac:dyDescent="0.25">
      <c r="A990" s="172"/>
      <c r="F990" s="174"/>
      <c r="G990" s="174"/>
      <c r="H990" s="174"/>
      <c r="J990" s="174"/>
      <c r="L990" s="175"/>
      <c r="M990" s="182"/>
      <c r="N990" s="177"/>
      <c r="P990" s="183"/>
      <c r="Q990" s="184"/>
      <c r="R990" s="185"/>
      <c r="S990" s="176"/>
      <c r="T990" s="172"/>
      <c r="U990" s="181"/>
      <c r="V990" s="181"/>
    </row>
    <row r="991" spans="1:22" x14ac:dyDescent="0.25">
      <c r="A991" s="172"/>
      <c r="F991" s="174"/>
      <c r="G991" s="174"/>
      <c r="H991" s="174"/>
      <c r="J991" s="174"/>
      <c r="L991" s="175"/>
      <c r="M991" s="182"/>
      <c r="N991" s="177"/>
      <c r="P991" s="183"/>
      <c r="Q991" s="184"/>
      <c r="R991" s="185"/>
      <c r="S991" s="176"/>
      <c r="T991" s="172"/>
      <c r="U991" s="181"/>
      <c r="V991" s="181"/>
    </row>
    <row r="992" spans="1:22" x14ac:dyDescent="0.25">
      <c r="A992" s="172"/>
      <c r="F992" s="174"/>
      <c r="G992" s="174"/>
      <c r="H992" s="174"/>
      <c r="J992" s="174"/>
      <c r="L992" s="175"/>
      <c r="M992" s="182"/>
      <c r="N992" s="177"/>
      <c r="P992" s="183"/>
      <c r="Q992" s="184"/>
      <c r="R992" s="185"/>
      <c r="S992" s="176"/>
      <c r="T992" s="172"/>
      <c r="U992" s="181"/>
      <c r="V992" s="181"/>
    </row>
    <row r="993" spans="1:23" x14ac:dyDescent="0.25">
      <c r="A993" s="172"/>
      <c r="F993" s="174"/>
      <c r="G993" s="174"/>
      <c r="H993" s="174"/>
      <c r="J993" s="174"/>
      <c r="L993" s="175"/>
      <c r="M993" s="182"/>
      <c r="N993" s="177"/>
      <c r="P993" s="183"/>
      <c r="Q993" s="184"/>
      <c r="R993" s="185"/>
      <c r="S993" s="176"/>
      <c r="T993" s="172"/>
      <c r="U993" s="181"/>
      <c r="V993" s="181"/>
    </row>
    <row r="994" spans="1:23" x14ac:dyDescent="0.25">
      <c r="A994" s="172"/>
      <c r="F994" s="174"/>
      <c r="G994" s="174"/>
      <c r="H994" s="174"/>
      <c r="J994" s="174"/>
      <c r="L994" s="175"/>
      <c r="M994" s="182"/>
      <c r="N994" s="177"/>
      <c r="P994" s="183"/>
      <c r="Q994" s="184"/>
      <c r="R994" s="185"/>
      <c r="S994" s="176"/>
      <c r="T994" s="172"/>
      <c r="U994" s="181"/>
      <c r="V994" s="181"/>
      <c r="W994" s="186" t="str">
        <f t="shared" ref="W994:W1025" si="38">"echo {""issue"":{""subject"":"""&amp;N994&amp;""",""project_id"":79,""tracker_id"":40,""status_id"":"&amp;redmine_status&amp;",""priority_id"":"&amp;redmine_priority&amp;",""assigned_to_id"":"&amp;redmine_assignee&amp;",""start_date"":"""&amp;TEXT(A994,"YYYY-mm-dd")&amp;""",""description"":"""&amp;X994&amp;""",""custom_fields"":[{""id"":1,""name"":""Subdivision"",""value"":"""&amp;U994&amp;"""},{""id"":4,""name"":""Milepost"",""value"":"""&amp;J994/10000&amp;"""},{""id"":17,""name"":""Train ID"",""value"":"""&amp;C994&amp;"""},{""id"":16,""name"":""Locomotive ID"",""value"":"""&amp;S994&amp;"""},{""id"":130,""name"":""Impact"",""value"":"""&amp;Y994&amp;"""},{""id"":150,""name"":""Time of Event (Mountain Time)"",""value"":"""&amp;TEXT(A994,"hh:mm:ss")&amp;"""},{""id"":151,""name"":""Denver Issue ID"",""value"":"""&amp;"""},{""id"":178,""name"":""Operational Impact"",""value"":"""&amp;redmine_op_impact&amp;"""},{""id"":179,""name"":""Denver Segment Assigned"",""value"":"""&amp;Z994&amp;"""}]}}"&amp;"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95" spans="1:23" x14ac:dyDescent="0.25">
      <c r="A995" s="172"/>
      <c r="F995" s="174"/>
      <c r="G995" s="174"/>
      <c r="H995" s="174"/>
      <c r="J995" s="174"/>
      <c r="L995" s="175"/>
      <c r="M995" s="182"/>
      <c r="N995" s="177"/>
      <c r="P995" s="183"/>
      <c r="Q995" s="184"/>
      <c r="R995" s="185"/>
      <c r="S995" s="176"/>
      <c r="T995" s="172"/>
      <c r="U995" s="181"/>
      <c r="V995" s="181"/>
      <c r="W995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96" spans="1:23" x14ac:dyDescent="0.25">
      <c r="A996" s="172"/>
      <c r="F996" s="174"/>
      <c r="G996" s="174"/>
      <c r="H996" s="174"/>
      <c r="J996" s="174"/>
      <c r="L996" s="175"/>
      <c r="M996" s="182"/>
      <c r="N996" s="177"/>
      <c r="P996" s="183"/>
      <c r="Q996" s="184"/>
      <c r="R996" s="185"/>
      <c r="S996" s="176"/>
      <c r="T996" s="172"/>
      <c r="U996" s="181"/>
      <c r="V996" s="181"/>
      <c r="W996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97" spans="1:23" x14ac:dyDescent="0.25">
      <c r="A997" s="172"/>
      <c r="F997" s="174"/>
      <c r="G997" s="174"/>
      <c r="H997" s="174"/>
      <c r="J997" s="174"/>
      <c r="L997" s="175"/>
      <c r="M997" s="182"/>
      <c r="N997" s="177"/>
      <c r="P997" s="183"/>
      <c r="Q997" s="184"/>
      <c r="R997" s="185"/>
      <c r="S997" s="176"/>
      <c r="T997" s="172"/>
      <c r="U997" s="181"/>
      <c r="V997" s="181"/>
      <c r="W997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98" spans="1:23" x14ac:dyDescent="0.25">
      <c r="A998" s="172"/>
      <c r="F998" s="174"/>
      <c r="G998" s="174"/>
      <c r="H998" s="174"/>
      <c r="J998" s="174"/>
      <c r="L998" s="175"/>
      <c r="M998" s="182"/>
      <c r="N998" s="177"/>
      <c r="P998" s="183"/>
      <c r="Q998" s="184"/>
      <c r="R998" s="185"/>
      <c r="S998" s="176"/>
      <c r="T998" s="172"/>
      <c r="U998" s="181"/>
      <c r="V998" s="181"/>
      <c r="W998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999" spans="1:23" x14ac:dyDescent="0.25">
      <c r="A999" s="172"/>
      <c r="F999" s="174"/>
      <c r="G999" s="174"/>
      <c r="H999" s="174"/>
      <c r="J999" s="174"/>
      <c r="L999" s="175"/>
      <c r="M999" s="182"/>
      <c r="N999" s="177"/>
      <c r="P999" s="183"/>
      <c r="Q999" s="184"/>
      <c r="R999" s="185"/>
      <c r="S999" s="176"/>
      <c r="T999" s="172"/>
      <c r="U999" s="181"/>
      <c r="V999" s="181"/>
      <c r="W999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0" spans="1:23" x14ac:dyDescent="0.25">
      <c r="A1000" s="172"/>
      <c r="F1000" s="174"/>
      <c r="G1000" s="174"/>
      <c r="H1000" s="174"/>
      <c r="J1000" s="174"/>
      <c r="L1000" s="175"/>
      <c r="M1000" s="182"/>
      <c r="N1000" s="177"/>
      <c r="P1000" s="183"/>
      <c r="Q1000" s="184"/>
      <c r="R1000" s="185"/>
      <c r="S1000" s="176"/>
      <c r="T1000" s="172"/>
      <c r="U1000" s="181"/>
      <c r="V1000" s="181"/>
      <c r="W1000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1" spans="1:23" x14ac:dyDescent="0.25">
      <c r="A1001" s="172"/>
      <c r="F1001" s="174"/>
      <c r="G1001" s="174"/>
      <c r="H1001" s="174"/>
      <c r="J1001" s="174"/>
      <c r="L1001" s="175"/>
      <c r="M1001" s="182"/>
      <c r="N1001" s="177"/>
      <c r="P1001" s="183"/>
      <c r="Q1001" s="184"/>
      <c r="R1001" s="185"/>
      <c r="S1001" s="176"/>
      <c r="T1001" s="172"/>
      <c r="U1001" s="181"/>
      <c r="V1001" s="181"/>
      <c r="W1001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2" spans="1:23" x14ac:dyDescent="0.25">
      <c r="A1002" s="172"/>
      <c r="F1002" s="174"/>
      <c r="G1002" s="174"/>
      <c r="H1002" s="174"/>
      <c r="J1002" s="174"/>
      <c r="L1002" s="175"/>
      <c r="M1002" s="182"/>
      <c r="N1002" s="177"/>
      <c r="P1002" s="183"/>
      <c r="Q1002" s="184"/>
      <c r="R1002" s="185"/>
      <c r="S1002" s="176"/>
      <c r="T1002" s="172"/>
      <c r="U1002" s="181"/>
      <c r="V1002" s="181"/>
      <c r="W1002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3" spans="1:23" x14ac:dyDescent="0.25">
      <c r="A1003" s="172"/>
      <c r="F1003" s="174"/>
      <c r="G1003" s="174"/>
      <c r="H1003" s="174"/>
      <c r="J1003" s="174"/>
      <c r="L1003" s="175"/>
      <c r="M1003" s="182"/>
      <c r="N1003" s="177"/>
      <c r="P1003" s="183"/>
      <c r="Q1003" s="184"/>
      <c r="R1003" s="185"/>
      <c r="S1003" s="176"/>
      <c r="T1003" s="172"/>
      <c r="U1003" s="181"/>
      <c r="V1003" s="181"/>
      <c r="W1003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4" spans="1:23" x14ac:dyDescent="0.25">
      <c r="A1004" s="172"/>
      <c r="F1004" s="174"/>
      <c r="G1004" s="174"/>
      <c r="H1004" s="174"/>
      <c r="J1004" s="174"/>
      <c r="L1004" s="175"/>
      <c r="M1004" s="182"/>
      <c r="N1004" s="177"/>
      <c r="P1004" s="183"/>
      <c r="Q1004" s="184"/>
      <c r="R1004" s="185"/>
      <c r="S1004" s="176"/>
      <c r="T1004" s="172"/>
      <c r="U1004" s="181"/>
      <c r="V1004" s="181"/>
      <c r="W1004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5" spans="1:23" x14ac:dyDescent="0.25">
      <c r="A1005" s="172"/>
      <c r="F1005" s="174"/>
      <c r="G1005" s="174"/>
      <c r="H1005" s="174"/>
      <c r="J1005" s="174"/>
      <c r="L1005" s="175"/>
      <c r="M1005" s="182"/>
      <c r="N1005" s="177"/>
      <c r="P1005" s="183"/>
      <c r="Q1005" s="184"/>
      <c r="R1005" s="185"/>
      <c r="S1005" s="176"/>
      <c r="T1005" s="172"/>
      <c r="U1005" s="181"/>
      <c r="V1005" s="181"/>
      <c r="W1005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6" spans="1:23" x14ac:dyDescent="0.25">
      <c r="A1006" s="172"/>
      <c r="F1006" s="174"/>
      <c r="G1006" s="174"/>
      <c r="H1006" s="174"/>
      <c r="J1006" s="174"/>
      <c r="L1006" s="175"/>
      <c r="M1006" s="182"/>
      <c r="N1006" s="177"/>
      <c r="P1006" s="183"/>
      <c r="Q1006" s="184"/>
      <c r="R1006" s="185"/>
      <c r="S1006" s="176"/>
      <c r="T1006" s="172"/>
      <c r="U1006" s="181"/>
      <c r="V1006" s="181"/>
      <c r="W1006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7" spans="1:23" x14ac:dyDescent="0.25">
      <c r="A1007" s="172"/>
      <c r="F1007" s="174"/>
      <c r="G1007" s="174"/>
      <c r="H1007" s="174"/>
      <c r="J1007" s="174"/>
      <c r="L1007" s="175"/>
      <c r="M1007" s="182"/>
      <c r="N1007" s="177"/>
      <c r="P1007" s="183"/>
      <c r="Q1007" s="184"/>
      <c r="R1007" s="185"/>
      <c r="S1007" s="176"/>
      <c r="T1007" s="172"/>
      <c r="U1007" s="181"/>
      <c r="V1007" s="181"/>
      <c r="W1007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8" spans="1:23" x14ac:dyDescent="0.25">
      <c r="A1008" s="172"/>
      <c r="F1008" s="174"/>
      <c r="G1008" s="174"/>
      <c r="H1008" s="174"/>
      <c r="J1008" s="174"/>
      <c r="L1008" s="175"/>
      <c r="M1008" s="182"/>
      <c r="N1008" s="177"/>
      <c r="P1008" s="183"/>
      <c r="Q1008" s="184"/>
      <c r="R1008" s="185"/>
      <c r="S1008" s="176"/>
      <c r="T1008" s="172"/>
      <c r="U1008" s="181"/>
      <c r="V1008" s="181"/>
      <c r="W1008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09" spans="1:23" x14ac:dyDescent="0.25">
      <c r="A1009" s="172"/>
      <c r="F1009" s="174"/>
      <c r="G1009" s="174"/>
      <c r="H1009" s="174"/>
      <c r="J1009" s="174"/>
      <c r="L1009" s="175"/>
      <c r="M1009" s="182"/>
      <c r="N1009" s="177"/>
      <c r="P1009" s="183"/>
      <c r="Q1009" s="184"/>
      <c r="R1009" s="185"/>
      <c r="S1009" s="176"/>
      <c r="T1009" s="172"/>
      <c r="U1009" s="181"/>
      <c r="V1009" s="181"/>
      <c r="W1009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0" spans="1:23" x14ac:dyDescent="0.25">
      <c r="A1010" s="172"/>
      <c r="F1010" s="174"/>
      <c r="G1010" s="174"/>
      <c r="H1010" s="174"/>
      <c r="J1010" s="174"/>
      <c r="L1010" s="175"/>
      <c r="M1010" s="182"/>
      <c r="N1010" s="177"/>
      <c r="P1010" s="183"/>
      <c r="Q1010" s="184"/>
      <c r="R1010" s="185"/>
      <c r="S1010" s="176"/>
      <c r="T1010" s="172"/>
      <c r="U1010" s="181"/>
      <c r="V1010" s="181"/>
      <c r="W1010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1" spans="1:23" x14ac:dyDescent="0.25">
      <c r="A1011" s="172"/>
      <c r="F1011" s="174"/>
      <c r="G1011" s="174"/>
      <c r="H1011" s="174"/>
      <c r="J1011" s="174"/>
      <c r="L1011" s="175"/>
      <c r="M1011" s="182"/>
      <c r="N1011" s="177"/>
      <c r="P1011" s="183"/>
      <c r="Q1011" s="184"/>
      <c r="R1011" s="185"/>
      <c r="S1011" s="176"/>
      <c r="T1011" s="172"/>
      <c r="U1011" s="181"/>
      <c r="V1011" s="181"/>
      <c r="W1011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2" spans="1:23" x14ac:dyDescent="0.25">
      <c r="A1012" s="172"/>
      <c r="F1012" s="174"/>
      <c r="G1012" s="174"/>
      <c r="H1012" s="174"/>
      <c r="J1012" s="174"/>
      <c r="L1012" s="175"/>
      <c r="M1012" s="182"/>
      <c r="N1012" s="177"/>
      <c r="P1012" s="183"/>
      <c r="Q1012" s="184"/>
      <c r="R1012" s="185"/>
      <c r="S1012" s="176"/>
      <c r="T1012" s="172"/>
      <c r="U1012" s="181"/>
      <c r="V1012" s="181"/>
      <c r="W1012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3" spans="1:23" x14ac:dyDescent="0.25">
      <c r="A1013" s="172"/>
      <c r="F1013" s="174"/>
      <c r="G1013" s="174"/>
      <c r="H1013" s="174"/>
      <c r="J1013" s="174"/>
      <c r="L1013" s="175"/>
      <c r="M1013" s="182"/>
      <c r="N1013" s="177"/>
      <c r="P1013" s="183"/>
      <c r="Q1013" s="184"/>
      <c r="R1013" s="185"/>
      <c r="S1013" s="176"/>
      <c r="T1013" s="172"/>
      <c r="U1013" s="181"/>
      <c r="V1013" s="181"/>
      <c r="W1013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4" spans="1:23" x14ac:dyDescent="0.25">
      <c r="A1014" s="172"/>
      <c r="F1014" s="174"/>
      <c r="G1014" s="174"/>
      <c r="H1014" s="174"/>
      <c r="J1014" s="174"/>
      <c r="L1014" s="175"/>
      <c r="M1014" s="182"/>
      <c r="N1014" s="177"/>
      <c r="P1014" s="183"/>
      <c r="Q1014" s="184"/>
      <c r="R1014" s="185"/>
      <c r="S1014" s="176"/>
      <c r="T1014" s="172"/>
      <c r="U1014" s="181"/>
      <c r="V1014" s="181"/>
      <c r="W1014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5" spans="1:23" x14ac:dyDescent="0.25">
      <c r="A1015" s="172"/>
      <c r="F1015" s="174"/>
      <c r="G1015" s="174"/>
      <c r="H1015" s="174"/>
      <c r="J1015" s="174"/>
      <c r="L1015" s="175"/>
      <c r="M1015" s="182"/>
      <c r="N1015" s="177"/>
      <c r="P1015" s="183"/>
      <c r="Q1015" s="184"/>
      <c r="R1015" s="185"/>
      <c r="S1015" s="176"/>
      <c r="T1015" s="172"/>
      <c r="U1015" s="181"/>
      <c r="V1015" s="181"/>
      <c r="W1015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6" spans="1:23" x14ac:dyDescent="0.25">
      <c r="A1016" s="172"/>
      <c r="F1016" s="174"/>
      <c r="G1016" s="174"/>
      <c r="H1016" s="174"/>
      <c r="J1016" s="174"/>
      <c r="L1016" s="175"/>
      <c r="M1016" s="182"/>
      <c r="N1016" s="177"/>
      <c r="P1016" s="183"/>
      <c r="Q1016" s="184"/>
      <c r="R1016" s="185"/>
      <c r="S1016" s="176"/>
      <c r="T1016" s="172"/>
      <c r="U1016" s="181"/>
      <c r="V1016" s="181"/>
      <c r="W1016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7" spans="1:23" x14ac:dyDescent="0.25">
      <c r="A1017" s="172"/>
      <c r="F1017" s="174"/>
      <c r="G1017" s="174"/>
      <c r="H1017" s="174"/>
      <c r="J1017" s="174"/>
      <c r="L1017" s="175"/>
      <c r="M1017" s="182"/>
      <c r="N1017" s="177"/>
      <c r="P1017" s="183"/>
      <c r="Q1017" s="184"/>
      <c r="R1017" s="185"/>
      <c r="S1017" s="176"/>
      <c r="T1017" s="172"/>
      <c r="U1017" s="181"/>
      <c r="V1017" s="181"/>
      <c r="W1017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8" spans="1:23" x14ac:dyDescent="0.25">
      <c r="A1018" s="172"/>
      <c r="F1018" s="174"/>
      <c r="G1018" s="174"/>
      <c r="H1018" s="174"/>
      <c r="J1018" s="174"/>
      <c r="L1018" s="175"/>
      <c r="M1018" s="182"/>
      <c r="N1018" s="177"/>
      <c r="P1018" s="183"/>
      <c r="Q1018" s="184"/>
      <c r="R1018" s="185"/>
      <c r="S1018" s="176"/>
      <c r="T1018" s="172"/>
      <c r="U1018" s="181"/>
      <c r="V1018" s="181"/>
      <c r="W1018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19" spans="1:23" x14ac:dyDescent="0.25">
      <c r="A1019" s="172"/>
      <c r="F1019" s="174"/>
      <c r="G1019" s="174"/>
      <c r="H1019" s="174"/>
      <c r="J1019" s="174"/>
      <c r="L1019" s="175"/>
      <c r="M1019" s="182"/>
      <c r="N1019" s="177"/>
      <c r="P1019" s="183"/>
      <c r="Q1019" s="184"/>
      <c r="R1019" s="185"/>
      <c r="S1019" s="176"/>
      <c r="T1019" s="172"/>
      <c r="U1019" s="181"/>
      <c r="V1019" s="181"/>
      <c r="W1019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0" spans="1:23" x14ac:dyDescent="0.25">
      <c r="A1020" s="172"/>
      <c r="F1020" s="174"/>
      <c r="G1020" s="174"/>
      <c r="H1020" s="174"/>
      <c r="J1020" s="174"/>
      <c r="L1020" s="175"/>
      <c r="M1020" s="182"/>
      <c r="N1020" s="177"/>
      <c r="P1020" s="183"/>
      <c r="Q1020" s="184"/>
      <c r="R1020" s="185"/>
      <c r="S1020" s="176"/>
      <c r="T1020" s="172"/>
      <c r="U1020" s="181"/>
      <c r="V1020" s="181"/>
      <c r="W1020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1" spans="1:23" x14ac:dyDescent="0.25">
      <c r="A1021" s="172"/>
      <c r="F1021" s="174"/>
      <c r="G1021" s="174"/>
      <c r="H1021" s="174"/>
      <c r="J1021" s="174"/>
      <c r="L1021" s="175"/>
      <c r="M1021" s="182"/>
      <c r="N1021" s="177"/>
      <c r="P1021" s="183"/>
      <c r="Q1021" s="184"/>
      <c r="R1021" s="185"/>
      <c r="S1021" s="176"/>
      <c r="T1021" s="172"/>
      <c r="U1021" s="181"/>
      <c r="V1021" s="181"/>
      <c r="W1021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2" spans="1:23" x14ac:dyDescent="0.25">
      <c r="A1022" s="172"/>
      <c r="F1022" s="174"/>
      <c r="G1022" s="174"/>
      <c r="H1022" s="174"/>
      <c r="J1022" s="174"/>
      <c r="L1022" s="175"/>
      <c r="M1022" s="182"/>
      <c r="N1022" s="177"/>
      <c r="P1022" s="183"/>
      <c r="Q1022" s="184"/>
      <c r="R1022" s="185"/>
      <c r="S1022" s="176"/>
      <c r="T1022" s="172"/>
      <c r="U1022" s="181"/>
      <c r="V1022" s="181"/>
      <c r="W1022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3" spans="1:23" x14ac:dyDescent="0.25">
      <c r="A1023" s="172"/>
      <c r="F1023" s="174"/>
      <c r="G1023" s="174"/>
      <c r="H1023" s="174"/>
      <c r="J1023" s="174"/>
      <c r="L1023" s="175"/>
      <c r="M1023" s="182"/>
      <c r="N1023" s="177"/>
      <c r="P1023" s="183"/>
      <c r="Q1023" s="184"/>
      <c r="R1023" s="185"/>
      <c r="S1023" s="176"/>
      <c r="T1023" s="172"/>
      <c r="U1023" s="181"/>
      <c r="V1023" s="181"/>
      <c r="W1023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4" spans="1:23" x14ac:dyDescent="0.25">
      <c r="A1024" s="172"/>
      <c r="F1024" s="174"/>
      <c r="G1024" s="174"/>
      <c r="H1024" s="174"/>
      <c r="J1024" s="174"/>
      <c r="L1024" s="175"/>
      <c r="M1024" s="182"/>
      <c r="N1024" s="177"/>
      <c r="P1024" s="183"/>
      <c r="Q1024" s="184"/>
      <c r="R1024" s="185"/>
      <c r="S1024" s="176"/>
      <c r="T1024" s="172"/>
      <c r="U1024" s="181"/>
      <c r="V1024" s="181"/>
      <c r="W1024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5" spans="1:23" x14ac:dyDescent="0.25">
      <c r="A1025" s="172"/>
      <c r="F1025" s="174"/>
      <c r="G1025" s="174"/>
      <c r="H1025" s="174"/>
      <c r="J1025" s="174"/>
      <c r="L1025" s="175"/>
      <c r="M1025" s="182"/>
      <c r="N1025" s="177"/>
      <c r="P1025" s="183"/>
      <c r="Q1025" s="184"/>
      <c r="R1025" s="185"/>
      <c r="S1025" s="176"/>
      <c r="T1025" s="172"/>
      <c r="U1025" s="181"/>
      <c r="V1025" s="181"/>
      <c r="W1025" s="186" t="str">
        <f t="shared" si="38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6" spans="1:23" x14ac:dyDescent="0.25">
      <c r="A1026" s="172"/>
      <c r="F1026" s="174"/>
      <c r="G1026" s="174"/>
      <c r="H1026" s="174"/>
      <c r="J1026" s="174"/>
      <c r="L1026" s="175"/>
      <c r="M1026" s="182"/>
      <c r="N1026" s="177"/>
      <c r="P1026" s="183"/>
      <c r="Q1026" s="184"/>
      <c r="R1026" s="185"/>
      <c r="S1026" s="176"/>
      <c r="T1026" s="172"/>
      <c r="U1026" s="181"/>
      <c r="V1026" s="181"/>
      <c r="W1026" s="186" t="str">
        <f t="shared" ref="W1026:W1043" si="39">"echo {""issue"":{""subject"":"""&amp;N1026&amp;""",""project_id"":79,""tracker_id"":40,""status_id"":"&amp;redmine_status&amp;",""priority_id"":"&amp;redmine_priority&amp;",""assigned_to_id"":"&amp;redmine_assignee&amp;",""start_date"":"""&amp;TEXT(A1026,"YYYY-mm-dd")&amp;""",""description"":"""&amp;X1026&amp;""",""custom_fields"":[{""id"":1,""name"":""Subdivision"",""value"":"""&amp;U1026&amp;"""},{""id"":4,""name"":""Milepost"",""value"":"""&amp;J1026/10000&amp;"""},{""id"":17,""name"":""Train ID"",""value"":"""&amp;C1026&amp;"""},{""id"":16,""name"":""Locomotive ID"",""value"":"""&amp;S1026&amp;"""},{""id"":130,""name"":""Impact"",""value"":"""&amp;Y1026&amp;"""},{""id"":150,""name"":""Time of Event (Mountain Time)"",""value"":"""&amp;TEXT(A1026,"hh:mm:ss")&amp;"""},{""id"":151,""name"":""Denver Issue ID"",""value"":"""&amp;"""},{""id"":178,""name"":""Operational Impact"",""value"":"""&amp;redmine_op_impact&amp;"""},{""id"":179,""name"":""Denver Segment Assigned"",""value"":"""&amp;Z1026&amp;"""}]}}"&amp;"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7" spans="1:23" x14ac:dyDescent="0.25">
      <c r="A1027" s="172"/>
      <c r="F1027" s="174"/>
      <c r="G1027" s="174"/>
      <c r="H1027" s="174"/>
      <c r="J1027" s="174"/>
      <c r="L1027" s="175"/>
      <c r="M1027" s="182"/>
      <c r="N1027" s="177"/>
      <c r="P1027" s="183"/>
      <c r="Q1027" s="184"/>
      <c r="R1027" s="185"/>
      <c r="S1027" s="176"/>
      <c r="T1027" s="172"/>
      <c r="U1027" s="181"/>
      <c r="V1027" s="181"/>
      <c r="W1027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8" spans="1:23" x14ac:dyDescent="0.25">
      <c r="A1028" s="172"/>
      <c r="F1028" s="174"/>
      <c r="G1028" s="174"/>
      <c r="H1028" s="174"/>
      <c r="J1028" s="174"/>
      <c r="L1028" s="175"/>
      <c r="M1028" s="182"/>
      <c r="N1028" s="177"/>
      <c r="P1028" s="183"/>
      <c r="Q1028" s="184"/>
      <c r="R1028" s="185"/>
      <c r="S1028" s="176"/>
      <c r="T1028" s="172"/>
      <c r="U1028" s="181"/>
      <c r="V1028" s="181"/>
      <c r="W1028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29" spans="1:23" x14ac:dyDescent="0.25">
      <c r="A1029" s="172"/>
      <c r="F1029" s="174"/>
      <c r="G1029" s="174"/>
      <c r="H1029" s="174"/>
      <c r="J1029" s="174"/>
      <c r="L1029" s="175"/>
      <c r="M1029" s="182"/>
      <c r="N1029" s="177"/>
      <c r="P1029" s="183"/>
      <c r="Q1029" s="184"/>
      <c r="R1029" s="185"/>
      <c r="S1029" s="176"/>
      <c r="T1029" s="172"/>
      <c r="U1029" s="181"/>
      <c r="V1029" s="181"/>
      <c r="W1029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0" spans="1:23" x14ac:dyDescent="0.25">
      <c r="A1030" s="172"/>
      <c r="F1030" s="174"/>
      <c r="G1030" s="174"/>
      <c r="H1030" s="174"/>
      <c r="J1030" s="174"/>
      <c r="L1030" s="175"/>
      <c r="M1030" s="182"/>
      <c r="N1030" s="177"/>
      <c r="P1030" s="183"/>
      <c r="Q1030" s="184"/>
      <c r="R1030" s="185"/>
      <c r="S1030" s="176"/>
      <c r="T1030" s="172"/>
      <c r="U1030" s="181"/>
      <c r="V1030" s="181"/>
      <c r="W1030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1" spans="1:23" x14ac:dyDescent="0.25">
      <c r="A1031" s="172"/>
      <c r="F1031" s="174"/>
      <c r="G1031" s="174"/>
      <c r="H1031" s="174"/>
      <c r="J1031" s="174"/>
      <c r="L1031" s="175"/>
      <c r="M1031" s="182"/>
      <c r="N1031" s="177"/>
      <c r="P1031" s="183"/>
      <c r="Q1031" s="184"/>
      <c r="R1031" s="185"/>
      <c r="S1031" s="176"/>
      <c r="T1031" s="172"/>
      <c r="U1031" s="181"/>
      <c r="V1031" s="181"/>
      <c r="W1031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2" spans="1:23" x14ac:dyDescent="0.25">
      <c r="A1032" s="172"/>
      <c r="F1032" s="174"/>
      <c r="G1032" s="174"/>
      <c r="H1032" s="174"/>
      <c r="J1032" s="174"/>
      <c r="L1032" s="175"/>
      <c r="M1032" s="182"/>
      <c r="N1032" s="177"/>
      <c r="P1032" s="183"/>
      <c r="Q1032" s="184"/>
      <c r="R1032" s="185"/>
      <c r="S1032" s="176"/>
      <c r="T1032" s="172"/>
      <c r="U1032" s="181"/>
      <c r="V1032" s="181"/>
      <c r="W1032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3" spans="1:23" x14ac:dyDescent="0.25">
      <c r="A1033" s="172"/>
      <c r="F1033" s="174"/>
      <c r="G1033" s="174"/>
      <c r="H1033" s="174"/>
      <c r="J1033" s="174"/>
      <c r="L1033" s="175"/>
      <c r="M1033" s="182"/>
      <c r="N1033" s="177"/>
      <c r="P1033" s="183"/>
      <c r="Q1033" s="184"/>
      <c r="R1033" s="185"/>
      <c r="S1033" s="176"/>
      <c r="T1033" s="172"/>
      <c r="U1033" s="181"/>
      <c r="V1033" s="181"/>
      <c r="W1033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4" spans="1:23" x14ac:dyDescent="0.25">
      <c r="A1034" s="172"/>
      <c r="F1034" s="174"/>
      <c r="G1034" s="174"/>
      <c r="H1034" s="174"/>
      <c r="J1034" s="174"/>
      <c r="L1034" s="175"/>
      <c r="M1034" s="182"/>
      <c r="N1034" s="177"/>
      <c r="P1034" s="183"/>
      <c r="Q1034" s="184"/>
      <c r="R1034" s="185"/>
      <c r="S1034" s="176"/>
      <c r="T1034" s="172"/>
      <c r="U1034" s="181"/>
      <c r="V1034" s="181"/>
      <c r="W1034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5" spans="1:23" x14ac:dyDescent="0.25">
      <c r="A1035" s="172"/>
      <c r="F1035" s="174"/>
      <c r="G1035" s="174"/>
      <c r="H1035" s="174"/>
      <c r="J1035" s="174"/>
      <c r="L1035" s="175"/>
      <c r="M1035" s="182"/>
      <c r="N1035" s="177"/>
      <c r="P1035" s="183"/>
      <c r="Q1035" s="184"/>
      <c r="R1035" s="185"/>
      <c r="S1035" s="176"/>
      <c r="T1035" s="172"/>
      <c r="U1035" s="181"/>
      <c r="V1035" s="181"/>
      <c r="W1035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6" spans="1:23" x14ac:dyDescent="0.25">
      <c r="A1036" s="172"/>
      <c r="F1036" s="174"/>
      <c r="G1036" s="174"/>
      <c r="H1036" s="174"/>
      <c r="J1036" s="174"/>
      <c r="L1036" s="175"/>
      <c r="M1036" s="182"/>
      <c r="N1036" s="177"/>
      <c r="P1036" s="183"/>
      <c r="Q1036" s="184"/>
      <c r="R1036" s="185"/>
      <c r="S1036" s="176"/>
      <c r="T1036" s="172"/>
      <c r="U1036" s="181"/>
      <c r="V1036" s="181"/>
      <c r="W1036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7" spans="1:23" x14ac:dyDescent="0.25">
      <c r="A1037" s="172"/>
      <c r="F1037" s="174"/>
      <c r="G1037" s="174"/>
      <c r="H1037" s="174"/>
      <c r="J1037" s="174"/>
      <c r="L1037" s="175"/>
      <c r="M1037" s="182"/>
      <c r="N1037" s="177"/>
      <c r="P1037" s="183"/>
      <c r="Q1037" s="184"/>
      <c r="R1037" s="185"/>
      <c r="S1037" s="176"/>
      <c r="T1037" s="172"/>
      <c r="U1037" s="181"/>
      <c r="V1037" s="181"/>
      <c r="W1037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8" spans="1:23" x14ac:dyDescent="0.25">
      <c r="A1038" s="172"/>
      <c r="F1038" s="174"/>
      <c r="G1038" s="174"/>
      <c r="H1038" s="174"/>
      <c r="J1038" s="174"/>
      <c r="L1038" s="175"/>
      <c r="M1038" s="182"/>
      <c r="N1038" s="177"/>
      <c r="P1038" s="183"/>
      <c r="Q1038" s="184"/>
      <c r="R1038" s="185"/>
      <c r="S1038" s="176"/>
      <c r="T1038" s="172"/>
      <c r="U1038" s="181"/>
      <c r="V1038" s="181"/>
      <c r="W1038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39" spans="1:23" x14ac:dyDescent="0.25">
      <c r="A1039" s="172"/>
      <c r="F1039" s="174"/>
      <c r="G1039" s="174"/>
      <c r="H1039" s="174"/>
      <c r="J1039" s="174"/>
      <c r="L1039" s="175"/>
      <c r="M1039" s="182"/>
      <c r="N1039" s="177"/>
      <c r="P1039" s="183"/>
      <c r="Q1039" s="184"/>
      <c r="R1039" s="185"/>
      <c r="S1039" s="176"/>
      <c r="T1039" s="172"/>
      <c r="U1039" s="181"/>
      <c r="V1039" s="181"/>
      <c r="W1039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0" spans="1:23" x14ac:dyDescent="0.25">
      <c r="A1040" s="172"/>
      <c r="F1040" s="174"/>
      <c r="G1040" s="174"/>
      <c r="H1040" s="174"/>
      <c r="J1040" s="174"/>
      <c r="L1040" s="175"/>
      <c r="M1040" s="182"/>
      <c r="N1040" s="177"/>
      <c r="P1040" s="183"/>
      <c r="Q1040" s="184"/>
      <c r="R1040" s="185"/>
      <c r="S1040" s="176"/>
      <c r="T1040" s="172"/>
      <c r="U1040" s="181"/>
      <c r="V1040" s="181"/>
      <c r="W1040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1" spans="1:23" x14ac:dyDescent="0.25">
      <c r="A1041" s="172"/>
      <c r="F1041" s="174"/>
      <c r="G1041" s="174"/>
      <c r="H1041" s="174"/>
      <c r="J1041" s="174"/>
      <c r="L1041" s="175"/>
      <c r="M1041" s="182"/>
      <c r="N1041" s="177"/>
      <c r="P1041" s="183"/>
      <c r="Q1041" s="184"/>
      <c r="R1041" s="185"/>
      <c r="S1041" s="176"/>
      <c r="T1041" s="172"/>
      <c r="U1041" s="181"/>
      <c r="V1041" s="181"/>
      <c r="W1041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2" spans="1:23" x14ac:dyDescent="0.25">
      <c r="A1042" s="172"/>
      <c r="F1042" s="174"/>
      <c r="G1042" s="174"/>
      <c r="H1042" s="174"/>
      <c r="J1042" s="174"/>
      <c r="L1042" s="175"/>
      <c r="M1042" s="182"/>
      <c r="N1042" s="177"/>
      <c r="P1042" s="183"/>
      <c r="Q1042" s="184"/>
      <c r="R1042" s="185"/>
      <c r="S1042" s="176"/>
      <c r="T1042" s="172"/>
      <c r="U1042" s="181"/>
      <c r="V1042" s="181"/>
      <c r="W1042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3" spans="1:23" x14ac:dyDescent="0.25">
      <c r="A1043" s="172"/>
      <c r="F1043" s="174"/>
      <c r="G1043" s="174"/>
      <c r="H1043" s="174"/>
      <c r="J1043" s="174"/>
      <c r="L1043" s="175"/>
      <c r="M1043" s="182"/>
      <c r="N1043" s="177"/>
      <c r="P1043" s="183"/>
      <c r="Q1043" s="184"/>
      <c r="R1043" s="185"/>
      <c r="S1043" s="176"/>
      <c r="T1043" s="172"/>
      <c r="U1043" s="181"/>
      <c r="V1043" s="181"/>
      <c r="W1043" s="186" t="str">
        <f t="shared" si="39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4" spans="1:23" x14ac:dyDescent="0.25">
      <c r="A1044" s="172"/>
      <c r="F1044" s="174"/>
      <c r="G1044" s="174"/>
      <c r="H1044" s="174"/>
      <c r="J1044" s="174"/>
      <c r="L1044" s="175"/>
      <c r="M1044" s="182"/>
      <c r="N1044" s="177"/>
      <c r="P1044" s="183"/>
      <c r="Q1044" s="184"/>
      <c r="R1044" s="185"/>
      <c r="S1044" s="176"/>
      <c r="T1044" s="172"/>
      <c r="U1044" s="181"/>
      <c r="V1044" s="181"/>
      <c r="W1044" s="186" t="str">
        <f t="shared" ref="W1044:W1075" si="40">"echo {""issue"":{""subject"":"""&amp;N1044&amp;""",""project_id"":79,""tracker_id"":40,""status_id"":"&amp;redmine_status&amp;",""priority_id"":"&amp;redmine_priority&amp;",""assigned_to_id"":"&amp;redmine_assignee&amp;",""start_date"":"""&amp;TEXT(A1044,"YYYY-mm-dd")&amp;""",""description"":"""&amp;X1044&amp;""",""custom_fields"":[{""id"":1,""name"":""Subdivision"",""value"":"""&amp;U1044&amp;"""},{""id"":4,""name"":""Milepost"",""value"":"""&amp;J1044/10000&amp;"""},{""id"":17,""name"":""Train ID"",""value"":"""&amp;C1044&amp;"""},{""id"":16,""name"":""Locomotive ID"",""value"":"""&amp;S1044&amp;"""},{""id"":130,""name"":""Impact"",""value"":"""&amp;Y1044&amp;"""},{""id"":150,""name"":""Time of Event (Mountain Time)"",""value"":"""&amp;TEXT(A1044,"hh:mm:ss")&amp;"""},{""id"":151,""name"":""Denver Issue ID"",""value"":"""&amp;"""},{""id"":178,""name"":""Operational Impact"",""value"":"""&amp;redmine_op_impact&amp;"""},{""id"":179,""name"":""Denver Segment Assigned"",""value"":"""&amp;Z1044&amp;"""}]}}"&amp;"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5" spans="1:23" x14ac:dyDescent="0.25">
      <c r="A1045" s="172"/>
      <c r="F1045" s="174"/>
      <c r="G1045" s="174"/>
      <c r="H1045" s="174"/>
      <c r="J1045" s="174"/>
      <c r="L1045" s="175"/>
      <c r="M1045" s="182"/>
      <c r="N1045" s="177"/>
      <c r="P1045" s="183"/>
      <c r="Q1045" s="184"/>
      <c r="R1045" s="185"/>
      <c r="S1045" s="176"/>
      <c r="T1045" s="172"/>
      <c r="U1045" s="181"/>
      <c r="V1045" s="181"/>
      <c r="W1045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6" spans="1:23" x14ac:dyDescent="0.25">
      <c r="A1046" s="172"/>
      <c r="F1046" s="174"/>
      <c r="G1046" s="174"/>
      <c r="H1046" s="174"/>
      <c r="J1046" s="174"/>
      <c r="L1046" s="175"/>
      <c r="M1046" s="182"/>
      <c r="N1046" s="177"/>
      <c r="P1046" s="183"/>
      <c r="Q1046" s="184"/>
      <c r="R1046" s="185"/>
      <c r="S1046" s="176"/>
      <c r="T1046" s="172"/>
      <c r="U1046" s="181"/>
      <c r="V1046" s="181"/>
      <c r="W1046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7" spans="1:23" x14ac:dyDescent="0.25">
      <c r="A1047" s="172"/>
      <c r="F1047" s="174"/>
      <c r="G1047" s="174"/>
      <c r="H1047" s="174"/>
      <c r="J1047" s="174"/>
      <c r="L1047" s="175"/>
      <c r="M1047" s="182"/>
      <c r="N1047" s="177"/>
      <c r="P1047" s="183"/>
      <c r="Q1047" s="184"/>
      <c r="R1047" s="185"/>
      <c r="S1047" s="176"/>
      <c r="T1047" s="172"/>
      <c r="U1047" s="181"/>
      <c r="V1047" s="181"/>
      <c r="W1047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8" spans="1:23" x14ac:dyDescent="0.25">
      <c r="A1048" s="172"/>
      <c r="F1048" s="174"/>
      <c r="G1048" s="174"/>
      <c r="H1048" s="174"/>
      <c r="J1048" s="174"/>
      <c r="L1048" s="175"/>
      <c r="M1048" s="182"/>
      <c r="N1048" s="177"/>
      <c r="P1048" s="183"/>
      <c r="Q1048" s="184"/>
      <c r="R1048" s="185"/>
      <c r="S1048" s="176"/>
      <c r="T1048" s="172"/>
      <c r="U1048" s="181"/>
      <c r="V1048" s="181"/>
      <c r="W1048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49" spans="1:23" x14ac:dyDescent="0.25">
      <c r="A1049" s="172"/>
      <c r="F1049" s="174"/>
      <c r="G1049" s="174"/>
      <c r="H1049" s="174"/>
      <c r="J1049" s="174"/>
      <c r="L1049" s="175"/>
      <c r="M1049" s="182"/>
      <c r="N1049" s="177"/>
      <c r="P1049" s="183"/>
      <c r="Q1049" s="184"/>
      <c r="R1049" s="185"/>
      <c r="S1049" s="176"/>
      <c r="T1049" s="172"/>
      <c r="U1049" s="181"/>
      <c r="V1049" s="181"/>
      <c r="W1049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0" spans="1:23" x14ac:dyDescent="0.25">
      <c r="A1050" s="172"/>
      <c r="F1050" s="174"/>
      <c r="G1050" s="174"/>
      <c r="H1050" s="174"/>
      <c r="J1050" s="174"/>
      <c r="L1050" s="175"/>
      <c r="M1050" s="182"/>
      <c r="N1050" s="177"/>
      <c r="P1050" s="183"/>
      <c r="Q1050" s="184"/>
      <c r="R1050" s="185"/>
      <c r="S1050" s="176"/>
      <c r="T1050" s="172"/>
      <c r="U1050" s="181"/>
      <c r="V1050" s="181"/>
      <c r="W1050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1" spans="1:23" x14ac:dyDescent="0.25">
      <c r="A1051" s="172"/>
      <c r="F1051" s="174"/>
      <c r="G1051" s="174"/>
      <c r="H1051" s="174"/>
      <c r="J1051" s="174"/>
      <c r="L1051" s="175"/>
      <c r="M1051" s="182"/>
      <c r="N1051" s="177"/>
      <c r="P1051" s="183"/>
      <c r="Q1051" s="184"/>
      <c r="R1051" s="185"/>
      <c r="S1051" s="176"/>
      <c r="T1051" s="172"/>
      <c r="U1051" s="181"/>
      <c r="V1051" s="181"/>
      <c r="W1051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2" spans="1:23" x14ac:dyDescent="0.25">
      <c r="A1052" s="172"/>
      <c r="F1052" s="174"/>
      <c r="G1052" s="174"/>
      <c r="H1052" s="174"/>
      <c r="J1052" s="174"/>
      <c r="L1052" s="175"/>
      <c r="M1052" s="182"/>
      <c r="N1052" s="177"/>
      <c r="P1052" s="183"/>
      <c r="Q1052" s="184"/>
      <c r="R1052" s="185"/>
      <c r="S1052" s="176"/>
      <c r="T1052" s="172"/>
      <c r="U1052" s="181"/>
      <c r="V1052" s="181"/>
      <c r="W1052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3" spans="1:23" x14ac:dyDescent="0.25">
      <c r="A1053" s="172"/>
      <c r="F1053" s="174"/>
      <c r="G1053" s="174"/>
      <c r="H1053" s="174"/>
      <c r="J1053" s="174"/>
      <c r="L1053" s="175"/>
      <c r="M1053" s="182"/>
      <c r="N1053" s="177"/>
      <c r="P1053" s="183"/>
      <c r="Q1053" s="184"/>
      <c r="R1053" s="185"/>
      <c r="S1053" s="176"/>
      <c r="T1053" s="172"/>
      <c r="U1053" s="181"/>
      <c r="V1053" s="181"/>
      <c r="W1053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4" spans="1:23" x14ac:dyDescent="0.25">
      <c r="A1054" s="172"/>
      <c r="F1054" s="174"/>
      <c r="G1054" s="174"/>
      <c r="H1054" s="174"/>
      <c r="J1054" s="174"/>
      <c r="L1054" s="175"/>
      <c r="M1054" s="182"/>
      <c r="N1054" s="177"/>
      <c r="P1054" s="183"/>
      <c r="Q1054" s="184"/>
      <c r="R1054" s="185"/>
      <c r="S1054" s="176"/>
      <c r="T1054" s="172"/>
      <c r="U1054" s="181"/>
      <c r="V1054" s="181"/>
      <c r="W1054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5" spans="1:23" x14ac:dyDescent="0.25">
      <c r="A1055" s="172"/>
      <c r="F1055" s="174"/>
      <c r="G1055" s="174"/>
      <c r="H1055" s="174"/>
      <c r="J1055" s="174"/>
      <c r="L1055" s="175"/>
      <c r="M1055" s="182"/>
      <c r="N1055" s="177"/>
      <c r="P1055" s="183"/>
      <c r="Q1055" s="184"/>
      <c r="R1055" s="185"/>
      <c r="S1055" s="176"/>
      <c r="T1055" s="172"/>
      <c r="U1055" s="181"/>
      <c r="V1055" s="181"/>
      <c r="W1055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6" spans="1:23" x14ac:dyDescent="0.25">
      <c r="A1056" s="172"/>
      <c r="F1056" s="174"/>
      <c r="G1056" s="174"/>
      <c r="H1056" s="174"/>
      <c r="J1056" s="174"/>
      <c r="L1056" s="175"/>
      <c r="M1056" s="182"/>
      <c r="N1056" s="177"/>
      <c r="P1056" s="183"/>
      <c r="Q1056" s="184"/>
      <c r="R1056" s="185"/>
      <c r="S1056" s="176"/>
      <c r="T1056" s="172"/>
      <c r="U1056" s="181"/>
      <c r="V1056" s="181"/>
      <c r="W1056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7" spans="1:23" x14ac:dyDescent="0.25">
      <c r="A1057" s="172"/>
      <c r="F1057" s="174"/>
      <c r="G1057" s="174"/>
      <c r="H1057" s="174"/>
      <c r="J1057" s="174"/>
      <c r="L1057" s="175"/>
      <c r="M1057" s="182"/>
      <c r="N1057" s="177"/>
      <c r="P1057" s="183"/>
      <c r="Q1057" s="184"/>
      <c r="R1057" s="185"/>
      <c r="S1057" s="176"/>
      <c r="T1057" s="172"/>
      <c r="U1057" s="181"/>
      <c r="V1057" s="181"/>
      <c r="W1057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8" spans="1:23" x14ac:dyDescent="0.25">
      <c r="A1058" s="172"/>
      <c r="F1058" s="174"/>
      <c r="G1058" s="174"/>
      <c r="H1058" s="174"/>
      <c r="J1058" s="174"/>
      <c r="L1058" s="175"/>
      <c r="M1058" s="182"/>
      <c r="N1058" s="177"/>
      <c r="P1058" s="183"/>
      <c r="Q1058" s="184"/>
      <c r="R1058" s="185"/>
      <c r="S1058" s="176"/>
      <c r="T1058" s="172"/>
      <c r="U1058" s="181"/>
      <c r="V1058" s="181"/>
      <c r="W1058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59" spans="1:23" x14ac:dyDescent="0.25">
      <c r="A1059" s="172"/>
      <c r="F1059" s="174"/>
      <c r="G1059" s="174"/>
      <c r="H1059" s="174"/>
      <c r="J1059" s="174"/>
      <c r="L1059" s="175"/>
      <c r="M1059" s="182"/>
      <c r="N1059" s="177"/>
      <c r="P1059" s="183"/>
      <c r="Q1059" s="184"/>
      <c r="R1059" s="185"/>
      <c r="S1059" s="176"/>
      <c r="T1059" s="172"/>
      <c r="U1059" s="181"/>
      <c r="V1059" s="181"/>
      <c r="W1059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0" spans="1:23" x14ac:dyDescent="0.25">
      <c r="A1060" s="172"/>
      <c r="F1060" s="174"/>
      <c r="G1060" s="174"/>
      <c r="H1060" s="174"/>
      <c r="J1060" s="174"/>
      <c r="L1060" s="175"/>
      <c r="M1060" s="182"/>
      <c r="N1060" s="177"/>
      <c r="P1060" s="183"/>
      <c r="Q1060" s="184"/>
      <c r="R1060" s="185"/>
      <c r="S1060" s="176"/>
      <c r="T1060" s="172"/>
      <c r="U1060" s="181"/>
      <c r="V1060" s="181"/>
      <c r="W1060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1" spans="1:23" x14ac:dyDescent="0.25">
      <c r="A1061" s="172"/>
      <c r="F1061" s="174"/>
      <c r="G1061" s="174"/>
      <c r="H1061" s="174"/>
      <c r="J1061" s="174"/>
      <c r="L1061" s="175"/>
      <c r="M1061" s="182"/>
      <c r="N1061" s="177"/>
      <c r="P1061" s="183"/>
      <c r="Q1061" s="184"/>
      <c r="R1061" s="185"/>
      <c r="S1061" s="176"/>
      <c r="T1061" s="172"/>
      <c r="U1061" s="181"/>
      <c r="V1061" s="181"/>
      <c r="W1061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2" spans="1:23" x14ac:dyDescent="0.25">
      <c r="A1062" s="172"/>
      <c r="F1062" s="174"/>
      <c r="G1062" s="174"/>
      <c r="H1062" s="174"/>
      <c r="J1062" s="174"/>
      <c r="L1062" s="175"/>
      <c r="M1062" s="182"/>
      <c r="N1062" s="177"/>
      <c r="P1062" s="183"/>
      <c r="Q1062" s="184"/>
      <c r="R1062" s="185"/>
      <c r="S1062" s="176"/>
      <c r="T1062" s="172"/>
      <c r="U1062" s="181"/>
      <c r="V1062" s="181"/>
      <c r="W1062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3" spans="1:23" x14ac:dyDescent="0.25">
      <c r="A1063" s="172"/>
      <c r="F1063" s="174"/>
      <c r="G1063" s="174"/>
      <c r="H1063" s="174"/>
      <c r="J1063" s="174"/>
      <c r="L1063" s="175"/>
      <c r="M1063" s="182"/>
      <c r="N1063" s="177"/>
      <c r="P1063" s="183"/>
      <c r="Q1063" s="184"/>
      <c r="R1063" s="185"/>
      <c r="S1063" s="176"/>
      <c r="T1063" s="172"/>
      <c r="U1063" s="181"/>
      <c r="V1063" s="181"/>
      <c r="W1063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4" spans="1:23" x14ac:dyDescent="0.25">
      <c r="A1064" s="172"/>
      <c r="F1064" s="174"/>
      <c r="G1064" s="174"/>
      <c r="H1064" s="174"/>
      <c r="J1064" s="174"/>
      <c r="L1064" s="175"/>
      <c r="M1064" s="182"/>
      <c r="N1064" s="177"/>
      <c r="P1064" s="183"/>
      <c r="Q1064" s="184"/>
      <c r="R1064" s="185"/>
      <c r="S1064" s="176"/>
      <c r="T1064" s="172"/>
      <c r="U1064" s="181"/>
      <c r="V1064" s="181"/>
      <c r="W1064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5" spans="1:23" x14ac:dyDescent="0.25">
      <c r="A1065" s="172"/>
      <c r="F1065" s="174"/>
      <c r="G1065" s="174"/>
      <c r="H1065" s="174"/>
      <c r="J1065" s="174"/>
      <c r="L1065" s="175"/>
      <c r="M1065" s="182"/>
      <c r="N1065" s="177"/>
      <c r="P1065" s="183"/>
      <c r="Q1065" s="184"/>
      <c r="R1065" s="185"/>
      <c r="S1065" s="176"/>
      <c r="T1065" s="172"/>
      <c r="U1065" s="181"/>
      <c r="V1065" s="181"/>
      <c r="W1065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6" spans="1:23" x14ac:dyDescent="0.25">
      <c r="A1066" s="172"/>
      <c r="F1066" s="174"/>
      <c r="G1066" s="174"/>
      <c r="H1066" s="174"/>
      <c r="J1066" s="174"/>
      <c r="L1066" s="175"/>
      <c r="M1066" s="182"/>
      <c r="N1066" s="177"/>
      <c r="P1066" s="183"/>
      <c r="Q1066" s="184"/>
      <c r="R1066" s="185"/>
      <c r="S1066" s="176"/>
      <c r="T1066" s="172"/>
      <c r="U1066" s="181"/>
      <c r="V1066" s="181"/>
      <c r="W1066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7" spans="1:23" x14ac:dyDescent="0.25">
      <c r="A1067" s="172"/>
      <c r="F1067" s="174"/>
      <c r="G1067" s="174"/>
      <c r="H1067" s="174"/>
      <c r="J1067" s="174"/>
      <c r="L1067" s="175"/>
      <c r="M1067" s="182"/>
      <c r="N1067" s="177"/>
      <c r="P1067" s="183"/>
      <c r="Q1067" s="184"/>
      <c r="R1067" s="185"/>
      <c r="S1067" s="176"/>
      <c r="T1067" s="172"/>
      <c r="U1067" s="181"/>
      <c r="V1067" s="181"/>
      <c r="W1067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8" spans="1:23" x14ac:dyDescent="0.25">
      <c r="A1068" s="172"/>
      <c r="F1068" s="174"/>
      <c r="G1068" s="174"/>
      <c r="H1068" s="174"/>
      <c r="J1068" s="174"/>
      <c r="L1068" s="175"/>
      <c r="M1068" s="182"/>
      <c r="N1068" s="177"/>
      <c r="P1068" s="183"/>
      <c r="Q1068" s="184"/>
      <c r="R1068" s="185"/>
      <c r="S1068" s="176"/>
      <c r="T1068" s="172"/>
      <c r="U1068" s="181"/>
      <c r="V1068" s="181"/>
      <c r="W1068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69" spans="1:23" x14ac:dyDescent="0.25">
      <c r="A1069" s="172"/>
      <c r="F1069" s="174"/>
      <c r="G1069" s="174"/>
      <c r="H1069" s="174"/>
      <c r="J1069" s="174"/>
      <c r="L1069" s="175"/>
      <c r="M1069" s="182"/>
      <c r="N1069" s="177"/>
      <c r="P1069" s="183"/>
      <c r="Q1069" s="184"/>
      <c r="R1069" s="185"/>
      <c r="S1069" s="176"/>
      <c r="T1069" s="172"/>
      <c r="U1069" s="181"/>
      <c r="V1069" s="181"/>
      <c r="W1069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0" spans="1:23" x14ac:dyDescent="0.25">
      <c r="A1070" s="172"/>
      <c r="F1070" s="174"/>
      <c r="G1070" s="174"/>
      <c r="H1070" s="174"/>
      <c r="J1070" s="174"/>
      <c r="L1070" s="175"/>
      <c r="M1070" s="182"/>
      <c r="N1070" s="177"/>
      <c r="P1070" s="183"/>
      <c r="Q1070" s="184"/>
      <c r="R1070" s="185"/>
      <c r="S1070" s="176"/>
      <c r="T1070" s="172"/>
      <c r="U1070" s="181"/>
      <c r="V1070" s="181"/>
      <c r="W1070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1" spans="1:23" x14ac:dyDescent="0.25">
      <c r="A1071" s="172"/>
      <c r="F1071" s="174"/>
      <c r="G1071" s="174"/>
      <c r="H1071" s="174"/>
      <c r="J1071" s="174"/>
      <c r="L1071" s="175"/>
      <c r="M1071" s="182"/>
      <c r="N1071" s="177"/>
      <c r="P1071" s="183"/>
      <c r="Q1071" s="184"/>
      <c r="R1071" s="185"/>
      <c r="S1071" s="176"/>
      <c r="T1071" s="172"/>
      <c r="U1071" s="181"/>
      <c r="V1071" s="181"/>
      <c r="W1071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2" spans="1:23" x14ac:dyDescent="0.25">
      <c r="A1072" s="172"/>
      <c r="F1072" s="174"/>
      <c r="G1072" s="174"/>
      <c r="H1072" s="174"/>
      <c r="J1072" s="174"/>
      <c r="L1072" s="175"/>
      <c r="M1072" s="182"/>
      <c r="N1072" s="177"/>
      <c r="P1072" s="183"/>
      <c r="Q1072" s="184"/>
      <c r="R1072" s="185"/>
      <c r="S1072" s="176"/>
      <c r="T1072" s="172"/>
      <c r="U1072" s="181"/>
      <c r="V1072" s="181"/>
      <c r="W1072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3" spans="1:23" x14ac:dyDescent="0.25">
      <c r="A1073" s="172"/>
      <c r="F1073" s="174"/>
      <c r="G1073" s="174"/>
      <c r="H1073" s="174"/>
      <c r="J1073" s="174"/>
      <c r="L1073" s="175"/>
      <c r="M1073" s="182"/>
      <c r="N1073" s="177"/>
      <c r="P1073" s="183"/>
      <c r="Q1073" s="184"/>
      <c r="R1073" s="185"/>
      <c r="S1073" s="176"/>
      <c r="T1073" s="172"/>
      <c r="U1073" s="181"/>
      <c r="V1073" s="181"/>
      <c r="W1073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4" spans="1:23" x14ac:dyDescent="0.25">
      <c r="A1074" s="172"/>
      <c r="F1074" s="174"/>
      <c r="G1074" s="174"/>
      <c r="H1074" s="174"/>
      <c r="J1074" s="174"/>
      <c r="L1074" s="175"/>
      <c r="M1074" s="182"/>
      <c r="N1074" s="177"/>
      <c r="P1074" s="183"/>
      <c r="Q1074" s="184"/>
      <c r="R1074" s="185"/>
      <c r="S1074" s="176"/>
      <c r="T1074" s="172"/>
      <c r="U1074" s="181"/>
      <c r="V1074" s="181"/>
      <c r="W1074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5" spans="1:23" x14ac:dyDescent="0.25">
      <c r="A1075" s="172"/>
      <c r="F1075" s="174"/>
      <c r="G1075" s="174"/>
      <c r="H1075" s="174"/>
      <c r="J1075" s="174"/>
      <c r="L1075" s="175"/>
      <c r="M1075" s="182"/>
      <c r="N1075" s="177"/>
      <c r="P1075" s="183"/>
      <c r="Q1075" s="184"/>
      <c r="R1075" s="185"/>
      <c r="S1075" s="176"/>
      <c r="T1075" s="172"/>
      <c r="U1075" s="181"/>
      <c r="V1075" s="181"/>
      <c r="W1075" s="186" t="str">
        <f t="shared" si="40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6" spans="1:23" x14ac:dyDescent="0.25">
      <c r="A1076" s="172"/>
      <c r="F1076" s="174"/>
      <c r="G1076" s="174"/>
      <c r="H1076" s="174"/>
      <c r="J1076" s="174"/>
      <c r="L1076" s="175"/>
      <c r="M1076" s="182"/>
      <c r="N1076" s="177"/>
      <c r="P1076" s="183"/>
      <c r="Q1076" s="184"/>
      <c r="R1076" s="185"/>
      <c r="S1076" s="176"/>
      <c r="T1076" s="172"/>
      <c r="U1076" s="181"/>
      <c r="V1076" s="181"/>
      <c r="W1076" s="186" t="str">
        <f t="shared" ref="W1076:W1105" si="41">"echo {""issue"":{""subject"":"""&amp;N1076&amp;""",""project_id"":79,""tracker_id"":40,""status_id"":"&amp;redmine_status&amp;",""priority_id"":"&amp;redmine_priority&amp;",""assigned_to_id"":"&amp;redmine_assignee&amp;",""start_date"":"""&amp;TEXT(A1076,"YYYY-mm-dd")&amp;""",""description"":"""&amp;X1076&amp;""",""custom_fields"":[{""id"":1,""name"":""Subdivision"",""value"":"""&amp;U1076&amp;"""},{""id"":4,""name"":""Milepost"",""value"":"""&amp;J1076/10000&amp;"""},{""id"":17,""name"":""Train ID"",""value"":"""&amp;C1076&amp;"""},{""id"":16,""name"":""Locomotive ID"",""value"":"""&amp;S1076&amp;"""},{""id"":130,""name"":""Impact"",""value"":"""&amp;Y1076&amp;"""},{""id"":150,""name"":""Time of Event (Mountain Time)"",""value"":"""&amp;TEXT(A1076,"hh:mm:ss")&amp;"""},{""id"":151,""name"":""Denver Issue ID"",""value"":"""&amp;"""},{""id"":178,""name"":""Operational Impact"",""value"":"""&amp;redmine_op_impact&amp;"""},{""id"":179,""name"":""Denver Segment Assigned"",""value"":"""&amp;Z1076&amp;"""}]}}"&amp;"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7" spans="1:23" x14ac:dyDescent="0.25">
      <c r="A1077" s="172"/>
      <c r="F1077" s="174"/>
      <c r="G1077" s="174"/>
      <c r="H1077" s="174"/>
      <c r="J1077" s="174"/>
      <c r="L1077" s="175"/>
      <c r="M1077" s="182"/>
      <c r="N1077" s="177"/>
      <c r="P1077" s="183"/>
      <c r="Q1077" s="184"/>
      <c r="R1077" s="185"/>
      <c r="S1077" s="176"/>
      <c r="T1077" s="172"/>
      <c r="U1077" s="181"/>
      <c r="V1077" s="181"/>
      <c r="W1077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8" spans="1:23" x14ac:dyDescent="0.25">
      <c r="A1078" s="172"/>
      <c r="F1078" s="174"/>
      <c r="G1078" s="174"/>
      <c r="H1078" s="174"/>
      <c r="J1078" s="174"/>
      <c r="L1078" s="175"/>
      <c r="M1078" s="182"/>
      <c r="N1078" s="177"/>
      <c r="P1078" s="183"/>
      <c r="Q1078" s="184"/>
      <c r="R1078" s="185"/>
      <c r="S1078" s="176"/>
      <c r="T1078" s="172"/>
      <c r="U1078" s="181"/>
      <c r="V1078" s="181"/>
      <c r="W1078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79" spans="1:23" x14ac:dyDescent="0.25">
      <c r="A1079" s="172"/>
      <c r="F1079" s="174"/>
      <c r="G1079" s="174"/>
      <c r="H1079" s="174"/>
      <c r="J1079" s="174"/>
      <c r="L1079" s="175"/>
      <c r="M1079" s="182"/>
      <c r="N1079" s="177"/>
      <c r="P1079" s="183"/>
      <c r="Q1079" s="184"/>
      <c r="R1079" s="185"/>
      <c r="S1079" s="176"/>
      <c r="T1079" s="172"/>
      <c r="U1079" s="181"/>
      <c r="V1079" s="181"/>
      <c r="W1079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0" spans="1:23" x14ac:dyDescent="0.25">
      <c r="A1080" s="172"/>
      <c r="F1080" s="174"/>
      <c r="G1080" s="174"/>
      <c r="H1080" s="174"/>
      <c r="J1080" s="174"/>
      <c r="L1080" s="175"/>
      <c r="M1080" s="182"/>
      <c r="N1080" s="177"/>
      <c r="P1080" s="183"/>
      <c r="Q1080" s="184"/>
      <c r="R1080" s="185"/>
      <c r="S1080" s="176"/>
      <c r="T1080" s="172"/>
      <c r="U1080" s="181"/>
      <c r="V1080" s="181"/>
      <c r="W1080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1" spans="1:23" x14ac:dyDescent="0.25">
      <c r="A1081" s="172"/>
      <c r="F1081" s="174"/>
      <c r="G1081" s="174"/>
      <c r="H1081" s="174"/>
      <c r="J1081" s="174"/>
      <c r="L1081" s="175"/>
      <c r="M1081" s="182"/>
      <c r="N1081" s="177"/>
      <c r="P1081" s="183"/>
      <c r="Q1081" s="184"/>
      <c r="R1081" s="185"/>
      <c r="S1081" s="176"/>
      <c r="T1081" s="172"/>
      <c r="U1081" s="181"/>
      <c r="V1081" s="181"/>
      <c r="W1081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2" spans="1:23" x14ac:dyDescent="0.25">
      <c r="A1082" s="172"/>
      <c r="F1082" s="174"/>
      <c r="G1082" s="174"/>
      <c r="H1082" s="174"/>
      <c r="J1082" s="174"/>
      <c r="L1082" s="175"/>
      <c r="M1082" s="182"/>
      <c r="N1082" s="177"/>
      <c r="P1082" s="183"/>
      <c r="Q1082" s="184"/>
      <c r="R1082" s="185"/>
      <c r="S1082" s="176"/>
      <c r="T1082" s="172"/>
      <c r="U1082" s="181"/>
      <c r="V1082" s="181"/>
      <c r="W1082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3" spans="1:23" x14ac:dyDescent="0.25">
      <c r="A1083" s="172"/>
      <c r="F1083" s="174"/>
      <c r="G1083" s="174"/>
      <c r="H1083" s="174"/>
      <c r="J1083" s="174"/>
      <c r="L1083" s="175"/>
      <c r="M1083" s="182"/>
      <c r="N1083" s="177"/>
      <c r="P1083" s="183"/>
      <c r="Q1083" s="184"/>
      <c r="R1083" s="185"/>
      <c r="S1083" s="176"/>
      <c r="T1083" s="172"/>
      <c r="U1083" s="181"/>
      <c r="V1083" s="181"/>
      <c r="W1083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4" spans="1:23" x14ac:dyDescent="0.25">
      <c r="A1084" s="172"/>
      <c r="F1084" s="174"/>
      <c r="G1084" s="174"/>
      <c r="H1084" s="174"/>
      <c r="J1084" s="174"/>
      <c r="L1084" s="175"/>
      <c r="M1084" s="182"/>
      <c r="N1084" s="177"/>
      <c r="P1084" s="183"/>
      <c r="Q1084" s="184"/>
      <c r="R1084" s="185"/>
      <c r="S1084" s="176"/>
      <c r="T1084" s="172"/>
      <c r="U1084" s="181"/>
      <c r="V1084" s="181"/>
      <c r="W1084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5" spans="1:23" x14ac:dyDescent="0.25">
      <c r="A1085" s="172"/>
      <c r="F1085" s="174"/>
      <c r="G1085" s="174"/>
      <c r="H1085" s="174"/>
      <c r="J1085" s="174"/>
      <c r="L1085" s="175"/>
      <c r="M1085" s="182"/>
      <c r="N1085" s="177"/>
      <c r="P1085" s="183"/>
      <c r="Q1085" s="184"/>
      <c r="R1085" s="185"/>
      <c r="S1085" s="176"/>
      <c r="T1085" s="172"/>
      <c r="U1085" s="181"/>
      <c r="V1085" s="181"/>
      <c r="W1085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6" spans="1:23" x14ac:dyDescent="0.25">
      <c r="A1086" s="172"/>
      <c r="F1086" s="174"/>
      <c r="G1086" s="174"/>
      <c r="H1086" s="174"/>
      <c r="J1086" s="174"/>
      <c r="L1086" s="175"/>
      <c r="M1086" s="182"/>
      <c r="N1086" s="177"/>
      <c r="P1086" s="183"/>
      <c r="Q1086" s="184"/>
      <c r="R1086" s="185"/>
      <c r="S1086" s="176"/>
      <c r="T1086" s="172"/>
      <c r="U1086" s="181"/>
      <c r="V1086" s="181"/>
      <c r="W1086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7" spans="1:23" x14ac:dyDescent="0.25">
      <c r="A1087" s="172"/>
      <c r="F1087" s="174"/>
      <c r="G1087" s="174"/>
      <c r="H1087" s="174"/>
      <c r="J1087" s="174"/>
      <c r="L1087" s="175"/>
      <c r="M1087" s="182"/>
      <c r="N1087" s="177"/>
      <c r="P1087" s="183"/>
      <c r="Q1087" s="184"/>
      <c r="R1087" s="185"/>
      <c r="S1087" s="176"/>
      <c r="T1087" s="172"/>
      <c r="U1087" s="181"/>
      <c r="V1087" s="181"/>
      <c r="W1087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8" spans="1:23" x14ac:dyDescent="0.25">
      <c r="A1088" s="172"/>
      <c r="F1088" s="174"/>
      <c r="G1088" s="174"/>
      <c r="H1088" s="174"/>
      <c r="J1088" s="174"/>
      <c r="L1088" s="175"/>
      <c r="M1088" s="182"/>
      <c r="N1088" s="177"/>
      <c r="P1088" s="183"/>
      <c r="Q1088" s="184"/>
      <c r="R1088" s="185"/>
      <c r="S1088" s="176"/>
      <c r="T1088" s="172"/>
      <c r="U1088" s="181"/>
      <c r="V1088" s="181"/>
      <c r="W1088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89" spans="1:23" x14ac:dyDescent="0.25">
      <c r="A1089" s="172"/>
      <c r="F1089" s="174"/>
      <c r="G1089" s="174"/>
      <c r="H1089" s="174"/>
      <c r="J1089" s="174"/>
      <c r="L1089" s="175"/>
      <c r="M1089" s="182"/>
      <c r="N1089" s="177"/>
      <c r="P1089" s="183"/>
      <c r="Q1089" s="184"/>
      <c r="R1089" s="185"/>
      <c r="S1089" s="176"/>
      <c r="T1089" s="172"/>
      <c r="U1089" s="181"/>
      <c r="V1089" s="181"/>
      <c r="W1089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0" spans="1:23" x14ac:dyDescent="0.25">
      <c r="A1090" s="172"/>
      <c r="F1090" s="174"/>
      <c r="G1090" s="174"/>
      <c r="H1090" s="174"/>
      <c r="J1090" s="174"/>
      <c r="L1090" s="175"/>
      <c r="M1090" s="182"/>
      <c r="N1090" s="177"/>
      <c r="P1090" s="183"/>
      <c r="Q1090" s="184"/>
      <c r="R1090" s="185"/>
      <c r="S1090" s="176"/>
      <c r="T1090" s="172"/>
      <c r="U1090" s="181"/>
      <c r="V1090" s="181"/>
      <c r="W1090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1" spans="1:23" x14ac:dyDescent="0.25">
      <c r="A1091" s="172"/>
      <c r="F1091" s="174"/>
      <c r="G1091" s="174"/>
      <c r="H1091" s="174"/>
      <c r="J1091" s="174"/>
      <c r="L1091" s="175"/>
      <c r="M1091" s="182"/>
      <c r="N1091" s="177"/>
      <c r="P1091" s="183"/>
      <c r="Q1091" s="184"/>
      <c r="R1091" s="185"/>
      <c r="S1091" s="176"/>
      <c r="T1091" s="172"/>
      <c r="U1091" s="181"/>
      <c r="V1091" s="181"/>
      <c r="W1091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2" spans="1:23" x14ac:dyDescent="0.25">
      <c r="A1092" s="172"/>
      <c r="F1092" s="174"/>
      <c r="G1092" s="174"/>
      <c r="H1092" s="174"/>
      <c r="J1092" s="174"/>
      <c r="L1092" s="175"/>
      <c r="M1092" s="182"/>
      <c r="N1092" s="177"/>
      <c r="P1092" s="183"/>
      <c r="Q1092" s="184"/>
      <c r="R1092" s="185"/>
      <c r="S1092" s="176"/>
      <c r="T1092" s="172"/>
      <c r="U1092" s="181"/>
      <c r="V1092" s="181"/>
      <c r="W1092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3" spans="1:23" x14ac:dyDescent="0.25">
      <c r="A1093" s="172"/>
      <c r="F1093" s="174"/>
      <c r="G1093" s="174"/>
      <c r="H1093" s="174"/>
      <c r="J1093" s="174"/>
      <c r="L1093" s="175"/>
      <c r="M1093" s="182"/>
      <c r="N1093" s="177"/>
      <c r="P1093" s="183"/>
      <c r="Q1093" s="184"/>
      <c r="R1093" s="185"/>
      <c r="S1093" s="176"/>
      <c r="T1093" s="172"/>
      <c r="U1093" s="181"/>
      <c r="V1093" s="181"/>
      <c r="W1093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4" spans="1:23" x14ac:dyDescent="0.25">
      <c r="A1094" s="172"/>
      <c r="F1094" s="174"/>
      <c r="G1094" s="174"/>
      <c r="H1094" s="174"/>
      <c r="J1094" s="174"/>
      <c r="L1094" s="175"/>
      <c r="M1094" s="182"/>
      <c r="N1094" s="177"/>
      <c r="P1094" s="183"/>
      <c r="Q1094" s="184"/>
      <c r="R1094" s="185"/>
      <c r="S1094" s="176"/>
      <c r="T1094" s="172"/>
      <c r="U1094" s="181"/>
      <c r="V1094" s="181"/>
      <c r="W1094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5" spans="1:23" x14ac:dyDescent="0.25">
      <c r="A1095" s="172"/>
      <c r="F1095" s="174"/>
      <c r="G1095" s="174"/>
      <c r="H1095" s="174"/>
      <c r="J1095" s="174"/>
      <c r="L1095" s="175"/>
      <c r="M1095" s="182"/>
      <c r="N1095" s="177"/>
      <c r="P1095" s="183"/>
      <c r="Q1095" s="184"/>
      <c r="R1095" s="185"/>
      <c r="S1095" s="176"/>
      <c r="T1095" s="172"/>
      <c r="U1095" s="181"/>
      <c r="V1095" s="181"/>
      <c r="W1095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6" spans="1:23" x14ac:dyDescent="0.25">
      <c r="A1096" s="172"/>
      <c r="F1096" s="174"/>
      <c r="G1096" s="174"/>
      <c r="H1096" s="174"/>
      <c r="J1096" s="174"/>
      <c r="L1096" s="175"/>
      <c r="M1096" s="182"/>
      <c r="N1096" s="177"/>
      <c r="P1096" s="183"/>
      <c r="Q1096" s="184"/>
      <c r="R1096" s="185"/>
      <c r="S1096" s="176"/>
      <c r="T1096" s="172"/>
      <c r="U1096" s="181"/>
      <c r="V1096" s="181"/>
      <c r="W1096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7" spans="1:23" x14ac:dyDescent="0.25">
      <c r="A1097" s="172"/>
      <c r="F1097" s="174"/>
      <c r="G1097" s="174"/>
      <c r="H1097" s="174"/>
      <c r="J1097" s="174"/>
      <c r="L1097" s="175"/>
      <c r="M1097" s="182"/>
      <c r="N1097" s="177"/>
      <c r="P1097" s="183"/>
      <c r="Q1097" s="184"/>
      <c r="R1097" s="185"/>
      <c r="S1097" s="176"/>
      <c r="T1097" s="172"/>
      <c r="U1097" s="181"/>
      <c r="V1097" s="181"/>
      <c r="W1097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8" spans="1:23" x14ac:dyDescent="0.25">
      <c r="A1098" s="172"/>
      <c r="F1098" s="174"/>
      <c r="G1098" s="174"/>
      <c r="H1098" s="174"/>
      <c r="J1098" s="174"/>
      <c r="L1098" s="175"/>
      <c r="M1098" s="182"/>
      <c r="N1098" s="177"/>
      <c r="P1098" s="183"/>
      <c r="Q1098" s="184"/>
      <c r="R1098" s="185"/>
      <c r="S1098" s="176"/>
      <c r="T1098" s="172"/>
      <c r="U1098" s="181"/>
      <c r="V1098" s="181"/>
      <c r="W1098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099" spans="1:23" x14ac:dyDescent="0.25">
      <c r="A1099" s="172"/>
      <c r="F1099" s="174"/>
      <c r="G1099" s="174"/>
      <c r="H1099" s="174"/>
      <c r="J1099" s="174"/>
      <c r="L1099" s="175"/>
      <c r="M1099" s="182"/>
      <c r="N1099" s="177"/>
      <c r="P1099" s="183"/>
      <c r="Q1099" s="184"/>
      <c r="R1099" s="185"/>
      <c r="S1099" s="176"/>
      <c r="T1099" s="172"/>
      <c r="U1099" s="181"/>
      <c r="V1099" s="181"/>
      <c r="W1099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0" spans="1:23" x14ac:dyDescent="0.25">
      <c r="A1100" s="172"/>
      <c r="F1100" s="174"/>
      <c r="G1100" s="174"/>
      <c r="H1100" s="174"/>
      <c r="J1100" s="174"/>
      <c r="L1100" s="175"/>
      <c r="M1100" s="182"/>
      <c r="N1100" s="177"/>
      <c r="P1100" s="183"/>
      <c r="Q1100" s="184"/>
      <c r="R1100" s="185"/>
      <c r="S1100" s="176"/>
      <c r="T1100" s="172"/>
      <c r="U1100" s="181"/>
      <c r="V1100" s="181"/>
      <c r="W1100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1" spans="1:23" x14ac:dyDescent="0.25">
      <c r="A1101" s="172"/>
      <c r="F1101" s="174"/>
      <c r="G1101" s="174"/>
      <c r="H1101" s="174"/>
      <c r="J1101" s="174"/>
      <c r="L1101" s="175"/>
      <c r="M1101" s="182"/>
      <c r="N1101" s="177"/>
      <c r="P1101" s="183"/>
      <c r="Q1101" s="184"/>
      <c r="R1101" s="185"/>
      <c r="S1101" s="176"/>
      <c r="T1101" s="172"/>
      <c r="U1101" s="181"/>
      <c r="V1101" s="181"/>
      <c r="W1101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2" spans="1:23" x14ac:dyDescent="0.25">
      <c r="A1102" s="172"/>
      <c r="F1102" s="174"/>
      <c r="G1102" s="174"/>
      <c r="H1102" s="174"/>
      <c r="J1102" s="174"/>
      <c r="L1102" s="175"/>
      <c r="M1102" s="182"/>
      <c r="N1102" s="177"/>
      <c r="P1102" s="183"/>
      <c r="Q1102" s="184"/>
      <c r="R1102" s="185"/>
      <c r="S1102" s="176"/>
      <c r="T1102" s="172"/>
      <c r="U1102" s="181"/>
      <c r="V1102" s="181"/>
      <c r="W1102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3" spans="1:23" x14ac:dyDescent="0.25">
      <c r="A1103" s="172"/>
      <c r="F1103" s="174"/>
      <c r="G1103" s="174"/>
      <c r="H1103" s="174"/>
      <c r="J1103" s="174"/>
      <c r="L1103" s="175"/>
      <c r="M1103" s="182"/>
      <c r="N1103" s="177"/>
      <c r="P1103" s="183"/>
      <c r="Q1103" s="184"/>
      <c r="R1103" s="185"/>
      <c r="S1103" s="176"/>
      <c r="T1103" s="172"/>
      <c r="U1103" s="181"/>
      <c r="V1103" s="181"/>
      <c r="W1103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4" spans="1:23" x14ac:dyDescent="0.25">
      <c r="A1104" s="172"/>
      <c r="F1104" s="174"/>
      <c r="G1104" s="174"/>
      <c r="H1104" s="174"/>
      <c r="J1104" s="174"/>
      <c r="L1104" s="175"/>
      <c r="M1104" s="182"/>
      <c r="N1104" s="177"/>
      <c r="P1104" s="183"/>
      <c r="Q1104" s="184"/>
      <c r="R1104" s="185"/>
      <c r="S1104" s="176"/>
      <c r="T1104" s="172"/>
      <c r="U1104" s="181"/>
      <c r="V1104" s="181"/>
      <c r="W1104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5" spans="1:23" x14ac:dyDescent="0.25">
      <c r="A1105" s="172"/>
      <c r="F1105" s="174"/>
      <c r="G1105" s="174"/>
      <c r="H1105" s="174"/>
      <c r="J1105" s="174"/>
      <c r="L1105" s="175"/>
      <c r="M1105" s="182"/>
      <c r="N1105" s="177"/>
      <c r="P1105" s="183"/>
      <c r="Q1105" s="184"/>
      <c r="R1105" s="185"/>
      <c r="S1105" s="176"/>
      <c r="T1105" s="172"/>
      <c r="U1105" s="181"/>
      <c r="V1105" s="181"/>
      <c r="W1105" s="186" t="str">
        <f t="shared" si="41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6" spans="1:23" x14ac:dyDescent="0.25">
      <c r="A1106" s="172"/>
      <c r="F1106" s="174"/>
      <c r="G1106" s="174"/>
      <c r="H1106" s="174"/>
      <c r="J1106" s="174"/>
      <c r="L1106" s="175"/>
      <c r="M1106" s="182"/>
      <c r="N1106" s="177"/>
      <c r="P1106" s="183"/>
      <c r="Q1106" s="184"/>
      <c r="R1106" s="185"/>
      <c r="S1106" s="176"/>
      <c r="T1106" s="172"/>
      <c r="U1106" s="181"/>
      <c r="V1106" s="181"/>
      <c r="W1106" s="186" t="str">
        <f t="shared" ref="W1106:W1151" si="42">"echo {""issue"":{""subject"":"""&amp;N1106&amp;""",""project_id"":79,""tracker_id"":40,""status_id"":"&amp;redmine_status&amp;",""priority_id"":"&amp;redmine_priority&amp;",""assigned_to_id"":"&amp;redmine_assignee&amp;",""start_date"":"""&amp;TEXT(A1106,"YYYY-mm-dd")&amp;""",""description"":"""&amp;X1106&amp;""",""custom_fields"":[{""id"":1,""name"":""Subdivision"",""value"":"""&amp;U1106&amp;"""},{""id"":4,""name"":""Milepost"",""value"":"""&amp;J1106/10000&amp;"""},{""id"":17,""name"":""Train ID"",""value"":"""&amp;C1106&amp;"""},{""id"":16,""name"":""Locomotive ID"",""value"":"""&amp;S1106&amp;"""},{""id"":130,""name"":""Impact"",""value"":"""&amp;Y1106&amp;"""},{""id"":150,""name"":""Time of Event (Mountain Time)"",""value"":"""&amp;TEXT(A1106,"hh:mm:ss")&amp;"""},{""id"":151,""name"":""Denver Issue ID"",""value"":"""&amp;"""},{""id"":178,""name"":""Operational Impact"",""value"":"""&amp;redmine_op_impact&amp;"""},{""id"":179,""name"":""Denver Segment Assigned"",""value"":"""&amp;Z1106&amp;"""}]}}"&amp;"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7" spans="1:23" x14ac:dyDescent="0.25">
      <c r="A1107" s="172"/>
      <c r="F1107" s="174"/>
      <c r="G1107" s="174"/>
      <c r="H1107" s="174"/>
      <c r="J1107" s="174"/>
      <c r="L1107" s="175"/>
      <c r="M1107" s="182"/>
      <c r="N1107" s="177"/>
      <c r="P1107" s="183"/>
      <c r="Q1107" s="184"/>
      <c r="R1107" s="185"/>
      <c r="S1107" s="176"/>
      <c r="T1107" s="172"/>
      <c r="U1107" s="181"/>
      <c r="V1107" s="181"/>
      <c r="W1107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8" spans="1:23" x14ac:dyDescent="0.25">
      <c r="A1108" s="172"/>
      <c r="F1108" s="174"/>
      <c r="G1108" s="174"/>
      <c r="H1108" s="174"/>
      <c r="J1108" s="174"/>
      <c r="L1108" s="175"/>
      <c r="M1108" s="182"/>
      <c r="N1108" s="177"/>
      <c r="P1108" s="183"/>
      <c r="Q1108" s="184"/>
      <c r="R1108" s="185"/>
      <c r="S1108" s="176"/>
      <c r="T1108" s="172"/>
      <c r="U1108" s="181"/>
      <c r="V1108" s="181"/>
      <c r="W1108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09" spans="1:23" x14ac:dyDescent="0.25">
      <c r="A1109" s="172"/>
      <c r="F1109" s="174"/>
      <c r="G1109" s="174"/>
      <c r="H1109" s="174"/>
      <c r="J1109" s="174"/>
      <c r="L1109" s="175"/>
      <c r="M1109" s="182"/>
      <c r="N1109" s="177"/>
      <c r="P1109" s="183"/>
      <c r="Q1109" s="184"/>
      <c r="R1109" s="185"/>
      <c r="S1109" s="176"/>
      <c r="T1109" s="172"/>
      <c r="U1109" s="181"/>
      <c r="V1109" s="181"/>
      <c r="W1109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0" spans="1:23" x14ac:dyDescent="0.25">
      <c r="A1110" s="172"/>
      <c r="F1110" s="174"/>
      <c r="G1110" s="174"/>
      <c r="H1110" s="174"/>
      <c r="J1110" s="174"/>
      <c r="L1110" s="175"/>
      <c r="M1110" s="182"/>
      <c r="N1110" s="177"/>
      <c r="P1110" s="183"/>
      <c r="Q1110" s="184"/>
      <c r="R1110" s="185"/>
      <c r="S1110" s="176"/>
      <c r="T1110" s="172"/>
      <c r="U1110" s="181"/>
      <c r="V1110" s="181"/>
      <c r="W1110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1" spans="1:23" x14ac:dyDescent="0.25">
      <c r="A1111" s="172"/>
      <c r="F1111" s="174"/>
      <c r="G1111" s="174"/>
      <c r="H1111" s="174"/>
      <c r="J1111" s="174"/>
      <c r="L1111" s="175"/>
      <c r="M1111" s="182"/>
      <c r="N1111" s="177"/>
      <c r="P1111" s="183"/>
      <c r="Q1111" s="184"/>
      <c r="R1111" s="185"/>
      <c r="S1111" s="176"/>
      <c r="T1111" s="172"/>
      <c r="U1111" s="181"/>
      <c r="V1111" s="181"/>
      <c r="W1111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2" spans="1:23" x14ac:dyDescent="0.25">
      <c r="A1112" s="172"/>
      <c r="F1112" s="174"/>
      <c r="G1112" s="174"/>
      <c r="H1112" s="174"/>
      <c r="J1112" s="174"/>
      <c r="L1112" s="175"/>
      <c r="M1112" s="182"/>
      <c r="N1112" s="177"/>
      <c r="P1112" s="183"/>
      <c r="Q1112" s="184"/>
      <c r="R1112" s="185"/>
      <c r="S1112" s="176"/>
      <c r="T1112" s="172"/>
      <c r="U1112" s="181"/>
      <c r="V1112" s="181"/>
      <c r="W1112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3" spans="1:23" x14ac:dyDescent="0.25">
      <c r="A1113" s="172"/>
      <c r="F1113" s="174"/>
      <c r="G1113" s="174"/>
      <c r="H1113" s="174"/>
      <c r="J1113" s="174"/>
      <c r="L1113" s="175"/>
      <c r="M1113" s="182"/>
      <c r="N1113" s="177"/>
      <c r="P1113" s="183"/>
      <c r="Q1113" s="184"/>
      <c r="R1113" s="185"/>
      <c r="S1113" s="176"/>
      <c r="T1113" s="172"/>
      <c r="U1113" s="181"/>
      <c r="V1113" s="181"/>
      <c r="W1113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4" spans="1:23" x14ac:dyDescent="0.25">
      <c r="A1114" s="172"/>
      <c r="F1114" s="174"/>
      <c r="G1114" s="174"/>
      <c r="H1114" s="174"/>
      <c r="J1114" s="174"/>
      <c r="L1114" s="175"/>
      <c r="M1114" s="182"/>
      <c r="N1114" s="177"/>
      <c r="P1114" s="183"/>
      <c r="Q1114" s="184"/>
      <c r="R1114" s="185"/>
      <c r="S1114" s="176"/>
      <c r="T1114" s="172"/>
      <c r="U1114" s="181"/>
      <c r="V1114" s="181"/>
      <c r="W1114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5" spans="1:23" x14ac:dyDescent="0.25">
      <c r="A1115" s="172"/>
      <c r="F1115" s="174"/>
      <c r="G1115" s="174"/>
      <c r="H1115" s="174"/>
      <c r="J1115" s="174"/>
      <c r="L1115" s="175"/>
      <c r="M1115" s="182"/>
      <c r="N1115" s="177"/>
      <c r="P1115" s="183"/>
      <c r="Q1115" s="184"/>
      <c r="R1115" s="185"/>
      <c r="S1115" s="176"/>
      <c r="T1115" s="172"/>
      <c r="U1115" s="181"/>
      <c r="V1115" s="181"/>
      <c r="W1115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6" spans="1:23" x14ac:dyDescent="0.25">
      <c r="A1116" s="172"/>
      <c r="F1116" s="174"/>
      <c r="G1116" s="174"/>
      <c r="H1116" s="174"/>
      <c r="J1116" s="174"/>
      <c r="L1116" s="175"/>
      <c r="M1116" s="182"/>
      <c r="N1116" s="177"/>
      <c r="P1116" s="183"/>
      <c r="Q1116" s="184"/>
      <c r="R1116" s="185"/>
      <c r="S1116" s="176"/>
      <c r="T1116" s="172"/>
      <c r="U1116" s="181"/>
      <c r="V1116" s="181"/>
      <c r="W1116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7" spans="1:23" x14ac:dyDescent="0.25">
      <c r="A1117" s="172"/>
      <c r="F1117" s="174"/>
      <c r="G1117" s="174"/>
      <c r="H1117" s="174"/>
      <c r="J1117" s="174"/>
      <c r="L1117" s="175"/>
      <c r="M1117" s="182"/>
      <c r="N1117" s="177"/>
      <c r="P1117" s="183"/>
      <c r="Q1117" s="184"/>
      <c r="R1117" s="185"/>
      <c r="S1117" s="176"/>
      <c r="T1117" s="172"/>
      <c r="U1117" s="181"/>
      <c r="V1117" s="181"/>
      <c r="W1117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8" spans="1:23" x14ac:dyDescent="0.25">
      <c r="A1118" s="172"/>
      <c r="F1118" s="174"/>
      <c r="G1118" s="174"/>
      <c r="H1118" s="174"/>
      <c r="J1118" s="174"/>
      <c r="L1118" s="175"/>
      <c r="M1118" s="182"/>
      <c r="N1118" s="177"/>
      <c r="P1118" s="183"/>
      <c r="Q1118" s="184"/>
      <c r="R1118" s="185"/>
      <c r="S1118" s="176"/>
      <c r="T1118" s="172"/>
      <c r="U1118" s="181"/>
      <c r="V1118" s="181"/>
      <c r="W1118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19" spans="1:23" x14ac:dyDescent="0.25">
      <c r="A1119" s="172"/>
      <c r="F1119" s="174"/>
      <c r="G1119" s="174"/>
      <c r="H1119" s="174"/>
      <c r="J1119" s="174"/>
      <c r="L1119" s="175"/>
      <c r="M1119" s="182"/>
      <c r="N1119" s="177"/>
      <c r="P1119" s="183"/>
      <c r="Q1119" s="184"/>
      <c r="R1119" s="185"/>
      <c r="S1119" s="176"/>
      <c r="T1119" s="172"/>
      <c r="U1119" s="181"/>
      <c r="V1119" s="181"/>
      <c r="W1119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0" spans="1:23" x14ac:dyDescent="0.25">
      <c r="A1120" s="172"/>
      <c r="F1120" s="174"/>
      <c r="G1120" s="174"/>
      <c r="H1120" s="174"/>
      <c r="J1120" s="174"/>
      <c r="L1120" s="175"/>
      <c r="M1120" s="182"/>
      <c r="N1120" s="177"/>
      <c r="P1120" s="183"/>
      <c r="Q1120" s="184"/>
      <c r="R1120" s="185"/>
      <c r="S1120" s="176"/>
      <c r="T1120" s="172"/>
      <c r="U1120" s="181"/>
      <c r="V1120" s="181"/>
      <c r="W1120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1" spans="1:23" x14ac:dyDescent="0.25">
      <c r="A1121" s="172"/>
      <c r="F1121" s="174"/>
      <c r="G1121" s="174"/>
      <c r="H1121" s="174"/>
      <c r="J1121" s="174"/>
      <c r="L1121" s="175"/>
      <c r="M1121" s="182"/>
      <c r="N1121" s="177"/>
      <c r="P1121" s="183"/>
      <c r="Q1121" s="184"/>
      <c r="R1121" s="185"/>
      <c r="S1121" s="176"/>
      <c r="T1121" s="172"/>
      <c r="U1121" s="181"/>
      <c r="V1121" s="181"/>
      <c r="W1121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2" spans="1:23" x14ac:dyDescent="0.25">
      <c r="A1122" s="172"/>
      <c r="F1122" s="174"/>
      <c r="G1122" s="174"/>
      <c r="H1122" s="174"/>
      <c r="J1122" s="174"/>
      <c r="L1122" s="175"/>
      <c r="M1122" s="182"/>
      <c r="N1122" s="177"/>
      <c r="P1122" s="183"/>
      <c r="Q1122" s="184"/>
      <c r="R1122" s="185"/>
      <c r="S1122" s="176"/>
      <c r="T1122" s="172"/>
      <c r="U1122" s="181"/>
      <c r="V1122" s="181"/>
      <c r="W1122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3" spans="1:23" x14ac:dyDescent="0.25">
      <c r="A1123" s="172"/>
      <c r="F1123" s="174"/>
      <c r="G1123" s="174"/>
      <c r="H1123" s="174"/>
      <c r="J1123" s="174"/>
      <c r="L1123" s="175"/>
      <c r="M1123" s="182"/>
      <c r="N1123" s="177"/>
      <c r="P1123" s="183"/>
      <c r="Q1123" s="184"/>
      <c r="R1123" s="185"/>
      <c r="S1123" s="176"/>
      <c r="T1123" s="172"/>
      <c r="U1123" s="181"/>
      <c r="V1123" s="181"/>
      <c r="W1123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4" spans="1:23" x14ac:dyDescent="0.25">
      <c r="A1124" s="172"/>
      <c r="F1124" s="174"/>
      <c r="G1124" s="174"/>
      <c r="H1124" s="174"/>
      <c r="J1124" s="174"/>
      <c r="L1124" s="175"/>
      <c r="M1124" s="182"/>
      <c r="N1124" s="177"/>
      <c r="P1124" s="183"/>
      <c r="Q1124" s="184"/>
      <c r="R1124" s="185"/>
      <c r="S1124" s="176"/>
      <c r="T1124" s="172"/>
      <c r="U1124" s="181"/>
      <c r="V1124" s="181"/>
      <c r="W1124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5" spans="1:23" x14ac:dyDescent="0.25">
      <c r="A1125" s="172"/>
      <c r="F1125" s="174"/>
      <c r="G1125" s="174"/>
      <c r="H1125" s="174"/>
      <c r="J1125" s="174"/>
      <c r="L1125" s="175"/>
      <c r="M1125" s="182"/>
      <c r="N1125" s="177"/>
      <c r="P1125" s="183"/>
      <c r="Q1125" s="184"/>
      <c r="R1125" s="185"/>
      <c r="S1125" s="176"/>
      <c r="T1125" s="172"/>
      <c r="U1125" s="181"/>
      <c r="V1125" s="181"/>
      <c r="W1125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6" spans="1:23" x14ac:dyDescent="0.25">
      <c r="A1126" s="172"/>
      <c r="F1126" s="174"/>
      <c r="G1126" s="174"/>
      <c r="H1126" s="174"/>
      <c r="J1126" s="174"/>
      <c r="L1126" s="175"/>
      <c r="M1126" s="182"/>
      <c r="N1126" s="177"/>
      <c r="P1126" s="183"/>
      <c r="Q1126" s="184"/>
      <c r="R1126" s="185"/>
      <c r="S1126" s="176"/>
      <c r="T1126" s="172"/>
      <c r="U1126" s="181"/>
      <c r="V1126" s="181"/>
      <c r="W1126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7" spans="1:23" x14ac:dyDescent="0.25">
      <c r="A1127" s="172"/>
      <c r="F1127" s="174"/>
      <c r="G1127" s="174"/>
      <c r="H1127" s="174"/>
      <c r="J1127" s="174"/>
      <c r="L1127" s="175"/>
      <c r="M1127" s="182"/>
      <c r="N1127" s="177"/>
      <c r="P1127" s="183"/>
      <c r="Q1127" s="184"/>
      <c r="R1127" s="185"/>
      <c r="S1127" s="176"/>
      <c r="T1127" s="172"/>
      <c r="U1127" s="181"/>
      <c r="V1127" s="181"/>
      <c r="W1127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8" spans="1:23" x14ac:dyDescent="0.25">
      <c r="A1128" s="172"/>
      <c r="F1128" s="174"/>
      <c r="G1128" s="174"/>
      <c r="H1128" s="174"/>
      <c r="J1128" s="174"/>
      <c r="L1128" s="175"/>
      <c r="M1128" s="182"/>
      <c r="N1128" s="177"/>
      <c r="P1128" s="183"/>
      <c r="Q1128" s="184"/>
      <c r="R1128" s="185"/>
      <c r="S1128" s="176"/>
      <c r="T1128" s="172"/>
      <c r="U1128" s="181"/>
      <c r="V1128" s="181"/>
      <c r="W1128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29" spans="1:23" x14ac:dyDescent="0.25">
      <c r="A1129" s="172"/>
      <c r="F1129" s="174"/>
      <c r="G1129" s="174"/>
      <c r="H1129" s="174"/>
      <c r="J1129" s="174"/>
      <c r="L1129" s="175"/>
      <c r="M1129" s="182"/>
      <c r="N1129" s="177"/>
      <c r="P1129" s="183"/>
      <c r="Q1129" s="184"/>
      <c r="R1129" s="185"/>
      <c r="S1129" s="176"/>
      <c r="T1129" s="172"/>
      <c r="U1129" s="181"/>
      <c r="V1129" s="181"/>
      <c r="W1129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0" spans="1:23" x14ac:dyDescent="0.25">
      <c r="A1130" s="172"/>
      <c r="F1130" s="174"/>
      <c r="G1130" s="174"/>
      <c r="H1130" s="174"/>
      <c r="J1130" s="174"/>
      <c r="L1130" s="175"/>
      <c r="M1130" s="182"/>
      <c r="N1130" s="177"/>
      <c r="P1130" s="183"/>
      <c r="Q1130" s="184"/>
      <c r="R1130" s="185"/>
      <c r="S1130" s="176"/>
      <c r="T1130" s="172"/>
      <c r="U1130" s="181"/>
      <c r="V1130" s="181"/>
      <c r="W1130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1" spans="1:23" x14ac:dyDescent="0.25">
      <c r="A1131" s="172"/>
      <c r="F1131" s="174"/>
      <c r="G1131" s="174"/>
      <c r="H1131" s="174"/>
      <c r="J1131" s="174"/>
      <c r="L1131" s="175"/>
      <c r="M1131" s="182"/>
      <c r="N1131" s="177"/>
      <c r="P1131" s="183"/>
      <c r="Q1131" s="184"/>
      <c r="R1131" s="185"/>
      <c r="S1131" s="176"/>
      <c r="T1131" s="172"/>
      <c r="U1131" s="181"/>
      <c r="V1131" s="181"/>
      <c r="W1131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2" spans="1:23" x14ac:dyDescent="0.25">
      <c r="A1132" s="172"/>
      <c r="F1132" s="174"/>
      <c r="G1132" s="174"/>
      <c r="H1132" s="174"/>
      <c r="J1132" s="174"/>
      <c r="L1132" s="175"/>
      <c r="M1132" s="182"/>
      <c r="N1132" s="177"/>
      <c r="P1132" s="183"/>
      <c r="Q1132" s="184"/>
      <c r="R1132" s="185"/>
      <c r="S1132" s="176"/>
      <c r="T1132" s="172"/>
      <c r="U1132" s="181"/>
      <c r="V1132" s="181"/>
      <c r="W1132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3" spans="1:23" x14ac:dyDescent="0.25">
      <c r="A1133" s="172"/>
      <c r="F1133" s="174"/>
      <c r="G1133" s="174"/>
      <c r="H1133" s="174"/>
      <c r="J1133" s="174"/>
      <c r="L1133" s="175"/>
      <c r="M1133" s="182"/>
      <c r="N1133" s="177"/>
      <c r="P1133" s="183"/>
      <c r="Q1133" s="184"/>
      <c r="R1133" s="185"/>
      <c r="S1133" s="176"/>
      <c r="T1133" s="172"/>
      <c r="U1133" s="181"/>
      <c r="V1133" s="181"/>
      <c r="W1133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4" spans="1:23" x14ac:dyDescent="0.25">
      <c r="A1134" s="172"/>
      <c r="F1134" s="174"/>
      <c r="G1134" s="174"/>
      <c r="H1134" s="174"/>
      <c r="J1134" s="174"/>
      <c r="L1134" s="175"/>
      <c r="M1134" s="182"/>
      <c r="N1134" s="177"/>
      <c r="P1134" s="183"/>
      <c r="Q1134" s="184"/>
      <c r="R1134" s="185"/>
      <c r="S1134" s="176"/>
      <c r="T1134" s="172"/>
      <c r="U1134" s="181"/>
      <c r="V1134" s="181"/>
      <c r="W1134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5" spans="1:23" x14ac:dyDescent="0.25">
      <c r="A1135" s="172"/>
      <c r="F1135" s="174"/>
      <c r="G1135" s="174"/>
      <c r="H1135" s="174"/>
      <c r="J1135" s="174"/>
      <c r="L1135" s="175"/>
      <c r="M1135" s="182"/>
      <c r="N1135" s="177"/>
      <c r="P1135" s="183"/>
      <c r="Q1135" s="184"/>
      <c r="R1135" s="185"/>
      <c r="S1135" s="176"/>
      <c r="T1135" s="172"/>
      <c r="U1135" s="181"/>
      <c r="V1135" s="181"/>
      <c r="W1135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6" spans="1:23" x14ac:dyDescent="0.25">
      <c r="A1136" s="172"/>
      <c r="F1136" s="174"/>
      <c r="G1136" s="174"/>
      <c r="H1136" s="174"/>
      <c r="J1136" s="174"/>
      <c r="L1136" s="175"/>
      <c r="M1136" s="182"/>
      <c r="N1136" s="177"/>
      <c r="P1136" s="183"/>
      <c r="Q1136" s="184"/>
      <c r="R1136" s="185"/>
      <c r="S1136" s="176"/>
      <c r="T1136" s="172"/>
      <c r="U1136" s="181"/>
      <c r="V1136" s="181"/>
      <c r="W1136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7" spans="1:23" x14ac:dyDescent="0.25">
      <c r="A1137" s="172"/>
      <c r="F1137" s="174"/>
      <c r="G1137" s="174"/>
      <c r="H1137" s="174"/>
      <c r="J1137" s="174"/>
      <c r="L1137" s="175"/>
      <c r="M1137" s="182"/>
      <c r="N1137" s="177"/>
      <c r="P1137" s="183"/>
      <c r="Q1137" s="184"/>
      <c r="R1137" s="185"/>
      <c r="S1137" s="176"/>
      <c r="T1137" s="172"/>
      <c r="U1137" s="181"/>
      <c r="V1137" s="181"/>
      <c r="W1137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8" spans="1:23" x14ac:dyDescent="0.25">
      <c r="A1138" s="172"/>
      <c r="F1138" s="174"/>
      <c r="G1138" s="174"/>
      <c r="H1138" s="174"/>
      <c r="J1138" s="174"/>
      <c r="L1138" s="175"/>
      <c r="M1138" s="182"/>
      <c r="N1138" s="177"/>
      <c r="P1138" s="183"/>
      <c r="Q1138" s="184"/>
      <c r="R1138" s="185"/>
      <c r="S1138" s="176"/>
      <c r="T1138" s="172"/>
      <c r="U1138" s="181"/>
      <c r="V1138" s="181"/>
      <c r="W1138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39" spans="1:23" x14ac:dyDescent="0.25">
      <c r="A1139" s="172"/>
      <c r="F1139" s="174"/>
      <c r="G1139" s="174"/>
      <c r="H1139" s="174"/>
      <c r="J1139" s="174"/>
      <c r="L1139" s="175"/>
      <c r="M1139" s="182"/>
      <c r="N1139" s="177"/>
      <c r="P1139" s="183"/>
      <c r="Q1139" s="184"/>
      <c r="R1139" s="185"/>
      <c r="S1139" s="176"/>
      <c r="T1139" s="172"/>
      <c r="U1139" s="181"/>
      <c r="V1139" s="181"/>
      <c r="W1139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0" spans="1:23" x14ac:dyDescent="0.25">
      <c r="A1140" s="172"/>
      <c r="F1140" s="174"/>
      <c r="G1140" s="174"/>
      <c r="H1140" s="174"/>
      <c r="J1140" s="174"/>
      <c r="L1140" s="175"/>
      <c r="M1140" s="182"/>
      <c r="N1140" s="177"/>
      <c r="P1140" s="183"/>
      <c r="Q1140" s="184"/>
      <c r="R1140" s="185"/>
      <c r="S1140" s="176"/>
      <c r="T1140" s="172"/>
      <c r="U1140" s="181"/>
      <c r="V1140" s="181"/>
      <c r="W1140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1" spans="1:23" x14ac:dyDescent="0.25">
      <c r="A1141" s="172"/>
      <c r="F1141" s="174"/>
      <c r="G1141" s="174"/>
      <c r="H1141" s="174"/>
      <c r="J1141" s="174"/>
      <c r="L1141" s="175"/>
      <c r="M1141" s="182"/>
      <c r="N1141" s="177"/>
      <c r="P1141" s="183"/>
      <c r="Q1141" s="184"/>
      <c r="R1141" s="185"/>
      <c r="S1141" s="176"/>
      <c r="T1141" s="172"/>
      <c r="U1141" s="181"/>
      <c r="V1141" s="181"/>
      <c r="W1141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2" spans="1:23" x14ac:dyDescent="0.25">
      <c r="A1142" s="172"/>
      <c r="F1142" s="174"/>
      <c r="G1142" s="174"/>
      <c r="H1142" s="174"/>
      <c r="J1142" s="174"/>
      <c r="L1142" s="175"/>
      <c r="M1142" s="182"/>
      <c r="N1142" s="177"/>
      <c r="P1142" s="183"/>
      <c r="Q1142" s="184"/>
      <c r="R1142" s="185"/>
      <c r="S1142" s="176"/>
      <c r="T1142" s="172"/>
      <c r="U1142" s="181"/>
      <c r="V1142" s="181"/>
      <c r="W1142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3" spans="1:23" x14ac:dyDescent="0.25">
      <c r="A1143" s="172"/>
      <c r="F1143" s="174"/>
      <c r="G1143" s="174"/>
      <c r="H1143" s="174"/>
      <c r="J1143" s="174"/>
      <c r="L1143" s="175"/>
      <c r="M1143" s="182"/>
      <c r="N1143" s="177"/>
      <c r="P1143" s="183"/>
      <c r="Q1143" s="184"/>
      <c r="R1143" s="185"/>
      <c r="S1143" s="176"/>
      <c r="T1143" s="172"/>
      <c r="U1143" s="181"/>
      <c r="V1143" s="181"/>
      <c r="W1143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4" spans="1:23" x14ac:dyDescent="0.25">
      <c r="A1144" s="172"/>
      <c r="F1144" s="174"/>
      <c r="G1144" s="174"/>
      <c r="H1144" s="174"/>
      <c r="J1144" s="174"/>
      <c r="L1144" s="175"/>
      <c r="M1144" s="182"/>
      <c r="N1144" s="177"/>
      <c r="P1144" s="183"/>
      <c r="Q1144" s="184"/>
      <c r="R1144" s="185"/>
      <c r="S1144" s="176"/>
      <c r="T1144" s="172"/>
      <c r="U1144" s="181"/>
      <c r="V1144" s="181"/>
      <c r="W1144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5" spans="1:23" x14ac:dyDescent="0.25">
      <c r="A1145" s="172"/>
      <c r="F1145" s="174"/>
      <c r="G1145" s="174"/>
      <c r="H1145" s="174"/>
      <c r="J1145" s="174"/>
      <c r="L1145" s="175"/>
      <c r="M1145" s="182"/>
      <c r="N1145" s="177"/>
      <c r="P1145" s="183"/>
      <c r="Q1145" s="184"/>
      <c r="R1145" s="185"/>
      <c r="S1145" s="176"/>
      <c r="T1145" s="172"/>
      <c r="U1145" s="181"/>
      <c r="V1145" s="181"/>
      <c r="W1145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6" spans="1:23" x14ac:dyDescent="0.25">
      <c r="A1146" s="172"/>
      <c r="F1146" s="174"/>
      <c r="G1146" s="174"/>
      <c r="H1146" s="174"/>
      <c r="J1146" s="174"/>
      <c r="L1146" s="175"/>
      <c r="M1146" s="182"/>
      <c r="N1146" s="177"/>
      <c r="P1146" s="183"/>
      <c r="Q1146" s="184"/>
      <c r="R1146" s="185"/>
      <c r="S1146" s="176"/>
      <c r="T1146" s="172"/>
      <c r="U1146" s="181"/>
      <c r="V1146" s="181"/>
      <c r="W1146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7" spans="1:23" x14ac:dyDescent="0.25">
      <c r="A1147" s="172"/>
      <c r="F1147" s="174"/>
      <c r="G1147" s="174"/>
      <c r="H1147" s="174"/>
      <c r="J1147" s="174"/>
      <c r="L1147" s="175"/>
      <c r="M1147" s="182"/>
      <c r="N1147" s="177"/>
      <c r="P1147" s="183"/>
      <c r="Q1147" s="184"/>
      <c r="R1147" s="185"/>
      <c r="S1147" s="176"/>
      <c r="T1147" s="172"/>
      <c r="U1147" s="181"/>
      <c r="V1147" s="181"/>
      <c r="W1147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8" spans="1:23" x14ac:dyDescent="0.25">
      <c r="A1148" s="172"/>
      <c r="F1148" s="174"/>
      <c r="G1148" s="174"/>
      <c r="H1148" s="174"/>
      <c r="J1148" s="174"/>
      <c r="L1148" s="175"/>
      <c r="M1148" s="182"/>
      <c r="N1148" s="177"/>
      <c r="P1148" s="183"/>
      <c r="Q1148" s="184"/>
      <c r="R1148" s="185"/>
      <c r="S1148" s="176"/>
      <c r="T1148" s="172"/>
      <c r="U1148" s="181"/>
      <c r="V1148" s="181"/>
      <c r="W1148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49" spans="1:23" x14ac:dyDescent="0.25">
      <c r="A1149" s="172"/>
      <c r="F1149" s="174"/>
      <c r="G1149" s="174"/>
      <c r="H1149" s="174"/>
      <c r="J1149" s="174"/>
      <c r="L1149" s="175"/>
      <c r="M1149" s="182"/>
      <c r="N1149" s="177"/>
      <c r="P1149" s="183"/>
      <c r="Q1149" s="184"/>
      <c r="R1149" s="185"/>
      <c r="S1149" s="176"/>
      <c r="T1149" s="172"/>
      <c r="U1149" s="181"/>
      <c r="V1149" s="181"/>
      <c r="W1149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0" spans="1:23" x14ac:dyDescent="0.25">
      <c r="A1150" s="172"/>
      <c r="F1150" s="174"/>
      <c r="G1150" s="174"/>
      <c r="H1150" s="174"/>
      <c r="J1150" s="174"/>
      <c r="L1150" s="175"/>
      <c r="M1150" s="182"/>
      <c r="N1150" s="177"/>
      <c r="P1150" s="183"/>
      <c r="Q1150" s="184"/>
      <c r="R1150" s="185"/>
      <c r="S1150" s="176"/>
      <c r="T1150" s="172"/>
      <c r="U1150" s="181"/>
      <c r="V1150" s="181"/>
      <c r="W1150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1" spans="1:23" x14ac:dyDescent="0.25">
      <c r="A1151" s="172"/>
      <c r="F1151" s="174"/>
      <c r="G1151" s="174"/>
      <c r="H1151" s="174"/>
      <c r="J1151" s="174"/>
      <c r="L1151" s="175"/>
      <c r="M1151" s="182"/>
      <c r="N1151" s="177"/>
      <c r="P1151" s="183"/>
      <c r="Q1151" s="184"/>
      <c r="R1151" s="185"/>
      <c r="S1151" s="176"/>
      <c r="T1151" s="172"/>
      <c r="U1151" s="181"/>
      <c r="V1151" s="181"/>
      <c r="W1151" s="186" t="str">
        <f t="shared" si="42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2" spans="1:23" x14ac:dyDescent="0.25">
      <c r="A1152" s="172"/>
      <c r="F1152" s="174"/>
      <c r="G1152" s="174"/>
      <c r="H1152" s="174"/>
      <c r="J1152" s="174"/>
      <c r="L1152" s="175"/>
      <c r="M1152" s="182"/>
      <c r="N1152" s="177"/>
      <c r="P1152" s="183"/>
      <c r="Q1152" s="184"/>
      <c r="R1152" s="185"/>
      <c r="S1152" s="176"/>
      <c r="T1152" s="172"/>
      <c r="U1152" s="181"/>
      <c r="V1152" s="181"/>
      <c r="W1152" s="186" t="str">
        <f t="shared" ref="W1152:W1185" si="43">"echo {""issue"":{""subject"":"""&amp;N1152&amp;""",""project_id"":79,""tracker_id"":40,""status_id"":"&amp;redmine_status&amp;",""priority_id"":"&amp;redmine_priority&amp;",""assigned_to_id"":"&amp;redmine_assignee&amp;",""start_date"":"""&amp;TEXT(A1152,"YYYY-mm-dd")&amp;""",""description"":"""&amp;X1152&amp;""",""custom_fields"":[{""id"":1,""name"":""Subdivision"",""value"":"""&amp;U1152&amp;"""},{""id"":4,""name"":""Milepost"",""value"":"""&amp;J1152/10000&amp;"""},{""id"":17,""name"":""Train ID"",""value"":"""&amp;C1152&amp;"""},{""id"":16,""name"":""Locomotive ID"",""value"":"""&amp;S1152&amp;"""},{""id"":130,""name"":""Impact"",""value"":"""&amp;Y1152&amp;"""},{""id"":150,""name"":""Time of Event (Mountain Time)"",""value"":"""&amp;TEXT(A1152,"hh:mm:ss")&amp;"""},{""id"":151,""name"":""Denver Issue ID"",""value"":"""&amp;"""},{""id"":178,""name"":""Operational Impact"",""value"":"""&amp;redmine_op_impact&amp;"""},{""id"":179,""name"":""Denver Segment Assigned"",""value"":"""&amp;Z1152&amp;"""}]}}"&amp;"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3" spans="1:23" x14ac:dyDescent="0.25">
      <c r="A1153" s="172"/>
      <c r="F1153" s="174"/>
      <c r="G1153" s="174"/>
      <c r="H1153" s="174"/>
      <c r="J1153" s="174"/>
      <c r="L1153" s="175"/>
      <c r="M1153" s="182"/>
      <c r="N1153" s="177"/>
      <c r="P1153" s="183"/>
      <c r="Q1153" s="184"/>
      <c r="R1153" s="185"/>
      <c r="S1153" s="176"/>
      <c r="T1153" s="172"/>
      <c r="U1153" s="181"/>
      <c r="V1153" s="181"/>
      <c r="W1153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4" spans="1:23" x14ac:dyDescent="0.25">
      <c r="A1154" s="172"/>
      <c r="F1154" s="174"/>
      <c r="G1154" s="174"/>
      <c r="H1154" s="174"/>
      <c r="J1154" s="174"/>
      <c r="L1154" s="175"/>
      <c r="M1154" s="182"/>
      <c r="N1154" s="177"/>
      <c r="P1154" s="183"/>
      <c r="Q1154" s="184"/>
      <c r="R1154" s="185"/>
      <c r="S1154" s="176"/>
      <c r="T1154" s="172"/>
      <c r="U1154" s="181"/>
      <c r="V1154" s="181"/>
      <c r="W1154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5" spans="1:23" x14ac:dyDescent="0.25">
      <c r="A1155" s="172"/>
      <c r="F1155" s="174"/>
      <c r="G1155" s="174"/>
      <c r="H1155" s="174"/>
      <c r="J1155" s="174"/>
      <c r="L1155" s="175"/>
      <c r="M1155" s="182"/>
      <c r="N1155" s="177"/>
      <c r="P1155" s="183"/>
      <c r="Q1155" s="184"/>
      <c r="R1155" s="185"/>
      <c r="S1155" s="176"/>
      <c r="T1155" s="172"/>
      <c r="U1155" s="181"/>
      <c r="V1155" s="181"/>
      <c r="W1155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6" spans="1:23" x14ac:dyDescent="0.25">
      <c r="A1156" s="172"/>
      <c r="F1156" s="174"/>
      <c r="G1156" s="174"/>
      <c r="H1156" s="174"/>
      <c r="J1156" s="174"/>
      <c r="L1156" s="175"/>
      <c r="M1156" s="182"/>
      <c r="N1156" s="177"/>
      <c r="P1156" s="183"/>
      <c r="Q1156" s="184"/>
      <c r="R1156" s="185"/>
      <c r="S1156" s="176"/>
      <c r="T1156" s="172"/>
      <c r="U1156" s="181"/>
      <c r="V1156" s="181"/>
      <c r="W1156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7" spans="1:23" x14ac:dyDescent="0.25">
      <c r="A1157" s="172"/>
      <c r="F1157" s="174"/>
      <c r="G1157" s="174"/>
      <c r="H1157" s="174"/>
      <c r="J1157" s="174"/>
      <c r="L1157" s="175"/>
      <c r="M1157" s="182"/>
      <c r="N1157" s="177"/>
      <c r="P1157" s="183"/>
      <c r="Q1157" s="184"/>
      <c r="R1157" s="185"/>
      <c r="S1157" s="176"/>
      <c r="T1157" s="172"/>
      <c r="U1157" s="181"/>
      <c r="V1157" s="181"/>
      <c r="W1157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8" spans="1:23" x14ac:dyDescent="0.25">
      <c r="A1158" s="172"/>
      <c r="F1158" s="174"/>
      <c r="G1158" s="174"/>
      <c r="H1158" s="174"/>
      <c r="J1158" s="174"/>
      <c r="L1158" s="175"/>
      <c r="M1158" s="182"/>
      <c r="N1158" s="177"/>
      <c r="P1158" s="183"/>
      <c r="Q1158" s="184"/>
      <c r="R1158" s="185"/>
      <c r="S1158" s="176"/>
      <c r="T1158" s="172"/>
      <c r="U1158" s="181"/>
      <c r="V1158" s="181"/>
      <c r="W1158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59" spans="1:23" x14ac:dyDescent="0.25">
      <c r="A1159" s="172"/>
      <c r="F1159" s="174"/>
      <c r="G1159" s="174"/>
      <c r="H1159" s="174"/>
      <c r="J1159" s="174"/>
      <c r="L1159" s="175"/>
      <c r="M1159" s="182"/>
      <c r="N1159" s="177"/>
      <c r="P1159" s="183"/>
      <c r="Q1159" s="184"/>
      <c r="R1159" s="185"/>
      <c r="S1159" s="176"/>
      <c r="T1159" s="172"/>
      <c r="U1159" s="181"/>
      <c r="V1159" s="181"/>
      <c r="W1159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0" spans="1:23" x14ac:dyDescent="0.25">
      <c r="A1160" s="172"/>
      <c r="F1160" s="174"/>
      <c r="G1160" s="174"/>
      <c r="H1160" s="174"/>
      <c r="J1160" s="174"/>
      <c r="L1160" s="175"/>
      <c r="M1160" s="182"/>
      <c r="N1160" s="177"/>
      <c r="P1160" s="183"/>
      <c r="Q1160" s="184"/>
      <c r="R1160" s="185"/>
      <c r="S1160" s="176"/>
      <c r="T1160" s="172"/>
      <c r="U1160" s="181"/>
      <c r="V1160" s="181"/>
      <c r="W1160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1" spans="1:23" x14ac:dyDescent="0.25">
      <c r="A1161" s="172"/>
      <c r="F1161" s="174"/>
      <c r="G1161" s="174"/>
      <c r="H1161" s="174"/>
      <c r="J1161" s="174"/>
      <c r="L1161" s="175"/>
      <c r="M1161" s="182"/>
      <c r="N1161" s="177"/>
      <c r="P1161" s="183"/>
      <c r="Q1161" s="184"/>
      <c r="R1161" s="185"/>
      <c r="S1161" s="176"/>
      <c r="T1161" s="172"/>
      <c r="U1161" s="181"/>
      <c r="V1161" s="181"/>
      <c r="W1161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2" spans="1:23" x14ac:dyDescent="0.25">
      <c r="A1162" s="172"/>
      <c r="F1162" s="174"/>
      <c r="G1162" s="174"/>
      <c r="H1162" s="174"/>
      <c r="J1162" s="174"/>
      <c r="L1162" s="175"/>
      <c r="M1162" s="182"/>
      <c r="N1162" s="177"/>
      <c r="P1162" s="183"/>
      <c r="Q1162" s="184"/>
      <c r="R1162" s="185"/>
      <c r="S1162" s="176"/>
      <c r="T1162" s="172"/>
      <c r="U1162" s="181"/>
      <c r="V1162" s="181"/>
      <c r="W1162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3" spans="1:23" x14ac:dyDescent="0.25">
      <c r="A1163" s="172"/>
      <c r="F1163" s="174"/>
      <c r="G1163" s="174"/>
      <c r="H1163" s="174"/>
      <c r="J1163" s="174"/>
      <c r="L1163" s="175"/>
      <c r="M1163" s="182"/>
      <c r="N1163" s="177"/>
      <c r="P1163" s="183"/>
      <c r="Q1163" s="184"/>
      <c r="R1163" s="185"/>
      <c r="S1163" s="176"/>
      <c r="T1163" s="172"/>
      <c r="U1163" s="181"/>
      <c r="V1163" s="181"/>
      <c r="W1163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4" spans="1:23" x14ac:dyDescent="0.25">
      <c r="A1164" s="172"/>
      <c r="F1164" s="174"/>
      <c r="G1164" s="174"/>
      <c r="H1164" s="174"/>
      <c r="J1164" s="174"/>
      <c r="L1164" s="175"/>
      <c r="M1164" s="182"/>
      <c r="N1164" s="177"/>
      <c r="P1164" s="183"/>
      <c r="Q1164" s="184"/>
      <c r="R1164" s="185"/>
      <c r="S1164" s="176"/>
      <c r="T1164" s="172"/>
      <c r="U1164" s="181"/>
      <c r="V1164" s="181"/>
      <c r="W1164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5" spans="1:23" x14ac:dyDescent="0.25">
      <c r="A1165" s="172"/>
      <c r="F1165" s="174"/>
      <c r="G1165" s="174"/>
      <c r="H1165" s="174"/>
      <c r="J1165" s="174"/>
      <c r="L1165" s="175"/>
      <c r="M1165" s="182"/>
      <c r="N1165" s="177"/>
      <c r="P1165" s="183"/>
      <c r="Q1165" s="184"/>
      <c r="R1165" s="185"/>
      <c r="S1165" s="176"/>
      <c r="T1165" s="172"/>
      <c r="U1165" s="181"/>
      <c r="V1165" s="181"/>
      <c r="W1165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6" spans="1:23" x14ac:dyDescent="0.25">
      <c r="A1166" s="172"/>
      <c r="F1166" s="174"/>
      <c r="G1166" s="174"/>
      <c r="H1166" s="174"/>
      <c r="J1166" s="174"/>
      <c r="L1166" s="175"/>
      <c r="M1166" s="182"/>
      <c r="N1166" s="177"/>
      <c r="P1166" s="183"/>
      <c r="Q1166" s="184"/>
      <c r="R1166" s="185"/>
      <c r="S1166" s="176"/>
      <c r="T1166" s="172"/>
      <c r="U1166" s="181"/>
      <c r="V1166" s="181"/>
      <c r="W1166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7" spans="1:23" x14ac:dyDescent="0.25">
      <c r="A1167" s="172"/>
      <c r="F1167" s="174"/>
      <c r="G1167" s="174"/>
      <c r="H1167" s="174"/>
      <c r="J1167" s="174"/>
      <c r="L1167" s="175"/>
      <c r="M1167" s="182"/>
      <c r="N1167" s="177"/>
      <c r="P1167" s="183"/>
      <c r="Q1167" s="184"/>
      <c r="R1167" s="185"/>
      <c r="S1167" s="176"/>
      <c r="T1167" s="172"/>
      <c r="U1167" s="181"/>
      <c r="V1167" s="181"/>
      <c r="W1167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8" spans="1:23" x14ac:dyDescent="0.25">
      <c r="A1168" s="172"/>
      <c r="F1168" s="174"/>
      <c r="G1168" s="174"/>
      <c r="H1168" s="174"/>
      <c r="J1168" s="174"/>
      <c r="L1168" s="175"/>
      <c r="M1168" s="182"/>
      <c r="N1168" s="177"/>
      <c r="P1168" s="183"/>
      <c r="Q1168" s="184"/>
      <c r="R1168" s="185"/>
      <c r="S1168" s="176"/>
      <c r="T1168" s="172"/>
      <c r="U1168" s="181"/>
      <c r="V1168" s="181"/>
      <c r="W1168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69" spans="1:23" x14ac:dyDescent="0.25">
      <c r="A1169" s="172"/>
      <c r="F1169" s="174"/>
      <c r="G1169" s="174"/>
      <c r="H1169" s="174"/>
      <c r="J1169" s="174"/>
      <c r="L1169" s="175"/>
      <c r="M1169" s="182"/>
      <c r="N1169" s="177"/>
      <c r="P1169" s="183"/>
      <c r="Q1169" s="184"/>
      <c r="R1169" s="185"/>
      <c r="S1169" s="176"/>
      <c r="T1169" s="172"/>
      <c r="U1169" s="181"/>
      <c r="V1169" s="181"/>
      <c r="W1169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0" spans="1:23" x14ac:dyDescent="0.25">
      <c r="A1170" s="172"/>
      <c r="F1170" s="174"/>
      <c r="G1170" s="174"/>
      <c r="H1170" s="174"/>
      <c r="J1170" s="174"/>
      <c r="L1170" s="175"/>
      <c r="M1170" s="182"/>
      <c r="N1170" s="177"/>
      <c r="P1170" s="183"/>
      <c r="Q1170" s="184"/>
      <c r="R1170" s="185"/>
      <c r="S1170" s="176"/>
      <c r="T1170" s="172"/>
      <c r="U1170" s="181"/>
      <c r="V1170" s="181"/>
      <c r="W1170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1" spans="1:23" x14ac:dyDescent="0.25">
      <c r="A1171" s="172"/>
      <c r="F1171" s="174"/>
      <c r="G1171" s="174"/>
      <c r="H1171" s="174"/>
      <c r="J1171" s="174"/>
      <c r="L1171" s="175"/>
      <c r="M1171" s="182"/>
      <c r="N1171" s="177"/>
      <c r="P1171" s="183"/>
      <c r="Q1171" s="184"/>
      <c r="R1171" s="185"/>
      <c r="S1171" s="176"/>
      <c r="T1171" s="172"/>
      <c r="U1171" s="181"/>
      <c r="V1171" s="181"/>
      <c r="W1171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2" spans="1:23" x14ac:dyDescent="0.25">
      <c r="A1172" s="172"/>
      <c r="F1172" s="174"/>
      <c r="G1172" s="174"/>
      <c r="H1172" s="174"/>
      <c r="J1172" s="174"/>
      <c r="L1172" s="175"/>
      <c r="M1172" s="182"/>
      <c r="N1172" s="177"/>
      <c r="P1172" s="183"/>
      <c r="Q1172" s="184"/>
      <c r="R1172" s="185"/>
      <c r="S1172" s="176"/>
      <c r="T1172" s="172"/>
      <c r="U1172" s="181"/>
      <c r="V1172" s="181"/>
      <c r="W1172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3" spans="1:23" x14ac:dyDescent="0.25">
      <c r="A1173" s="172"/>
      <c r="F1173" s="174"/>
      <c r="G1173" s="174"/>
      <c r="H1173" s="174"/>
      <c r="J1173" s="174"/>
      <c r="L1173" s="175"/>
      <c r="M1173" s="182"/>
      <c r="N1173" s="177"/>
      <c r="P1173" s="183"/>
      <c r="Q1173" s="184"/>
      <c r="R1173" s="185"/>
      <c r="S1173" s="176"/>
      <c r="T1173" s="172"/>
      <c r="U1173" s="181"/>
      <c r="V1173" s="181"/>
      <c r="W1173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4" spans="1:23" x14ac:dyDescent="0.25">
      <c r="A1174" s="172"/>
      <c r="F1174" s="174"/>
      <c r="G1174" s="174"/>
      <c r="H1174" s="174"/>
      <c r="J1174" s="174"/>
      <c r="L1174" s="175"/>
      <c r="M1174" s="182"/>
      <c r="N1174" s="177"/>
      <c r="P1174" s="183"/>
      <c r="Q1174" s="184"/>
      <c r="R1174" s="185"/>
      <c r="S1174" s="176"/>
      <c r="T1174" s="172"/>
      <c r="U1174" s="181"/>
      <c r="V1174" s="181"/>
      <c r="W1174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5" spans="1:23" x14ac:dyDescent="0.25">
      <c r="A1175" s="172"/>
      <c r="F1175" s="174"/>
      <c r="G1175" s="174"/>
      <c r="H1175" s="174"/>
      <c r="J1175" s="174"/>
      <c r="L1175" s="175"/>
      <c r="M1175" s="182"/>
      <c r="N1175" s="177"/>
      <c r="P1175" s="183"/>
      <c r="Q1175" s="184"/>
      <c r="R1175" s="185"/>
      <c r="S1175" s="176"/>
      <c r="T1175" s="172"/>
      <c r="U1175" s="181"/>
      <c r="V1175" s="181"/>
      <c r="W1175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6" spans="1:23" x14ac:dyDescent="0.25">
      <c r="A1176" s="172"/>
      <c r="F1176" s="174"/>
      <c r="G1176" s="174"/>
      <c r="H1176" s="174"/>
      <c r="J1176" s="174"/>
      <c r="L1176" s="175"/>
      <c r="M1176" s="182"/>
      <c r="N1176" s="177"/>
      <c r="P1176" s="183"/>
      <c r="Q1176" s="184"/>
      <c r="R1176" s="185"/>
      <c r="S1176" s="176"/>
      <c r="T1176" s="172"/>
      <c r="U1176" s="181"/>
      <c r="V1176" s="181"/>
      <c r="W1176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7" spans="1:23" x14ac:dyDescent="0.25">
      <c r="A1177" s="172"/>
      <c r="F1177" s="174"/>
      <c r="G1177" s="174"/>
      <c r="H1177" s="174"/>
      <c r="J1177" s="174"/>
      <c r="L1177" s="175"/>
      <c r="M1177" s="182"/>
      <c r="N1177" s="177"/>
      <c r="P1177" s="183"/>
      <c r="Q1177" s="184"/>
      <c r="R1177" s="185"/>
      <c r="S1177" s="176"/>
      <c r="T1177" s="172"/>
      <c r="U1177" s="181"/>
      <c r="V1177" s="181"/>
      <c r="W1177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8" spans="1:23" x14ac:dyDescent="0.25">
      <c r="A1178" s="172"/>
      <c r="F1178" s="174"/>
      <c r="G1178" s="174"/>
      <c r="H1178" s="174"/>
      <c r="J1178" s="174"/>
      <c r="L1178" s="175"/>
      <c r="M1178" s="182"/>
      <c r="N1178" s="177"/>
      <c r="P1178" s="183"/>
      <c r="Q1178" s="184"/>
      <c r="R1178" s="185"/>
      <c r="S1178" s="176"/>
      <c r="T1178" s="172"/>
      <c r="U1178" s="181"/>
      <c r="V1178" s="181"/>
      <c r="W1178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79" spans="1:23" x14ac:dyDescent="0.25">
      <c r="A1179" s="172"/>
      <c r="F1179" s="174"/>
      <c r="G1179" s="174"/>
      <c r="H1179" s="174"/>
      <c r="J1179" s="174"/>
      <c r="L1179" s="175"/>
      <c r="M1179" s="182"/>
      <c r="N1179" s="177"/>
      <c r="P1179" s="183"/>
      <c r="Q1179" s="184"/>
      <c r="R1179" s="185"/>
      <c r="S1179" s="176"/>
      <c r="T1179" s="172"/>
      <c r="U1179" s="181"/>
      <c r="V1179" s="181"/>
      <c r="W1179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0" spans="1:23" x14ac:dyDescent="0.25">
      <c r="A1180" s="172"/>
      <c r="F1180" s="174"/>
      <c r="G1180" s="174"/>
      <c r="H1180" s="174"/>
      <c r="J1180" s="174"/>
      <c r="L1180" s="175"/>
      <c r="M1180" s="182"/>
      <c r="N1180" s="177"/>
      <c r="P1180" s="183"/>
      <c r="Q1180" s="184"/>
      <c r="R1180" s="185"/>
      <c r="S1180" s="176"/>
      <c r="T1180" s="172"/>
      <c r="U1180" s="181"/>
      <c r="V1180" s="181"/>
      <c r="W1180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1" spans="1:23" x14ac:dyDescent="0.25">
      <c r="A1181" s="172"/>
      <c r="F1181" s="174"/>
      <c r="G1181" s="174"/>
      <c r="H1181" s="174"/>
      <c r="J1181" s="174"/>
      <c r="L1181" s="175"/>
      <c r="M1181" s="182"/>
      <c r="N1181" s="177"/>
      <c r="P1181" s="183"/>
      <c r="Q1181" s="184"/>
      <c r="R1181" s="185"/>
      <c r="S1181" s="176"/>
      <c r="T1181" s="172"/>
      <c r="U1181" s="181"/>
      <c r="V1181" s="181"/>
      <c r="W1181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2" spans="1:23" x14ac:dyDescent="0.25">
      <c r="A1182" s="172"/>
      <c r="F1182" s="174"/>
      <c r="G1182" s="174"/>
      <c r="H1182" s="174"/>
      <c r="J1182" s="174"/>
      <c r="L1182" s="175"/>
      <c r="M1182" s="182"/>
      <c r="N1182" s="177"/>
      <c r="P1182" s="183"/>
      <c r="Q1182" s="184"/>
      <c r="R1182" s="185"/>
      <c r="S1182" s="176"/>
      <c r="T1182" s="172"/>
      <c r="U1182" s="181"/>
      <c r="V1182" s="181"/>
      <c r="W1182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3" spans="1:23" x14ac:dyDescent="0.25">
      <c r="A1183" s="172"/>
      <c r="F1183" s="174"/>
      <c r="G1183" s="174"/>
      <c r="H1183" s="174"/>
      <c r="J1183" s="174"/>
      <c r="L1183" s="175"/>
      <c r="M1183" s="182"/>
      <c r="N1183" s="177"/>
      <c r="P1183" s="183"/>
      <c r="Q1183" s="184"/>
      <c r="R1183" s="185"/>
      <c r="S1183" s="176"/>
      <c r="T1183" s="172"/>
      <c r="U1183" s="181"/>
      <c r="V1183" s="181"/>
      <c r="W1183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4" spans="1:23" x14ac:dyDescent="0.25">
      <c r="A1184" s="172"/>
      <c r="F1184" s="174"/>
      <c r="G1184" s="174"/>
      <c r="H1184" s="174"/>
      <c r="J1184" s="174"/>
      <c r="L1184" s="175"/>
      <c r="M1184" s="182"/>
      <c r="N1184" s="177"/>
      <c r="P1184" s="183"/>
      <c r="Q1184" s="184"/>
      <c r="R1184" s="185"/>
      <c r="S1184" s="176"/>
      <c r="T1184" s="172"/>
      <c r="U1184" s="181"/>
      <c r="V1184" s="181"/>
      <c r="W1184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5" spans="1:23" x14ac:dyDescent="0.25">
      <c r="A1185" s="172"/>
      <c r="F1185" s="174"/>
      <c r="G1185" s="174"/>
      <c r="H1185" s="174"/>
      <c r="J1185" s="174"/>
      <c r="L1185" s="175"/>
      <c r="M1185" s="182"/>
      <c r="N1185" s="177"/>
      <c r="P1185" s="183"/>
      <c r="Q1185" s="184"/>
      <c r="R1185" s="185"/>
      <c r="S1185" s="176"/>
      <c r="T1185" s="172"/>
      <c r="U1185" s="181"/>
      <c r="V1185" s="181"/>
      <c r="W1185" s="186" t="str">
        <f t="shared" si="43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6" spans="1:23" x14ac:dyDescent="0.25">
      <c r="A1186" s="172"/>
      <c r="F1186" s="174"/>
      <c r="G1186" s="174"/>
      <c r="H1186" s="174"/>
      <c r="J1186" s="174"/>
      <c r="L1186" s="175"/>
      <c r="M1186" s="182"/>
      <c r="N1186" s="177"/>
      <c r="P1186" s="183"/>
      <c r="Q1186" s="184"/>
      <c r="R1186" s="185"/>
      <c r="S1186" s="176"/>
      <c r="T1186" s="172"/>
      <c r="U1186" s="181"/>
      <c r="V1186" s="181"/>
      <c r="W1186" s="186" t="str">
        <f t="shared" ref="W1186:W1229" si="44">"echo {""issue"":{""subject"":"""&amp;N1186&amp;""",""project_id"":79,""tracker_id"":40,""status_id"":"&amp;redmine_status&amp;",""priority_id"":"&amp;redmine_priority&amp;",""assigned_to_id"":"&amp;redmine_assignee&amp;",""start_date"":"""&amp;TEXT(A1186,"YYYY-mm-dd")&amp;""",""description"":"""&amp;X1186&amp;""",""custom_fields"":[{""id"":1,""name"":""Subdivision"",""value"":"""&amp;U1186&amp;"""},{""id"":4,""name"":""Milepost"",""value"":"""&amp;J1186/10000&amp;"""},{""id"":17,""name"":""Train ID"",""value"":"""&amp;C1186&amp;"""},{""id"":16,""name"":""Locomotive ID"",""value"":"""&amp;S1186&amp;"""},{""id"":130,""name"":""Impact"",""value"":"""&amp;Y1186&amp;"""},{""id"":150,""name"":""Time of Event (Mountain Time)"",""value"":"""&amp;TEXT(A1186,"hh:mm:ss")&amp;"""},{""id"":151,""name"":""Denver Issue ID"",""value"":"""&amp;"""},{""id"":178,""name"":""Operational Impact"",""value"":"""&amp;redmine_op_impact&amp;"""},{""id"":179,""name"":""Denver Segment Assigned"",""value"":"""&amp;Z1186&amp;"""}]}}"&amp;"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7" spans="1:23" x14ac:dyDescent="0.25">
      <c r="A1187" s="172"/>
      <c r="F1187" s="174"/>
      <c r="G1187" s="174"/>
      <c r="H1187" s="174"/>
      <c r="J1187" s="174"/>
      <c r="L1187" s="175"/>
      <c r="M1187" s="182"/>
      <c r="N1187" s="177"/>
      <c r="P1187" s="183"/>
      <c r="Q1187" s="184"/>
      <c r="R1187" s="185"/>
      <c r="S1187" s="176"/>
      <c r="T1187" s="172"/>
      <c r="U1187" s="181"/>
      <c r="V1187" s="181"/>
      <c r="W1187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8" spans="1:23" x14ac:dyDescent="0.25">
      <c r="A1188" s="172"/>
      <c r="F1188" s="174"/>
      <c r="G1188" s="174"/>
      <c r="H1188" s="174"/>
      <c r="J1188" s="174"/>
      <c r="L1188" s="175"/>
      <c r="M1188" s="182"/>
      <c r="N1188" s="177"/>
      <c r="P1188" s="183"/>
      <c r="Q1188" s="184"/>
      <c r="R1188" s="185"/>
      <c r="S1188" s="176"/>
      <c r="T1188" s="172"/>
      <c r="U1188" s="181"/>
      <c r="V1188" s="181"/>
      <c r="W1188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89" spans="1:23" x14ac:dyDescent="0.25">
      <c r="A1189" s="172"/>
      <c r="F1189" s="174"/>
      <c r="G1189" s="174"/>
      <c r="H1189" s="174"/>
      <c r="J1189" s="174"/>
      <c r="L1189" s="175"/>
      <c r="M1189" s="182"/>
      <c r="N1189" s="177"/>
      <c r="P1189" s="183"/>
      <c r="Q1189" s="184"/>
      <c r="R1189" s="185"/>
      <c r="S1189" s="176"/>
      <c r="T1189" s="172"/>
      <c r="U1189" s="181"/>
      <c r="V1189" s="181"/>
      <c r="W1189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0" spans="1:23" x14ac:dyDescent="0.25">
      <c r="A1190" s="172"/>
      <c r="F1190" s="174"/>
      <c r="G1190" s="174"/>
      <c r="H1190" s="174"/>
      <c r="J1190" s="174"/>
      <c r="L1190" s="175"/>
      <c r="M1190" s="182"/>
      <c r="N1190" s="177"/>
      <c r="P1190" s="183"/>
      <c r="Q1190" s="184"/>
      <c r="R1190" s="185"/>
      <c r="S1190" s="176"/>
      <c r="T1190" s="172"/>
      <c r="U1190" s="181"/>
      <c r="V1190" s="181"/>
      <c r="W1190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1" spans="1:23" x14ac:dyDescent="0.25">
      <c r="A1191" s="172"/>
      <c r="F1191" s="174"/>
      <c r="G1191" s="174"/>
      <c r="H1191" s="174"/>
      <c r="J1191" s="174"/>
      <c r="L1191" s="175"/>
      <c r="M1191" s="182"/>
      <c r="N1191" s="177"/>
      <c r="P1191" s="183"/>
      <c r="Q1191" s="184"/>
      <c r="R1191" s="185"/>
      <c r="S1191" s="176"/>
      <c r="T1191" s="172"/>
      <c r="U1191" s="181"/>
      <c r="V1191" s="181"/>
      <c r="W1191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2" spans="1:23" x14ac:dyDescent="0.25">
      <c r="A1192" s="172"/>
      <c r="F1192" s="174"/>
      <c r="G1192" s="174"/>
      <c r="H1192" s="174"/>
      <c r="J1192" s="174"/>
      <c r="L1192" s="175"/>
      <c r="M1192" s="182"/>
      <c r="N1192" s="177"/>
      <c r="P1192" s="183"/>
      <c r="Q1192" s="184"/>
      <c r="R1192" s="185"/>
      <c r="S1192" s="176"/>
      <c r="T1192" s="172"/>
      <c r="U1192" s="181"/>
      <c r="V1192" s="181"/>
      <c r="W1192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3" spans="1:23" x14ac:dyDescent="0.25">
      <c r="A1193" s="172"/>
      <c r="F1193" s="174"/>
      <c r="G1193" s="174"/>
      <c r="H1193" s="174"/>
      <c r="J1193" s="174"/>
      <c r="L1193" s="175"/>
      <c r="M1193" s="182"/>
      <c r="N1193" s="177"/>
      <c r="P1193" s="183"/>
      <c r="Q1193" s="184"/>
      <c r="R1193" s="185"/>
      <c r="S1193" s="176"/>
      <c r="T1193" s="172"/>
      <c r="U1193" s="181"/>
      <c r="V1193" s="181"/>
      <c r="W1193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4" spans="1:23" x14ac:dyDescent="0.25">
      <c r="A1194" s="172"/>
      <c r="F1194" s="174"/>
      <c r="G1194" s="174"/>
      <c r="H1194" s="174"/>
      <c r="J1194" s="174"/>
      <c r="L1194" s="175"/>
      <c r="M1194" s="182"/>
      <c r="N1194" s="177"/>
      <c r="P1194" s="183"/>
      <c r="Q1194" s="184"/>
      <c r="R1194" s="185"/>
      <c r="S1194" s="176"/>
      <c r="T1194" s="172"/>
      <c r="U1194" s="181"/>
      <c r="V1194" s="181"/>
      <c r="W1194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5" spans="1:23" x14ac:dyDescent="0.25">
      <c r="A1195" s="172"/>
      <c r="F1195" s="174"/>
      <c r="G1195" s="174"/>
      <c r="H1195" s="174"/>
      <c r="J1195" s="174"/>
      <c r="L1195" s="175"/>
      <c r="M1195" s="182"/>
      <c r="N1195" s="177"/>
      <c r="P1195" s="183"/>
      <c r="Q1195" s="184"/>
      <c r="R1195" s="185"/>
      <c r="S1195" s="176"/>
      <c r="T1195" s="172"/>
      <c r="U1195" s="181"/>
      <c r="V1195" s="181"/>
      <c r="W1195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6" spans="1:23" x14ac:dyDescent="0.25">
      <c r="A1196" s="172"/>
      <c r="F1196" s="174"/>
      <c r="G1196" s="174"/>
      <c r="H1196" s="174"/>
      <c r="J1196" s="174"/>
      <c r="L1196" s="175"/>
      <c r="M1196" s="182"/>
      <c r="N1196" s="177"/>
      <c r="P1196" s="183"/>
      <c r="Q1196" s="184"/>
      <c r="R1196" s="185"/>
      <c r="S1196" s="176"/>
      <c r="T1196" s="172"/>
      <c r="U1196" s="181"/>
      <c r="V1196" s="181"/>
      <c r="W1196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7" spans="1:23" x14ac:dyDescent="0.25">
      <c r="A1197" s="172"/>
      <c r="F1197" s="174"/>
      <c r="G1197" s="174"/>
      <c r="H1197" s="174"/>
      <c r="J1197" s="174"/>
      <c r="L1197" s="175"/>
      <c r="M1197" s="182"/>
      <c r="N1197" s="177"/>
      <c r="P1197" s="183"/>
      <c r="Q1197" s="184"/>
      <c r="R1197" s="185"/>
      <c r="S1197" s="176"/>
      <c r="T1197" s="172"/>
      <c r="U1197" s="181"/>
      <c r="V1197" s="181"/>
      <c r="W1197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8" spans="1:23" x14ac:dyDescent="0.25">
      <c r="A1198" s="172"/>
      <c r="F1198" s="174"/>
      <c r="G1198" s="174"/>
      <c r="H1198" s="174"/>
      <c r="J1198" s="174"/>
      <c r="L1198" s="175"/>
      <c r="M1198" s="182"/>
      <c r="N1198" s="177"/>
      <c r="P1198" s="183"/>
      <c r="Q1198" s="184"/>
      <c r="R1198" s="185"/>
      <c r="S1198" s="176"/>
      <c r="T1198" s="172"/>
      <c r="U1198" s="181"/>
      <c r="V1198" s="181"/>
      <c r="W1198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199" spans="1:23" x14ac:dyDescent="0.25">
      <c r="A1199" s="172"/>
      <c r="F1199" s="174"/>
      <c r="G1199" s="174"/>
      <c r="H1199" s="174"/>
      <c r="J1199" s="174"/>
      <c r="L1199" s="175"/>
      <c r="M1199" s="182"/>
      <c r="N1199" s="177"/>
      <c r="P1199" s="183"/>
      <c r="Q1199" s="184"/>
      <c r="R1199" s="185"/>
      <c r="S1199" s="176"/>
      <c r="T1199" s="172"/>
      <c r="U1199" s="181"/>
      <c r="V1199" s="181"/>
      <c r="W1199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0" spans="1:23" x14ac:dyDescent="0.25">
      <c r="A1200" s="172"/>
      <c r="F1200" s="174"/>
      <c r="G1200" s="174"/>
      <c r="H1200" s="174"/>
      <c r="J1200" s="174"/>
      <c r="L1200" s="175"/>
      <c r="M1200" s="182"/>
      <c r="N1200" s="177"/>
      <c r="P1200" s="183"/>
      <c r="Q1200" s="184"/>
      <c r="R1200" s="185"/>
      <c r="S1200" s="176"/>
      <c r="T1200" s="172"/>
      <c r="U1200" s="181"/>
      <c r="V1200" s="181"/>
      <c r="W1200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1" spans="1:23" x14ac:dyDescent="0.25">
      <c r="A1201" s="172"/>
      <c r="F1201" s="174"/>
      <c r="G1201" s="174"/>
      <c r="H1201" s="174"/>
      <c r="J1201" s="174"/>
      <c r="L1201" s="175"/>
      <c r="M1201" s="182"/>
      <c r="N1201" s="177"/>
      <c r="P1201" s="183"/>
      <c r="Q1201" s="184"/>
      <c r="R1201" s="185"/>
      <c r="S1201" s="176"/>
      <c r="T1201" s="172"/>
      <c r="U1201" s="181"/>
      <c r="V1201" s="181"/>
      <c r="W1201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2" spans="1:23" x14ac:dyDescent="0.25">
      <c r="A1202" s="172"/>
      <c r="F1202" s="174"/>
      <c r="G1202" s="174"/>
      <c r="H1202" s="174"/>
      <c r="J1202" s="174"/>
      <c r="L1202" s="175"/>
      <c r="M1202" s="182"/>
      <c r="N1202" s="177"/>
      <c r="P1202" s="183"/>
      <c r="Q1202" s="184"/>
      <c r="R1202" s="185"/>
      <c r="S1202" s="176"/>
      <c r="T1202" s="172"/>
      <c r="U1202" s="181"/>
      <c r="V1202" s="181"/>
      <c r="W1202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3" spans="1:23" x14ac:dyDescent="0.25">
      <c r="A1203" s="172"/>
      <c r="F1203" s="174"/>
      <c r="G1203" s="174"/>
      <c r="H1203" s="174"/>
      <c r="J1203" s="174"/>
      <c r="L1203" s="175"/>
      <c r="M1203" s="182"/>
      <c r="N1203" s="177"/>
      <c r="P1203" s="183"/>
      <c r="Q1203" s="184"/>
      <c r="R1203" s="185"/>
      <c r="S1203" s="176"/>
      <c r="T1203" s="172"/>
      <c r="U1203" s="181"/>
      <c r="V1203" s="181"/>
      <c r="W1203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4" spans="1:23" x14ac:dyDescent="0.25">
      <c r="A1204" s="172"/>
      <c r="F1204" s="174"/>
      <c r="G1204" s="174"/>
      <c r="H1204" s="174"/>
      <c r="J1204" s="174"/>
      <c r="L1204" s="175"/>
      <c r="M1204" s="182"/>
      <c r="N1204" s="177"/>
      <c r="P1204" s="183"/>
      <c r="Q1204" s="184"/>
      <c r="R1204" s="185"/>
      <c r="S1204" s="176"/>
      <c r="T1204" s="172"/>
      <c r="U1204" s="181"/>
      <c r="V1204" s="181"/>
      <c r="W1204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5" spans="1:23" x14ac:dyDescent="0.25">
      <c r="A1205" s="172"/>
      <c r="F1205" s="174"/>
      <c r="G1205" s="174"/>
      <c r="H1205" s="174"/>
      <c r="J1205" s="174"/>
      <c r="L1205" s="175"/>
      <c r="M1205" s="182"/>
      <c r="N1205" s="177"/>
      <c r="P1205" s="183"/>
      <c r="Q1205" s="184"/>
      <c r="R1205" s="185"/>
      <c r="S1205" s="176"/>
      <c r="T1205" s="172"/>
      <c r="U1205" s="181"/>
      <c r="V1205" s="181"/>
      <c r="W1205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6" spans="1:23" x14ac:dyDescent="0.25">
      <c r="A1206" s="172"/>
      <c r="F1206" s="174"/>
      <c r="G1206" s="174"/>
      <c r="H1206" s="174"/>
      <c r="J1206" s="174"/>
      <c r="L1206" s="175"/>
      <c r="M1206" s="182"/>
      <c r="N1206" s="177"/>
      <c r="P1206" s="183"/>
      <c r="Q1206" s="184"/>
      <c r="R1206" s="185"/>
      <c r="S1206" s="176"/>
      <c r="T1206" s="172"/>
      <c r="U1206" s="181"/>
      <c r="V1206" s="181"/>
      <c r="W1206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7" spans="1:23" x14ac:dyDescent="0.25">
      <c r="A1207" s="172"/>
      <c r="F1207" s="174"/>
      <c r="G1207" s="174"/>
      <c r="H1207" s="174"/>
      <c r="J1207" s="174"/>
      <c r="L1207" s="175"/>
      <c r="M1207" s="182"/>
      <c r="N1207" s="177"/>
      <c r="P1207" s="183"/>
      <c r="Q1207" s="184"/>
      <c r="R1207" s="185"/>
      <c r="S1207" s="176"/>
      <c r="T1207" s="172"/>
      <c r="U1207" s="181"/>
      <c r="V1207" s="181"/>
      <c r="W1207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8" spans="1:23" x14ac:dyDescent="0.25">
      <c r="A1208" s="172"/>
      <c r="F1208" s="174"/>
      <c r="G1208" s="174"/>
      <c r="H1208" s="174"/>
      <c r="J1208" s="174"/>
      <c r="L1208" s="175"/>
      <c r="M1208" s="182"/>
      <c r="N1208" s="177"/>
      <c r="P1208" s="183"/>
      <c r="Q1208" s="184"/>
      <c r="R1208" s="185"/>
      <c r="S1208" s="176"/>
      <c r="T1208" s="172"/>
      <c r="U1208" s="181"/>
      <c r="V1208" s="181"/>
      <c r="W1208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09" spans="1:23" x14ac:dyDescent="0.25">
      <c r="A1209" s="172"/>
      <c r="F1209" s="174"/>
      <c r="G1209" s="174"/>
      <c r="H1209" s="174"/>
      <c r="J1209" s="174"/>
      <c r="L1209" s="175"/>
      <c r="M1209" s="182"/>
      <c r="N1209" s="177"/>
      <c r="P1209" s="183"/>
      <c r="Q1209" s="184"/>
      <c r="R1209" s="185"/>
      <c r="S1209" s="176"/>
      <c r="T1209" s="172"/>
      <c r="U1209" s="181"/>
      <c r="V1209" s="181"/>
      <c r="W1209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0" spans="1:23" x14ac:dyDescent="0.25">
      <c r="A1210" s="172"/>
      <c r="F1210" s="174"/>
      <c r="G1210" s="174"/>
      <c r="H1210" s="174"/>
      <c r="J1210" s="174"/>
      <c r="L1210" s="175"/>
      <c r="M1210" s="182"/>
      <c r="N1210" s="177"/>
      <c r="P1210" s="183"/>
      <c r="Q1210" s="184"/>
      <c r="R1210" s="185"/>
      <c r="S1210" s="176"/>
      <c r="T1210" s="172"/>
      <c r="U1210" s="181"/>
      <c r="V1210" s="181"/>
      <c r="W1210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1" spans="1:23" x14ac:dyDescent="0.25">
      <c r="A1211" s="172"/>
      <c r="F1211" s="174"/>
      <c r="G1211" s="174"/>
      <c r="H1211" s="174"/>
      <c r="J1211" s="174"/>
      <c r="L1211" s="175"/>
      <c r="M1211" s="182"/>
      <c r="N1211" s="177"/>
      <c r="P1211" s="183"/>
      <c r="Q1211" s="184"/>
      <c r="R1211" s="185"/>
      <c r="S1211" s="176"/>
      <c r="T1211" s="172"/>
      <c r="U1211" s="181"/>
      <c r="V1211" s="181"/>
      <c r="W1211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2" spans="1:23" x14ac:dyDescent="0.25">
      <c r="A1212" s="172"/>
      <c r="F1212" s="174"/>
      <c r="G1212" s="174"/>
      <c r="H1212" s="174"/>
      <c r="J1212" s="174"/>
      <c r="L1212" s="175"/>
      <c r="M1212" s="182"/>
      <c r="N1212" s="177"/>
      <c r="P1212" s="183"/>
      <c r="Q1212" s="184"/>
      <c r="R1212" s="185"/>
      <c r="S1212" s="176"/>
      <c r="T1212" s="172"/>
      <c r="U1212" s="181"/>
      <c r="V1212" s="181"/>
      <c r="W1212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3" spans="1:23" x14ac:dyDescent="0.25">
      <c r="A1213" s="172"/>
      <c r="F1213" s="174"/>
      <c r="G1213" s="174"/>
      <c r="H1213" s="174"/>
      <c r="J1213" s="174"/>
      <c r="L1213" s="175"/>
      <c r="M1213" s="182"/>
      <c r="N1213" s="177"/>
      <c r="P1213" s="183"/>
      <c r="Q1213" s="184"/>
      <c r="R1213" s="185"/>
      <c r="S1213" s="176"/>
      <c r="T1213" s="172"/>
      <c r="U1213" s="181"/>
      <c r="V1213" s="181"/>
      <c r="W1213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4" spans="1:23" x14ac:dyDescent="0.25">
      <c r="A1214" s="172"/>
      <c r="F1214" s="174"/>
      <c r="G1214" s="174"/>
      <c r="H1214" s="174"/>
      <c r="J1214" s="174"/>
      <c r="L1214" s="175"/>
      <c r="M1214" s="182"/>
      <c r="N1214" s="177"/>
      <c r="P1214" s="183"/>
      <c r="Q1214" s="184"/>
      <c r="R1214" s="185"/>
      <c r="S1214" s="176"/>
      <c r="T1214" s="172"/>
      <c r="U1214" s="181"/>
      <c r="V1214" s="181"/>
      <c r="W1214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5" spans="1:23" x14ac:dyDescent="0.25">
      <c r="A1215" s="172"/>
      <c r="F1215" s="174"/>
      <c r="G1215" s="174"/>
      <c r="H1215" s="174"/>
      <c r="J1215" s="174"/>
      <c r="L1215" s="175"/>
      <c r="M1215" s="182"/>
      <c r="N1215" s="177"/>
      <c r="P1215" s="183"/>
      <c r="Q1215" s="184"/>
      <c r="R1215" s="185"/>
      <c r="S1215" s="176"/>
      <c r="T1215" s="172"/>
      <c r="U1215" s="181"/>
      <c r="V1215" s="181"/>
      <c r="W1215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6" spans="1:23" x14ac:dyDescent="0.25">
      <c r="A1216" s="172"/>
      <c r="F1216" s="174"/>
      <c r="G1216" s="174"/>
      <c r="H1216" s="174"/>
      <c r="J1216" s="174"/>
      <c r="L1216" s="175"/>
      <c r="M1216" s="182"/>
      <c r="N1216" s="177"/>
      <c r="P1216" s="183"/>
      <c r="Q1216" s="184"/>
      <c r="R1216" s="185"/>
      <c r="S1216" s="176"/>
      <c r="T1216" s="172"/>
      <c r="U1216" s="181"/>
      <c r="V1216" s="181"/>
      <c r="W1216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7" spans="1:23" x14ac:dyDescent="0.25">
      <c r="A1217" s="172"/>
      <c r="F1217" s="174"/>
      <c r="G1217" s="174"/>
      <c r="H1217" s="174"/>
      <c r="J1217" s="174"/>
      <c r="L1217" s="175"/>
      <c r="M1217" s="182"/>
      <c r="N1217" s="177"/>
      <c r="P1217" s="183"/>
      <c r="Q1217" s="184"/>
      <c r="R1217" s="185"/>
      <c r="S1217" s="176"/>
      <c r="T1217" s="172"/>
      <c r="U1217" s="181"/>
      <c r="V1217" s="181"/>
      <c r="W1217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8" spans="1:23" x14ac:dyDescent="0.25">
      <c r="A1218" s="172"/>
      <c r="F1218" s="174"/>
      <c r="G1218" s="174"/>
      <c r="H1218" s="174"/>
      <c r="J1218" s="174"/>
      <c r="L1218" s="175"/>
      <c r="M1218" s="182"/>
      <c r="N1218" s="177"/>
      <c r="P1218" s="183"/>
      <c r="Q1218" s="184"/>
      <c r="R1218" s="185"/>
      <c r="S1218" s="176"/>
      <c r="T1218" s="172"/>
      <c r="U1218" s="181"/>
      <c r="V1218" s="181"/>
      <c r="W1218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19" spans="1:23" x14ac:dyDescent="0.25">
      <c r="A1219" s="172"/>
      <c r="F1219" s="174"/>
      <c r="G1219" s="174"/>
      <c r="H1219" s="174"/>
      <c r="J1219" s="174"/>
      <c r="L1219" s="175"/>
      <c r="M1219" s="182"/>
      <c r="N1219" s="177"/>
      <c r="P1219" s="183"/>
      <c r="Q1219" s="184"/>
      <c r="R1219" s="185"/>
      <c r="S1219" s="176"/>
      <c r="T1219" s="172"/>
      <c r="U1219" s="181"/>
      <c r="V1219" s="181"/>
      <c r="W1219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0" spans="1:23" x14ac:dyDescent="0.25">
      <c r="A1220" s="172"/>
      <c r="F1220" s="174"/>
      <c r="G1220" s="174"/>
      <c r="H1220" s="174"/>
      <c r="J1220" s="174"/>
      <c r="L1220" s="175"/>
      <c r="M1220" s="182"/>
      <c r="N1220" s="177"/>
      <c r="P1220" s="183"/>
      <c r="Q1220" s="184"/>
      <c r="R1220" s="185"/>
      <c r="S1220" s="176"/>
      <c r="T1220" s="172"/>
      <c r="U1220" s="181"/>
      <c r="V1220" s="181"/>
      <c r="W1220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1" spans="1:23" x14ac:dyDescent="0.25">
      <c r="A1221" s="172"/>
      <c r="F1221" s="174"/>
      <c r="G1221" s="174"/>
      <c r="H1221" s="174"/>
      <c r="J1221" s="174"/>
      <c r="L1221" s="175"/>
      <c r="M1221" s="182"/>
      <c r="N1221" s="177"/>
      <c r="P1221" s="183"/>
      <c r="Q1221" s="184"/>
      <c r="R1221" s="185"/>
      <c r="S1221" s="176"/>
      <c r="T1221" s="172"/>
      <c r="U1221" s="181"/>
      <c r="V1221" s="181"/>
      <c r="W1221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2" spans="1:23" x14ac:dyDescent="0.25">
      <c r="A1222" s="172"/>
      <c r="F1222" s="174"/>
      <c r="G1222" s="174"/>
      <c r="H1222" s="174"/>
      <c r="J1222" s="174"/>
      <c r="L1222" s="175"/>
      <c r="M1222" s="182"/>
      <c r="N1222" s="177"/>
      <c r="P1222" s="183"/>
      <c r="Q1222" s="184"/>
      <c r="R1222" s="185"/>
      <c r="S1222" s="176"/>
      <c r="T1222" s="172"/>
      <c r="U1222" s="181"/>
      <c r="V1222" s="181"/>
      <c r="W1222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3" spans="1:23" x14ac:dyDescent="0.25">
      <c r="A1223" s="172"/>
      <c r="F1223" s="174"/>
      <c r="G1223" s="174"/>
      <c r="H1223" s="174"/>
      <c r="J1223" s="174"/>
      <c r="L1223" s="175"/>
      <c r="M1223" s="182"/>
      <c r="N1223" s="177"/>
      <c r="P1223" s="183"/>
      <c r="Q1223" s="184"/>
      <c r="R1223" s="185"/>
      <c r="S1223" s="176"/>
      <c r="T1223" s="172"/>
      <c r="U1223" s="181"/>
      <c r="V1223" s="181"/>
      <c r="W1223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4" spans="1:23" x14ac:dyDescent="0.25">
      <c r="A1224" s="172"/>
      <c r="F1224" s="174"/>
      <c r="G1224" s="174"/>
      <c r="H1224" s="174"/>
      <c r="J1224" s="174"/>
      <c r="L1224" s="175"/>
      <c r="M1224" s="182"/>
      <c r="N1224" s="177"/>
      <c r="P1224" s="183"/>
      <c r="Q1224" s="184"/>
      <c r="R1224" s="185"/>
      <c r="S1224" s="176"/>
      <c r="T1224" s="172"/>
      <c r="U1224" s="181"/>
      <c r="V1224" s="181"/>
      <c r="W1224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5" spans="1:23" x14ac:dyDescent="0.25">
      <c r="A1225" s="172"/>
      <c r="F1225" s="174"/>
      <c r="G1225" s="174"/>
      <c r="H1225" s="174"/>
      <c r="J1225" s="174"/>
      <c r="L1225" s="175"/>
      <c r="M1225" s="182"/>
      <c r="N1225" s="177"/>
      <c r="P1225" s="183"/>
      <c r="Q1225" s="184"/>
      <c r="R1225" s="185"/>
      <c r="S1225" s="176"/>
      <c r="T1225" s="172"/>
      <c r="U1225" s="181"/>
      <c r="V1225" s="181"/>
      <c r="W1225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6" spans="1:23" x14ac:dyDescent="0.25">
      <c r="A1226" s="172"/>
      <c r="F1226" s="174"/>
      <c r="G1226" s="174"/>
      <c r="H1226" s="174"/>
      <c r="J1226" s="174"/>
      <c r="L1226" s="175"/>
      <c r="M1226" s="182"/>
      <c r="N1226" s="177"/>
      <c r="P1226" s="183"/>
      <c r="Q1226" s="184"/>
      <c r="R1226" s="185"/>
      <c r="S1226" s="176"/>
      <c r="T1226" s="172"/>
      <c r="U1226" s="181"/>
      <c r="V1226" s="181"/>
      <c r="W1226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7" spans="1:23" x14ac:dyDescent="0.25">
      <c r="A1227" s="172"/>
      <c r="F1227" s="174"/>
      <c r="G1227" s="174"/>
      <c r="H1227" s="174"/>
      <c r="J1227" s="174"/>
      <c r="L1227" s="175"/>
      <c r="M1227" s="182"/>
      <c r="N1227" s="177"/>
      <c r="P1227" s="183"/>
      <c r="Q1227" s="184"/>
      <c r="R1227" s="185"/>
      <c r="S1227" s="176"/>
      <c r="T1227" s="172"/>
      <c r="U1227" s="181"/>
      <c r="V1227" s="181"/>
      <c r="W1227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8" spans="1:23" x14ac:dyDescent="0.25">
      <c r="A1228" s="172"/>
      <c r="F1228" s="174"/>
      <c r="G1228" s="174"/>
      <c r="H1228" s="174"/>
      <c r="J1228" s="174"/>
      <c r="L1228" s="175"/>
      <c r="M1228" s="182"/>
      <c r="N1228" s="177"/>
      <c r="P1228" s="183"/>
      <c r="Q1228" s="184"/>
      <c r="R1228" s="185"/>
      <c r="S1228" s="176"/>
      <c r="T1228" s="172"/>
      <c r="U1228" s="181"/>
      <c r="V1228" s="181"/>
      <c r="W1228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29" spans="1:23" x14ac:dyDescent="0.25">
      <c r="A1229" s="172"/>
      <c r="F1229" s="174"/>
      <c r="G1229" s="174"/>
      <c r="H1229" s="174"/>
      <c r="J1229" s="174"/>
      <c r="L1229" s="175"/>
      <c r="M1229" s="182"/>
      <c r="N1229" s="177"/>
      <c r="P1229" s="183"/>
      <c r="Q1229" s="184"/>
      <c r="R1229" s="185"/>
      <c r="S1229" s="176"/>
      <c r="T1229" s="172"/>
      <c r="U1229" s="181"/>
      <c r="V1229" s="181"/>
      <c r="W1229" s="186" t="str">
        <f t="shared" si="44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0" spans="1:23" x14ac:dyDescent="0.25">
      <c r="A1230" s="172"/>
      <c r="F1230" s="174"/>
      <c r="G1230" s="174"/>
      <c r="H1230" s="174"/>
      <c r="J1230" s="174"/>
      <c r="L1230" s="175"/>
      <c r="M1230" s="182"/>
      <c r="N1230" s="177"/>
      <c r="P1230" s="183"/>
      <c r="Q1230" s="184"/>
      <c r="R1230" s="185"/>
      <c r="S1230" s="176"/>
      <c r="T1230" s="172"/>
      <c r="U1230" s="181"/>
      <c r="V1230" s="181"/>
      <c r="W1230" s="186" t="str">
        <f t="shared" ref="W1230:W1277" si="45">"echo {""issue"":{""subject"":"""&amp;N1230&amp;""",""project_id"":79,""tracker_id"":40,""status_id"":"&amp;redmine_status&amp;",""priority_id"":"&amp;redmine_priority&amp;",""assigned_to_id"":"&amp;redmine_assignee&amp;",""start_date"":"""&amp;TEXT(A1230,"YYYY-mm-dd")&amp;""",""description"":"""&amp;X1230&amp;""",""custom_fields"":[{""id"":1,""name"":""Subdivision"",""value"":"""&amp;U1230&amp;"""},{""id"":4,""name"":""Milepost"",""value"":"""&amp;J1230/10000&amp;"""},{""id"":17,""name"":""Train ID"",""value"":"""&amp;C1230&amp;"""},{""id"":16,""name"":""Locomotive ID"",""value"":"""&amp;S1230&amp;"""},{""id"":130,""name"":""Impact"",""value"":"""&amp;Y1230&amp;"""},{""id"":150,""name"":""Time of Event (Mountain Time)"",""value"":"""&amp;TEXT(A1230,"hh:mm:ss")&amp;"""},{""id"":151,""name"":""Denver Issue ID"",""value"":"""&amp;"""},{""id"":178,""name"":""Operational Impact"",""value"":"""&amp;redmine_op_impact&amp;"""},{""id"":179,""name"":""Denver Segment Assigned"",""value"":"""&amp;Z1230&amp;"""}]}}"&amp;"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1" spans="1:23" x14ac:dyDescent="0.25">
      <c r="A1231" s="172"/>
      <c r="F1231" s="174"/>
      <c r="G1231" s="174"/>
      <c r="H1231" s="174"/>
      <c r="J1231" s="174"/>
      <c r="L1231" s="175"/>
      <c r="M1231" s="182"/>
      <c r="N1231" s="177"/>
      <c r="P1231" s="183"/>
      <c r="Q1231" s="184"/>
      <c r="R1231" s="185"/>
      <c r="S1231" s="176"/>
      <c r="T1231" s="172"/>
      <c r="U1231" s="181"/>
      <c r="V1231" s="181"/>
      <c r="W1231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2" spans="1:23" x14ac:dyDescent="0.25">
      <c r="A1232" s="172"/>
      <c r="F1232" s="174"/>
      <c r="G1232" s="174"/>
      <c r="H1232" s="174"/>
      <c r="J1232" s="174"/>
      <c r="L1232" s="175"/>
      <c r="M1232" s="182"/>
      <c r="N1232" s="177"/>
      <c r="P1232" s="183"/>
      <c r="Q1232" s="184"/>
      <c r="R1232" s="185"/>
      <c r="S1232" s="176"/>
      <c r="T1232" s="172"/>
      <c r="U1232" s="181"/>
      <c r="V1232" s="181"/>
      <c r="W1232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3" spans="1:23" x14ac:dyDescent="0.25">
      <c r="A1233" s="172"/>
      <c r="F1233" s="174"/>
      <c r="G1233" s="174"/>
      <c r="H1233" s="174"/>
      <c r="J1233" s="174"/>
      <c r="L1233" s="175"/>
      <c r="M1233" s="182"/>
      <c r="N1233" s="177"/>
      <c r="P1233" s="183"/>
      <c r="Q1233" s="184"/>
      <c r="R1233" s="185"/>
      <c r="S1233" s="176"/>
      <c r="T1233" s="172"/>
      <c r="U1233" s="181"/>
      <c r="V1233" s="181"/>
      <c r="W1233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4" spans="1:23" x14ac:dyDescent="0.25">
      <c r="A1234" s="172"/>
      <c r="F1234" s="174"/>
      <c r="G1234" s="174"/>
      <c r="H1234" s="174"/>
      <c r="J1234" s="174"/>
      <c r="L1234" s="175"/>
      <c r="M1234" s="182"/>
      <c r="N1234" s="177"/>
      <c r="P1234" s="183"/>
      <c r="Q1234" s="184"/>
      <c r="R1234" s="185"/>
      <c r="S1234" s="176"/>
      <c r="T1234" s="172"/>
      <c r="U1234" s="181"/>
      <c r="V1234" s="181"/>
      <c r="W1234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5" spans="1:23" x14ac:dyDescent="0.25">
      <c r="A1235" s="172"/>
      <c r="F1235" s="174"/>
      <c r="G1235" s="174"/>
      <c r="H1235" s="174"/>
      <c r="J1235" s="174"/>
      <c r="L1235" s="175"/>
      <c r="M1235" s="182"/>
      <c r="N1235" s="177"/>
      <c r="P1235" s="183"/>
      <c r="Q1235" s="184"/>
      <c r="R1235" s="185"/>
      <c r="S1235" s="176"/>
      <c r="T1235" s="172"/>
      <c r="U1235" s="181"/>
      <c r="V1235" s="181"/>
      <c r="W1235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6" spans="1:23" x14ac:dyDescent="0.25">
      <c r="A1236" s="172"/>
      <c r="F1236" s="174"/>
      <c r="G1236" s="174"/>
      <c r="H1236" s="174"/>
      <c r="J1236" s="174"/>
      <c r="L1236" s="175"/>
      <c r="M1236" s="182"/>
      <c r="N1236" s="177"/>
      <c r="P1236" s="183"/>
      <c r="Q1236" s="184"/>
      <c r="R1236" s="185"/>
      <c r="S1236" s="176"/>
      <c r="T1236" s="172"/>
      <c r="U1236" s="181"/>
      <c r="V1236" s="181"/>
      <c r="W1236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7" spans="1:23" x14ac:dyDescent="0.25">
      <c r="A1237" s="172"/>
      <c r="F1237" s="174"/>
      <c r="G1237" s="174"/>
      <c r="H1237" s="174"/>
      <c r="J1237" s="174"/>
      <c r="L1237" s="175"/>
      <c r="M1237" s="182"/>
      <c r="N1237" s="177"/>
      <c r="P1237" s="183"/>
      <c r="Q1237" s="184"/>
      <c r="R1237" s="185"/>
      <c r="S1237" s="176"/>
      <c r="T1237" s="172"/>
      <c r="U1237" s="181"/>
      <c r="V1237" s="181"/>
      <c r="W1237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8" spans="1:23" x14ac:dyDescent="0.25">
      <c r="A1238" s="172"/>
      <c r="F1238" s="174"/>
      <c r="G1238" s="174"/>
      <c r="H1238" s="174"/>
      <c r="J1238" s="174"/>
      <c r="L1238" s="175"/>
      <c r="M1238" s="182"/>
      <c r="N1238" s="177"/>
      <c r="P1238" s="183"/>
      <c r="Q1238" s="184"/>
      <c r="R1238" s="185"/>
      <c r="S1238" s="176"/>
      <c r="T1238" s="172"/>
      <c r="U1238" s="181"/>
      <c r="V1238" s="181"/>
      <c r="W1238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39" spans="1:23" x14ac:dyDescent="0.25">
      <c r="A1239" s="172"/>
      <c r="F1239" s="174"/>
      <c r="G1239" s="174"/>
      <c r="H1239" s="174"/>
      <c r="J1239" s="174"/>
      <c r="L1239" s="175"/>
      <c r="M1239" s="182"/>
      <c r="N1239" s="177"/>
      <c r="P1239" s="183"/>
      <c r="Q1239" s="184"/>
      <c r="R1239" s="185"/>
      <c r="S1239" s="176"/>
      <c r="T1239" s="172"/>
      <c r="U1239" s="181"/>
      <c r="V1239" s="181"/>
      <c r="W1239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0" spans="1:23" x14ac:dyDescent="0.25">
      <c r="A1240" s="172"/>
      <c r="F1240" s="174"/>
      <c r="G1240" s="174"/>
      <c r="H1240" s="174"/>
      <c r="J1240" s="174"/>
      <c r="L1240" s="175"/>
      <c r="M1240" s="182"/>
      <c r="N1240" s="177"/>
      <c r="P1240" s="183"/>
      <c r="Q1240" s="184"/>
      <c r="R1240" s="185"/>
      <c r="S1240" s="176"/>
      <c r="T1240" s="172"/>
      <c r="U1240" s="181"/>
      <c r="V1240" s="181"/>
      <c r="W1240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1" spans="1:23" x14ac:dyDescent="0.25">
      <c r="A1241" s="172"/>
      <c r="F1241" s="174"/>
      <c r="G1241" s="174"/>
      <c r="H1241" s="174"/>
      <c r="J1241" s="174"/>
      <c r="L1241" s="175"/>
      <c r="M1241" s="182"/>
      <c r="N1241" s="177"/>
      <c r="P1241" s="183"/>
      <c r="Q1241" s="184"/>
      <c r="R1241" s="185"/>
      <c r="S1241" s="176"/>
      <c r="T1241" s="172"/>
      <c r="U1241" s="181"/>
      <c r="V1241" s="181"/>
      <c r="W1241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2" spans="1:23" x14ac:dyDescent="0.25">
      <c r="A1242" s="172"/>
      <c r="F1242" s="174"/>
      <c r="G1242" s="174"/>
      <c r="H1242" s="174"/>
      <c r="J1242" s="174"/>
      <c r="L1242" s="175"/>
      <c r="M1242" s="182"/>
      <c r="N1242" s="177"/>
      <c r="P1242" s="183"/>
      <c r="Q1242" s="184"/>
      <c r="R1242" s="185"/>
      <c r="S1242" s="176"/>
      <c r="T1242" s="172"/>
      <c r="U1242" s="181"/>
      <c r="V1242" s="181"/>
      <c r="W1242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3" spans="1:23" x14ac:dyDescent="0.25">
      <c r="A1243" s="172"/>
      <c r="F1243" s="174"/>
      <c r="G1243" s="174"/>
      <c r="H1243" s="174"/>
      <c r="J1243" s="174"/>
      <c r="L1243" s="175"/>
      <c r="M1243" s="182"/>
      <c r="N1243" s="177"/>
      <c r="P1243" s="183"/>
      <c r="Q1243" s="184"/>
      <c r="R1243" s="185"/>
      <c r="S1243" s="176"/>
      <c r="T1243" s="172"/>
      <c r="U1243" s="181"/>
      <c r="V1243" s="181"/>
      <c r="W1243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4" spans="1:23" x14ac:dyDescent="0.25">
      <c r="A1244" s="172"/>
      <c r="F1244" s="174"/>
      <c r="G1244" s="174"/>
      <c r="H1244" s="174"/>
      <c r="J1244" s="174"/>
      <c r="L1244" s="175"/>
      <c r="M1244" s="182"/>
      <c r="N1244" s="177"/>
      <c r="P1244" s="183"/>
      <c r="Q1244" s="184"/>
      <c r="R1244" s="185"/>
      <c r="S1244" s="176"/>
      <c r="T1244" s="172"/>
      <c r="U1244" s="181"/>
      <c r="V1244" s="181"/>
      <c r="W1244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5" spans="1:23" x14ac:dyDescent="0.25">
      <c r="A1245" s="172"/>
      <c r="F1245" s="174"/>
      <c r="G1245" s="174"/>
      <c r="H1245" s="174"/>
      <c r="J1245" s="174"/>
      <c r="L1245" s="175"/>
      <c r="M1245" s="182"/>
      <c r="N1245" s="177"/>
      <c r="P1245" s="183"/>
      <c r="Q1245" s="184"/>
      <c r="R1245" s="185"/>
      <c r="S1245" s="176"/>
      <c r="T1245" s="172"/>
      <c r="U1245" s="181"/>
      <c r="V1245" s="181"/>
      <c r="W1245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6" spans="1:23" x14ac:dyDescent="0.25">
      <c r="A1246" s="172"/>
      <c r="F1246" s="174"/>
      <c r="G1246" s="174"/>
      <c r="H1246" s="174"/>
      <c r="J1246" s="174"/>
      <c r="L1246" s="175"/>
      <c r="M1246" s="182"/>
      <c r="N1246" s="177"/>
      <c r="P1246" s="183"/>
      <c r="Q1246" s="184"/>
      <c r="R1246" s="185"/>
      <c r="S1246" s="176"/>
      <c r="T1246" s="172"/>
      <c r="U1246" s="181"/>
      <c r="V1246" s="181"/>
      <c r="W1246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7" spans="1:23" x14ac:dyDescent="0.25">
      <c r="A1247" s="172"/>
      <c r="F1247" s="174"/>
      <c r="G1247" s="174"/>
      <c r="H1247" s="174"/>
      <c r="J1247" s="174"/>
      <c r="L1247" s="175"/>
      <c r="M1247" s="182"/>
      <c r="N1247" s="177"/>
      <c r="P1247" s="183"/>
      <c r="Q1247" s="184"/>
      <c r="R1247" s="185"/>
      <c r="S1247" s="176"/>
      <c r="T1247" s="172"/>
      <c r="U1247" s="181"/>
      <c r="V1247" s="181"/>
      <c r="W1247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8" spans="1:23" x14ac:dyDescent="0.25">
      <c r="A1248" s="172"/>
      <c r="F1248" s="174"/>
      <c r="G1248" s="174"/>
      <c r="H1248" s="174"/>
      <c r="J1248" s="174"/>
      <c r="L1248" s="175"/>
      <c r="M1248" s="182"/>
      <c r="N1248" s="177"/>
      <c r="P1248" s="183"/>
      <c r="Q1248" s="184"/>
      <c r="R1248" s="185"/>
      <c r="S1248" s="176"/>
      <c r="T1248" s="172"/>
      <c r="U1248" s="181"/>
      <c r="V1248" s="181"/>
      <c r="W1248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49" spans="1:23" x14ac:dyDescent="0.25">
      <c r="A1249" s="172"/>
      <c r="F1249" s="174"/>
      <c r="G1249" s="174"/>
      <c r="H1249" s="174"/>
      <c r="J1249" s="174"/>
      <c r="L1249" s="175"/>
      <c r="M1249" s="182"/>
      <c r="N1249" s="177"/>
      <c r="P1249" s="183"/>
      <c r="Q1249" s="184"/>
      <c r="R1249" s="185"/>
      <c r="S1249" s="176"/>
      <c r="T1249" s="172"/>
      <c r="U1249" s="181"/>
      <c r="V1249" s="181"/>
      <c r="W1249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0" spans="1:23" x14ac:dyDescent="0.25">
      <c r="A1250" s="172"/>
      <c r="F1250" s="174"/>
      <c r="G1250" s="174"/>
      <c r="H1250" s="174"/>
      <c r="J1250" s="174"/>
      <c r="L1250" s="175"/>
      <c r="M1250" s="182"/>
      <c r="N1250" s="177"/>
      <c r="P1250" s="183"/>
      <c r="Q1250" s="184"/>
      <c r="R1250" s="185"/>
      <c r="S1250" s="176"/>
      <c r="T1250" s="172"/>
      <c r="U1250" s="181"/>
      <c r="V1250" s="181"/>
      <c r="W1250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1" spans="1:23" x14ac:dyDescent="0.25">
      <c r="A1251" s="172"/>
      <c r="F1251" s="174"/>
      <c r="G1251" s="174"/>
      <c r="H1251" s="174"/>
      <c r="J1251" s="174"/>
      <c r="L1251" s="175"/>
      <c r="M1251" s="182"/>
      <c r="N1251" s="177"/>
      <c r="P1251" s="183"/>
      <c r="Q1251" s="184"/>
      <c r="R1251" s="185"/>
      <c r="S1251" s="176"/>
      <c r="T1251" s="172"/>
      <c r="U1251" s="181"/>
      <c r="V1251" s="181"/>
      <c r="W1251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2" spans="1:23" x14ac:dyDescent="0.25">
      <c r="A1252" s="172"/>
      <c r="F1252" s="174"/>
      <c r="G1252" s="174"/>
      <c r="H1252" s="174"/>
      <c r="J1252" s="174"/>
      <c r="L1252" s="175"/>
      <c r="M1252" s="182"/>
      <c r="N1252" s="177"/>
      <c r="P1252" s="183"/>
      <c r="Q1252" s="184"/>
      <c r="R1252" s="185"/>
      <c r="S1252" s="176"/>
      <c r="T1252" s="172"/>
      <c r="U1252" s="181"/>
      <c r="V1252" s="181"/>
      <c r="W1252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3" spans="1:23" x14ac:dyDescent="0.25">
      <c r="A1253" s="172"/>
      <c r="F1253" s="174"/>
      <c r="G1253" s="174"/>
      <c r="H1253" s="174"/>
      <c r="J1253" s="174"/>
      <c r="L1253" s="175"/>
      <c r="M1253" s="182"/>
      <c r="N1253" s="177"/>
      <c r="P1253" s="183"/>
      <c r="Q1253" s="184"/>
      <c r="R1253" s="185"/>
      <c r="S1253" s="176"/>
      <c r="T1253" s="172"/>
      <c r="U1253" s="181"/>
      <c r="V1253" s="181"/>
      <c r="W1253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4" spans="1:23" x14ac:dyDescent="0.25">
      <c r="A1254" s="172"/>
      <c r="F1254" s="174"/>
      <c r="G1254" s="174"/>
      <c r="H1254" s="174"/>
      <c r="J1254" s="174"/>
      <c r="L1254" s="175"/>
      <c r="M1254" s="182"/>
      <c r="N1254" s="177"/>
      <c r="P1254" s="183"/>
      <c r="Q1254" s="184"/>
      <c r="R1254" s="185"/>
      <c r="S1254" s="176"/>
      <c r="T1254" s="172"/>
      <c r="U1254" s="181"/>
      <c r="V1254" s="181"/>
      <c r="W1254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5" spans="1:23" x14ac:dyDescent="0.25">
      <c r="A1255" s="172"/>
      <c r="F1255" s="174"/>
      <c r="G1255" s="174"/>
      <c r="H1255" s="174"/>
      <c r="J1255" s="174"/>
      <c r="L1255" s="175"/>
      <c r="M1255" s="182"/>
      <c r="N1255" s="177"/>
      <c r="P1255" s="183"/>
      <c r="Q1255" s="184"/>
      <c r="R1255" s="185"/>
      <c r="S1255" s="176"/>
      <c r="T1255" s="172"/>
      <c r="U1255" s="181"/>
      <c r="V1255" s="181"/>
      <c r="W1255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6" spans="1:23" x14ac:dyDescent="0.25">
      <c r="A1256" s="172"/>
      <c r="F1256" s="174"/>
      <c r="G1256" s="174"/>
      <c r="H1256" s="174"/>
      <c r="J1256" s="174"/>
      <c r="L1256" s="175"/>
      <c r="M1256" s="182"/>
      <c r="N1256" s="177"/>
      <c r="P1256" s="183"/>
      <c r="Q1256" s="184"/>
      <c r="R1256" s="185"/>
      <c r="S1256" s="176"/>
      <c r="T1256" s="172"/>
      <c r="U1256" s="181"/>
      <c r="V1256" s="181"/>
      <c r="W1256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7" spans="1:23" x14ac:dyDescent="0.25">
      <c r="A1257" s="172"/>
      <c r="F1257" s="174"/>
      <c r="G1257" s="174"/>
      <c r="H1257" s="174"/>
      <c r="J1257" s="174"/>
      <c r="L1257" s="175"/>
      <c r="M1257" s="182"/>
      <c r="N1257" s="177"/>
      <c r="P1257" s="183"/>
      <c r="Q1257" s="184"/>
      <c r="R1257" s="185"/>
      <c r="S1257" s="176"/>
      <c r="T1257" s="172"/>
      <c r="U1257" s="181"/>
      <c r="V1257" s="181"/>
      <c r="W1257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8" spans="1:23" x14ac:dyDescent="0.25">
      <c r="A1258" s="172"/>
      <c r="F1258" s="174"/>
      <c r="G1258" s="174"/>
      <c r="H1258" s="174"/>
      <c r="J1258" s="174"/>
      <c r="L1258" s="175"/>
      <c r="M1258" s="182"/>
      <c r="N1258" s="177"/>
      <c r="P1258" s="183"/>
      <c r="Q1258" s="184"/>
      <c r="R1258" s="185"/>
      <c r="S1258" s="176"/>
      <c r="T1258" s="172"/>
      <c r="U1258" s="181"/>
      <c r="V1258" s="181"/>
      <c r="W1258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59" spans="1:23" x14ac:dyDescent="0.25">
      <c r="A1259" s="172"/>
      <c r="F1259" s="174"/>
      <c r="G1259" s="174"/>
      <c r="H1259" s="174"/>
      <c r="J1259" s="174"/>
      <c r="L1259" s="175"/>
      <c r="M1259" s="182"/>
      <c r="N1259" s="177"/>
      <c r="P1259" s="183"/>
      <c r="Q1259" s="184"/>
      <c r="R1259" s="185"/>
      <c r="S1259" s="176"/>
      <c r="T1259" s="172"/>
      <c r="U1259" s="181"/>
      <c r="V1259" s="181"/>
      <c r="W1259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0" spans="1:23" x14ac:dyDescent="0.25">
      <c r="A1260" s="172"/>
      <c r="F1260" s="174"/>
      <c r="G1260" s="174"/>
      <c r="H1260" s="174"/>
      <c r="J1260" s="174"/>
      <c r="L1260" s="175"/>
      <c r="M1260" s="182"/>
      <c r="N1260" s="177"/>
      <c r="P1260" s="183"/>
      <c r="Q1260" s="184"/>
      <c r="R1260" s="185"/>
      <c r="S1260" s="176"/>
      <c r="T1260" s="172"/>
      <c r="U1260" s="181"/>
      <c r="V1260" s="181"/>
      <c r="W1260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1" spans="1:23" x14ac:dyDescent="0.25">
      <c r="A1261" s="172"/>
      <c r="F1261" s="174"/>
      <c r="G1261" s="174"/>
      <c r="H1261" s="174"/>
      <c r="J1261" s="174"/>
      <c r="L1261" s="175"/>
      <c r="M1261" s="182"/>
      <c r="N1261" s="177"/>
      <c r="P1261" s="183"/>
      <c r="Q1261" s="184"/>
      <c r="R1261" s="185"/>
      <c r="S1261" s="176"/>
      <c r="T1261" s="172"/>
      <c r="U1261" s="181"/>
      <c r="V1261" s="181"/>
      <c r="W1261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2" spans="1:23" x14ac:dyDescent="0.25">
      <c r="A1262" s="172"/>
      <c r="F1262" s="174"/>
      <c r="G1262" s="174"/>
      <c r="H1262" s="174"/>
      <c r="J1262" s="174"/>
      <c r="L1262" s="175"/>
      <c r="M1262" s="182"/>
      <c r="N1262" s="177"/>
      <c r="P1262" s="183"/>
      <c r="Q1262" s="184"/>
      <c r="R1262" s="185"/>
      <c r="S1262" s="176"/>
      <c r="T1262" s="172"/>
      <c r="U1262" s="181"/>
      <c r="V1262" s="181"/>
      <c r="W1262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3" spans="1:23" x14ac:dyDescent="0.25">
      <c r="A1263" s="172"/>
      <c r="F1263" s="174"/>
      <c r="G1263" s="174"/>
      <c r="H1263" s="174"/>
      <c r="J1263" s="174"/>
      <c r="L1263" s="175"/>
      <c r="M1263" s="182"/>
      <c r="N1263" s="177"/>
      <c r="P1263" s="183"/>
      <c r="Q1263" s="184"/>
      <c r="R1263" s="185"/>
      <c r="S1263" s="176"/>
      <c r="T1263" s="172"/>
      <c r="U1263" s="181"/>
      <c r="V1263" s="181"/>
      <c r="W1263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4" spans="1:23" x14ac:dyDescent="0.25">
      <c r="A1264" s="172"/>
      <c r="F1264" s="174"/>
      <c r="G1264" s="174"/>
      <c r="H1264" s="174"/>
      <c r="J1264" s="174"/>
      <c r="L1264" s="175"/>
      <c r="M1264" s="182"/>
      <c r="N1264" s="177"/>
      <c r="P1264" s="183"/>
      <c r="Q1264" s="184"/>
      <c r="R1264" s="185"/>
      <c r="S1264" s="176"/>
      <c r="T1264" s="172"/>
      <c r="U1264" s="181"/>
      <c r="V1264" s="181"/>
      <c r="W1264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5" spans="1:23" x14ac:dyDescent="0.25">
      <c r="A1265" s="172"/>
      <c r="F1265" s="174"/>
      <c r="G1265" s="174"/>
      <c r="H1265" s="174"/>
      <c r="J1265" s="174"/>
      <c r="L1265" s="175"/>
      <c r="M1265" s="182"/>
      <c r="N1265" s="177"/>
      <c r="P1265" s="183"/>
      <c r="Q1265" s="184"/>
      <c r="R1265" s="185"/>
      <c r="S1265" s="176"/>
      <c r="T1265" s="172"/>
      <c r="U1265" s="181"/>
      <c r="V1265" s="181"/>
      <c r="W1265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6" spans="1:23" x14ac:dyDescent="0.25">
      <c r="A1266" s="172"/>
      <c r="F1266" s="174"/>
      <c r="G1266" s="174"/>
      <c r="H1266" s="174"/>
      <c r="J1266" s="174"/>
      <c r="L1266" s="175"/>
      <c r="M1266" s="182"/>
      <c r="N1266" s="177"/>
      <c r="P1266" s="183"/>
      <c r="Q1266" s="184"/>
      <c r="R1266" s="185"/>
      <c r="S1266" s="176"/>
      <c r="T1266" s="172"/>
      <c r="U1266" s="181"/>
      <c r="V1266" s="181"/>
      <c r="W1266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7" spans="1:23" x14ac:dyDescent="0.25">
      <c r="A1267" s="172"/>
      <c r="F1267" s="174"/>
      <c r="G1267" s="174"/>
      <c r="H1267" s="174"/>
      <c r="J1267" s="174"/>
      <c r="L1267" s="175"/>
      <c r="M1267" s="182"/>
      <c r="N1267" s="177"/>
      <c r="P1267" s="183"/>
      <c r="Q1267" s="184"/>
      <c r="R1267" s="185"/>
      <c r="S1267" s="176"/>
      <c r="T1267" s="172"/>
      <c r="U1267" s="181"/>
      <c r="V1267" s="181"/>
      <c r="W1267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8" spans="1:23" x14ac:dyDescent="0.25">
      <c r="A1268" s="172"/>
      <c r="F1268" s="174"/>
      <c r="G1268" s="174"/>
      <c r="H1268" s="174"/>
      <c r="J1268" s="174"/>
      <c r="L1268" s="175"/>
      <c r="M1268" s="182"/>
      <c r="N1268" s="177"/>
      <c r="P1268" s="183"/>
      <c r="Q1268" s="184"/>
      <c r="R1268" s="185"/>
      <c r="S1268" s="176"/>
      <c r="T1268" s="172"/>
      <c r="U1268" s="181"/>
      <c r="V1268" s="181"/>
      <c r="W1268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69" spans="1:23" x14ac:dyDescent="0.25">
      <c r="A1269" s="172"/>
      <c r="F1269" s="174"/>
      <c r="G1269" s="174"/>
      <c r="H1269" s="174"/>
      <c r="J1269" s="174"/>
      <c r="L1269" s="175"/>
      <c r="M1269" s="182"/>
      <c r="N1269" s="177"/>
      <c r="P1269" s="183"/>
      <c r="Q1269" s="184"/>
      <c r="R1269" s="185"/>
      <c r="S1269" s="176"/>
      <c r="T1269" s="172"/>
      <c r="U1269" s="181"/>
      <c r="V1269" s="181"/>
      <c r="W1269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0" spans="1:23" x14ac:dyDescent="0.25">
      <c r="A1270" s="172"/>
      <c r="F1270" s="174"/>
      <c r="G1270" s="174"/>
      <c r="H1270" s="174"/>
      <c r="J1270" s="174"/>
      <c r="L1270" s="175"/>
      <c r="M1270" s="182"/>
      <c r="N1270" s="177"/>
      <c r="P1270" s="183"/>
      <c r="Q1270" s="184"/>
      <c r="R1270" s="185"/>
      <c r="S1270" s="176"/>
      <c r="T1270" s="172"/>
      <c r="U1270" s="181"/>
      <c r="V1270" s="181"/>
      <c r="W1270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1" spans="1:23" x14ac:dyDescent="0.25">
      <c r="A1271" s="172"/>
      <c r="F1271" s="174"/>
      <c r="G1271" s="174"/>
      <c r="H1271" s="174"/>
      <c r="J1271" s="174"/>
      <c r="L1271" s="175"/>
      <c r="M1271" s="182"/>
      <c r="N1271" s="177"/>
      <c r="P1271" s="183"/>
      <c r="Q1271" s="184"/>
      <c r="R1271" s="185"/>
      <c r="S1271" s="176"/>
      <c r="T1271" s="172"/>
      <c r="U1271" s="181"/>
      <c r="V1271" s="181"/>
      <c r="W1271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2" spans="1:23" x14ac:dyDescent="0.25">
      <c r="A1272" s="172"/>
      <c r="F1272" s="174"/>
      <c r="G1272" s="174"/>
      <c r="H1272" s="174"/>
      <c r="J1272" s="174"/>
      <c r="L1272" s="175"/>
      <c r="M1272" s="182"/>
      <c r="N1272" s="177"/>
      <c r="P1272" s="183"/>
      <c r="Q1272" s="184"/>
      <c r="R1272" s="185"/>
      <c r="S1272" s="176"/>
      <c r="T1272" s="172"/>
      <c r="U1272" s="181"/>
      <c r="V1272" s="181"/>
      <c r="W1272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3" spans="1:23" x14ac:dyDescent="0.25">
      <c r="A1273" s="172"/>
      <c r="F1273" s="174"/>
      <c r="G1273" s="174"/>
      <c r="H1273" s="174"/>
      <c r="J1273" s="174"/>
      <c r="L1273" s="175"/>
      <c r="M1273" s="182"/>
      <c r="N1273" s="177"/>
      <c r="P1273" s="183"/>
      <c r="Q1273" s="184"/>
      <c r="R1273" s="185"/>
      <c r="S1273" s="176"/>
      <c r="T1273" s="172"/>
      <c r="U1273" s="181"/>
      <c r="V1273" s="181"/>
      <c r="W1273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4" spans="1:23" x14ac:dyDescent="0.25">
      <c r="A1274" s="172"/>
      <c r="F1274" s="174"/>
      <c r="G1274" s="174"/>
      <c r="H1274" s="174"/>
      <c r="J1274" s="174"/>
      <c r="L1274" s="175"/>
      <c r="M1274" s="182"/>
      <c r="N1274" s="177"/>
      <c r="P1274" s="183"/>
      <c r="Q1274" s="184"/>
      <c r="R1274" s="185"/>
      <c r="S1274" s="176"/>
      <c r="T1274" s="172"/>
      <c r="U1274" s="181"/>
      <c r="V1274" s="181"/>
      <c r="W1274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5" spans="1:23" x14ac:dyDescent="0.25">
      <c r="A1275" s="172"/>
      <c r="F1275" s="174"/>
      <c r="G1275" s="174"/>
      <c r="H1275" s="174"/>
      <c r="J1275" s="174"/>
      <c r="L1275" s="175"/>
      <c r="M1275" s="182"/>
      <c r="N1275" s="177"/>
      <c r="P1275" s="183"/>
      <c r="Q1275" s="184"/>
      <c r="R1275" s="185"/>
      <c r="S1275" s="176"/>
      <c r="T1275" s="172"/>
      <c r="U1275" s="181"/>
      <c r="V1275" s="181"/>
      <c r="W1275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6" spans="1:23" x14ac:dyDescent="0.25">
      <c r="A1276" s="172"/>
      <c r="F1276" s="174"/>
      <c r="G1276" s="174"/>
      <c r="H1276" s="174"/>
      <c r="J1276" s="174"/>
      <c r="L1276" s="175"/>
      <c r="M1276" s="182"/>
      <c r="N1276" s="177"/>
      <c r="P1276" s="183"/>
      <c r="Q1276" s="184"/>
      <c r="R1276" s="185"/>
      <c r="S1276" s="176"/>
      <c r="T1276" s="172"/>
      <c r="U1276" s="181"/>
      <c r="V1276" s="181"/>
      <c r="W1276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7" spans="1:23" x14ac:dyDescent="0.25">
      <c r="A1277" s="172"/>
      <c r="F1277" s="174"/>
      <c r="G1277" s="174"/>
      <c r="H1277" s="174"/>
      <c r="J1277" s="174"/>
      <c r="L1277" s="175"/>
      <c r="M1277" s="182"/>
      <c r="N1277" s="177"/>
      <c r="P1277" s="183"/>
      <c r="Q1277" s="184"/>
      <c r="R1277" s="185"/>
      <c r="S1277" s="176"/>
      <c r="T1277" s="172"/>
      <c r="U1277" s="181"/>
      <c r="V1277" s="181"/>
      <c r="W1277" s="186" t="str">
        <f t="shared" si="45"/>
        <v>echo {"issue":{"subject":"","project_id":79,"tracker_id":40,"status_id":1,"priority_id":2,"assigned_to_id":23,"start_date":"1900-01-00","description":"","custom_fields":[{"id":1,"name":"Subdivision","value":""},{"id":4,"name":"Milepost","value":"0"},{"id":17,"name":"Train ID","value":""},{"id":16,"name":"Locomotive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</row>
    <row r="1278" spans="1:23" x14ac:dyDescent="0.25">
      <c r="A1278" s="172"/>
      <c r="B1278" s="189"/>
      <c r="E1278" s="189"/>
      <c r="F1278" s="174"/>
      <c r="G1278" s="174"/>
      <c r="H1278" s="174"/>
      <c r="I1278" s="189"/>
      <c r="J1278" s="174"/>
      <c r="L1278" s="190"/>
      <c r="M1278" s="176"/>
      <c r="N1278" s="177"/>
      <c r="O1278" s="177" t="str">
        <f t="shared" ref="O1278:O1341" si="46">RIGHT(C1278,2)</f>
        <v/>
      </c>
      <c r="P1278" s="187" t="e">
        <f t="shared" ref="P1278:P1341" si="47">42522+O1278+29</f>
        <v>#VALUE!</v>
      </c>
    </row>
    <row r="1279" spans="1:23" x14ac:dyDescent="0.25">
      <c r="A1279" s="172"/>
      <c r="B1279" s="189"/>
      <c r="E1279" s="189"/>
      <c r="F1279" s="174"/>
      <c r="G1279" s="174"/>
      <c r="H1279" s="174"/>
      <c r="I1279" s="189"/>
      <c r="J1279" s="174"/>
      <c r="L1279" s="190"/>
      <c r="M1279" s="176"/>
      <c r="N1279" s="177"/>
      <c r="O1279" s="177" t="str">
        <f t="shared" si="46"/>
        <v/>
      </c>
      <c r="P1279" s="187" t="e">
        <f t="shared" si="47"/>
        <v>#VALUE!</v>
      </c>
    </row>
    <row r="1280" spans="1:23" x14ac:dyDescent="0.25">
      <c r="A1280" s="172"/>
      <c r="B1280" s="189"/>
      <c r="E1280" s="189"/>
      <c r="F1280" s="174"/>
      <c r="G1280" s="174"/>
      <c r="H1280" s="174"/>
      <c r="I1280" s="189"/>
      <c r="J1280" s="174"/>
      <c r="L1280" s="190"/>
      <c r="M1280" s="176"/>
      <c r="N1280" s="177"/>
      <c r="O1280" s="177" t="str">
        <f t="shared" si="46"/>
        <v/>
      </c>
      <c r="P1280" s="187" t="e">
        <f t="shared" si="47"/>
        <v>#VALUE!</v>
      </c>
    </row>
    <row r="1281" spans="1:16" x14ac:dyDescent="0.25">
      <c r="A1281" s="172"/>
      <c r="B1281" s="189"/>
      <c r="E1281" s="189"/>
      <c r="F1281" s="174"/>
      <c r="G1281" s="174"/>
      <c r="H1281" s="174"/>
      <c r="I1281" s="189"/>
      <c r="J1281" s="174"/>
      <c r="L1281" s="190"/>
      <c r="M1281" s="176"/>
      <c r="N1281" s="177"/>
      <c r="O1281" s="177" t="str">
        <f t="shared" si="46"/>
        <v/>
      </c>
      <c r="P1281" s="187" t="e">
        <f t="shared" si="47"/>
        <v>#VALUE!</v>
      </c>
    </row>
    <row r="1282" spans="1:16" x14ac:dyDescent="0.25">
      <c r="A1282" s="172"/>
      <c r="B1282" s="189"/>
      <c r="E1282" s="189"/>
      <c r="F1282" s="174"/>
      <c r="G1282" s="174"/>
      <c r="H1282" s="174"/>
      <c r="I1282" s="189"/>
      <c r="J1282" s="174"/>
      <c r="L1282" s="190"/>
      <c r="M1282" s="176"/>
      <c r="N1282" s="177"/>
      <c r="O1282" s="177" t="str">
        <f t="shared" si="46"/>
        <v/>
      </c>
      <c r="P1282" s="187" t="e">
        <f t="shared" si="47"/>
        <v>#VALUE!</v>
      </c>
    </row>
    <row r="1283" spans="1:16" x14ac:dyDescent="0.25">
      <c r="A1283" s="172"/>
      <c r="B1283" s="189"/>
      <c r="E1283" s="189"/>
      <c r="F1283" s="174"/>
      <c r="G1283" s="174"/>
      <c r="H1283" s="174"/>
      <c r="I1283" s="189"/>
      <c r="J1283" s="174"/>
      <c r="L1283" s="190"/>
      <c r="M1283" s="176"/>
      <c r="N1283" s="177"/>
      <c r="O1283" s="177" t="str">
        <f t="shared" si="46"/>
        <v/>
      </c>
      <c r="P1283" s="187" t="e">
        <f t="shared" si="47"/>
        <v>#VALUE!</v>
      </c>
    </row>
    <row r="1284" spans="1:16" x14ac:dyDescent="0.25">
      <c r="A1284" s="172"/>
      <c r="B1284" s="189"/>
      <c r="E1284" s="189"/>
      <c r="F1284" s="174"/>
      <c r="G1284" s="174"/>
      <c r="H1284" s="174"/>
      <c r="I1284" s="189"/>
      <c r="J1284" s="174"/>
      <c r="L1284" s="190"/>
      <c r="M1284" s="176"/>
      <c r="N1284" s="177"/>
      <c r="O1284" s="177" t="str">
        <f t="shared" si="46"/>
        <v/>
      </c>
      <c r="P1284" s="187" t="e">
        <f t="shared" si="47"/>
        <v>#VALUE!</v>
      </c>
    </row>
    <row r="1285" spans="1:16" x14ac:dyDescent="0.25">
      <c r="A1285" s="172"/>
      <c r="B1285" s="189"/>
      <c r="E1285" s="189"/>
      <c r="F1285" s="174"/>
      <c r="G1285" s="174"/>
      <c r="H1285" s="174"/>
      <c r="I1285" s="189"/>
      <c r="J1285" s="174"/>
      <c r="L1285" s="190"/>
      <c r="M1285" s="176"/>
      <c r="N1285" s="177"/>
      <c r="O1285" s="177" t="str">
        <f t="shared" si="46"/>
        <v/>
      </c>
      <c r="P1285" s="187" t="e">
        <f t="shared" si="47"/>
        <v>#VALUE!</v>
      </c>
    </row>
    <row r="1286" spans="1:16" x14ac:dyDescent="0.25">
      <c r="A1286" s="172"/>
      <c r="B1286" s="189"/>
      <c r="E1286" s="189"/>
      <c r="F1286" s="174"/>
      <c r="G1286" s="174"/>
      <c r="H1286" s="174"/>
      <c r="I1286" s="189"/>
      <c r="J1286" s="174"/>
      <c r="L1286" s="190"/>
      <c r="M1286" s="176"/>
      <c r="N1286" s="177"/>
      <c r="O1286" s="177" t="str">
        <f t="shared" si="46"/>
        <v/>
      </c>
      <c r="P1286" s="187" t="e">
        <f t="shared" si="47"/>
        <v>#VALUE!</v>
      </c>
    </row>
    <row r="1287" spans="1:16" x14ac:dyDescent="0.25">
      <c r="A1287" s="172"/>
      <c r="B1287" s="189"/>
      <c r="E1287" s="189"/>
      <c r="F1287" s="174"/>
      <c r="G1287" s="174"/>
      <c r="H1287" s="174"/>
      <c r="I1287" s="189"/>
      <c r="J1287" s="174"/>
      <c r="L1287" s="190"/>
      <c r="M1287" s="176"/>
      <c r="N1287" s="177"/>
      <c r="O1287" s="177" t="str">
        <f t="shared" si="46"/>
        <v/>
      </c>
      <c r="P1287" s="187" t="e">
        <f t="shared" si="47"/>
        <v>#VALUE!</v>
      </c>
    </row>
    <row r="1288" spans="1:16" x14ac:dyDescent="0.25">
      <c r="A1288" s="172"/>
      <c r="B1288" s="189"/>
      <c r="E1288" s="189"/>
      <c r="F1288" s="174"/>
      <c r="G1288" s="174"/>
      <c r="H1288" s="174"/>
      <c r="I1288" s="189"/>
      <c r="J1288" s="174"/>
      <c r="L1288" s="190"/>
      <c r="M1288" s="176"/>
      <c r="N1288" s="177"/>
      <c r="O1288" s="177" t="str">
        <f t="shared" si="46"/>
        <v/>
      </c>
      <c r="P1288" s="187" t="e">
        <f t="shared" si="47"/>
        <v>#VALUE!</v>
      </c>
    </row>
    <row r="1289" spans="1:16" x14ac:dyDescent="0.25">
      <c r="A1289" s="172"/>
      <c r="B1289" s="189"/>
      <c r="E1289" s="189"/>
      <c r="F1289" s="174"/>
      <c r="G1289" s="174"/>
      <c r="H1289" s="174"/>
      <c r="I1289" s="189"/>
      <c r="J1289" s="174"/>
      <c r="L1289" s="190"/>
      <c r="M1289" s="176"/>
      <c r="N1289" s="177"/>
      <c r="O1289" s="177" t="str">
        <f t="shared" si="46"/>
        <v/>
      </c>
      <c r="P1289" s="187" t="e">
        <f t="shared" si="47"/>
        <v>#VALUE!</v>
      </c>
    </row>
    <row r="1290" spans="1:16" x14ac:dyDescent="0.25">
      <c r="A1290" s="172"/>
      <c r="B1290" s="189"/>
      <c r="E1290" s="189"/>
      <c r="F1290" s="174"/>
      <c r="G1290" s="174"/>
      <c r="H1290" s="174"/>
      <c r="I1290" s="189"/>
      <c r="J1290" s="174"/>
      <c r="L1290" s="190"/>
      <c r="M1290" s="176"/>
      <c r="N1290" s="177"/>
      <c r="O1290" s="177" t="str">
        <f t="shared" si="46"/>
        <v/>
      </c>
      <c r="P1290" s="187" t="e">
        <f t="shared" si="47"/>
        <v>#VALUE!</v>
      </c>
    </row>
    <row r="1291" spans="1:16" x14ac:dyDescent="0.25">
      <c r="A1291" s="172"/>
      <c r="B1291" s="189"/>
      <c r="E1291" s="189"/>
      <c r="F1291" s="174"/>
      <c r="G1291" s="174"/>
      <c r="H1291" s="174"/>
      <c r="I1291" s="189"/>
      <c r="J1291" s="174"/>
      <c r="L1291" s="190"/>
      <c r="M1291" s="176"/>
      <c r="N1291" s="177"/>
      <c r="O1291" s="177" t="str">
        <f t="shared" si="46"/>
        <v/>
      </c>
      <c r="P1291" s="187" t="e">
        <f t="shared" si="47"/>
        <v>#VALUE!</v>
      </c>
    </row>
    <row r="1292" spans="1:16" x14ac:dyDescent="0.25">
      <c r="A1292" s="172"/>
      <c r="F1292" s="174"/>
      <c r="G1292" s="174"/>
      <c r="H1292" s="174"/>
      <c r="J1292" s="174"/>
      <c r="L1292" s="190"/>
      <c r="M1292" s="176"/>
      <c r="N1292" s="177"/>
      <c r="O1292" s="177" t="str">
        <f t="shared" si="46"/>
        <v/>
      </c>
      <c r="P1292" s="187" t="e">
        <f t="shared" si="47"/>
        <v>#VALUE!</v>
      </c>
    </row>
    <row r="1293" spans="1:16" x14ac:dyDescent="0.25">
      <c r="A1293" s="172"/>
      <c r="F1293" s="174"/>
      <c r="G1293" s="174"/>
      <c r="H1293" s="174"/>
      <c r="J1293" s="174"/>
      <c r="L1293" s="190"/>
      <c r="M1293" s="176"/>
      <c r="N1293" s="177"/>
      <c r="O1293" s="177" t="str">
        <f t="shared" si="46"/>
        <v/>
      </c>
      <c r="P1293" s="187" t="e">
        <f t="shared" si="47"/>
        <v>#VALUE!</v>
      </c>
    </row>
    <row r="1294" spans="1:16" x14ac:dyDescent="0.25">
      <c r="A1294" s="172"/>
      <c r="B1294" s="189"/>
      <c r="E1294" s="189"/>
      <c r="F1294" s="174"/>
      <c r="G1294" s="174"/>
      <c r="H1294" s="174"/>
      <c r="I1294" s="189"/>
      <c r="J1294" s="174"/>
      <c r="L1294" s="190"/>
      <c r="M1294" s="176"/>
      <c r="N1294" s="177"/>
      <c r="O1294" s="177" t="str">
        <f t="shared" si="46"/>
        <v/>
      </c>
      <c r="P1294" s="187" t="e">
        <f t="shared" si="47"/>
        <v>#VALUE!</v>
      </c>
    </row>
    <row r="1295" spans="1:16" x14ac:dyDescent="0.25">
      <c r="A1295" s="172"/>
      <c r="B1295" s="189"/>
      <c r="E1295" s="189"/>
      <c r="F1295" s="174"/>
      <c r="G1295" s="174"/>
      <c r="H1295" s="174"/>
      <c r="I1295" s="189"/>
      <c r="J1295" s="174"/>
      <c r="L1295" s="190"/>
      <c r="M1295" s="176"/>
      <c r="N1295" s="177"/>
      <c r="O1295" s="177" t="str">
        <f t="shared" si="46"/>
        <v/>
      </c>
      <c r="P1295" s="187" t="e">
        <f t="shared" si="47"/>
        <v>#VALUE!</v>
      </c>
    </row>
    <row r="1296" spans="1:16" x14ac:dyDescent="0.25">
      <c r="A1296" s="172"/>
      <c r="B1296" s="189"/>
      <c r="E1296" s="189"/>
      <c r="F1296" s="174"/>
      <c r="G1296" s="174"/>
      <c r="H1296" s="174"/>
      <c r="I1296" s="189"/>
      <c r="J1296" s="174"/>
      <c r="L1296" s="190"/>
      <c r="M1296" s="176"/>
      <c r="N1296" s="177"/>
      <c r="O1296" s="177" t="str">
        <f t="shared" si="46"/>
        <v/>
      </c>
      <c r="P1296" s="187" t="e">
        <f t="shared" si="47"/>
        <v>#VALUE!</v>
      </c>
    </row>
    <row r="1297" spans="1:16" x14ac:dyDescent="0.25">
      <c r="A1297" s="172"/>
      <c r="B1297" s="189"/>
      <c r="E1297" s="189"/>
      <c r="F1297" s="174"/>
      <c r="G1297" s="174"/>
      <c r="H1297" s="174"/>
      <c r="I1297" s="189"/>
      <c r="J1297" s="174"/>
      <c r="L1297" s="190"/>
      <c r="M1297" s="176"/>
      <c r="N1297" s="177"/>
      <c r="O1297" s="177" t="str">
        <f t="shared" si="46"/>
        <v/>
      </c>
      <c r="P1297" s="187" t="e">
        <f t="shared" si="47"/>
        <v>#VALUE!</v>
      </c>
    </row>
    <row r="1298" spans="1:16" x14ac:dyDescent="0.25">
      <c r="A1298" s="172"/>
      <c r="B1298" s="189"/>
      <c r="E1298" s="189"/>
      <c r="F1298" s="174"/>
      <c r="G1298" s="174"/>
      <c r="H1298" s="174"/>
      <c r="I1298" s="189"/>
      <c r="J1298" s="174"/>
      <c r="L1298" s="190"/>
      <c r="M1298" s="176"/>
      <c r="N1298" s="177"/>
      <c r="O1298" s="177" t="str">
        <f t="shared" si="46"/>
        <v/>
      </c>
      <c r="P1298" s="187" t="e">
        <f t="shared" si="47"/>
        <v>#VALUE!</v>
      </c>
    </row>
    <row r="1299" spans="1:16" x14ac:dyDescent="0.25">
      <c r="A1299" s="172"/>
      <c r="B1299" s="189"/>
      <c r="E1299" s="189"/>
      <c r="F1299" s="174"/>
      <c r="G1299" s="174"/>
      <c r="H1299" s="174"/>
      <c r="I1299" s="189"/>
      <c r="J1299" s="174"/>
      <c r="L1299" s="190"/>
      <c r="M1299" s="176"/>
      <c r="N1299" s="177"/>
      <c r="O1299" s="177" t="str">
        <f t="shared" si="46"/>
        <v/>
      </c>
      <c r="P1299" s="187" t="e">
        <f t="shared" si="47"/>
        <v>#VALUE!</v>
      </c>
    </row>
    <row r="1300" spans="1:16" x14ac:dyDescent="0.25">
      <c r="A1300" s="172"/>
      <c r="B1300" s="189"/>
      <c r="E1300" s="189"/>
      <c r="F1300" s="174"/>
      <c r="G1300" s="174"/>
      <c r="H1300" s="174"/>
      <c r="I1300" s="189"/>
      <c r="J1300" s="174"/>
      <c r="L1300" s="190"/>
      <c r="M1300" s="176"/>
      <c r="N1300" s="177"/>
      <c r="O1300" s="177" t="str">
        <f t="shared" si="46"/>
        <v/>
      </c>
      <c r="P1300" s="187" t="e">
        <f t="shared" si="47"/>
        <v>#VALUE!</v>
      </c>
    </row>
    <row r="1301" spans="1:16" x14ac:dyDescent="0.25">
      <c r="A1301" s="172"/>
      <c r="B1301" s="189"/>
      <c r="E1301" s="189"/>
      <c r="F1301" s="174"/>
      <c r="G1301" s="174"/>
      <c r="H1301" s="174"/>
      <c r="I1301" s="189"/>
      <c r="J1301" s="174"/>
      <c r="L1301" s="190"/>
      <c r="M1301" s="176"/>
      <c r="N1301" s="177"/>
      <c r="O1301" s="177" t="str">
        <f t="shared" si="46"/>
        <v/>
      </c>
      <c r="P1301" s="187" t="e">
        <f t="shared" si="47"/>
        <v>#VALUE!</v>
      </c>
    </row>
    <row r="1302" spans="1:16" x14ac:dyDescent="0.25">
      <c r="A1302" s="172"/>
      <c r="B1302" s="189"/>
      <c r="E1302" s="189"/>
      <c r="F1302" s="174"/>
      <c r="G1302" s="174"/>
      <c r="H1302" s="174"/>
      <c r="I1302" s="189"/>
      <c r="J1302" s="174"/>
      <c r="L1302" s="190"/>
      <c r="M1302" s="176"/>
      <c r="N1302" s="177"/>
      <c r="O1302" s="177" t="str">
        <f t="shared" si="46"/>
        <v/>
      </c>
      <c r="P1302" s="187" t="e">
        <f t="shared" si="47"/>
        <v>#VALUE!</v>
      </c>
    </row>
    <row r="1303" spans="1:16" x14ac:dyDescent="0.25">
      <c r="A1303" s="172"/>
      <c r="B1303" s="189"/>
      <c r="E1303" s="189"/>
      <c r="F1303" s="174"/>
      <c r="G1303" s="174"/>
      <c r="H1303" s="174"/>
      <c r="I1303" s="189"/>
      <c r="J1303" s="174"/>
      <c r="L1303" s="190"/>
      <c r="M1303" s="176"/>
      <c r="N1303" s="177"/>
      <c r="O1303" s="177" t="str">
        <f t="shared" si="46"/>
        <v/>
      </c>
      <c r="P1303" s="187" t="e">
        <f t="shared" si="47"/>
        <v>#VALUE!</v>
      </c>
    </row>
    <row r="1304" spans="1:16" x14ac:dyDescent="0.25">
      <c r="A1304" s="172"/>
      <c r="B1304" s="189"/>
      <c r="E1304" s="189"/>
      <c r="F1304" s="174"/>
      <c r="G1304" s="174"/>
      <c r="H1304" s="174"/>
      <c r="I1304" s="189"/>
      <c r="J1304" s="174"/>
      <c r="L1304" s="190"/>
      <c r="M1304" s="176"/>
      <c r="N1304" s="177"/>
      <c r="O1304" s="177" t="str">
        <f t="shared" si="46"/>
        <v/>
      </c>
      <c r="P1304" s="187" t="e">
        <f t="shared" si="47"/>
        <v>#VALUE!</v>
      </c>
    </row>
    <row r="1305" spans="1:16" x14ac:dyDescent="0.25">
      <c r="A1305" s="172"/>
      <c r="F1305" s="174"/>
      <c r="G1305" s="174"/>
      <c r="H1305" s="174"/>
      <c r="J1305" s="174"/>
      <c r="L1305" s="190"/>
      <c r="M1305" s="176"/>
      <c r="N1305" s="177"/>
      <c r="O1305" s="177" t="str">
        <f t="shared" si="46"/>
        <v/>
      </c>
      <c r="P1305" s="187" t="e">
        <f t="shared" si="47"/>
        <v>#VALUE!</v>
      </c>
    </row>
    <row r="1306" spans="1:16" x14ac:dyDescent="0.25">
      <c r="A1306" s="172"/>
      <c r="F1306" s="174"/>
      <c r="G1306" s="174"/>
      <c r="H1306" s="174"/>
      <c r="J1306" s="174"/>
      <c r="L1306" s="190"/>
      <c r="M1306" s="176"/>
      <c r="N1306" s="177"/>
      <c r="O1306" s="177" t="str">
        <f t="shared" si="46"/>
        <v/>
      </c>
      <c r="P1306" s="187" t="e">
        <f t="shared" si="47"/>
        <v>#VALUE!</v>
      </c>
    </row>
    <row r="1307" spans="1:16" x14ac:dyDescent="0.25">
      <c r="A1307" s="172"/>
      <c r="F1307" s="174"/>
      <c r="G1307" s="174"/>
      <c r="H1307" s="174"/>
      <c r="J1307" s="174"/>
      <c r="L1307" s="190"/>
      <c r="M1307" s="176"/>
      <c r="N1307" s="177"/>
      <c r="O1307" s="177" t="str">
        <f t="shared" si="46"/>
        <v/>
      </c>
      <c r="P1307" s="187" t="e">
        <f t="shared" si="47"/>
        <v>#VALUE!</v>
      </c>
    </row>
    <row r="1308" spans="1:16" x14ac:dyDescent="0.25">
      <c r="A1308" s="172"/>
      <c r="B1308" s="189"/>
      <c r="E1308" s="189"/>
      <c r="F1308" s="174"/>
      <c r="G1308" s="174"/>
      <c r="H1308" s="174"/>
      <c r="I1308" s="189"/>
      <c r="J1308" s="174"/>
      <c r="L1308" s="190"/>
      <c r="M1308" s="176"/>
      <c r="N1308" s="177"/>
      <c r="O1308" s="177" t="str">
        <f t="shared" si="46"/>
        <v/>
      </c>
      <c r="P1308" s="187" t="e">
        <f t="shared" si="47"/>
        <v>#VALUE!</v>
      </c>
    </row>
    <row r="1309" spans="1:16" x14ac:dyDescent="0.25">
      <c r="A1309" s="172"/>
      <c r="B1309" s="189"/>
      <c r="E1309" s="189"/>
      <c r="F1309" s="174"/>
      <c r="G1309" s="174"/>
      <c r="H1309" s="174"/>
      <c r="I1309" s="189"/>
      <c r="J1309" s="174"/>
      <c r="L1309" s="190"/>
      <c r="M1309" s="176"/>
      <c r="N1309" s="177"/>
      <c r="O1309" s="177" t="str">
        <f t="shared" si="46"/>
        <v/>
      </c>
      <c r="P1309" s="187" t="e">
        <f t="shared" si="47"/>
        <v>#VALUE!</v>
      </c>
    </row>
    <row r="1310" spans="1:16" x14ac:dyDescent="0.25">
      <c r="A1310" s="172"/>
      <c r="B1310" s="189"/>
      <c r="E1310" s="189"/>
      <c r="F1310" s="174"/>
      <c r="G1310" s="174"/>
      <c r="H1310" s="174"/>
      <c r="I1310" s="189"/>
      <c r="J1310" s="174"/>
      <c r="L1310" s="190"/>
      <c r="M1310" s="176"/>
      <c r="N1310" s="177"/>
      <c r="O1310" s="177" t="str">
        <f t="shared" si="46"/>
        <v/>
      </c>
      <c r="P1310" s="187" t="e">
        <f t="shared" si="47"/>
        <v>#VALUE!</v>
      </c>
    </row>
    <row r="1311" spans="1:16" x14ac:dyDescent="0.25">
      <c r="A1311" s="172"/>
      <c r="B1311" s="189"/>
      <c r="E1311" s="189"/>
      <c r="F1311" s="174"/>
      <c r="G1311" s="174"/>
      <c r="H1311" s="174"/>
      <c r="I1311" s="189"/>
      <c r="J1311" s="174"/>
      <c r="L1311" s="190"/>
      <c r="M1311" s="176"/>
      <c r="N1311" s="177"/>
      <c r="O1311" s="177" t="str">
        <f t="shared" si="46"/>
        <v/>
      </c>
      <c r="P1311" s="187" t="e">
        <f t="shared" si="47"/>
        <v>#VALUE!</v>
      </c>
    </row>
    <row r="1312" spans="1:16" x14ac:dyDescent="0.25">
      <c r="A1312" s="172"/>
      <c r="B1312" s="189"/>
      <c r="E1312" s="189"/>
      <c r="F1312" s="174"/>
      <c r="G1312" s="174"/>
      <c r="H1312" s="174"/>
      <c r="I1312" s="189"/>
      <c r="J1312" s="174"/>
      <c r="L1312" s="190"/>
      <c r="M1312" s="176"/>
      <c r="N1312" s="177"/>
      <c r="O1312" s="177" t="str">
        <f t="shared" si="46"/>
        <v/>
      </c>
      <c r="P1312" s="187" t="e">
        <f t="shared" si="47"/>
        <v>#VALUE!</v>
      </c>
    </row>
    <row r="1313" spans="1:16" x14ac:dyDescent="0.25">
      <c r="A1313" s="172"/>
      <c r="B1313" s="189"/>
      <c r="E1313" s="189"/>
      <c r="F1313" s="174"/>
      <c r="G1313" s="174"/>
      <c r="H1313" s="174"/>
      <c r="I1313" s="189"/>
      <c r="J1313" s="174"/>
      <c r="L1313" s="190"/>
      <c r="M1313" s="176"/>
      <c r="N1313" s="177"/>
      <c r="O1313" s="177" t="str">
        <f t="shared" si="46"/>
        <v/>
      </c>
      <c r="P1313" s="187" t="e">
        <f t="shared" si="47"/>
        <v>#VALUE!</v>
      </c>
    </row>
    <row r="1314" spans="1:16" x14ac:dyDescent="0.25">
      <c r="A1314" s="172"/>
      <c r="B1314" s="189"/>
      <c r="E1314" s="189"/>
      <c r="F1314" s="174"/>
      <c r="G1314" s="174"/>
      <c r="H1314" s="174"/>
      <c r="I1314" s="189"/>
      <c r="J1314" s="174"/>
      <c r="L1314" s="190"/>
      <c r="M1314" s="176"/>
      <c r="N1314" s="177"/>
      <c r="O1314" s="177" t="str">
        <f t="shared" si="46"/>
        <v/>
      </c>
      <c r="P1314" s="187" t="e">
        <f t="shared" si="47"/>
        <v>#VALUE!</v>
      </c>
    </row>
    <row r="1315" spans="1:16" x14ac:dyDescent="0.25">
      <c r="A1315" s="172"/>
      <c r="B1315" s="189"/>
      <c r="E1315" s="189"/>
      <c r="F1315" s="174"/>
      <c r="G1315" s="174"/>
      <c r="H1315" s="174"/>
      <c r="I1315" s="189"/>
      <c r="J1315" s="174"/>
      <c r="L1315" s="190"/>
      <c r="M1315" s="176"/>
      <c r="N1315" s="177"/>
      <c r="O1315" s="177" t="str">
        <f t="shared" si="46"/>
        <v/>
      </c>
      <c r="P1315" s="187" t="e">
        <f t="shared" si="47"/>
        <v>#VALUE!</v>
      </c>
    </row>
    <row r="1316" spans="1:16" x14ac:dyDescent="0.25">
      <c r="A1316" s="172"/>
      <c r="B1316" s="189"/>
      <c r="E1316" s="189"/>
      <c r="F1316" s="174"/>
      <c r="G1316" s="174"/>
      <c r="H1316" s="174"/>
      <c r="I1316" s="189"/>
      <c r="J1316" s="174"/>
      <c r="L1316" s="190"/>
      <c r="M1316" s="176"/>
      <c r="N1316" s="177"/>
      <c r="O1316" s="177" t="str">
        <f t="shared" si="46"/>
        <v/>
      </c>
      <c r="P1316" s="187" t="e">
        <f t="shared" si="47"/>
        <v>#VALUE!</v>
      </c>
    </row>
    <row r="1317" spans="1:16" x14ac:dyDescent="0.25">
      <c r="A1317" s="172"/>
      <c r="F1317" s="174"/>
      <c r="G1317" s="174"/>
      <c r="H1317" s="174"/>
      <c r="J1317" s="174"/>
      <c r="L1317" s="190"/>
      <c r="M1317" s="176"/>
      <c r="N1317" s="177"/>
      <c r="O1317" s="177" t="str">
        <f t="shared" si="46"/>
        <v/>
      </c>
      <c r="P1317" s="187" t="e">
        <f t="shared" si="47"/>
        <v>#VALUE!</v>
      </c>
    </row>
    <row r="1318" spans="1:16" x14ac:dyDescent="0.25">
      <c r="A1318" s="172"/>
      <c r="B1318" s="189"/>
      <c r="E1318" s="189"/>
      <c r="F1318" s="174"/>
      <c r="G1318" s="174"/>
      <c r="H1318" s="174"/>
      <c r="I1318" s="189"/>
      <c r="J1318" s="174"/>
      <c r="L1318" s="190"/>
      <c r="M1318" s="176"/>
      <c r="N1318" s="177"/>
      <c r="O1318" s="177" t="str">
        <f t="shared" si="46"/>
        <v/>
      </c>
      <c r="P1318" s="187" t="e">
        <f t="shared" si="47"/>
        <v>#VALUE!</v>
      </c>
    </row>
    <row r="1319" spans="1:16" x14ac:dyDescent="0.25">
      <c r="A1319" s="172"/>
      <c r="B1319" s="189"/>
      <c r="E1319" s="189"/>
      <c r="F1319" s="174"/>
      <c r="G1319" s="174"/>
      <c r="H1319" s="174"/>
      <c r="I1319" s="189"/>
      <c r="J1319" s="174"/>
      <c r="L1319" s="190"/>
      <c r="M1319" s="176"/>
      <c r="N1319" s="177"/>
      <c r="O1319" s="177" t="str">
        <f t="shared" si="46"/>
        <v/>
      </c>
      <c r="P1319" s="187" t="e">
        <f t="shared" si="47"/>
        <v>#VALUE!</v>
      </c>
    </row>
    <row r="1320" spans="1:16" x14ac:dyDescent="0.25">
      <c r="A1320" s="172"/>
      <c r="B1320" s="189"/>
      <c r="E1320" s="189"/>
      <c r="F1320" s="174"/>
      <c r="G1320" s="174"/>
      <c r="H1320" s="174"/>
      <c r="I1320" s="189"/>
      <c r="J1320" s="174"/>
      <c r="L1320" s="190"/>
      <c r="M1320" s="176"/>
      <c r="N1320" s="177"/>
      <c r="O1320" s="177" t="str">
        <f t="shared" si="46"/>
        <v/>
      </c>
      <c r="P1320" s="187" t="e">
        <f t="shared" si="47"/>
        <v>#VALUE!</v>
      </c>
    </row>
    <row r="1321" spans="1:16" x14ac:dyDescent="0.25">
      <c r="A1321" s="172"/>
      <c r="B1321" s="189"/>
      <c r="E1321" s="189"/>
      <c r="F1321" s="174"/>
      <c r="G1321" s="174"/>
      <c r="H1321" s="174"/>
      <c r="I1321" s="189"/>
      <c r="J1321" s="174"/>
      <c r="L1321" s="190"/>
      <c r="M1321" s="176"/>
      <c r="N1321" s="177"/>
      <c r="O1321" s="177" t="str">
        <f t="shared" si="46"/>
        <v/>
      </c>
      <c r="P1321" s="187" t="e">
        <f t="shared" si="47"/>
        <v>#VALUE!</v>
      </c>
    </row>
    <row r="1322" spans="1:16" x14ac:dyDescent="0.25">
      <c r="A1322" s="172"/>
      <c r="B1322" s="189"/>
      <c r="E1322" s="189"/>
      <c r="F1322" s="174"/>
      <c r="G1322" s="174"/>
      <c r="H1322" s="174"/>
      <c r="I1322" s="189"/>
      <c r="J1322" s="174"/>
      <c r="L1322" s="190"/>
      <c r="M1322" s="176"/>
      <c r="N1322" s="177"/>
      <c r="O1322" s="177" t="str">
        <f t="shared" si="46"/>
        <v/>
      </c>
      <c r="P1322" s="187" t="e">
        <f t="shared" si="47"/>
        <v>#VALUE!</v>
      </c>
    </row>
    <row r="1323" spans="1:16" x14ac:dyDescent="0.25">
      <c r="A1323" s="172"/>
      <c r="B1323" s="189"/>
      <c r="E1323" s="189"/>
      <c r="F1323" s="174"/>
      <c r="G1323" s="174"/>
      <c r="H1323" s="174"/>
      <c r="I1323" s="189"/>
      <c r="J1323" s="174"/>
      <c r="L1323" s="190"/>
      <c r="M1323" s="176"/>
      <c r="N1323" s="177"/>
      <c r="O1323" s="177" t="str">
        <f t="shared" si="46"/>
        <v/>
      </c>
      <c r="P1323" s="187" t="e">
        <f t="shared" si="47"/>
        <v>#VALUE!</v>
      </c>
    </row>
    <row r="1324" spans="1:16" x14ac:dyDescent="0.25">
      <c r="A1324" s="172"/>
      <c r="B1324" s="189"/>
      <c r="E1324" s="189"/>
      <c r="F1324" s="174"/>
      <c r="G1324" s="174"/>
      <c r="H1324" s="174"/>
      <c r="I1324" s="189"/>
      <c r="J1324" s="174"/>
      <c r="L1324" s="190"/>
      <c r="M1324" s="176"/>
      <c r="N1324" s="177"/>
      <c r="O1324" s="177" t="str">
        <f t="shared" si="46"/>
        <v/>
      </c>
      <c r="P1324" s="187" t="e">
        <f t="shared" si="47"/>
        <v>#VALUE!</v>
      </c>
    </row>
    <row r="1325" spans="1:16" x14ac:dyDescent="0.25">
      <c r="A1325" s="172"/>
      <c r="B1325" s="189"/>
      <c r="E1325" s="189"/>
      <c r="F1325" s="174"/>
      <c r="G1325" s="174"/>
      <c r="H1325" s="174"/>
      <c r="I1325" s="189"/>
      <c r="J1325" s="174"/>
      <c r="L1325" s="190"/>
      <c r="M1325" s="176"/>
      <c r="N1325" s="177"/>
      <c r="O1325" s="177" t="str">
        <f t="shared" si="46"/>
        <v/>
      </c>
      <c r="P1325" s="187" t="e">
        <f t="shared" si="47"/>
        <v>#VALUE!</v>
      </c>
    </row>
    <row r="1326" spans="1:16" x14ac:dyDescent="0.25">
      <c r="A1326" s="172"/>
      <c r="B1326" s="189"/>
      <c r="E1326" s="189"/>
      <c r="F1326" s="174"/>
      <c r="G1326" s="174"/>
      <c r="H1326" s="174"/>
      <c r="I1326" s="189"/>
      <c r="J1326" s="174"/>
      <c r="L1326" s="190"/>
      <c r="M1326" s="176"/>
      <c r="N1326" s="177"/>
      <c r="O1326" s="177" t="str">
        <f t="shared" si="46"/>
        <v/>
      </c>
      <c r="P1326" s="187" t="e">
        <f t="shared" si="47"/>
        <v>#VALUE!</v>
      </c>
    </row>
    <row r="1327" spans="1:16" x14ac:dyDescent="0.25">
      <c r="A1327" s="172"/>
      <c r="B1327" s="189"/>
      <c r="E1327" s="189"/>
      <c r="F1327" s="174"/>
      <c r="G1327" s="174"/>
      <c r="H1327" s="174"/>
      <c r="I1327" s="189"/>
      <c r="J1327" s="174"/>
      <c r="L1327" s="190"/>
      <c r="M1327" s="176"/>
      <c r="N1327" s="177"/>
      <c r="O1327" s="177" t="str">
        <f t="shared" si="46"/>
        <v/>
      </c>
      <c r="P1327" s="187" t="e">
        <f t="shared" si="47"/>
        <v>#VALUE!</v>
      </c>
    </row>
    <row r="1328" spans="1:16" x14ac:dyDescent="0.25">
      <c r="A1328" s="172"/>
      <c r="B1328" s="189"/>
      <c r="E1328" s="189"/>
      <c r="F1328" s="174"/>
      <c r="G1328" s="174"/>
      <c r="H1328" s="174"/>
      <c r="I1328" s="189"/>
      <c r="J1328" s="174"/>
      <c r="L1328" s="190"/>
      <c r="M1328" s="176"/>
      <c r="N1328" s="177"/>
      <c r="O1328" s="177" t="str">
        <f t="shared" si="46"/>
        <v/>
      </c>
      <c r="P1328" s="187" t="e">
        <f t="shared" si="47"/>
        <v>#VALUE!</v>
      </c>
    </row>
    <row r="1329" spans="1:23" x14ac:dyDescent="0.25">
      <c r="A1329" s="172"/>
      <c r="B1329" s="189"/>
      <c r="E1329" s="189"/>
      <c r="F1329" s="174"/>
      <c r="G1329" s="174"/>
      <c r="H1329" s="174"/>
      <c r="I1329" s="189"/>
      <c r="J1329" s="174"/>
      <c r="L1329" s="190"/>
      <c r="M1329" s="176"/>
      <c r="N1329" s="177"/>
      <c r="O1329" s="177" t="str">
        <f t="shared" si="46"/>
        <v/>
      </c>
      <c r="P1329" s="187" t="e">
        <f t="shared" si="47"/>
        <v>#VALUE!</v>
      </c>
    </row>
    <row r="1330" spans="1:23" x14ac:dyDescent="0.25">
      <c r="A1330" s="172"/>
      <c r="B1330" s="189"/>
      <c r="E1330" s="189"/>
      <c r="F1330" s="174"/>
      <c r="G1330" s="174"/>
      <c r="H1330" s="174"/>
      <c r="I1330" s="189"/>
      <c r="J1330" s="174"/>
      <c r="L1330" s="190"/>
      <c r="M1330" s="176"/>
      <c r="N1330" s="177"/>
      <c r="O1330" s="177" t="str">
        <f t="shared" si="46"/>
        <v/>
      </c>
      <c r="P1330" s="187" t="e">
        <f t="shared" si="47"/>
        <v>#VALUE!</v>
      </c>
    </row>
    <row r="1331" spans="1:23" x14ac:dyDescent="0.25">
      <c r="A1331" s="172"/>
      <c r="B1331" s="189"/>
      <c r="E1331" s="189"/>
      <c r="F1331" s="174"/>
      <c r="G1331" s="174"/>
      <c r="H1331" s="174"/>
      <c r="I1331" s="189"/>
      <c r="J1331" s="174"/>
      <c r="L1331" s="190"/>
      <c r="M1331" s="176"/>
      <c r="N1331" s="177"/>
      <c r="O1331" s="177" t="str">
        <f t="shared" si="46"/>
        <v/>
      </c>
      <c r="P1331" s="187" t="e">
        <f t="shared" si="47"/>
        <v>#VALUE!</v>
      </c>
    </row>
    <row r="1332" spans="1:23" x14ac:dyDescent="0.25">
      <c r="A1332" s="172"/>
      <c r="F1332" s="174"/>
      <c r="G1332" s="174"/>
      <c r="H1332" s="174"/>
      <c r="J1332" s="174"/>
      <c r="L1332" s="190"/>
      <c r="M1332" s="176"/>
      <c r="N1332" s="177"/>
      <c r="O1332" s="177" t="str">
        <f t="shared" si="46"/>
        <v/>
      </c>
      <c r="P1332" s="187" t="e">
        <f t="shared" si="47"/>
        <v>#VALUE!</v>
      </c>
    </row>
    <row r="1333" spans="1:23" x14ac:dyDescent="0.25">
      <c r="A1333" s="172"/>
      <c r="B1333" s="189"/>
      <c r="E1333" s="189"/>
      <c r="F1333" s="174"/>
      <c r="G1333" s="174"/>
      <c r="H1333" s="174"/>
      <c r="I1333" s="189"/>
      <c r="J1333" s="174"/>
      <c r="L1333" s="190"/>
      <c r="M1333" s="176"/>
      <c r="N1333" s="177"/>
      <c r="O1333" s="177" t="str">
        <f t="shared" si="46"/>
        <v/>
      </c>
      <c r="P1333" s="187" t="e">
        <f t="shared" si="47"/>
        <v>#VALUE!</v>
      </c>
    </row>
    <row r="1334" spans="1:23" x14ac:dyDescent="0.25">
      <c r="A1334" s="172"/>
      <c r="B1334" s="189"/>
      <c r="E1334" s="189"/>
      <c r="F1334" s="174"/>
      <c r="G1334" s="174"/>
      <c r="H1334" s="174"/>
      <c r="I1334" s="189"/>
      <c r="J1334" s="174"/>
      <c r="L1334" s="190"/>
      <c r="M1334" s="176"/>
      <c r="N1334" s="177"/>
      <c r="O1334" s="177" t="str">
        <f t="shared" si="46"/>
        <v/>
      </c>
      <c r="P1334" s="187" t="e">
        <f t="shared" si="47"/>
        <v>#VALUE!</v>
      </c>
    </row>
    <row r="1335" spans="1:23" x14ac:dyDescent="0.25">
      <c r="A1335" s="172"/>
      <c r="B1335" s="189"/>
      <c r="E1335" s="189"/>
      <c r="F1335" s="174"/>
      <c r="G1335" s="174"/>
      <c r="H1335" s="174"/>
      <c r="I1335" s="189"/>
      <c r="J1335" s="174"/>
      <c r="L1335" s="190"/>
      <c r="M1335" s="176"/>
      <c r="N1335" s="177"/>
      <c r="O1335" s="177" t="str">
        <f t="shared" si="46"/>
        <v/>
      </c>
      <c r="P1335" s="187" t="e">
        <f t="shared" si="47"/>
        <v>#VALUE!</v>
      </c>
    </row>
    <row r="1336" spans="1:23" x14ac:dyDescent="0.25">
      <c r="A1336" s="172"/>
      <c r="B1336" s="189"/>
      <c r="E1336" s="189"/>
      <c r="F1336" s="174"/>
      <c r="G1336" s="174"/>
      <c r="H1336" s="174"/>
      <c r="I1336" s="189"/>
      <c r="J1336" s="174"/>
      <c r="L1336" s="190"/>
      <c r="M1336" s="176"/>
      <c r="N1336" s="177"/>
      <c r="O1336" s="177" t="str">
        <f t="shared" si="46"/>
        <v/>
      </c>
      <c r="P1336" s="187" t="e">
        <f t="shared" si="47"/>
        <v>#VALUE!</v>
      </c>
    </row>
    <row r="1337" spans="1:23" x14ac:dyDescent="0.25">
      <c r="A1337" s="172"/>
      <c r="B1337" s="189"/>
      <c r="E1337" s="189"/>
      <c r="F1337" s="174"/>
      <c r="G1337" s="174"/>
      <c r="H1337" s="174"/>
      <c r="I1337" s="189"/>
      <c r="J1337" s="174"/>
      <c r="L1337" s="190"/>
      <c r="M1337" s="176"/>
      <c r="N1337" s="177"/>
      <c r="O1337" s="177" t="str">
        <f t="shared" si="46"/>
        <v/>
      </c>
      <c r="P1337" s="187" t="e">
        <f t="shared" si="47"/>
        <v>#VALUE!</v>
      </c>
    </row>
    <row r="1338" spans="1:23" x14ac:dyDescent="0.25">
      <c r="A1338" s="172"/>
      <c r="B1338" s="189"/>
      <c r="E1338" s="189"/>
      <c r="F1338" s="174"/>
      <c r="G1338" s="174"/>
      <c r="H1338" s="174"/>
      <c r="I1338" s="189"/>
      <c r="J1338" s="174"/>
      <c r="L1338" s="190"/>
      <c r="M1338" s="176"/>
      <c r="N1338" s="177"/>
      <c r="O1338" s="177" t="str">
        <f t="shared" si="46"/>
        <v/>
      </c>
      <c r="P1338" s="187" t="e">
        <f t="shared" si="47"/>
        <v>#VALUE!</v>
      </c>
      <c r="R1338" s="191"/>
      <c r="S1338" s="191"/>
      <c r="T1338" s="191"/>
      <c r="U1338" s="191"/>
      <c r="V1338" s="191"/>
      <c r="W1338" s="191"/>
    </row>
    <row r="1339" spans="1:23" x14ac:dyDescent="0.25">
      <c r="A1339" s="172"/>
      <c r="B1339" s="189"/>
      <c r="E1339" s="189"/>
      <c r="F1339" s="174"/>
      <c r="G1339" s="174"/>
      <c r="H1339" s="174"/>
      <c r="I1339" s="189"/>
      <c r="J1339" s="174"/>
      <c r="L1339" s="190"/>
      <c r="M1339" s="176"/>
      <c r="N1339" s="177"/>
      <c r="O1339" s="177" t="str">
        <f t="shared" si="46"/>
        <v/>
      </c>
      <c r="P1339" s="187" t="e">
        <f t="shared" si="47"/>
        <v>#VALUE!</v>
      </c>
      <c r="R1339" s="191"/>
      <c r="S1339" s="191"/>
      <c r="T1339" s="191"/>
      <c r="U1339" s="191"/>
      <c r="V1339" s="191"/>
      <c r="W1339" s="191"/>
    </row>
    <row r="1340" spans="1:23" x14ac:dyDescent="0.25">
      <c r="A1340" s="172"/>
      <c r="B1340" s="189"/>
      <c r="E1340" s="189"/>
      <c r="F1340" s="174"/>
      <c r="G1340" s="174"/>
      <c r="H1340" s="174"/>
      <c r="I1340" s="189"/>
      <c r="J1340" s="174"/>
      <c r="L1340" s="190"/>
      <c r="M1340" s="176"/>
      <c r="N1340" s="177"/>
      <c r="O1340" s="177" t="str">
        <f t="shared" si="46"/>
        <v/>
      </c>
      <c r="P1340" s="187" t="e">
        <f t="shared" si="47"/>
        <v>#VALUE!</v>
      </c>
      <c r="R1340" s="191"/>
      <c r="S1340" s="191"/>
      <c r="T1340" s="191"/>
      <c r="U1340" s="191"/>
      <c r="V1340" s="191"/>
      <c r="W1340" s="191"/>
    </row>
    <row r="1341" spans="1:23" x14ac:dyDescent="0.25">
      <c r="A1341" s="172"/>
      <c r="B1341" s="189"/>
      <c r="E1341" s="189"/>
      <c r="F1341" s="174"/>
      <c r="G1341" s="174"/>
      <c r="H1341" s="174"/>
      <c r="I1341" s="189"/>
      <c r="J1341" s="174"/>
      <c r="L1341" s="190"/>
      <c r="M1341" s="176"/>
      <c r="N1341" s="177"/>
      <c r="O1341" s="177" t="str">
        <f t="shared" si="46"/>
        <v/>
      </c>
      <c r="P1341" s="187" t="e">
        <f t="shared" si="47"/>
        <v>#VALUE!</v>
      </c>
      <c r="R1341" s="191"/>
      <c r="S1341" s="191"/>
      <c r="T1341" s="191"/>
      <c r="U1341" s="191"/>
      <c r="V1341" s="191"/>
      <c r="W1341" s="191"/>
    </row>
    <row r="1342" spans="1:23" x14ac:dyDescent="0.25">
      <c r="A1342" s="172"/>
      <c r="B1342" s="189"/>
      <c r="E1342" s="189"/>
      <c r="F1342" s="174"/>
      <c r="G1342" s="174"/>
      <c r="H1342" s="174"/>
      <c r="I1342" s="189"/>
      <c r="J1342" s="174"/>
      <c r="L1342" s="190"/>
      <c r="M1342" s="176"/>
      <c r="N1342" s="177"/>
      <c r="O1342" s="177" t="str">
        <f t="shared" ref="O1342:O1405" si="48">RIGHT(C1342,2)</f>
        <v/>
      </c>
      <c r="P1342" s="187" t="e">
        <f t="shared" ref="P1342:P1405" si="49">42522+O1342+29</f>
        <v>#VALUE!</v>
      </c>
      <c r="R1342" s="191"/>
      <c r="S1342" s="191"/>
      <c r="T1342" s="191"/>
      <c r="U1342" s="191"/>
      <c r="V1342" s="191"/>
      <c r="W1342" s="191"/>
    </row>
    <row r="1343" spans="1:23" x14ac:dyDescent="0.25">
      <c r="A1343" s="172"/>
      <c r="F1343" s="174"/>
      <c r="G1343" s="174"/>
      <c r="H1343" s="174"/>
      <c r="J1343" s="174"/>
      <c r="L1343" s="190"/>
      <c r="M1343" s="176"/>
      <c r="N1343" s="177"/>
      <c r="O1343" s="177" t="str">
        <f t="shared" si="48"/>
        <v/>
      </c>
      <c r="P1343" s="187" t="e">
        <f t="shared" si="49"/>
        <v>#VALUE!</v>
      </c>
      <c r="R1343" s="191"/>
      <c r="S1343" s="191"/>
      <c r="T1343" s="191"/>
      <c r="U1343" s="191"/>
      <c r="V1343" s="191"/>
      <c r="W1343" s="191"/>
    </row>
    <row r="1344" spans="1:23" x14ac:dyDescent="0.25">
      <c r="A1344" s="172"/>
      <c r="F1344" s="174"/>
      <c r="G1344" s="174"/>
      <c r="H1344" s="174"/>
      <c r="J1344" s="174"/>
      <c r="L1344" s="190"/>
      <c r="M1344" s="176"/>
      <c r="N1344" s="177"/>
      <c r="O1344" s="177" t="str">
        <f t="shared" si="48"/>
        <v/>
      </c>
      <c r="P1344" s="187" t="e">
        <f t="shared" si="49"/>
        <v>#VALUE!</v>
      </c>
      <c r="R1344" s="191"/>
      <c r="S1344" s="191"/>
      <c r="T1344" s="191"/>
      <c r="U1344" s="191"/>
      <c r="V1344" s="191"/>
      <c r="W1344" s="191"/>
    </row>
    <row r="1345" spans="1:23" x14ac:dyDescent="0.25">
      <c r="A1345" s="172"/>
      <c r="B1345" s="189"/>
      <c r="E1345" s="189"/>
      <c r="F1345" s="174"/>
      <c r="G1345" s="174"/>
      <c r="H1345" s="174"/>
      <c r="I1345" s="189"/>
      <c r="J1345" s="174"/>
      <c r="L1345" s="190"/>
      <c r="M1345" s="176"/>
      <c r="N1345" s="177"/>
      <c r="O1345" s="177" t="str">
        <f t="shared" si="48"/>
        <v/>
      </c>
      <c r="P1345" s="187" t="e">
        <f t="shared" si="49"/>
        <v>#VALUE!</v>
      </c>
      <c r="R1345" s="191"/>
      <c r="S1345" s="191"/>
      <c r="T1345" s="191"/>
      <c r="U1345" s="191"/>
      <c r="V1345" s="191"/>
      <c r="W1345" s="191"/>
    </row>
    <row r="1346" spans="1:23" x14ac:dyDescent="0.25">
      <c r="A1346" s="172"/>
      <c r="B1346" s="189"/>
      <c r="E1346" s="189"/>
      <c r="F1346" s="174"/>
      <c r="G1346" s="174"/>
      <c r="H1346" s="174"/>
      <c r="I1346" s="189"/>
      <c r="J1346" s="174"/>
      <c r="L1346" s="190"/>
      <c r="M1346" s="176"/>
      <c r="N1346" s="177"/>
      <c r="O1346" s="177" t="str">
        <f t="shared" si="48"/>
        <v/>
      </c>
      <c r="P1346" s="187" t="e">
        <f t="shared" si="49"/>
        <v>#VALUE!</v>
      </c>
      <c r="R1346" s="191"/>
      <c r="S1346" s="191"/>
      <c r="T1346" s="191"/>
      <c r="U1346" s="191"/>
      <c r="V1346" s="191"/>
      <c r="W1346" s="191"/>
    </row>
    <row r="1347" spans="1:23" x14ac:dyDescent="0.25">
      <c r="A1347" s="172"/>
      <c r="B1347" s="189"/>
      <c r="E1347" s="189"/>
      <c r="F1347" s="174"/>
      <c r="G1347" s="174"/>
      <c r="H1347" s="174"/>
      <c r="I1347" s="189"/>
      <c r="J1347" s="174"/>
      <c r="L1347" s="190"/>
      <c r="M1347" s="176"/>
      <c r="N1347" s="177"/>
      <c r="O1347" s="177" t="str">
        <f t="shared" si="48"/>
        <v/>
      </c>
      <c r="P1347" s="187" t="e">
        <f t="shared" si="49"/>
        <v>#VALUE!</v>
      </c>
      <c r="R1347" s="191"/>
      <c r="S1347" s="191"/>
      <c r="T1347" s="191"/>
      <c r="U1347" s="191"/>
      <c r="V1347" s="191"/>
      <c r="W1347" s="191"/>
    </row>
    <row r="1348" spans="1:23" x14ac:dyDescent="0.25">
      <c r="A1348" s="172"/>
      <c r="B1348" s="189"/>
      <c r="E1348" s="189"/>
      <c r="F1348" s="174"/>
      <c r="G1348" s="174"/>
      <c r="H1348" s="174"/>
      <c r="I1348" s="189"/>
      <c r="J1348" s="174"/>
      <c r="L1348" s="190"/>
      <c r="M1348" s="176"/>
      <c r="N1348" s="177"/>
      <c r="O1348" s="177" t="str">
        <f t="shared" si="48"/>
        <v/>
      </c>
      <c r="P1348" s="187" t="e">
        <f t="shared" si="49"/>
        <v>#VALUE!</v>
      </c>
      <c r="R1348" s="191"/>
      <c r="S1348" s="191"/>
      <c r="T1348" s="191"/>
      <c r="U1348" s="191"/>
      <c r="V1348" s="191"/>
      <c r="W1348" s="191"/>
    </row>
    <row r="1349" spans="1:23" x14ac:dyDescent="0.25">
      <c r="A1349" s="172"/>
      <c r="B1349" s="189"/>
      <c r="E1349" s="189"/>
      <c r="F1349" s="174"/>
      <c r="G1349" s="174"/>
      <c r="H1349" s="174"/>
      <c r="I1349" s="189"/>
      <c r="J1349" s="174"/>
      <c r="L1349" s="190"/>
      <c r="M1349" s="176"/>
      <c r="N1349" s="177"/>
      <c r="O1349" s="177" t="str">
        <f t="shared" si="48"/>
        <v/>
      </c>
      <c r="P1349" s="187" t="e">
        <f t="shared" si="49"/>
        <v>#VALUE!</v>
      </c>
      <c r="Q1349" s="192"/>
      <c r="R1349" s="193"/>
      <c r="S1349" s="194"/>
      <c r="T1349" s="195"/>
      <c r="U1349" s="196"/>
      <c r="V1349" s="197"/>
      <c r="W1349" s="197"/>
    </row>
    <row r="1350" spans="1:23" x14ac:dyDescent="0.25">
      <c r="A1350" s="172"/>
      <c r="B1350" s="189"/>
      <c r="E1350" s="189"/>
      <c r="F1350" s="174"/>
      <c r="G1350" s="174"/>
      <c r="H1350" s="174"/>
      <c r="I1350" s="189"/>
      <c r="J1350" s="174"/>
      <c r="L1350" s="190"/>
      <c r="M1350" s="176"/>
      <c r="N1350" s="177"/>
      <c r="O1350" s="177" t="str">
        <f t="shared" si="48"/>
        <v/>
      </c>
      <c r="P1350" s="187" t="e">
        <f t="shared" si="49"/>
        <v>#VALUE!</v>
      </c>
      <c r="Q1350" s="192"/>
      <c r="R1350" s="193"/>
      <c r="S1350" s="194"/>
      <c r="T1350" s="195"/>
      <c r="U1350" s="196"/>
      <c r="V1350" s="197"/>
      <c r="W1350" s="197"/>
    </row>
    <row r="1351" spans="1:23" x14ac:dyDescent="0.25">
      <c r="A1351" s="172"/>
      <c r="B1351" s="189"/>
      <c r="E1351" s="189"/>
      <c r="F1351" s="174"/>
      <c r="G1351" s="174"/>
      <c r="H1351" s="174"/>
      <c r="I1351" s="189"/>
      <c r="J1351" s="174"/>
      <c r="L1351" s="190"/>
      <c r="M1351" s="176"/>
      <c r="N1351" s="177"/>
      <c r="O1351" s="177" t="str">
        <f t="shared" si="48"/>
        <v/>
      </c>
      <c r="P1351" s="187" t="e">
        <f t="shared" si="49"/>
        <v>#VALUE!</v>
      </c>
      <c r="Q1351" s="192"/>
      <c r="R1351" s="193"/>
      <c r="S1351" s="194"/>
      <c r="T1351" s="195"/>
      <c r="U1351" s="196"/>
      <c r="V1351" s="197"/>
      <c r="W1351" s="197"/>
    </row>
    <row r="1352" spans="1:23" x14ac:dyDescent="0.25">
      <c r="A1352" s="172"/>
      <c r="B1352" s="189"/>
      <c r="E1352" s="189"/>
      <c r="F1352" s="174"/>
      <c r="G1352" s="174"/>
      <c r="H1352" s="174"/>
      <c r="I1352" s="189"/>
      <c r="J1352" s="174"/>
      <c r="L1352" s="190"/>
      <c r="M1352" s="176"/>
      <c r="N1352" s="177"/>
      <c r="O1352" s="177" t="str">
        <f t="shared" si="48"/>
        <v/>
      </c>
      <c r="P1352" s="187" t="e">
        <f t="shared" si="49"/>
        <v>#VALUE!</v>
      </c>
      <c r="Q1352" s="192"/>
      <c r="R1352" s="193"/>
      <c r="S1352" s="194"/>
      <c r="T1352" s="195"/>
      <c r="U1352" s="196"/>
      <c r="V1352" s="197"/>
      <c r="W1352" s="197"/>
    </row>
    <row r="1353" spans="1:23" x14ac:dyDescent="0.25">
      <c r="A1353" s="172"/>
      <c r="B1353" s="189"/>
      <c r="E1353" s="189"/>
      <c r="F1353" s="174"/>
      <c r="G1353" s="174"/>
      <c r="H1353" s="174"/>
      <c r="I1353" s="189"/>
      <c r="J1353" s="174"/>
      <c r="L1353" s="190"/>
      <c r="M1353" s="176"/>
      <c r="N1353" s="177"/>
      <c r="O1353" s="177" t="str">
        <f t="shared" si="48"/>
        <v/>
      </c>
      <c r="P1353" s="187" t="e">
        <f t="shared" si="49"/>
        <v>#VALUE!</v>
      </c>
      <c r="Q1353" s="192"/>
      <c r="R1353" s="193"/>
      <c r="S1353" s="194"/>
      <c r="T1353" s="195"/>
      <c r="U1353" s="196"/>
      <c r="V1353" s="197"/>
      <c r="W1353" s="197"/>
    </row>
    <row r="1354" spans="1:23" x14ac:dyDescent="0.25">
      <c r="A1354" s="172"/>
      <c r="B1354" s="189"/>
      <c r="E1354" s="189"/>
      <c r="F1354" s="174"/>
      <c r="G1354" s="174"/>
      <c r="H1354" s="174"/>
      <c r="I1354" s="189"/>
      <c r="J1354" s="174"/>
      <c r="L1354" s="190"/>
      <c r="M1354" s="176"/>
      <c r="N1354" s="177"/>
      <c r="O1354" s="177" t="str">
        <f t="shared" si="48"/>
        <v/>
      </c>
      <c r="P1354" s="187" t="e">
        <f t="shared" si="49"/>
        <v>#VALUE!</v>
      </c>
      <c r="Q1354" s="192"/>
      <c r="R1354" s="193"/>
      <c r="S1354" s="194"/>
      <c r="T1354" s="195"/>
      <c r="U1354" s="196"/>
      <c r="V1354" s="197"/>
      <c r="W1354" s="197"/>
    </row>
    <row r="1355" spans="1:23" x14ac:dyDescent="0.25">
      <c r="A1355" s="172"/>
      <c r="B1355" s="189"/>
      <c r="E1355" s="189"/>
      <c r="F1355" s="174"/>
      <c r="G1355" s="174"/>
      <c r="H1355" s="174"/>
      <c r="I1355" s="189"/>
      <c r="J1355" s="174"/>
      <c r="L1355" s="190"/>
      <c r="M1355" s="176"/>
      <c r="N1355" s="177"/>
      <c r="O1355" s="177" t="str">
        <f t="shared" si="48"/>
        <v/>
      </c>
      <c r="P1355" s="187" t="e">
        <f t="shared" si="49"/>
        <v>#VALUE!</v>
      </c>
      <c r="Q1355" s="192"/>
      <c r="R1355" s="193"/>
      <c r="S1355" s="194"/>
      <c r="T1355" s="195"/>
      <c r="U1355" s="196"/>
      <c r="V1355" s="197"/>
      <c r="W1355" s="197"/>
    </row>
    <row r="1356" spans="1:23" x14ac:dyDescent="0.25">
      <c r="A1356" s="172"/>
      <c r="B1356" s="189"/>
      <c r="E1356" s="189"/>
      <c r="F1356" s="174"/>
      <c r="G1356" s="174"/>
      <c r="H1356" s="174"/>
      <c r="I1356" s="189"/>
      <c r="J1356" s="174"/>
      <c r="L1356" s="190"/>
      <c r="M1356" s="176"/>
      <c r="N1356" s="177"/>
      <c r="O1356" s="177" t="str">
        <f t="shared" si="48"/>
        <v/>
      </c>
      <c r="P1356" s="187" t="e">
        <f t="shared" si="49"/>
        <v>#VALUE!</v>
      </c>
      <c r="Q1356" s="192"/>
      <c r="R1356" s="193"/>
      <c r="S1356" s="194"/>
      <c r="T1356" s="195"/>
      <c r="U1356" s="196"/>
      <c r="V1356" s="197"/>
      <c r="W1356" s="197"/>
    </row>
    <row r="1357" spans="1:23" x14ac:dyDescent="0.25">
      <c r="A1357" s="172"/>
      <c r="B1357" s="189"/>
      <c r="E1357" s="189"/>
      <c r="F1357" s="174"/>
      <c r="G1357" s="174"/>
      <c r="H1357" s="174"/>
      <c r="I1357" s="189"/>
      <c r="J1357" s="174"/>
      <c r="L1357" s="190"/>
      <c r="M1357" s="176"/>
      <c r="N1357" s="177"/>
      <c r="O1357" s="177" t="str">
        <f t="shared" si="48"/>
        <v/>
      </c>
      <c r="P1357" s="187" t="e">
        <f t="shared" si="49"/>
        <v>#VALUE!</v>
      </c>
      <c r="Q1357" s="192"/>
      <c r="R1357" s="193"/>
      <c r="S1357" s="194"/>
      <c r="T1357" s="195"/>
      <c r="U1357" s="196"/>
      <c r="V1357" s="197"/>
      <c r="W1357" s="197"/>
    </row>
    <row r="1358" spans="1:23" x14ac:dyDescent="0.25">
      <c r="A1358" s="172"/>
      <c r="B1358" s="189"/>
      <c r="E1358" s="189"/>
      <c r="F1358" s="174"/>
      <c r="G1358" s="174"/>
      <c r="H1358" s="174"/>
      <c r="I1358" s="189"/>
      <c r="J1358" s="174"/>
      <c r="L1358" s="190"/>
      <c r="M1358" s="176"/>
      <c r="N1358" s="177"/>
      <c r="O1358" s="177" t="str">
        <f t="shared" si="48"/>
        <v/>
      </c>
      <c r="P1358" s="187" t="e">
        <f t="shared" si="49"/>
        <v>#VALUE!</v>
      </c>
      <c r="Q1358" s="192"/>
      <c r="R1358" s="193"/>
      <c r="S1358" s="194"/>
      <c r="T1358" s="195"/>
      <c r="U1358" s="196"/>
      <c r="V1358" s="197"/>
      <c r="W1358" s="197"/>
    </row>
    <row r="1359" spans="1:23" x14ac:dyDescent="0.25">
      <c r="A1359" s="172"/>
      <c r="B1359" s="189"/>
      <c r="E1359" s="189"/>
      <c r="F1359" s="174"/>
      <c r="G1359" s="174"/>
      <c r="H1359" s="174"/>
      <c r="I1359" s="189"/>
      <c r="J1359" s="174"/>
      <c r="L1359" s="190"/>
      <c r="M1359" s="176"/>
      <c r="N1359" s="177"/>
      <c r="O1359" s="177" t="str">
        <f t="shared" si="48"/>
        <v/>
      </c>
      <c r="P1359" s="187" t="e">
        <f t="shared" si="49"/>
        <v>#VALUE!</v>
      </c>
      <c r="Q1359" s="192"/>
      <c r="R1359" s="193"/>
      <c r="S1359" s="194"/>
      <c r="T1359" s="195"/>
      <c r="U1359" s="196"/>
      <c r="V1359" s="197"/>
      <c r="W1359" s="197"/>
    </row>
    <row r="1360" spans="1:23" x14ac:dyDescent="0.25">
      <c r="A1360" s="172"/>
      <c r="B1360" s="189"/>
      <c r="E1360" s="189"/>
      <c r="F1360" s="174"/>
      <c r="G1360" s="174"/>
      <c r="H1360" s="174"/>
      <c r="I1360" s="189"/>
      <c r="J1360" s="174"/>
      <c r="L1360" s="190"/>
      <c r="M1360" s="176"/>
      <c r="N1360" s="177"/>
      <c r="O1360" s="177" t="str">
        <f t="shared" si="48"/>
        <v/>
      </c>
      <c r="P1360" s="187" t="e">
        <f t="shared" si="49"/>
        <v>#VALUE!</v>
      </c>
      <c r="Q1360" s="192"/>
      <c r="R1360" s="193"/>
      <c r="S1360" s="194"/>
      <c r="T1360" s="195"/>
      <c r="U1360" s="196"/>
      <c r="V1360" s="197"/>
      <c r="W1360" s="197"/>
    </row>
    <row r="1361" spans="1:23" x14ac:dyDescent="0.25">
      <c r="A1361" s="172"/>
      <c r="B1361" s="189"/>
      <c r="E1361" s="189"/>
      <c r="F1361" s="174"/>
      <c r="G1361" s="174"/>
      <c r="H1361" s="174"/>
      <c r="I1361" s="189"/>
      <c r="J1361" s="174"/>
      <c r="L1361" s="190"/>
      <c r="M1361" s="176"/>
      <c r="N1361" s="177"/>
      <c r="O1361" s="177" t="str">
        <f t="shared" si="48"/>
        <v/>
      </c>
      <c r="P1361" s="187" t="e">
        <f t="shared" si="49"/>
        <v>#VALUE!</v>
      </c>
      <c r="Q1361" s="192"/>
      <c r="R1361" s="193"/>
      <c r="S1361" s="194"/>
      <c r="T1361" s="195"/>
      <c r="U1361" s="196"/>
      <c r="V1361" s="197"/>
      <c r="W1361" s="197"/>
    </row>
    <row r="1362" spans="1:23" x14ac:dyDescent="0.25">
      <c r="A1362" s="172"/>
      <c r="B1362" s="189"/>
      <c r="E1362" s="189"/>
      <c r="F1362" s="174"/>
      <c r="G1362" s="174"/>
      <c r="H1362" s="174"/>
      <c r="I1362" s="189"/>
      <c r="J1362" s="174"/>
      <c r="L1362" s="190"/>
      <c r="M1362" s="176"/>
      <c r="N1362" s="177"/>
      <c r="O1362" s="177" t="str">
        <f t="shared" si="48"/>
        <v/>
      </c>
      <c r="P1362" s="187" t="e">
        <f t="shared" si="49"/>
        <v>#VALUE!</v>
      </c>
      <c r="Q1362" s="192"/>
      <c r="R1362" s="193"/>
      <c r="S1362" s="194"/>
      <c r="T1362" s="195"/>
      <c r="U1362" s="196"/>
      <c r="V1362" s="197"/>
      <c r="W1362" s="197"/>
    </row>
    <row r="1363" spans="1:23" x14ac:dyDescent="0.25">
      <c r="A1363" s="172"/>
      <c r="B1363" s="189"/>
      <c r="E1363" s="189"/>
      <c r="F1363" s="174"/>
      <c r="G1363" s="174"/>
      <c r="H1363" s="174"/>
      <c r="I1363" s="189"/>
      <c r="J1363" s="174"/>
      <c r="L1363" s="190"/>
      <c r="M1363" s="176"/>
      <c r="N1363" s="177"/>
      <c r="O1363" s="177" t="str">
        <f t="shared" si="48"/>
        <v/>
      </c>
      <c r="P1363" s="187" t="e">
        <f t="shared" si="49"/>
        <v>#VALUE!</v>
      </c>
      <c r="Q1363" s="192"/>
      <c r="R1363" s="193"/>
      <c r="S1363" s="194"/>
      <c r="T1363" s="195"/>
      <c r="U1363" s="196"/>
      <c r="V1363" s="197"/>
      <c r="W1363" s="197"/>
    </row>
    <row r="1364" spans="1:23" x14ac:dyDescent="0.25">
      <c r="A1364" s="172"/>
      <c r="B1364" s="189"/>
      <c r="E1364" s="189"/>
      <c r="F1364" s="174"/>
      <c r="G1364" s="174"/>
      <c r="H1364" s="174"/>
      <c r="I1364" s="189"/>
      <c r="J1364" s="174"/>
      <c r="L1364" s="190"/>
      <c r="M1364" s="176"/>
      <c r="N1364" s="177"/>
      <c r="O1364" s="177" t="str">
        <f t="shared" si="48"/>
        <v/>
      </c>
      <c r="P1364" s="187" t="e">
        <f t="shared" si="49"/>
        <v>#VALUE!</v>
      </c>
      <c r="Q1364" s="192"/>
      <c r="R1364" s="193"/>
      <c r="S1364" s="194"/>
      <c r="T1364" s="195"/>
      <c r="U1364" s="196"/>
      <c r="V1364" s="197"/>
      <c r="W1364" s="197"/>
    </row>
    <row r="1365" spans="1:23" x14ac:dyDescent="0.25">
      <c r="A1365" s="172"/>
      <c r="B1365" s="189"/>
      <c r="E1365" s="189"/>
      <c r="F1365" s="174"/>
      <c r="G1365" s="174"/>
      <c r="H1365" s="174"/>
      <c r="I1365" s="189"/>
      <c r="J1365" s="174"/>
      <c r="L1365" s="190"/>
      <c r="M1365" s="176"/>
      <c r="N1365" s="177"/>
      <c r="O1365" s="177" t="str">
        <f t="shared" si="48"/>
        <v/>
      </c>
      <c r="P1365" s="187" t="e">
        <f t="shared" si="49"/>
        <v>#VALUE!</v>
      </c>
      <c r="Q1365" s="192"/>
      <c r="R1365" s="193"/>
      <c r="S1365" s="194"/>
      <c r="T1365" s="195"/>
      <c r="U1365" s="196"/>
      <c r="V1365" s="197"/>
      <c r="W1365" s="197"/>
    </row>
    <row r="1366" spans="1:23" x14ac:dyDescent="0.25">
      <c r="A1366" s="172"/>
      <c r="F1366" s="174"/>
      <c r="G1366" s="174"/>
      <c r="H1366" s="174"/>
      <c r="J1366" s="174"/>
      <c r="L1366" s="190"/>
      <c r="M1366" s="176"/>
      <c r="N1366" s="177"/>
      <c r="O1366" s="177" t="str">
        <f t="shared" si="48"/>
        <v/>
      </c>
      <c r="P1366" s="187" t="e">
        <f t="shared" si="49"/>
        <v>#VALUE!</v>
      </c>
      <c r="Q1366" s="192"/>
      <c r="R1366" s="193"/>
      <c r="S1366" s="194"/>
      <c r="T1366" s="195"/>
      <c r="U1366" s="196"/>
      <c r="V1366" s="197"/>
      <c r="W1366" s="197"/>
    </row>
    <row r="1367" spans="1:23" x14ac:dyDescent="0.25">
      <c r="A1367" s="172"/>
      <c r="B1367" s="189"/>
      <c r="E1367" s="189"/>
      <c r="F1367" s="174"/>
      <c r="G1367" s="174"/>
      <c r="H1367" s="174"/>
      <c r="I1367" s="189"/>
      <c r="J1367" s="174"/>
      <c r="L1367" s="190"/>
      <c r="M1367" s="176"/>
      <c r="N1367" s="177"/>
      <c r="O1367" s="177" t="str">
        <f t="shared" si="48"/>
        <v/>
      </c>
      <c r="P1367" s="187" t="e">
        <f t="shared" si="49"/>
        <v>#VALUE!</v>
      </c>
      <c r="Q1367" s="192"/>
      <c r="R1367" s="193"/>
      <c r="S1367" s="194"/>
      <c r="T1367" s="195"/>
      <c r="U1367" s="196"/>
      <c r="V1367" s="197"/>
      <c r="W1367" s="197"/>
    </row>
    <row r="1368" spans="1:23" x14ac:dyDescent="0.25">
      <c r="A1368" s="172"/>
      <c r="F1368" s="174"/>
      <c r="G1368" s="174"/>
      <c r="H1368" s="174"/>
      <c r="J1368" s="174"/>
      <c r="L1368" s="190"/>
      <c r="M1368" s="176"/>
      <c r="N1368" s="177"/>
      <c r="O1368" s="177" t="str">
        <f t="shared" si="48"/>
        <v/>
      </c>
      <c r="P1368" s="187" t="e">
        <f t="shared" si="49"/>
        <v>#VALUE!</v>
      </c>
      <c r="Q1368" s="192"/>
      <c r="R1368" s="193"/>
      <c r="S1368" s="194"/>
      <c r="T1368" s="195"/>
      <c r="U1368" s="196"/>
      <c r="V1368" s="197"/>
      <c r="W1368" s="197"/>
    </row>
    <row r="1369" spans="1:23" x14ac:dyDescent="0.25">
      <c r="A1369" s="172"/>
      <c r="B1369" s="189"/>
      <c r="E1369" s="189"/>
      <c r="F1369" s="174"/>
      <c r="G1369" s="174"/>
      <c r="H1369" s="174"/>
      <c r="I1369" s="189"/>
      <c r="J1369" s="174"/>
      <c r="L1369" s="190"/>
      <c r="M1369" s="176"/>
      <c r="N1369" s="177"/>
      <c r="O1369" s="177" t="str">
        <f t="shared" si="48"/>
        <v/>
      </c>
      <c r="P1369" s="187" t="e">
        <f t="shared" si="49"/>
        <v>#VALUE!</v>
      </c>
      <c r="Q1369" s="192"/>
      <c r="R1369" s="193"/>
      <c r="S1369" s="194"/>
      <c r="T1369" s="195"/>
      <c r="U1369" s="196"/>
      <c r="V1369" s="197"/>
      <c r="W1369" s="197"/>
    </row>
    <row r="1370" spans="1:23" x14ac:dyDescent="0.25">
      <c r="A1370" s="172"/>
      <c r="B1370" s="189"/>
      <c r="E1370" s="189"/>
      <c r="F1370" s="174"/>
      <c r="G1370" s="174"/>
      <c r="H1370" s="174"/>
      <c r="I1370" s="189"/>
      <c r="J1370" s="174"/>
      <c r="L1370" s="190"/>
      <c r="M1370" s="176"/>
      <c r="N1370" s="177"/>
      <c r="O1370" s="177" t="str">
        <f t="shared" si="48"/>
        <v/>
      </c>
      <c r="P1370" s="187" t="e">
        <f t="shared" si="49"/>
        <v>#VALUE!</v>
      </c>
      <c r="Q1370" s="192"/>
      <c r="R1370" s="193"/>
      <c r="S1370" s="194"/>
      <c r="T1370" s="195"/>
      <c r="U1370" s="196"/>
      <c r="V1370" s="197"/>
      <c r="W1370" s="197"/>
    </row>
    <row r="1371" spans="1:23" x14ac:dyDescent="0.25">
      <c r="A1371" s="172"/>
      <c r="F1371" s="174"/>
      <c r="G1371" s="174"/>
      <c r="H1371" s="174"/>
      <c r="J1371" s="174"/>
      <c r="L1371" s="190"/>
      <c r="M1371" s="176"/>
      <c r="N1371" s="177"/>
      <c r="O1371" s="177" t="str">
        <f t="shared" si="48"/>
        <v/>
      </c>
      <c r="P1371" s="187" t="e">
        <f t="shared" si="49"/>
        <v>#VALUE!</v>
      </c>
      <c r="Q1371" s="192"/>
      <c r="R1371" s="193"/>
      <c r="S1371" s="194"/>
      <c r="T1371" s="195"/>
      <c r="U1371" s="196"/>
      <c r="V1371" s="197"/>
      <c r="W1371" s="197"/>
    </row>
    <row r="1372" spans="1:23" x14ac:dyDescent="0.25">
      <c r="A1372" s="172"/>
      <c r="B1372" s="189"/>
      <c r="E1372" s="189"/>
      <c r="F1372" s="174"/>
      <c r="G1372" s="174"/>
      <c r="H1372" s="174"/>
      <c r="I1372" s="189"/>
      <c r="J1372" s="174"/>
      <c r="L1372" s="190"/>
      <c r="M1372" s="176"/>
      <c r="N1372" s="177"/>
      <c r="O1372" s="177" t="str">
        <f t="shared" si="48"/>
        <v/>
      </c>
      <c r="P1372" s="187" t="e">
        <f t="shared" si="49"/>
        <v>#VALUE!</v>
      </c>
      <c r="Q1372" s="192"/>
      <c r="R1372" s="193"/>
      <c r="S1372" s="194"/>
      <c r="T1372" s="195"/>
      <c r="U1372" s="196"/>
      <c r="V1372" s="197"/>
      <c r="W1372" s="197"/>
    </row>
    <row r="1373" spans="1:23" x14ac:dyDescent="0.25">
      <c r="A1373" s="172"/>
      <c r="B1373" s="189"/>
      <c r="E1373" s="189"/>
      <c r="F1373" s="174"/>
      <c r="G1373" s="174"/>
      <c r="H1373" s="174"/>
      <c r="I1373" s="189"/>
      <c r="J1373" s="174"/>
      <c r="L1373" s="190"/>
      <c r="M1373" s="176"/>
      <c r="N1373" s="177"/>
      <c r="O1373" s="177" t="str">
        <f t="shared" si="48"/>
        <v/>
      </c>
      <c r="P1373" s="187" t="e">
        <f t="shared" si="49"/>
        <v>#VALUE!</v>
      </c>
      <c r="Q1373" s="192"/>
      <c r="R1373" s="193"/>
      <c r="S1373" s="194"/>
      <c r="T1373" s="195"/>
      <c r="U1373" s="196"/>
      <c r="V1373" s="197"/>
      <c r="W1373" s="197"/>
    </row>
    <row r="1374" spans="1:23" x14ac:dyDescent="0.25">
      <c r="A1374" s="172"/>
      <c r="B1374" s="189"/>
      <c r="E1374" s="189"/>
      <c r="F1374" s="174"/>
      <c r="G1374" s="174"/>
      <c r="H1374" s="174"/>
      <c r="I1374" s="189"/>
      <c r="J1374" s="174"/>
      <c r="L1374" s="190"/>
      <c r="M1374" s="176"/>
      <c r="N1374" s="177"/>
      <c r="O1374" s="177" t="str">
        <f t="shared" si="48"/>
        <v/>
      </c>
      <c r="P1374" s="187" t="e">
        <f t="shared" si="49"/>
        <v>#VALUE!</v>
      </c>
      <c r="Q1374" s="192"/>
      <c r="R1374" s="193"/>
      <c r="S1374" s="194"/>
      <c r="T1374" s="195"/>
      <c r="U1374" s="196"/>
      <c r="V1374" s="197"/>
      <c r="W1374" s="197"/>
    </row>
    <row r="1375" spans="1:23" x14ac:dyDescent="0.25">
      <c r="A1375" s="172"/>
      <c r="B1375" s="189"/>
      <c r="E1375" s="189"/>
      <c r="F1375" s="174"/>
      <c r="G1375" s="174"/>
      <c r="H1375" s="174"/>
      <c r="I1375" s="189"/>
      <c r="J1375" s="174"/>
      <c r="L1375" s="190"/>
      <c r="M1375" s="176"/>
      <c r="N1375" s="177"/>
      <c r="O1375" s="177" t="str">
        <f t="shared" si="48"/>
        <v/>
      </c>
      <c r="P1375" s="187" t="e">
        <f t="shared" si="49"/>
        <v>#VALUE!</v>
      </c>
      <c r="Q1375" s="192"/>
      <c r="R1375" s="193"/>
      <c r="S1375" s="194"/>
      <c r="T1375" s="195"/>
      <c r="U1375" s="196"/>
      <c r="V1375" s="197"/>
      <c r="W1375" s="197"/>
    </row>
    <row r="1376" spans="1:23" x14ac:dyDescent="0.25">
      <c r="A1376" s="172"/>
      <c r="B1376" s="189"/>
      <c r="E1376" s="189"/>
      <c r="F1376" s="174"/>
      <c r="G1376" s="174"/>
      <c r="H1376" s="174"/>
      <c r="I1376" s="189"/>
      <c r="J1376" s="174"/>
      <c r="L1376" s="190"/>
      <c r="M1376" s="176"/>
      <c r="N1376" s="177"/>
      <c r="O1376" s="177" t="str">
        <f t="shared" si="48"/>
        <v/>
      </c>
      <c r="P1376" s="187" t="e">
        <f t="shared" si="49"/>
        <v>#VALUE!</v>
      </c>
      <c r="Q1376" s="192"/>
      <c r="R1376" s="193"/>
      <c r="S1376" s="194"/>
      <c r="T1376" s="195"/>
      <c r="U1376" s="196"/>
      <c r="V1376" s="197"/>
      <c r="W1376" s="197"/>
    </row>
    <row r="1377" spans="1:23" x14ac:dyDescent="0.25">
      <c r="A1377" s="172"/>
      <c r="B1377" s="189"/>
      <c r="E1377" s="189"/>
      <c r="F1377" s="174"/>
      <c r="G1377" s="174"/>
      <c r="H1377" s="174"/>
      <c r="I1377" s="189"/>
      <c r="J1377" s="174"/>
      <c r="L1377" s="190"/>
      <c r="M1377" s="176"/>
      <c r="N1377" s="177"/>
      <c r="O1377" s="177" t="str">
        <f t="shared" si="48"/>
        <v/>
      </c>
      <c r="P1377" s="187" t="e">
        <f t="shared" si="49"/>
        <v>#VALUE!</v>
      </c>
      <c r="Q1377" s="192"/>
      <c r="R1377" s="193"/>
      <c r="S1377" s="194"/>
      <c r="T1377" s="195"/>
      <c r="U1377" s="196"/>
      <c r="V1377" s="197"/>
      <c r="W1377" s="197"/>
    </row>
    <row r="1378" spans="1:23" x14ac:dyDescent="0.25">
      <c r="A1378" s="172"/>
      <c r="B1378" s="189"/>
      <c r="E1378" s="189"/>
      <c r="F1378" s="174"/>
      <c r="G1378" s="174"/>
      <c r="H1378" s="174"/>
      <c r="I1378" s="189"/>
      <c r="J1378" s="174"/>
      <c r="L1378" s="190"/>
      <c r="M1378" s="176"/>
      <c r="N1378" s="177"/>
      <c r="O1378" s="177" t="str">
        <f t="shared" si="48"/>
        <v/>
      </c>
      <c r="P1378" s="187" t="e">
        <f t="shared" si="49"/>
        <v>#VALUE!</v>
      </c>
      <c r="Q1378" s="192"/>
      <c r="R1378" s="193"/>
      <c r="S1378" s="194"/>
      <c r="T1378" s="195"/>
      <c r="U1378" s="196"/>
      <c r="V1378" s="197"/>
      <c r="W1378" s="197"/>
    </row>
    <row r="1379" spans="1:23" x14ac:dyDescent="0.25">
      <c r="A1379" s="172"/>
      <c r="F1379" s="174"/>
      <c r="G1379" s="174"/>
      <c r="H1379" s="174"/>
      <c r="J1379" s="174"/>
      <c r="L1379" s="190"/>
      <c r="M1379" s="176"/>
      <c r="N1379" s="177"/>
      <c r="O1379" s="177" t="str">
        <f t="shared" si="48"/>
        <v/>
      </c>
      <c r="P1379" s="187" t="e">
        <f t="shared" si="49"/>
        <v>#VALUE!</v>
      </c>
      <c r="Q1379" s="192"/>
      <c r="R1379" s="193"/>
      <c r="S1379" s="194"/>
      <c r="T1379" s="195"/>
      <c r="U1379" s="196"/>
      <c r="V1379" s="197"/>
      <c r="W1379" s="197"/>
    </row>
    <row r="1380" spans="1:23" x14ac:dyDescent="0.25">
      <c r="A1380" s="172"/>
      <c r="F1380" s="174"/>
      <c r="G1380" s="174"/>
      <c r="H1380" s="174"/>
      <c r="J1380" s="174"/>
      <c r="L1380" s="190"/>
      <c r="M1380" s="176"/>
      <c r="N1380" s="177"/>
      <c r="O1380" s="177" t="str">
        <f t="shared" si="48"/>
        <v/>
      </c>
      <c r="P1380" s="187" t="e">
        <f t="shared" si="49"/>
        <v>#VALUE!</v>
      </c>
      <c r="Q1380" s="192"/>
      <c r="R1380" s="193"/>
      <c r="S1380" s="194"/>
      <c r="T1380" s="195"/>
      <c r="U1380" s="196"/>
      <c r="V1380" s="197"/>
      <c r="W1380" s="197"/>
    </row>
    <row r="1381" spans="1:23" x14ac:dyDescent="0.25">
      <c r="A1381" s="172"/>
      <c r="B1381" s="189"/>
      <c r="E1381" s="189"/>
      <c r="F1381" s="174"/>
      <c r="G1381" s="174"/>
      <c r="H1381" s="174"/>
      <c r="I1381" s="189"/>
      <c r="J1381" s="174"/>
      <c r="L1381" s="190"/>
      <c r="M1381" s="176"/>
      <c r="N1381" s="177"/>
      <c r="O1381" s="177" t="str">
        <f t="shared" si="48"/>
        <v/>
      </c>
      <c r="P1381" s="187" t="e">
        <f t="shared" si="49"/>
        <v>#VALUE!</v>
      </c>
      <c r="Q1381" s="192"/>
      <c r="R1381" s="193"/>
      <c r="S1381" s="194"/>
      <c r="T1381" s="195"/>
      <c r="U1381" s="196"/>
      <c r="V1381" s="197"/>
      <c r="W1381" s="197"/>
    </row>
    <row r="1382" spans="1:23" x14ac:dyDescent="0.25">
      <c r="A1382" s="172"/>
      <c r="B1382" s="189"/>
      <c r="E1382" s="189"/>
      <c r="F1382" s="174"/>
      <c r="G1382" s="174"/>
      <c r="H1382" s="174"/>
      <c r="I1382" s="189"/>
      <c r="J1382" s="174"/>
      <c r="L1382" s="190"/>
      <c r="M1382" s="176"/>
      <c r="N1382" s="177"/>
      <c r="O1382" s="177" t="str">
        <f t="shared" si="48"/>
        <v/>
      </c>
      <c r="P1382" s="187" t="e">
        <f t="shared" si="49"/>
        <v>#VALUE!</v>
      </c>
      <c r="Q1382" s="192"/>
      <c r="R1382" s="193"/>
      <c r="S1382" s="194"/>
      <c r="T1382" s="195"/>
      <c r="U1382" s="196"/>
      <c r="V1382" s="197"/>
      <c r="W1382" s="197"/>
    </row>
    <row r="1383" spans="1:23" x14ac:dyDescent="0.25">
      <c r="A1383" s="172"/>
      <c r="B1383" s="189"/>
      <c r="E1383" s="189"/>
      <c r="F1383" s="174"/>
      <c r="G1383" s="174"/>
      <c r="H1383" s="174"/>
      <c r="I1383" s="189"/>
      <c r="J1383" s="174"/>
      <c r="L1383" s="190"/>
      <c r="M1383" s="176"/>
      <c r="N1383" s="177"/>
      <c r="O1383" s="177" t="str">
        <f t="shared" si="48"/>
        <v/>
      </c>
      <c r="P1383" s="187" t="e">
        <f t="shared" si="49"/>
        <v>#VALUE!</v>
      </c>
      <c r="Q1383" s="192"/>
      <c r="R1383" s="193"/>
      <c r="S1383" s="194"/>
      <c r="T1383" s="195"/>
      <c r="U1383" s="196"/>
      <c r="V1383" s="197"/>
      <c r="W1383" s="197"/>
    </row>
    <row r="1384" spans="1:23" x14ac:dyDescent="0.25">
      <c r="A1384" s="172"/>
      <c r="F1384" s="174"/>
      <c r="G1384" s="174"/>
      <c r="H1384" s="174"/>
      <c r="J1384" s="174"/>
      <c r="L1384" s="190"/>
      <c r="M1384" s="176"/>
      <c r="N1384" s="177"/>
      <c r="O1384" s="177" t="str">
        <f t="shared" si="48"/>
        <v/>
      </c>
      <c r="P1384" s="187" t="e">
        <f t="shared" si="49"/>
        <v>#VALUE!</v>
      </c>
      <c r="Q1384" s="192"/>
      <c r="R1384" s="193"/>
      <c r="S1384" s="194"/>
      <c r="T1384" s="195"/>
      <c r="U1384" s="196"/>
      <c r="V1384" s="197"/>
      <c r="W1384" s="197"/>
    </row>
    <row r="1385" spans="1:23" x14ac:dyDescent="0.25">
      <c r="A1385" s="172"/>
      <c r="B1385" s="189"/>
      <c r="E1385" s="189"/>
      <c r="F1385" s="174"/>
      <c r="G1385" s="174"/>
      <c r="H1385" s="174"/>
      <c r="I1385" s="189"/>
      <c r="J1385" s="174"/>
      <c r="L1385" s="190"/>
      <c r="M1385" s="176"/>
      <c r="N1385" s="177"/>
      <c r="O1385" s="177" t="str">
        <f t="shared" si="48"/>
        <v/>
      </c>
      <c r="P1385" s="187" t="e">
        <f t="shared" si="49"/>
        <v>#VALUE!</v>
      </c>
      <c r="Q1385" s="192"/>
      <c r="R1385" s="193"/>
      <c r="S1385" s="194"/>
      <c r="T1385" s="195"/>
      <c r="U1385" s="196"/>
      <c r="V1385" s="197"/>
      <c r="W1385" s="197"/>
    </row>
    <row r="1386" spans="1:23" x14ac:dyDescent="0.25">
      <c r="A1386" s="172"/>
      <c r="B1386" s="189"/>
      <c r="E1386" s="189"/>
      <c r="F1386" s="174"/>
      <c r="G1386" s="174"/>
      <c r="H1386" s="174"/>
      <c r="I1386" s="189"/>
      <c r="J1386" s="174"/>
      <c r="L1386" s="190"/>
      <c r="M1386" s="176"/>
      <c r="N1386" s="177"/>
      <c r="O1386" s="177" t="str">
        <f t="shared" si="48"/>
        <v/>
      </c>
      <c r="P1386" s="187" t="e">
        <f t="shared" si="49"/>
        <v>#VALUE!</v>
      </c>
      <c r="Q1386" s="192"/>
      <c r="R1386" s="193"/>
      <c r="S1386" s="194"/>
      <c r="T1386" s="195"/>
      <c r="U1386" s="196"/>
      <c r="V1386" s="197"/>
      <c r="W1386" s="197"/>
    </row>
    <row r="1387" spans="1:23" x14ac:dyDescent="0.25">
      <c r="A1387" s="172"/>
      <c r="B1387" s="189"/>
      <c r="E1387" s="189"/>
      <c r="F1387" s="174"/>
      <c r="G1387" s="174"/>
      <c r="H1387" s="174"/>
      <c r="I1387" s="189"/>
      <c r="J1387" s="174"/>
      <c r="L1387" s="190"/>
      <c r="M1387" s="176"/>
      <c r="N1387" s="177"/>
      <c r="O1387" s="177" t="str">
        <f t="shared" si="48"/>
        <v/>
      </c>
      <c r="P1387" s="187" t="e">
        <f t="shared" si="49"/>
        <v>#VALUE!</v>
      </c>
      <c r="Q1387" s="192"/>
      <c r="R1387" s="193"/>
      <c r="S1387" s="194"/>
      <c r="T1387" s="195"/>
      <c r="U1387" s="196"/>
      <c r="V1387" s="197"/>
      <c r="W1387" s="197"/>
    </row>
    <row r="1388" spans="1:23" x14ac:dyDescent="0.25">
      <c r="A1388" s="172"/>
      <c r="F1388" s="174"/>
      <c r="G1388" s="174"/>
      <c r="H1388" s="174"/>
      <c r="J1388" s="174"/>
      <c r="L1388" s="190"/>
      <c r="M1388" s="176"/>
      <c r="N1388" s="177"/>
      <c r="O1388" s="177" t="str">
        <f t="shared" si="48"/>
        <v/>
      </c>
      <c r="P1388" s="187" t="e">
        <f t="shared" si="49"/>
        <v>#VALUE!</v>
      </c>
      <c r="Q1388" s="192"/>
      <c r="R1388" s="193"/>
      <c r="S1388" s="194"/>
      <c r="T1388" s="195"/>
      <c r="U1388" s="196"/>
      <c r="V1388" s="197"/>
      <c r="W1388" s="197"/>
    </row>
    <row r="1389" spans="1:23" x14ac:dyDescent="0.25">
      <c r="A1389" s="172"/>
      <c r="B1389" s="189"/>
      <c r="E1389" s="189"/>
      <c r="F1389" s="174"/>
      <c r="G1389" s="174"/>
      <c r="H1389" s="174"/>
      <c r="I1389" s="189"/>
      <c r="J1389" s="174"/>
      <c r="L1389" s="190"/>
      <c r="M1389" s="176"/>
      <c r="N1389" s="177"/>
      <c r="O1389" s="177" t="str">
        <f t="shared" si="48"/>
        <v/>
      </c>
      <c r="P1389" s="187" t="e">
        <f t="shared" si="49"/>
        <v>#VALUE!</v>
      </c>
      <c r="Q1389" s="192"/>
      <c r="R1389" s="193"/>
      <c r="S1389" s="194"/>
      <c r="T1389" s="195"/>
      <c r="U1389" s="196"/>
      <c r="V1389" s="197"/>
      <c r="W1389" s="197"/>
    </row>
    <row r="1390" spans="1:23" x14ac:dyDescent="0.25">
      <c r="A1390" s="172"/>
      <c r="B1390" s="189"/>
      <c r="E1390" s="189"/>
      <c r="F1390" s="174"/>
      <c r="G1390" s="174"/>
      <c r="H1390" s="174"/>
      <c r="I1390" s="189"/>
      <c r="J1390" s="174"/>
      <c r="L1390" s="190"/>
      <c r="M1390" s="176"/>
      <c r="N1390" s="177"/>
      <c r="O1390" s="177" t="str">
        <f t="shared" si="48"/>
        <v/>
      </c>
      <c r="P1390" s="187" t="e">
        <f t="shared" si="49"/>
        <v>#VALUE!</v>
      </c>
      <c r="Q1390" s="192"/>
      <c r="R1390" s="193"/>
      <c r="S1390" s="194"/>
      <c r="T1390" s="195"/>
      <c r="U1390" s="196"/>
      <c r="V1390" s="197"/>
      <c r="W1390" s="197"/>
    </row>
    <row r="1391" spans="1:23" x14ac:dyDescent="0.25">
      <c r="A1391" s="172"/>
      <c r="B1391" s="189"/>
      <c r="E1391" s="189"/>
      <c r="F1391" s="174"/>
      <c r="G1391" s="174"/>
      <c r="H1391" s="174"/>
      <c r="I1391" s="189"/>
      <c r="J1391" s="174"/>
      <c r="L1391" s="190"/>
      <c r="M1391" s="176"/>
      <c r="N1391" s="177"/>
      <c r="O1391" s="177" t="str">
        <f t="shared" si="48"/>
        <v/>
      </c>
      <c r="P1391" s="187" t="e">
        <f t="shared" si="49"/>
        <v>#VALUE!</v>
      </c>
      <c r="Q1391" s="192"/>
      <c r="R1391" s="193"/>
      <c r="S1391" s="194"/>
      <c r="T1391" s="195"/>
      <c r="U1391" s="196"/>
      <c r="V1391" s="197"/>
      <c r="W1391" s="197"/>
    </row>
    <row r="1392" spans="1:23" x14ac:dyDescent="0.25">
      <c r="A1392" s="172"/>
      <c r="B1392" s="189"/>
      <c r="E1392" s="189"/>
      <c r="F1392" s="174"/>
      <c r="G1392" s="174"/>
      <c r="H1392" s="174"/>
      <c r="I1392" s="189"/>
      <c r="J1392" s="174"/>
      <c r="L1392" s="190"/>
      <c r="M1392" s="176"/>
      <c r="N1392" s="177"/>
      <c r="O1392" s="177" t="str">
        <f t="shared" si="48"/>
        <v/>
      </c>
      <c r="P1392" s="187" t="e">
        <f t="shared" si="49"/>
        <v>#VALUE!</v>
      </c>
      <c r="Q1392" s="192"/>
      <c r="R1392" s="193"/>
      <c r="S1392" s="194"/>
      <c r="T1392" s="195"/>
      <c r="U1392" s="196"/>
      <c r="V1392" s="197"/>
      <c r="W1392" s="197"/>
    </row>
    <row r="1393" spans="1:23" x14ac:dyDescent="0.25">
      <c r="A1393" s="172"/>
      <c r="B1393" s="189"/>
      <c r="E1393" s="189"/>
      <c r="F1393" s="174"/>
      <c r="G1393" s="174"/>
      <c r="H1393" s="174"/>
      <c r="I1393" s="189"/>
      <c r="J1393" s="174"/>
      <c r="L1393" s="190"/>
      <c r="M1393" s="176"/>
      <c r="N1393" s="177"/>
      <c r="O1393" s="177" t="str">
        <f t="shared" si="48"/>
        <v/>
      </c>
      <c r="P1393" s="187" t="e">
        <f t="shared" si="49"/>
        <v>#VALUE!</v>
      </c>
      <c r="Q1393" s="192"/>
      <c r="R1393" s="193"/>
      <c r="S1393" s="194"/>
      <c r="T1393" s="195"/>
      <c r="U1393" s="196"/>
      <c r="V1393" s="197"/>
      <c r="W1393" s="197"/>
    </row>
    <row r="1394" spans="1:23" x14ac:dyDescent="0.25">
      <c r="A1394" s="172"/>
      <c r="B1394" s="189"/>
      <c r="E1394" s="189"/>
      <c r="F1394" s="174"/>
      <c r="G1394" s="174"/>
      <c r="H1394" s="174"/>
      <c r="I1394" s="189"/>
      <c r="J1394" s="174"/>
      <c r="L1394" s="190"/>
      <c r="M1394" s="176"/>
      <c r="N1394" s="177"/>
      <c r="O1394" s="177" t="str">
        <f t="shared" si="48"/>
        <v/>
      </c>
      <c r="P1394" s="187" t="e">
        <f t="shared" si="49"/>
        <v>#VALUE!</v>
      </c>
      <c r="Q1394" s="192"/>
      <c r="R1394" s="193"/>
      <c r="S1394" s="194"/>
      <c r="T1394" s="195"/>
      <c r="U1394" s="196"/>
      <c r="V1394" s="197"/>
      <c r="W1394" s="197"/>
    </row>
    <row r="1395" spans="1:23" x14ac:dyDescent="0.25">
      <c r="A1395" s="172"/>
      <c r="B1395" s="189"/>
      <c r="E1395" s="189"/>
      <c r="F1395" s="174"/>
      <c r="G1395" s="174"/>
      <c r="H1395" s="174"/>
      <c r="I1395" s="189"/>
      <c r="J1395" s="174"/>
      <c r="L1395" s="190"/>
      <c r="M1395" s="176"/>
      <c r="N1395" s="177"/>
      <c r="O1395" s="177" t="str">
        <f t="shared" si="48"/>
        <v/>
      </c>
      <c r="P1395" s="187" t="e">
        <f t="shared" si="49"/>
        <v>#VALUE!</v>
      </c>
      <c r="Q1395" s="192"/>
      <c r="R1395" s="193"/>
      <c r="S1395" s="194"/>
      <c r="T1395" s="195"/>
      <c r="U1395" s="196"/>
      <c r="V1395" s="197"/>
      <c r="W1395" s="197"/>
    </row>
    <row r="1396" spans="1:23" x14ac:dyDescent="0.25">
      <c r="A1396" s="172"/>
      <c r="B1396" s="189"/>
      <c r="E1396" s="189"/>
      <c r="F1396" s="174"/>
      <c r="G1396" s="174"/>
      <c r="H1396" s="174"/>
      <c r="I1396" s="189"/>
      <c r="J1396" s="174"/>
      <c r="L1396" s="190"/>
      <c r="M1396" s="176"/>
      <c r="N1396" s="177"/>
      <c r="O1396" s="177" t="str">
        <f t="shared" si="48"/>
        <v/>
      </c>
      <c r="P1396" s="187" t="e">
        <f t="shared" si="49"/>
        <v>#VALUE!</v>
      </c>
      <c r="Q1396" s="192"/>
      <c r="R1396" s="193"/>
      <c r="S1396" s="194"/>
      <c r="T1396" s="195"/>
      <c r="U1396" s="196"/>
      <c r="V1396" s="197"/>
      <c r="W1396" s="197"/>
    </row>
    <row r="1397" spans="1:23" x14ac:dyDescent="0.25">
      <c r="A1397" s="172"/>
      <c r="B1397" s="189"/>
      <c r="E1397" s="189"/>
      <c r="F1397" s="174"/>
      <c r="G1397" s="174"/>
      <c r="H1397" s="174"/>
      <c r="I1397" s="189"/>
      <c r="J1397" s="174"/>
      <c r="L1397" s="190"/>
      <c r="M1397" s="176"/>
      <c r="N1397" s="177"/>
      <c r="O1397" s="177" t="str">
        <f t="shared" si="48"/>
        <v/>
      </c>
      <c r="P1397" s="187" t="e">
        <f t="shared" si="49"/>
        <v>#VALUE!</v>
      </c>
      <c r="Q1397" s="192"/>
      <c r="R1397" s="193"/>
      <c r="S1397" s="194"/>
      <c r="T1397" s="195"/>
      <c r="U1397" s="196"/>
      <c r="V1397" s="197"/>
      <c r="W1397" s="197"/>
    </row>
    <row r="1398" spans="1:23" x14ac:dyDescent="0.25">
      <c r="A1398" s="172"/>
      <c r="B1398" s="189"/>
      <c r="E1398" s="189"/>
      <c r="F1398" s="174"/>
      <c r="G1398" s="174"/>
      <c r="H1398" s="174"/>
      <c r="I1398" s="189"/>
      <c r="J1398" s="174"/>
      <c r="L1398" s="190"/>
      <c r="M1398" s="176"/>
      <c r="N1398" s="177"/>
      <c r="O1398" s="177" t="str">
        <f t="shared" si="48"/>
        <v/>
      </c>
      <c r="P1398" s="187" t="e">
        <f t="shared" si="49"/>
        <v>#VALUE!</v>
      </c>
      <c r="Q1398" s="192"/>
      <c r="R1398" s="193"/>
      <c r="S1398" s="194"/>
      <c r="T1398" s="195"/>
      <c r="U1398" s="196"/>
      <c r="V1398" s="197"/>
      <c r="W1398" s="197"/>
    </row>
    <row r="1399" spans="1:23" x14ac:dyDescent="0.25">
      <c r="A1399" s="172"/>
      <c r="B1399" s="189"/>
      <c r="E1399" s="189"/>
      <c r="F1399" s="174"/>
      <c r="G1399" s="174"/>
      <c r="H1399" s="174"/>
      <c r="I1399" s="189"/>
      <c r="J1399" s="174"/>
      <c r="L1399" s="190"/>
      <c r="M1399" s="176"/>
      <c r="N1399" s="177"/>
      <c r="O1399" s="177" t="str">
        <f t="shared" si="48"/>
        <v/>
      </c>
      <c r="P1399" s="187" t="e">
        <f t="shared" si="49"/>
        <v>#VALUE!</v>
      </c>
      <c r="Q1399" s="192"/>
      <c r="R1399" s="193"/>
      <c r="S1399" s="194"/>
      <c r="T1399" s="195"/>
      <c r="U1399" s="196"/>
      <c r="V1399" s="197"/>
      <c r="W1399" s="197"/>
    </row>
    <row r="1400" spans="1:23" x14ac:dyDescent="0.25">
      <c r="A1400" s="172"/>
      <c r="B1400" s="189"/>
      <c r="E1400" s="189"/>
      <c r="F1400" s="174"/>
      <c r="G1400" s="174"/>
      <c r="H1400" s="174"/>
      <c r="I1400" s="189"/>
      <c r="J1400" s="174"/>
      <c r="L1400" s="190"/>
      <c r="M1400" s="176"/>
      <c r="N1400" s="177"/>
      <c r="O1400" s="177" t="str">
        <f t="shared" si="48"/>
        <v/>
      </c>
      <c r="P1400" s="187" t="e">
        <f t="shared" si="49"/>
        <v>#VALUE!</v>
      </c>
      <c r="Q1400" s="192"/>
      <c r="R1400" s="193"/>
      <c r="S1400" s="194"/>
      <c r="T1400" s="195"/>
      <c r="U1400" s="196"/>
      <c r="V1400" s="197"/>
      <c r="W1400" s="197"/>
    </row>
    <row r="1401" spans="1:23" x14ac:dyDescent="0.25">
      <c r="A1401" s="172"/>
      <c r="B1401" s="189"/>
      <c r="E1401" s="189"/>
      <c r="F1401" s="174"/>
      <c r="G1401" s="174"/>
      <c r="H1401" s="174"/>
      <c r="I1401" s="189"/>
      <c r="J1401" s="174"/>
      <c r="L1401" s="190"/>
      <c r="M1401" s="176"/>
      <c r="N1401" s="177"/>
      <c r="O1401" s="177" t="str">
        <f t="shared" si="48"/>
        <v/>
      </c>
      <c r="P1401" s="187" t="e">
        <f t="shared" si="49"/>
        <v>#VALUE!</v>
      </c>
      <c r="Q1401" s="192"/>
      <c r="R1401" s="193"/>
      <c r="S1401" s="194"/>
      <c r="T1401" s="195"/>
      <c r="U1401" s="196"/>
      <c r="V1401" s="197"/>
      <c r="W1401" s="197"/>
    </row>
    <row r="1402" spans="1:23" x14ac:dyDescent="0.25">
      <c r="A1402" s="172"/>
      <c r="B1402" s="189"/>
      <c r="E1402" s="189"/>
      <c r="F1402" s="174"/>
      <c r="G1402" s="174"/>
      <c r="H1402" s="174"/>
      <c r="I1402" s="189"/>
      <c r="J1402" s="174"/>
      <c r="L1402" s="190"/>
      <c r="M1402" s="176"/>
      <c r="N1402" s="177"/>
      <c r="O1402" s="177" t="str">
        <f t="shared" si="48"/>
        <v/>
      </c>
      <c r="P1402" s="187" t="e">
        <f t="shared" si="49"/>
        <v>#VALUE!</v>
      </c>
      <c r="Q1402" s="192"/>
      <c r="R1402" s="193"/>
      <c r="S1402" s="194"/>
      <c r="T1402" s="195"/>
      <c r="U1402" s="196"/>
      <c r="V1402" s="197"/>
      <c r="W1402" s="197"/>
    </row>
    <row r="1403" spans="1:23" x14ac:dyDescent="0.25">
      <c r="A1403" s="172"/>
      <c r="B1403" s="189"/>
      <c r="E1403" s="189"/>
      <c r="F1403" s="174"/>
      <c r="G1403" s="174"/>
      <c r="H1403" s="174"/>
      <c r="I1403" s="189"/>
      <c r="J1403" s="174"/>
      <c r="L1403" s="190"/>
      <c r="M1403" s="176"/>
      <c r="N1403" s="177"/>
      <c r="O1403" s="177" t="str">
        <f t="shared" si="48"/>
        <v/>
      </c>
      <c r="P1403" s="187" t="e">
        <f t="shared" si="49"/>
        <v>#VALUE!</v>
      </c>
      <c r="Q1403" s="192"/>
      <c r="R1403" s="193"/>
      <c r="S1403" s="194"/>
      <c r="T1403" s="195"/>
      <c r="U1403" s="196"/>
      <c r="V1403" s="197"/>
      <c r="W1403" s="197"/>
    </row>
    <row r="1404" spans="1:23" x14ac:dyDescent="0.25">
      <c r="A1404" s="172"/>
      <c r="F1404" s="174"/>
      <c r="G1404" s="174"/>
      <c r="H1404" s="174"/>
      <c r="J1404" s="174"/>
      <c r="L1404" s="190"/>
      <c r="M1404" s="176"/>
      <c r="N1404" s="177"/>
      <c r="O1404" s="177" t="str">
        <f t="shared" si="48"/>
        <v/>
      </c>
      <c r="P1404" s="187" t="e">
        <f t="shared" si="49"/>
        <v>#VALUE!</v>
      </c>
      <c r="Q1404" s="192"/>
      <c r="R1404" s="193"/>
      <c r="S1404" s="194"/>
      <c r="T1404" s="195"/>
      <c r="U1404" s="196"/>
      <c r="V1404" s="197"/>
      <c r="W1404" s="197"/>
    </row>
    <row r="1405" spans="1:23" x14ac:dyDescent="0.25">
      <c r="A1405" s="172"/>
      <c r="B1405" s="189"/>
      <c r="E1405" s="189"/>
      <c r="F1405" s="174"/>
      <c r="G1405" s="174"/>
      <c r="H1405" s="174"/>
      <c r="I1405" s="189"/>
      <c r="J1405" s="174"/>
      <c r="L1405" s="190"/>
      <c r="M1405" s="176"/>
      <c r="N1405" s="177"/>
      <c r="O1405" s="177" t="str">
        <f t="shared" si="48"/>
        <v/>
      </c>
      <c r="P1405" s="187" t="e">
        <f t="shared" si="49"/>
        <v>#VALUE!</v>
      </c>
      <c r="Q1405" s="192"/>
      <c r="R1405" s="193"/>
      <c r="S1405" s="194"/>
      <c r="T1405" s="195"/>
      <c r="U1405" s="196"/>
      <c r="V1405" s="197"/>
      <c r="W1405" s="197"/>
    </row>
    <row r="1406" spans="1:23" x14ac:dyDescent="0.25">
      <c r="A1406" s="172"/>
      <c r="B1406" s="189"/>
      <c r="E1406" s="189"/>
      <c r="F1406" s="174"/>
      <c r="G1406" s="174"/>
      <c r="H1406" s="174"/>
      <c r="I1406" s="189"/>
      <c r="J1406" s="174"/>
      <c r="L1406" s="190"/>
      <c r="M1406" s="176"/>
      <c r="N1406" s="177"/>
      <c r="O1406" s="177" t="str">
        <f t="shared" ref="O1406:O1469" si="50">RIGHT(C1406,2)</f>
        <v/>
      </c>
      <c r="P1406" s="187" t="e">
        <f t="shared" ref="P1406:P1469" si="51">42522+O1406+29</f>
        <v>#VALUE!</v>
      </c>
      <c r="Q1406" s="192"/>
      <c r="R1406" s="193"/>
      <c r="S1406" s="194"/>
      <c r="T1406" s="195"/>
      <c r="U1406" s="196"/>
      <c r="V1406" s="197"/>
      <c r="W1406" s="197"/>
    </row>
    <row r="1407" spans="1:23" x14ac:dyDescent="0.25">
      <c r="A1407" s="172"/>
      <c r="B1407" s="189"/>
      <c r="E1407" s="189"/>
      <c r="F1407" s="174"/>
      <c r="G1407" s="174"/>
      <c r="H1407" s="174"/>
      <c r="I1407" s="189"/>
      <c r="J1407" s="174"/>
      <c r="L1407" s="190"/>
      <c r="M1407" s="176"/>
      <c r="N1407" s="177"/>
      <c r="O1407" s="177" t="str">
        <f t="shared" si="50"/>
        <v/>
      </c>
      <c r="P1407" s="187" t="e">
        <f t="shared" si="51"/>
        <v>#VALUE!</v>
      </c>
      <c r="Q1407" s="192"/>
      <c r="R1407" s="193"/>
      <c r="S1407" s="194"/>
      <c r="T1407" s="195"/>
      <c r="U1407" s="196"/>
      <c r="V1407" s="197"/>
      <c r="W1407" s="197"/>
    </row>
    <row r="1408" spans="1:23" x14ac:dyDescent="0.25">
      <c r="A1408" s="172"/>
      <c r="B1408" s="189"/>
      <c r="E1408" s="189"/>
      <c r="F1408" s="174"/>
      <c r="G1408" s="174"/>
      <c r="H1408" s="174"/>
      <c r="I1408" s="189"/>
      <c r="J1408" s="174"/>
      <c r="L1408" s="190"/>
      <c r="M1408" s="176"/>
      <c r="N1408" s="177"/>
      <c r="O1408" s="177" t="str">
        <f t="shared" si="50"/>
        <v/>
      </c>
      <c r="P1408" s="187" t="e">
        <f t="shared" si="51"/>
        <v>#VALUE!</v>
      </c>
      <c r="Q1408" s="192"/>
      <c r="R1408" s="193"/>
      <c r="S1408" s="194"/>
      <c r="T1408" s="195"/>
      <c r="U1408" s="196"/>
      <c r="V1408" s="197"/>
      <c r="W1408" s="197"/>
    </row>
    <row r="1409" spans="1:23" x14ac:dyDescent="0.25">
      <c r="A1409" s="172"/>
      <c r="F1409" s="174"/>
      <c r="G1409" s="174"/>
      <c r="H1409" s="174"/>
      <c r="J1409" s="174"/>
      <c r="L1409" s="190"/>
      <c r="M1409" s="176"/>
      <c r="N1409" s="177"/>
      <c r="O1409" s="177" t="str">
        <f t="shared" si="50"/>
        <v/>
      </c>
      <c r="P1409" s="187" t="e">
        <f t="shared" si="51"/>
        <v>#VALUE!</v>
      </c>
      <c r="Q1409" s="192"/>
      <c r="R1409" s="193"/>
      <c r="S1409" s="194"/>
      <c r="T1409" s="195"/>
      <c r="U1409" s="196"/>
      <c r="V1409" s="197"/>
      <c r="W1409" s="197"/>
    </row>
    <row r="1410" spans="1:23" x14ac:dyDescent="0.25">
      <c r="A1410" s="172"/>
      <c r="B1410" s="189"/>
      <c r="E1410" s="189"/>
      <c r="F1410" s="174"/>
      <c r="G1410" s="174"/>
      <c r="H1410" s="174"/>
      <c r="I1410" s="189"/>
      <c r="J1410" s="174"/>
      <c r="L1410" s="190"/>
      <c r="M1410" s="176"/>
      <c r="N1410" s="177"/>
      <c r="O1410" s="177" t="str">
        <f t="shared" si="50"/>
        <v/>
      </c>
      <c r="P1410" s="187" t="e">
        <f t="shared" si="51"/>
        <v>#VALUE!</v>
      </c>
      <c r="Q1410" s="192"/>
      <c r="R1410" s="193"/>
      <c r="S1410" s="194"/>
      <c r="T1410" s="195"/>
      <c r="U1410" s="196"/>
      <c r="V1410" s="197"/>
      <c r="W1410" s="197"/>
    </row>
    <row r="1411" spans="1:23" x14ac:dyDescent="0.25">
      <c r="A1411" s="172"/>
      <c r="B1411" s="189"/>
      <c r="E1411" s="189"/>
      <c r="F1411" s="174"/>
      <c r="G1411" s="174"/>
      <c r="H1411" s="174"/>
      <c r="I1411" s="189"/>
      <c r="J1411" s="174"/>
      <c r="L1411" s="190"/>
      <c r="M1411" s="176"/>
      <c r="N1411" s="177"/>
      <c r="O1411" s="177" t="str">
        <f t="shared" si="50"/>
        <v/>
      </c>
      <c r="P1411" s="187" t="e">
        <f t="shared" si="51"/>
        <v>#VALUE!</v>
      </c>
      <c r="Q1411" s="192"/>
      <c r="R1411" s="193"/>
      <c r="S1411" s="194"/>
      <c r="T1411" s="195"/>
      <c r="U1411" s="196"/>
      <c r="V1411" s="197"/>
      <c r="W1411" s="197"/>
    </row>
    <row r="1412" spans="1:23" x14ac:dyDescent="0.25">
      <c r="A1412" s="172"/>
      <c r="B1412" s="189"/>
      <c r="E1412" s="189"/>
      <c r="F1412" s="174"/>
      <c r="G1412" s="174"/>
      <c r="H1412" s="174"/>
      <c r="I1412" s="189"/>
      <c r="J1412" s="174"/>
      <c r="L1412" s="190"/>
      <c r="M1412" s="176"/>
      <c r="N1412" s="177"/>
      <c r="O1412" s="177" t="str">
        <f t="shared" si="50"/>
        <v/>
      </c>
      <c r="P1412" s="187" t="e">
        <f t="shared" si="51"/>
        <v>#VALUE!</v>
      </c>
      <c r="Q1412" s="192"/>
      <c r="R1412" s="193"/>
      <c r="S1412" s="194"/>
      <c r="T1412" s="195"/>
      <c r="U1412" s="196"/>
      <c r="V1412" s="197"/>
      <c r="W1412" s="197"/>
    </row>
    <row r="1413" spans="1:23" x14ac:dyDescent="0.25">
      <c r="A1413" s="172"/>
      <c r="F1413" s="174"/>
      <c r="G1413" s="174"/>
      <c r="H1413" s="174"/>
      <c r="J1413" s="174"/>
      <c r="L1413" s="190"/>
      <c r="M1413" s="176"/>
      <c r="N1413" s="177"/>
      <c r="O1413" s="177" t="str">
        <f t="shared" si="50"/>
        <v/>
      </c>
      <c r="P1413" s="187" t="e">
        <f t="shared" si="51"/>
        <v>#VALUE!</v>
      </c>
      <c r="Q1413" s="192"/>
      <c r="R1413" s="193"/>
      <c r="S1413" s="194"/>
      <c r="T1413" s="195"/>
      <c r="U1413" s="196"/>
      <c r="V1413" s="197"/>
      <c r="W1413" s="197"/>
    </row>
    <row r="1414" spans="1:23" x14ac:dyDescent="0.25">
      <c r="A1414" s="172"/>
      <c r="B1414" s="189"/>
      <c r="E1414" s="189"/>
      <c r="F1414" s="174"/>
      <c r="G1414" s="174"/>
      <c r="H1414" s="174"/>
      <c r="I1414" s="189"/>
      <c r="J1414" s="174"/>
      <c r="L1414" s="190"/>
      <c r="M1414" s="176"/>
      <c r="N1414" s="177"/>
      <c r="O1414" s="177" t="str">
        <f t="shared" si="50"/>
        <v/>
      </c>
      <c r="P1414" s="187" t="e">
        <f t="shared" si="51"/>
        <v>#VALUE!</v>
      </c>
      <c r="Q1414" s="192"/>
      <c r="R1414" s="193"/>
      <c r="S1414" s="194"/>
      <c r="T1414" s="195"/>
      <c r="U1414" s="196"/>
      <c r="V1414" s="197"/>
      <c r="W1414" s="197"/>
    </row>
    <row r="1415" spans="1:23" x14ac:dyDescent="0.25">
      <c r="A1415" s="172"/>
      <c r="B1415" s="189"/>
      <c r="E1415" s="189"/>
      <c r="F1415" s="174"/>
      <c r="G1415" s="174"/>
      <c r="H1415" s="174"/>
      <c r="I1415" s="189"/>
      <c r="J1415" s="174"/>
      <c r="L1415" s="190"/>
      <c r="M1415" s="176"/>
      <c r="N1415" s="177"/>
      <c r="O1415" s="177" t="str">
        <f t="shared" si="50"/>
        <v/>
      </c>
      <c r="P1415" s="187" t="e">
        <f t="shared" si="51"/>
        <v>#VALUE!</v>
      </c>
      <c r="Q1415" s="192"/>
      <c r="R1415" s="193"/>
      <c r="S1415" s="194"/>
      <c r="T1415" s="195"/>
      <c r="U1415" s="196"/>
      <c r="V1415" s="197"/>
      <c r="W1415" s="197"/>
    </row>
    <row r="1416" spans="1:23" x14ac:dyDescent="0.25">
      <c r="A1416" s="172"/>
      <c r="B1416" s="189"/>
      <c r="E1416" s="189"/>
      <c r="F1416" s="174"/>
      <c r="G1416" s="174"/>
      <c r="H1416" s="174"/>
      <c r="I1416" s="189"/>
      <c r="J1416" s="174"/>
      <c r="L1416" s="190"/>
      <c r="M1416" s="176"/>
      <c r="N1416" s="177"/>
      <c r="O1416" s="177" t="str">
        <f t="shared" si="50"/>
        <v/>
      </c>
      <c r="P1416" s="187" t="e">
        <f t="shared" si="51"/>
        <v>#VALUE!</v>
      </c>
      <c r="Q1416" s="192"/>
      <c r="R1416" s="193"/>
      <c r="S1416" s="194"/>
      <c r="T1416" s="195"/>
      <c r="U1416" s="196"/>
      <c r="V1416" s="197"/>
      <c r="W1416" s="197"/>
    </row>
    <row r="1417" spans="1:23" x14ac:dyDescent="0.25">
      <c r="A1417" s="172"/>
      <c r="B1417" s="189"/>
      <c r="E1417" s="189"/>
      <c r="F1417" s="174"/>
      <c r="G1417" s="174"/>
      <c r="H1417" s="174"/>
      <c r="I1417" s="189"/>
      <c r="J1417" s="174"/>
      <c r="L1417" s="190"/>
      <c r="M1417" s="176"/>
      <c r="N1417" s="177"/>
      <c r="O1417" s="177" t="str">
        <f t="shared" si="50"/>
        <v/>
      </c>
      <c r="P1417" s="187" t="e">
        <f t="shared" si="51"/>
        <v>#VALUE!</v>
      </c>
      <c r="Q1417" s="192"/>
      <c r="R1417" s="193"/>
      <c r="S1417" s="194"/>
      <c r="T1417" s="195"/>
      <c r="U1417" s="196"/>
      <c r="V1417" s="197"/>
      <c r="W1417" s="197"/>
    </row>
    <row r="1418" spans="1:23" x14ac:dyDescent="0.25">
      <c r="A1418" s="172"/>
      <c r="B1418" s="189"/>
      <c r="E1418" s="189"/>
      <c r="F1418" s="174"/>
      <c r="G1418" s="174"/>
      <c r="H1418" s="174"/>
      <c r="I1418" s="189"/>
      <c r="J1418" s="174"/>
      <c r="L1418" s="190"/>
      <c r="M1418" s="176"/>
      <c r="N1418" s="177"/>
      <c r="O1418" s="177" t="str">
        <f t="shared" si="50"/>
        <v/>
      </c>
      <c r="P1418" s="187" t="e">
        <f t="shared" si="51"/>
        <v>#VALUE!</v>
      </c>
      <c r="Q1418" s="192"/>
      <c r="R1418" s="193"/>
      <c r="S1418" s="194"/>
      <c r="T1418" s="195"/>
      <c r="U1418" s="196"/>
      <c r="V1418" s="197"/>
      <c r="W1418" s="197"/>
    </row>
    <row r="1419" spans="1:23" x14ac:dyDescent="0.25">
      <c r="A1419" s="172"/>
      <c r="B1419" s="189"/>
      <c r="E1419" s="189"/>
      <c r="F1419" s="174"/>
      <c r="G1419" s="174"/>
      <c r="H1419" s="174"/>
      <c r="I1419" s="189"/>
      <c r="J1419" s="174"/>
      <c r="L1419" s="190"/>
      <c r="M1419" s="176"/>
      <c r="N1419" s="177"/>
      <c r="O1419" s="177" t="str">
        <f t="shared" si="50"/>
        <v/>
      </c>
      <c r="P1419" s="187" t="e">
        <f t="shared" si="51"/>
        <v>#VALUE!</v>
      </c>
      <c r="Q1419" s="192"/>
      <c r="R1419" s="193"/>
      <c r="S1419" s="194"/>
      <c r="T1419" s="195"/>
      <c r="U1419" s="196"/>
      <c r="V1419" s="197"/>
      <c r="W1419" s="197"/>
    </row>
    <row r="1420" spans="1:23" x14ac:dyDescent="0.25">
      <c r="A1420" s="172"/>
      <c r="B1420" s="189"/>
      <c r="E1420" s="189"/>
      <c r="F1420" s="174"/>
      <c r="G1420" s="174"/>
      <c r="H1420" s="174"/>
      <c r="I1420" s="189"/>
      <c r="J1420" s="174"/>
      <c r="L1420" s="190"/>
      <c r="M1420" s="176"/>
      <c r="N1420" s="177"/>
      <c r="O1420" s="177" t="str">
        <f t="shared" si="50"/>
        <v/>
      </c>
      <c r="P1420" s="187" t="e">
        <f t="shared" si="51"/>
        <v>#VALUE!</v>
      </c>
      <c r="Q1420" s="192"/>
      <c r="R1420" s="193"/>
      <c r="S1420" s="194"/>
      <c r="T1420" s="195"/>
      <c r="U1420" s="196"/>
      <c r="V1420" s="197"/>
      <c r="W1420" s="197"/>
    </row>
    <row r="1421" spans="1:23" x14ac:dyDescent="0.25">
      <c r="A1421" s="172"/>
      <c r="B1421" s="189"/>
      <c r="E1421" s="189"/>
      <c r="F1421" s="174"/>
      <c r="G1421" s="174"/>
      <c r="H1421" s="174"/>
      <c r="I1421" s="189"/>
      <c r="J1421" s="174"/>
      <c r="L1421" s="190"/>
      <c r="M1421" s="176"/>
      <c r="N1421" s="177"/>
      <c r="O1421" s="177" t="str">
        <f t="shared" si="50"/>
        <v/>
      </c>
      <c r="P1421" s="187" t="e">
        <f t="shared" si="51"/>
        <v>#VALUE!</v>
      </c>
      <c r="Q1421" s="192"/>
      <c r="R1421" s="193"/>
      <c r="S1421" s="194"/>
      <c r="T1421" s="195"/>
      <c r="U1421" s="196"/>
      <c r="V1421" s="197"/>
      <c r="W1421" s="197"/>
    </row>
    <row r="1422" spans="1:23" x14ac:dyDescent="0.25">
      <c r="A1422" s="172"/>
      <c r="B1422" s="189"/>
      <c r="E1422" s="189"/>
      <c r="F1422" s="174"/>
      <c r="G1422" s="174"/>
      <c r="H1422" s="174"/>
      <c r="I1422" s="189"/>
      <c r="J1422" s="174"/>
      <c r="L1422" s="190"/>
      <c r="M1422" s="176"/>
      <c r="N1422" s="177"/>
      <c r="O1422" s="177" t="str">
        <f t="shared" si="50"/>
        <v/>
      </c>
      <c r="P1422" s="187" t="e">
        <f t="shared" si="51"/>
        <v>#VALUE!</v>
      </c>
      <c r="Q1422" s="192"/>
      <c r="R1422" s="193"/>
      <c r="S1422" s="194"/>
      <c r="T1422" s="195"/>
      <c r="U1422" s="196"/>
      <c r="V1422" s="197"/>
      <c r="W1422" s="197"/>
    </row>
    <row r="1423" spans="1:23" x14ac:dyDescent="0.25">
      <c r="A1423" s="172"/>
      <c r="B1423" s="189"/>
      <c r="E1423" s="189"/>
      <c r="F1423" s="174"/>
      <c r="G1423" s="174"/>
      <c r="H1423" s="174"/>
      <c r="I1423" s="189"/>
      <c r="J1423" s="174"/>
      <c r="L1423" s="190"/>
      <c r="M1423" s="176"/>
      <c r="N1423" s="177"/>
      <c r="O1423" s="177" t="str">
        <f t="shared" si="50"/>
        <v/>
      </c>
      <c r="P1423" s="187" t="e">
        <f t="shared" si="51"/>
        <v>#VALUE!</v>
      </c>
      <c r="Q1423" s="192"/>
      <c r="R1423" s="193"/>
      <c r="S1423" s="194"/>
      <c r="T1423" s="195"/>
      <c r="U1423" s="196"/>
      <c r="V1423" s="197"/>
      <c r="W1423" s="197"/>
    </row>
    <row r="1424" spans="1:23" x14ac:dyDescent="0.25">
      <c r="A1424" s="172"/>
      <c r="B1424" s="189"/>
      <c r="E1424" s="189"/>
      <c r="F1424" s="174"/>
      <c r="G1424" s="174"/>
      <c r="H1424" s="174"/>
      <c r="I1424" s="189"/>
      <c r="J1424" s="174"/>
      <c r="L1424" s="190"/>
      <c r="M1424" s="176"/>
      <c r="N1424" s="177"/>
      <c r="O1424" s="177" t="str">
        <f t="shared" si="50"/>
        <v/>
      </c>
      <c r="P1424" s="187" t="e">
        <f t="shared" si="51"/>
        <v>#VALUE!</v>
      </c>
      <c r="Q1424" s="192"/>
      <c r="R1424" s="193"/>
      <c r="S1424" s="194"/>
      <c r="T1424" s="195"/>
      <c r="U1424" s="196"/>
      <c r="V1424" s="197"/>
      <c r="W1424" s="197"/>
    </row>
    <row r="1425" spans="1:23" x14ac:dyDescent="0.25">
      <c r="A1425" s="172"/>
      <c r="B1425" s="189"/>
      <c r="E1425" s="189"/>
      <c r="F1425" s="174"/>
      <c r="G1425" s="174"/>
      <c r="H1425" s="174"/>
      <c r="I1425" s="189"/>
      <c r="J1425" s="174"/>
      <c r="L1425" s="190"/>
      <c r="M1425" s="176"/>
      <c r="N1425" s="177"/>
      <c r="O1425" s="177" t="str">
        <f t="shared" si="50"/>
        <v/>
      </c>
      <c r="P1425" s="187" t="e">
        <f t="shared" si="51"/>
        <v>#VALUE!</v>
      </c>
      <c r="Q1425" s="192"/>
      <c r="R1425" s="193"/>
      <c r="S1425" s="194"/>
      <c r="T1425" s="195"/>
      <c r="U1425" s="196"/>
      <c r="V1425" s="197"/>
      <c r="W1425" s="197"/>
    </row>
    <row r="1426" spans="1:23" x14ac:dyDescent="0.25">
      <c r="A1426" s="172"/>
      <c r="B1426" s="189"/>
      <c r="E1426" s="189"/>
      <c r="F1426" s="174"/>
      <c r="G1426" s="174"/>
      <c r="H1426" s="174"/>
      <c r="I1426" s="189"/>
      <c r="J1426" s="174"/>
      <c r="L1426" s="190"/>
      <c r="M1426" s="176"/>
      <c r="N1426" s="177"/>
      <c r="O1426" s="177" t="str">
        <f t="shared" si="50"/>
        <v/>
      </c>
      <c r="P1426" s="187" t="e">
        <f t="shared" si="51"/>
        <v>#VALUE!</v>
      </c>
      <c r="Q1426" s="192"/>
      <c r="R1426" s="193"/>
      <c r="S1426" s="194"/>
      <c r="T1426" s="195"/>
      <c r="U1426" s="196"/>
      <c r="V1426" s="197"/>
      <c r="W1426" s="197"/>
    </row>
    <row r="1427" spans="1:23" x14ac:dyDescent="0.25">
      <c r="A1427" s="172"/>
      <c r="B1427" s="189"/>
      <c r="E1427" s="189"/>
      <c r="F1427" s="174"/>
      <c r="G1427" s="174"/>
      <c r="H1427" s="174"/>
      <c r="I1427" s="189"/>
      <c r="J1427" s="174"/>
      <c r="L1427" s="190"/>
      <c r="M1427" s="176"/>
      <c r="N1427" s="177"/>
      <c r="O1427" s="177" t="str">
        <f t="shared" si="50"/>
        <v/>
      </c>
      <c r="P1427" s="187" t="e">
        <f t="shared" si="51"/>
        <v>#VALUE!</v>
      </c>
      <c r="Q1427" s="192"/>
      <c r="R1427" s="193"/>
      <c r="S1427" s="194"/>
      <c r="T1427" s="195"/>
      <c r="U1427" s="196"/>
      <c r="V1427" s="197"/>
      <c r="W1427" s="197"/>
    </row>
    <row r="1428" spans="1:23" x14ac:dyDescent="0.25">
      <c r="A1428" s="172"/>
      <c r="B1428" s="189"/>
      <c r="E1428" s="189"/>
      <c r="F1428" s="174"/>
      <c r="G1428" s="174"/>
      <c r="H1428" s="174"/>
      <c r="I1428" s="189"/>
      <c r="J1428" s="174"/>
      <c r="L1428" s="190"/>
      <c r="M1428" s="176"/>
      <c r="N1428" s="177"/>
      <c r="O1428" s="177" t="str">
        <f t="shared" si="50"/>
        <v/>
      </c>
      <c r="P1428" s="187" t="e">
        <f t="shared" si="51"/>
        <v>#VALUE!</v>
      </c>
      <c r="Q1428" s="192"/>
      <c r="R1428" s="193"/>
      <c r="S1428" s="194"/>
      <c r="T1428" s="195"/>
      <c r="U1428" s="196"/>
      <c r="V1428" s="197"/>
      <c r="W1428" s="197"/>
    </row>
    <row r="1429" spans="1:23" x14ac:dyDescent="0.25">
      <c r="A1429" s="172"/>
      <c r="B1429" s="189"/>
      <c r="E1429" s="189"/>
      <c r="F1429" s="174"/>
      <c r="G1429" s="174"/>
      <c r="H1429" s="174"/>
      <c r="I1429" s="189"/>
      <c r="J1429" s="174"/>
      <c r="L1429" s="190"/>
      <c r="M1429" s="176"/>
      <c r="N1429" s="177"/>
      <c r="O1429" s="177" t="str">
        <f t="shared" si="50"/>
        <v/>
      </c>
      <c r="P1429" s="187" t="e">
        <f t="shared" si="51"/>
        <v>#VALUE!</v>
      </c>
      <c r="Q1429" s="192"/>
      <c r="R1429" s="193"/>
      <c r="S1429" s="194"/>
      <c r="T1429" s="195"/>
      <c r="U1429" s="196"/>
      <c r="V1429" s="197"/>
      <c r="W1429" s="197"/>
    </row>
    <row r="1430" spans="1:23" x14ac:dyDescent="0.25">
      <c r="A1430" s="172"/>
      <c r="B1430" s="189"/>
      <c r="E1430" s="189"/>
      <c r="F1430" s="174"/>
      <c r="G1430" s="174"/>
      <c r="H1430" s="174"/>
      <c r="I1430" s="189"/>
      <c r="J1430" s="174"/>
      <c r="L1430" s="190"/>
      <c r="M1430" s="176"/>
      <c r="N1430" s="177"/>
      <c r="O1430" s="177" t="str">
        <f t="shared" si="50"/>
        <v/>
      </c>
      <c r="P1430" s="187" t="e">
        <f t="shared" si="51"/>
        <v>#VALUE!</v>
      </c>
      <c r="Q1430" s="192"/>
      <c r="R1430" s="193"/>
      <c r="S1430" s="194"/>
      <c r="T1430" s="195"/>
      <c r="U1430" s="196"/>
      <c r="V1430" s="197"/>
      <c r="W1430" s="197"/>
    </row>
    <row r="1431" spans="1:23" x14ac:dyDescent="0.25">
      <c r="A1431" s="172"/>
      <c r="B1431" s="189"/>
      <c r="E1431" s="189"/>
      <c r="F1431" s="174"/>
      <c r="G1431" s="174"/>
      <c r="H1431" s="174"/>
      <c r="I1431" s="189"/>
      <c r="J1431" s="174"/>
      <c r="L1431" s="190"/>
      <c r="M1431" s="176"/>
      <c r="N1431" s="177"/>
      <c r="O1431" s="177" t="str">
        <f t="shared" si="50"/>
        <v/>
      </c>
      <c r="P1431" s="187" t="e">
        <f t="shared" si="51"/>
        <v>#VALUE!</v>
      </c>
      <c r="Q1431" s="192"/>
      <c r="R1431" s="193"/>
      <c r="S1431" s="194"/>
      <c r="T1431" s="195"/>
      <c r="U1431" s="196"/>
      <c r="V1431" s="197"/>
      <c r="W1431" s="197"/>
    </row>
    <row r="1432" spans="1:23" x14ac:dyDescent="0.25">
      <c r="A1432" s="172"/>
      <c r="B1432" s="189"/>
      <c r="E1432" s="189"/>
      <c r="F1432" s="174"/>
      <c r="G1432" s="174"/>
      <c r="H1432" s="174"/>
      <c r="I1432" s="189"/>
      <c r="J1432" s="174"/>
      <c r="L1432" s="190"/>
      <c r="M1432" s="176"/>
      <c r="N1432" s="177"/>
      <c r="O1432" s="177" t="str">
        <f t="shared" si="50"/>
        <v/>
      </c>
      <c r="P1432" s="187" t="e">
        <f t="shared" si="51"/>
        <v>#VALUE!</v>
      </c>
      <c r="Q1432" s="192"/>
      <c r="R1432" s="193"/>
      <c r="S1432" s="194"/>
      <c r="T1432" s="195"/>
      <c r="U1432" s="196"/>
      <c r="V1432" s="197"/>
      <c r="W1432" s="197"/>
    </row>
    <row r="1433" spans="1:23" x14ac:dyDescent="0.25">
      <c r="A1433" s="172"/>
      <c r="B1433" s="189"/>
      <c r="E1433" s="189"/>
      <c r="F1433" s="174"/>
      <c r="G1433" s="174"/>
      <c r="H1433" s="174"/>
      <c r="I1433" s="189"/>
      <c r="J1433" s="174"/>
      <c r="L1433" s="190"/>
      <c r="M1433" s="176"/>
      <c r="N1433" s="177"/>
      <c r="O1433" s="177" t="str">
        <f t="shared" si="50"/>
        <v/>
      </c>
      <c r="P1433" s="187" t="e">
        <f t="shared" si="51"/>
        <v>#VALUE!</v>
      </c>
      <c r="Q1433" s="192"/>
      <c r="R1433" s="193"/>
      <c r="S1433" s="194"/>
      <c r="T1433" s="195"/>
      <c r="U1433" s="196"/>
      <c r="V1433" s="197"/>
      <c r="W1433" s="197"/>
    </row>
    <row r="1434" spans="1:23" x14ac:dyDescent="0.25">
      <c r="A1434" s="172"/>
      <c r="B1434" s="189"/>
      <c r="E1434" s="189"/>
      <c r="F1434" s="174"/>
      <c r="G1434" s="174"/>
      <c r="H1434" s="174"/>
      <c r="I1434" s="189"/>
      <c r="J1434" s="174"/>
      <c r="L1434" s="190"/>
      <c r="M1434" s="176"/>
      <c r="N1434" s="177"/>
      <c r="O1434" s="177" t="str">
        <f t="shared" si="50"/>
        <v/>
      </c>
      <c r="P1434" s="187" t="e">
        <f t="shared" si="51"/>
        <v>#VALUE!</v>
      </c>
      <c r="Q1434" s="192"/>
      <c r="R1434" s="193"/>
      <c r="S1434" s="194"/>
      <c r="T1434" s="195"/>
      <c r="U1434" s="196"/>
      <c r="V1434" s="197"/>
      <c r="W1434" s="197"/>
    </row>
    <row r="1435" spans="1:23" x14ac:dyDescent="0.25">
      <c r="A1435" s="172"/>
      <c r="F1435" s="174"/>
      <c r="G1435" s="174"/>
      <c r="H1435" s="174"/>
      <c r="J1435" s="174"/>
      <c r="L1435" s="190"/>
      <c r="M1435" s="176"/>
      <c r="N1435" s="177"/>
      <c r="O1435" s="177" t="str">
        <f t="shared" si="50"/>
        <v/>
      </c>
      <c r="P1435" s="187" t="e">
        <f t="shared" si="51"/>
        <v>#VALUE!</v>
      </c>
      <c r="Q1435" s="192"/>
      <c r="R1435" s="193"/>
      <c r="S1435" s="194"/>
      <c r="T1435" s="195"/>
      <c r="U1435" s="196"/>
      <c r="V1435" s="197"/>
      <c r="W1435" s="197"/>
    </row>
    <row r="1436" spans="1:23" x14ac:dyDescent="0.25">
      <c r="A1436" s="172"/>
      <c r="F1436" s="174"/>
      <c r="G1436" s="174"/>
      <c r="H1436" s="174"/>
      <c r="J1436" s="174"/>
      <c r="L1436" s="190"/>
      <c r="M1436" s="176"/>
      <c r="N1436" s="177"/>
      <c r="O1436" s="177" t="str">
        <f t="shared" si="50"/>
        <v/>
      </c>
      <c r="P1436" s="187" t="e">
        <f t="shared" si="51"/>
        <v>#VALUE!</v>
      </c>
      <c r="Q1436" s="192"/>
      <c r="R1436" s="193"/>
      <c r="S1436" s="194"/>
      <c r="T1436" s="195"/>
      <c r="U1436" s="196"/>
      <c r="V1436" s="197"/>
      <c r="W1436" s="197"/>
    </row>
    <row r="1437" spans="1:23" x14ac:dyDescent="0.25">
      <c r="A1437" s="172"/>
      <c r="B1437" s="189"/>
      <c r="E1437" s="189"/>
      <c r="F1437" s="174"/>
      <c r="G1437" s="174"/>
      <c r="H1437" s="174"/>
      <c r="I1437" s="189"/>
      <c r="J1437" s="174"/>
      <c r="L1437" s="190"/>
      <c r="M1437" s="176"/>
      <c r="N1437" s="177"/>
      <c r="O1437" s="177" t="str">
        <f t="shared" si="50"/>
        <v/>
      </c>
      <c r="P1437" s="187" t="e">
        <f t="shared" si="51"/>
        <v>#VALUE!</v>
      </c>
      <c r="Q1437" s="192"/>
      <c r="R1437" s="193"/>
      <c r="S1437" s="194"/>
      <c r="T1437" s="195"/>
      <c r="U1437" s="196"/>
      <c r="V1437" s="197"/>
      <c r="W1437" s="197"/>
    </row>
    <row r="1438" spans="1:23" x14ac:dyDescent="0.25">
      <c r="A1438" s="172"/>
      <c r="F1438" s="174"/>
      <c r="G1438" s="174"/>
      <c r="H1438" s="174"/>
      <c r="J1438" s="174"/>
      <c r="L1438" s="190"/>
      <c r="M1438" s="176"/>
      <c r="N1438" s="177"/>
      <c r="O1438" s="177" t="str">
        <f t="shared" si="50"/>
        <v/>
      </c>
      <c r="P1438" s="187" t="e">
        <f t="shared" si="51"/>
        <v>#VALUE!</v>
      </c>
      <c r="Q1438" s="192"/>
      <c r="R1438" s="193"/>
      <c r="S1438" s="194"/>
      <c r="T1438" s="195"/>
      <c r="U1438" s="196"/>
      <c r="V1438" s="197"/>
      <c r="W1438" s="197"/>
    </row>
    <row r="1439" spans="1:23" x14ac:dyDescent="0.25">
      <c r="A1439" s="172"/>
      <c r="F1439" s="174"/>
      <c r="G1439" s="174"/>
      <c r="H1439" s="174"/>
      <c r="J1439" s="174"/>
      <c r="L1439" s="190"/>
      <c r="M1439" s="176"/>
      <c r="N1439" s="177"/>
      <c r="O1439" s="177" t="str">
        <f t="shared" si="50"/>
        <v/>
      </c>
      <c r="P1439" s="187" t="e">
        <f t="shared" si="51"/>
        <v>#VALUE!</v>
      </c>
      <c r="Q1439" s="192"/>
      <c r="R1439" s="193"/>
      <c r="S1439" s="194"/>
      <c r="T1439" s="195"/>
      <c r="U1439" s="196"/>
      <c r="V1439" s="197"/>
      <c r="W1439" s="197"/>
    </row>
    <row r="1440" spans="1:23" x14ac:dyDescent="0.25">
      <c r="A1440" s="172"/>
      <c r="B1440" s="189"/>
      <c r="E1440" s="189"/>
      <c r="F1440" s="174"/>
      <c r="G1440" s="174"/>
      <c r="H1440" s="174"/>
      <c r="I1440" s="189"/>
      <c r="J1440" s="174"/>
      <c r="L1440" s="190"/>
      <c r="M1440" s="176"/>
      <c r="N1440" s="177"/>
      <c r="O1440" s="177" t="str">
        <f t="shared" si="50"/>
        <v/>
      </c>
      <c r="P1440" s="187" t="e">
        <f t="shared" si="51"/>
        <v>#VALUE!</v>
      </c>
      <c r="Q1440" s="192"/>
      <c r="R1440" s="193"/>
      <c r="S1440" s="194"/>
      <c r="T1440" s="195"/>
      <c r="U1440" s="196"/>
      <c r="V1440" s="197"/>
      <c r="W1440" s="197"/>
    </row>
    <row r="1441" spans="1:23" x14ac:dyDescent="0.25">
      <c r="A1441" s="172"/>
      <c r="B1441" s="189"/>
      <c r="E1441" s="189"/>
      <c r="F1441" s="174"/>
      <c r="G1441" s="174"/>
      <c r="H1441" s="174"/>
      <c r="I1441" s="189"/>
      <c r="J1441" s="174"/>
      <c r="L1441" s="190"/>
      <c r="M1441" s="176"/>
      <c r="N1441" s="177"/>
      <c r="O1441" s="177" t="str">
        <f t="shared" si="50"/>
        <v/>
      </c>
      <c r="P1441" s="187" t="e">
        <f t="shared" si="51"/>
        <v>#VALUE!</v>
      </c>
      <c r="Q1441" s="192"/>
      <c r="R1441" s="193"/>
      <c r="S1441" s="194"/>
      <c r="T1441" s="195"/>
      <c r="U1441" s="196"/>
      <c r="V1441" s="197"/>
      <c r="W1441" s="197"/>
    </row>
    <row r="1442" spans="1:23" x14ac:dyDescent="0.25">
      <c r="A1442" s="172"/>
      <c r="B1442" s="189"/>
      <c r="E1442" s="189"/>
      <c r="F1442" s="174"/>
      <c r="G1442" s="174"/>
      <c r="H1442" s="174"/>
      <c r="I1442" s="189"/>
      <c r="J1442" s="174"/>
      <c r="L1442" s="190"/>
      <c r="M1442" s="176"/>
      <c r="N1442" s="177"/>
      <c r="O1442" s="177" t="str">
        <f t="shared" si="50"/>
        <v/>
      </c>
      <c r="P1442" s="187" t="e">
        <f t="shared" si="51"/>
        <v>#VALUE!</v>
      </c>
      <c r="Q1442" s="192"/>
      <c r="R1442" s="193"/>
      <c r="S1442" s="194"/>
      <c r="T1442" s="195"/>
      <c r="U1442" s="196"/>
      <c r="V1442" s="197"/>
      <c r="W1442" s="197"/>
    </row>
    <row r="1443" spans="1:23" x14ac:dyDescent="0.25">
      <c r="A1443" s="172"/>
      <c r="B1443" s="189"/>
      <c r="E1443" s="189"/>
      <c r="F1443" s="174"/>
      <c r="G1443" s="174"/>
      <c r="H1443" s="174"/>
      <c r="I1443" s="189"/>
      <c r="J1443" s="174"/>
      <c r="L1443" s="190"/>
      <c r="M1443" s="176"/>
      <c r="N1443" s="177"/>
      <c r="O1443" s="177" t="str">
        <f t="shared" si="50"/>
        <v/>
      </c>
      <c r="P1443" s="187" t="e">
        <f t="shared" si="51"/>
        <v>#VALUE!</v>
      </c>
      <c r="Q1443" s="192"/>
      <c r="R1443" s="193"/>
      <c r="S1443" s="194"/>
      <c r="T1443" s="195"/>
      <c r="U1443" s="196"/>
      <c r="V1443" s="197"/>
      <c r="W1443" s="197"/>
    </row>
    <row r="1444" spans="1:23" x14ac:dyDescent="0.25">
      <c r="A1444" s="172"/>
      <c r="B1444" s="189"/>
      <c r="E1444" s="189"/>
      <c r="F1444" s="174"/>
      <c r="G1444" s="174"/>
      <c r="H1444" s="174"/>
      <c r="I1444" s="189"/>
      <c r="J1444" s="174"/>
      <c r="L1444" s="190"/>
      <c r="M1444" s="176"/>
      <c r="N1444" s="177"/>
      <c r="O1444" s="177" t="str">
        <f t="shared" si="50"/>
        <v/>
      </c>
      <c r="P1444" s="187" t="e">
        <f t="shared" si="51"/>
        <v>#VALUE!</v>
      </c>
      <c r="Q1444" s="192"/>
      <c r="R1444" s="193"/>
      <c r="S1444" s="194"/>
      <c r="T1444" s="195"/>
      <c r="U1444" s="196"/>
      <c r="V1444" s="197"/>
      <c r="W1444" s="197"/>
    </row>
    <row r="1445" spans="1:23" x14ac:dyDescent="0.25">
      <c r="A1445" s="172"/>
      <c r="B1445" s="189"/>
      <c r="E1445" s="189"/>
      <c r="F1445" s="174"/>
      <c r="G1445" s="174"/>
      <c r="H1445" s="174"/>
      <c r="I1445" s="189"/>
      <c r="J1445" s="174"/>
      <c r="L1445" s="190"/>
      <c r="M1445" s="176"/>
      <c r="N1445" s="177"/>
      <c r="O1445" s="177" t="str">
        <f t="shared" si="50"/>
        <v/>
      </c>
      <c r="P1445" s="187" t="e">
        <f t="shared" si="51"/>
        <v>#VALUE!</v>
      </c>
      <c r="Q1445" s="192"/>
      <c r="R1445" s="193"/>
      <c r="S1445" s="194"/>
      <c r="T1445" s="195"/>
      <c r="U1445" s="196"/>
      <c r="V1445" s="197"/>
      <c r="W1445" s="197"/>
    </row>
    <row r="1446" spans="1:23" x14ac:dyDescent="0.25">
      <c r="A1446" s="172"/>
      <c r="B1446" s="189"/>
      <c r="E1446" s="189"/>
      <c r="F1446" s="174"/>
      <c r="G1446" s="174"/>
      <c r="H1446" s="174"/>
      <c r="I1446" s="189"/>
      <c r="J1446" s="174"/>
      <c r="L1446" s="190"/>
      <c r="M1446" s="176"/>
      <c r="N1446" s="177"/>
      <c r="O1446" s="177" t="str">
        <f t="shared" si="50"/>
        <v/>
      </c>
      <c r="P1446" s="187" t="e">
        <f t="shared" si="51"/>
        <v>#VALUE!</v>
      </c>
      <c r="Q1446" s="192"/>
      <c r="R1446" s="193"/>
      <c r="S1446" s="194"/>
      <c r="T1446" s="195"/>
      <c r="U1446" s="196"/>
      <c r="V1446" s="197"/>
      <c r="W1446" s="197"/>
    </row>
    <row r="1447" spans="1:23" x14ac:dyDescent="0.25">
      <c r="A1447" s="172"/>
      <c r="B1447" s="189"/>
      <c r="E1447" s="189"/>
      <c r="F1447" s="174"/>
      <c r="G1447" s="174"/>
      <c r="H1447" s="174"/>
      <c r="I1447" s="189"/>
      <c r="J1447" s="174"/>
      <c r="L1447" s="190"/>
      <c r="M1447" s="176"/>
      <c r="N1447" s="177"/>
      <c r="O1447" s="177" t="str">
        <f t="shared" si="50"/>
        <v/>
      </c>
      <c r="P1447" s="187" t="e">
        <f t="shared" si="51"/>
        <v>#VALUE!</v>
      </c>
      <c r="Q1447" s="192"/>
      <c r="R1447" s="193"/>
      <c r="S1447" s="194"/>
      <c r="T1447" s="195"/>
      <c r="U1447" s="196"/>
      <c r="V1447" s="197"/>
      <c r="W1447" s="197"/>
    </row>
    <row r="1448" spans="1:23" x14ac:dyDescent="0.25">
      <c r="A1448" s="172"/>
      <c r="B1448" s="189"/>
      <c r="E1448" s="189"/>
      <c r="F1448" s="174"/>
      <c r="G1448" s="174"/>
      <c r="H1448" s="174"/>
      <c r="I1448" s="189"/>
      <c r="J1448" s="174"/>
      <c r="L1448" s="190"/>
      <c r="M1448" s="176"/>
      <c r="N1448" s="177"/>
      <c r="O1448" s="177" t="str">
        <f t="shared" si="50"/>
        <v/>
      </c>
      <c r="P1448" s="187" t="e">
        <f t="shared" si="51"/>
        <v>#VALUE!</v>
      </c>
      <c r="Q1448" s="192"/>
      <c r="R1448" s="193"/>
      <c r="S1448" s="194"/>
      <c r="T1448" s="195"/>
      <c r="U1448" s="196"/>
      <c r="V1448" s="197"/>
      <c r="W1448" s="197"/>
    </row>
    <row r="1449" spans="1:23" x14ac:dyDescent="0.25">
      <c r="A1449" s="172"/>
      <c r="F1449" s="174"/>
      <c r="G1449" s="174"/>
      <c r="H1449" s="174"/>
      <c r="J1449" s="174"/>
      <c r="L1449" s="190"/>
      <c r="M1449" s="176"/>
      <c r="N1449" s="177"/>
      <c r="O1449" s="177" t="str">
        <f t="shared" si="50"/>
        <v/>
      </c>
      <c r="P1449" s="187" t="e">
        <f t="shared" si="51"/>
        <v>#VALUE!</v>
      </c>
      <c r="Q1449" s="192"/>
      <c r="R1449" s="193"/>
      <c r="S1449" s="194"/>
      <c r="T1449" s="195"/>
      <c r="U1449" s="196"/>
      <c r="V1449" s="197"/>
      <c r="W1449" s="197"/>
    </row>
    <row r="1450" spans="1:23" x14ac:dyDescent="0.25">
      <c r="A1450" s="172"/>
      <c r="B1450" s="189"/>
      <c r="E1450" s="189"/>
      <c r="F1450" s="174"/>
      <c r="G1450" s="174"/>
      <c r="H1450" s="174"/>
      <c r="I1450" s="189"/>
      <c r="J1450" s="174"/>
      <c r="L1450" s="190"/>
      <c r="M1450" s="176"/>
      <c r="N1450" s="177"/>
      <c r="O1450" s="177" t="str">
        <f t="shared" si="50"/>
        <v/>
      </c>
      <c r="P1450" s="187" t="e">
        <f t="shared" si="51"/>
        <v>#VALUE!</v>
      </c>
      <c r="Q1450" s="192"/>
      <c r="R1450" s="193"/>
      <c r="S1450" s="194"/>
      <c r="T1450" s="195"/>
      <c r="U1450" s="196"/>
      <c r="V1450" s="197"/>
      <c r="W1450" s="197"/>
    </row>
    <row r="1451" spans="1:23" x14ac:dyDescent="0.25">
      <c r="A1451" s="172"/>
      <c r="B1451" s="189"/>
      <c r="E1451" s="189"/>
      <c r="F1451" s="174"/>
      <c r="G1451" s="174"/>
      <c r="H1451" s="174"/>
      <c r="I1451" s="189"/>
      <c r="J1451" s="174"/>
      <c r="L1451" s="190"/>
      <c r="M1451" s="176"/>
      <c r="N1451" s="177"/>
      <c r="O1451" s="177" t="str">
        <f t="shared" si="50"/>
        <v/>
      </c>
      <c r="P1451" s="187" t="e">
        <f t="shared" si="51"/>
        <v>#VALUE!</v>
      </c>
      <c r="Q1451" s="192"/>
      <c r="R1451" s="193"/>
      <c r="S1451" s="194"/>
      <c r="T1451" s="195"/>
      <c r="U1451" s="196"/>
      <c r="V1451" s="197"/>
      <c r="W1451" s="197"/>
    </row>
    <row r="1452" spans="1:23" x14ac:dyDescent="0.25">
      <c r="A1452" s="172"/>
      <c r="B1452" s="189"/>
      <c r="E1452" s="189"/>
      <c r="F1452" s="174"/>
      <c r="G1452" s="174"/>
      <c r="H1452" s="174"/>
      <c r="I1452" s="189"/>
      <c r="J1452" s="174"/>
      <c r="L1452" s="190"/>
      <c r="M1452" s="176"/>
      <c r="N1452" s="177"/>
      <c r="O1452" s="177" t="str">
        <f t="shared" si="50"/>
        <v/>
      </c>
      <c r="P1452" s="187" t="e">
        <f t="shared" si="51"/>
        <v>#VALUE!</v>
      </c>
      <c r="Q1452" s="192"/>
      <c r="R1452" s="193"/>
      <c r="S1452" s="194"/>
      <c r="T1452" s="195"/>
      <c r="U1452" s="196"/>
      <c r="V1452" s="197"/>
      <c r="W1452" s="197"/>
    </row>
    <row r="1453" spans="1:23" x14ac:dyDescent="0.25">
      <c r="A1453" s="172"/>
      <c r="B1453" s="189"/>
      <c r="E1453" s="189"/>
      <c r="F1453" s="174"/>
      <c r="G1453" s="174"/>
      <c r="H1453" s="174"/>
      <c r="I1453" s="189"/>
      <c r="J1453" s="174"/>
      <c r="L1453" s="190"/>
      <c r="M1453" s="176"/>
      <c r="N1453" s="177"/>
      <c r="O1453" s="177" t="str">
        <f t="shared" si="50"/>
        <v/>
      </c>
      <c r="P1453" s="187" t="e">
        <f t="shared" si="51"/>
        <v>#VALUE!</v>
      </c>
      <c r="Q1453" s="192"/>
      <c r="R1453" s="193"/>
      <c r="S1453" s="194"/>
      <c r="T1453" s="195"/>
      <c r="U1453" s="196"/>
      <c r="V1453" s="197"/>
      <c r="W1453" s="197"/>
    </row>
    <row r="1454" spans="1:23" x14ac:dyDescent="0.25">
      <c r="A1454" s="172"/>
      <c r="B1454" s="189"/>
      <c r="E1454" s="189"/>
      <c r="F1454" s="174"/>
      <c r="G1454" s="174"/>
      <c r="H1454" s="174"/>
      <c r="I1454" s="189"/>
      <c r="J1454" s="174"/>
      <c r="L1454" s="190"/>
      <c r="M1454" s="176"/>
      <c r="N1454" s="177"/>
      <c r="O1454" s="177" t="str">
        <f t="shared" si="50"/>
        <v/>
      </c>
      <c r="P1454" s="187" t="e">
        <f t="shared" si="51"/>
        <v>#VALUE!</v>
      </c>
      <c r="Q1454" s="192"/>
      <c r="R1454" s="193"/>
      <c r="S1454" s="194"/>
      <c r="T1454" s="195"/>
      <c r="U1454" s="196"/>
      <c r="V1454" s="197"/>
      <c r="W1454" s="197"/>
    </row>
    <row r="1455" spans="1:23" x14ac:dyDescent="0.25">
      <c r="A1455" s="172"/>
      <c r="F1455" s="174"/>
      <c r="G1455" s="174"/>
      <c r="H1455" s="174"/>
      <c r="J1455" s="174"/>
      <c r="L1455" s="190"/>
      <c r="M1455" s="176"/>
      <c r="N1455" s="177"/>
      <c r="O1455" s="177" t="str">
        <f t="shared" si="50"/>
        <v/>
      </c>
      <c r="P1455" s="187" t="e">
        <f t="shared" si="51"/>
        <v>#VALUE!</v>
      </c>
      <c r="Q1455" s="192"/>
      <c r="R1455" s="193"/>
      <c r="S1455" s="194"/>
      <c r="T1455" s="195"/>
      <c r="U1455" s="196"/>
      <c r="V1455" s="197"/>
      <c r="W1455" s="197"/>
    </row>
    <row r="1456" spans="1:23" x14ac:dyDescent="0.25">
      <c r="A1456" s="172"/>
      <c r="B1456" s="189"/>
      <c r="E1456" s="189"/>
      <c r="F1456" s="174"/>
      <c r="G1456" s="174"/>
      <c r="H1456" s="174"/>
      <c r="I1456" s="189"/>
      <c r="J1456" s="174"/>
      <c r="L1456" s="190"/>
      <c r="M1456" s="176"/>
      <c r="N1456" s="177"/>
      <c r="O1456" s="177" t="str">
        <f t="shared" si="50"/>
        <v/>
      </c>
      <c r="P1456" s="187" t="e">
        <f t="shared" si="51"/>
        <v>#VALUE!</v>
      </c>
      <c r="Q1456" s="192"/>
      <c r="R1456" s="193"/>
      <c r="S1456" s="194"/>
      <c r="T1456" s="195"/>
      <c r="U1456" s="196"/>
      <c r="V1456" s="197"/>
      <c r="W1456" s="197"/>
    </row>
    <row r="1457" spans="1:23" x14ac:dyDescent="0.25">
      <c r="A1457" s="172"/>
      <c r="B1457" s="189"/>
      <c r="E1457" s="189"/>
      <c r="F1457" s="174"/>
      <c r="G1457" s="174"/>
      <c r="H1457" s="174"/>
      <c r="I1457" s="189"/>
      <c r="J1457" s="174"/>
      <c r="L1457" s="190"/>
      <c r="M1457" s="176"/>
      <c r="N1457" s="177"/>
      <c r="O1457" s="177" t="str">
        <f t="shared" si="50"/>
        <v/>
      </c>
      <c r="P1457" s="187" t="e">
        <f t="shared" si="51"/>
        <v>#VALUE!</v>
      </c>
      <c r="Q1457" s="192"/>
      <c r="R1457" s="193"/>
      <c r="S1457" s="194"/>
      <c r="T1457" s="195"/>
      <c r="U1457" s="196"/>
      <c r="V1457" s="197"/>
      <c r="W1457" s="197"/>
    </row>
    <row r="1458" spans="1:23" x14ac:dyDescent="0.25">
      <c r="A1458" s="172"/>
      <c r="B1458" s="189"/>
      <c r="E1458" s="189"/>
      <c r="F1458" s="174"/>
      <c r="G1458" s="174"/>
      <c r="H1458" s="174"/>
      <c r="I1458" s="189"/>
      <c r="J1458" s="174"/>
      <c r="L1458" s="190"/>
      <c r="M1458" s="176"/>
      <c r="N1458" s="177"/>
      <c r="O1458" s="177" t="str">
        <f t="shared" si="50"/>
        <v/>
      </c>
      <c r="P1458" s="187" t="e">
        <f t="shared" si="51"/>
        <v>#VALUE!</v>
      </c>
      <c r="Q1458" s="192"/>
      <c r="R1458" s="193"/>
      <c r="S1458" s="194"/>
      <c r="T1458" s="195"/>
      <c r="U1458" s="196"/>
      <c r="V1458" s="197"/>
      <c r="W1458" s="197"/>
    </row>
    <row r="1459" spans="1:23" x14ac:dyDescent="0.25">
      <c r="A1459" s="172"/>
      <c r="B1459" s="189"/>
      <c r="E1459" s="189"/>
      <c r="F1459" s="174"/>
      <c r="G1459" s="174"/>
      <c r="H1459" s="174"/>
      <c r="I1459" s="189"/>
      <c r="J1459" s="174"/>
      <c r="L1459" s="190"/>
      <c r="M1459" s="176"/>
      <c r="N1459" s="177"/>
      <c r="O1459" s="177" t="str">
        <f t="shared" si="50"/>
        <v/>
      </c>
      <c r="P1459" s="187" t="e">
        <f t="shared" si="51"/>
        <v>#VALUE!</v>
      </c>
      <c r="Q1459" s="192"/>
      <c r="R1459" s="193"/>
      <c r="S1459" s="194"/>
      <c r="T1459" s="195"/>
      <c r="U1459" s="196"/>
      <c r="V1459" s="197"/>
      <c r="W1459" s="197"/>
    </row>
    <row r="1460" spans="1:23" x14ac:dyDescent="0.25">
      <c r="A1460" s="172"/>
      <c r="B1460" s="189"/>
      <c r="E1460" s="189"/>
      <c r="F1460" s="174"/>
      <c r="G1460" s="174"/>
      <c r="H1460" s="174"/>
      <c r="I1460" s="189"/>
      <c r="J1460" s="174"/>
      <c r="L1460" s="190"/>
      <c r="M1460" s="176"/>
      <c r="N1460" s="177"/>
      <c r="O1460" s="177" t="str">
        <f t="shared" si="50"/>
        <v/>
      </c>
      <c r="P1460" s="187" t="e">
        <f t="shared" si="51"/>
        <v>#VALUE!</v>
      </c>
      <c r="Q1460" s="192"/>
      <c r="R1460" s="193"/>
      <c r="S1460" s="194"/>
      <c r="T1460" s="195"/>
      <c r="U1460" s="196"/>
      <c r="V1460" s="197"/>
      <c r="W1460" s="197"/>
    </row>
    <row r="1461" spans="1:23" x14ac:dyDescent="0.25">
      <c r="A1461" s="172"/>
      <c r="B1461" s="189"/>
      <c r="E1461" s="189"/>
      <c r="F1461" s="174"/>
      <c r="G1461" s="174"/>
      <c r="H1461" s="174"/>
      <c r="I1461" s="189"/>
      <c r="J1461" s="174"/>
      <c r="L1461" s="190"/>
      <c r="M1461" s="176"/>
      <c r="N1461" s="177"/>
      <c r="O1461" s="177" t="str">
        <f t="shared" si="50"/>
        <v/>
      </c>
      <c r="P1461" s="187" t="e">
        <f t="shared" si="51"/>
        <v>#VALUE!</v>
      </c>
      <c r="Q1461" s="192"/>
      <c r="R1461" s="193"/>
      <c r="S1461" s="194"/>
      <c r="T1461" s="195"/>
      <c r="U1461" s="196"/>
      <c r="V1461" s="197"/>
      <c r="W1461" s="197"/>
    </row>
    <row r="1462" spans="1:23" x14ac:dyDescent="0.25">
      <c r="A1462" s="172"/>
      <c r="B1462" s="189"/>
      <c r="E1462" s="189"/>
      <c r="F1462" s="174"/>
      <c r="G1462" s="174"/>
      <c r="H1462" s="174"/>
      <c r="I1462" s="189"/>
      <c r="J1462" s="174"/>
      <c r="L1462" s="190"/>
      <c r="M1462" s="176"/>
      <c r="N1462" s="177"/>
      <c r="O1462" s="177" t="str">
        <f t="shared" si="50"/>
        <v/>
      </c>
      <c r="P1462" s="187" t="e">
        <f t="shared" si="51"/>
        <v>#VALUE!</v>
      </c>
      <c r="Q1462" s="192"/>
      <c r="R1462" s="193"/>
      <c r="S1462" s="194"/>
      <c r="T1462" s="195"/>
      <c r="U1462" s="196"/>
      <c r="V1462" s="197"/>
      <c r="W1462" s="197"/>
    </row>
    <row r="1463" spans="1:23" x14ac:dyDescent="0.25">
      <c r="A1463" s="172"/>
      <c r="B1463" s="189"/>
      <c r="E1463" s="189"/>
      <c r="F1463" s="174"/>
      <c r="G1463" s="174"/>
      <c r="H1463" s="174"/>
      <c r="I1463" s="189"/>
      <c r="J1463" s="174"/>
      <c r="L1463" s="190"/>
      <c r="M1463" s="176"/>
      <c r="N1463" s="177"/>
      <c r="O1463" s="177" t="str">
        <f t="shared" si="50"/>
        <v/>
      </c>
      <c r="P1463" s="187" t="e">
        <f t="shared" si="51"/>
        <v>#VALUE!</v>
      </c>
      <c r="Q1463" s="192"/>
      <c r="R1463" s="193"/>
      <c r="S1463" s="194"/>
      <c r="T1463" s="195"/>
      <c r="U1463" s="196"/>
      <c r="V1463" s="197"/>
      <c r="W1463" s="197"/>
    </row>
    <row r="1464" spans="1:23" x14ac:dyDescent="0.25">
      <c r="A1464" s="172"/>
      <c r="B1464" s="189"/>
      <c r="E1464" s="189"/>
      <c r="F1464" s="174"/>
      <c r="G1464" s="174"/>
      <c r="H1464" s="174"/>
      <c r="I1464" s="189"/>
      <c r="J1464" s="174"/>
      <c r="L1464" s="190"/>
      <c r="M1464" s="176"/>
      <c r="N1464" s="177"/>
      <c r="O1464" s="177" t="str">
        <f t="shared" si="50"/>
        <v/>
      </c>
      <c r="P1464" s="187" t="e">
        <f t="shared" si="51"/>
        <v>#VALUE!</v>
      </c>
      <c r="Q1464" s="192"/>
      <c r="R1464" s="193"/>
      <c r="S1464" s="194"/>
      <c r="T1464" s="195"/>
      <c r="U1464" s="196"/>
      <c r="V1464" s="197"/>
      <c r="W1464" s="197"/>
    </row>
    <row r="1465" spans="1:23" x14ac:dyDescent="0.25">
      <c r="A1465" s="172"/>
      <c r="B1465" s="189"/>
      <c r="E1465" s="189"/>
      <c r="F1465" s="174"/>
      <c r="G1465" s="174"/>
      <c r="H1465" s="174"/>
      <c r="I1465" s="189"/>
      <c r="J1465" s="174"/>
      <c r="L1465" s="190"/>
      <c r="M1465" s="176"/>
      <c r="N1465" s="177"/>
      <c r="O1465" s="177" t="str">
        <f t="shared" si="50"/>
        <v/>
      </c>
      <c r="P1465" s="187" t="e">
        <f t="shared" si="51"/>
        <v>#VALUE!</v>
      </c>
      <c r="Q1465" s="192"/>
      <c r="R1465" s="193"/>
      <c r="S1465" s="194"/>
      <c r="T1465" s="195"/>
      <c r="U1465" s="196"/>
      <c r="V1465" s="197"/>
      <c r="W1465" s="197"/>
    </row>
    <row r="1466" spans="1:23" x14ac:dyDescent="0.25">
      <c r="A1466" s="172"/>
      <c r="B1466" s="189"/>
      <c r="E1466" s="189"/>
      <c r="F1466" s="174"/>
      <c r="G1466" s="174"/>
      <c r="H1466" s="174"/>
      <c r="I1466" s="189"/>
      <c r="J1466" s="174"/>
      <c r="L1466" s="190"/>
      <c r="M1466" s="176"/>
      <c r="N1466" s="177"/>
      <c r="O1466" s="177" t="str">
        <f t="shared" si="50"/>
        <v/>
      </c>
      <c r="P1466" s="187" t="e">
        <f t="shared" si="51"/>
        <v>#VALUE!</v>
      </c>
      <c r="Q1466" s="192"/>
      <c r="R1466" s="193"/>
      <c r="S1466" s="194"/>
      <c r="T1466" s="195"/>
      <c r="U1466" s="196"/>
      <c r="V1466" s="197"/>
      <c r="W1466" s="197"/>
    </row>
    <row r="1467" spans="1:23" x14ac:dyDescent="0.25">
      <c r="A1467" s="172"/>
      <c r="B1467" s="189"/>
      <c r="E1467" s="189"/>
      <c r="F1467" s="174"/>
      <c r="G1467" s="174"/>
      <c r="H1467" s="174"/>
      <c r="I1467" s="189"/>
      <c r="J1467" s="174"/>
      <c r="L1467" s="190"/>
      <c r="M1467" s="176"/>
      <c r="N1467" s="177"/>
      <c r="O1467" s="177" t="str">
        <f t="shared" si="50"/>
        <v/>
      </c>
      <c r="P1467" s="187" t="e">
        <f t="shared" si="51"/>
        <v>#VALUE!</v>
      </c>
      <c r="Q1467" s="192"/>
      <c r="R1467" s="193"/>
      <c r="S1467" s="194"/>
      <c r="T1467" s="195"/>
      <c r="U1467" s="196"/>
      <c r="V1467" s="197"/>
      <c r="W1467" s="197"/>
    </row>
    <row r="1468" spans="1:23" x14ac:dyDescent="0.25">
      <c r="A1468" s="172"/>
      <c r="F1468" s="174"/>
      <c r="G1468" s="174"/>
      <c r="H1468" s="174"/>
      <c r="J1468" s="174"/>
      <c r="L1468" s="190"/>
      <c r="M1468" s="176"/>
      <c r="N1468" s="177"/>
      <c r="O1468" s="177" t="str">
        <f t="shared" si="50"/>
        <v/>
      </c>
      <c r="P1468" s="187" t="e">
        <f t="shared" si="51"/>
        <v>#VALUE!</v>
      </c>
      <c r="Q1468" s="192"/>
      <c r="R1468" s="193"/>
      <c r="S1468" s="194"/>
      <c r="T1468" s="195"/>
      <c r="U1468" s="196"/>
      <c r="V1468" s="197"/>
      <c r="W1468" s="197"/>
    </row>
    <row r="1469" spans="1:23" x14ac:dyDescent="0.25">
      <c r="A1469" s="172"/>
      <c r="B1469" s="189"/>
      <c r="E1469" s="189"/>
      <c r="F1469" s="174"/>
      <c r="G1469" s="174"/>
      <c r="H1469" s="174"/>
      <c r="I1469" s="189"/>
      <c r="J1469" s="174"/>
      <c r="L1469" s="190"/>
      <c r="M1469" s="176"/>
      <c r="N1469" s="177"/>
      <c r="O1469" s="177" t="str">
        <f t="shared" si="50"/>
        <v/>
      </c>
      <c r="P1469" s="187" t="e">
        <f t="shared" si="51"/>
        <v>#VALUE!</v>
      </c>
      <c r="Q1469" s="192"/>
      <c r="R1469" s="193"/>
      <c r="S1469" s="194"/>
      <c r="T1469" s="195"/>
      <c r="U1469" s="196"/>
      <c r="V1469" s="197"/>
      <c r="W1469" s="197"/>
    </row>
    <row r="1470" spans="1:23" x14ac:dyDescent="0.25">
      <c r="A1470" s="172"/>
      <c r="B1470" s="189"/>
      <c r="E1470" s="189"/>
      <c r="F1470" s="174"/>
      <c r="G1470" s="174"/>
      <c r="H1470" s="174"/>
      <c r="I1470" s="189"/>
      <c r="J1470" s="174"/>
      <c r="L1470" s="190"/>
      <c r="M1470" s="176"/>
      <c r="N1470" s="177"/>
      <c r="O1470" s="177" t="str">
        <f t="shared" ref="O1470:O1533" si="52">RIGHT(C1470,2)</f>
        <v/>
      </c>
      <c r="P1470" s="187" t="e">
        <f t="shared" ref="P1470:P1533" si="53">42522+O1470+29</f>
        <v>#VALUE!</v>
      </c>
      <c r="Q1470" s="192"/>
      <c r="R1470" s="193"/>
      <c r="S1470" s="194"/>
      <c r="T1470" s="195"/>
      <c r="U1470" s="196"/>
      <c r="V1470" s="197"/>
      <c r="W1470" s="197"/>
    </row>
    <row r="1471" spans="1:23" x14ac:dyDescent="0.25">
      <c r="A1471" s="172"/>
      <c r="B1471" s="189"/>
      <c r="E1471" s="189"/>
      <c r="F1471" s="174"/>
      <c r="G1471" s="174"/>
      <c r="H1471" s="174"/>
      <c r="I1471" s="189"/>
      <c r="J1471" s="174"/>
      <c r="L1471" s="190"/>
      <c r="M1471" s="176"/>
      <c r="N1471" s="177"/>
      <c r="O1471" s="177" t="str">
        <f t="shared" si="52"/>
        <v/>
      </c>
      <c r="P1471" s="187" t="e">
        <f t="shared" si="53"/>
        <v>#VALUE!</v>
      </c>
      <c r="Q1471" s="192"/>
      <c r="R1471" s="193"/>
      <c r="S1471" s="194"/>
      <c r="T1471" s="195"/>
      <c r="U1471" s="196"/>
      <c r="V1471" s="197"/>
      <c r="W1471" s="197"/>
    </row>
    <row r="1472" spans="1:23" x14ac:dyDescent="0.25">
      <c r="A1472" s="172"/>
      <c r="B1472" s="189"/>
      <c r="E1472" s="189"/>
      <c r="F1472" s="174"/>
      <c r="G1472" s="174"/>
      <c r="H1472" s="174"/>
      <c r="I1472" s="189"/>
      <c r="J1472" s="174"/>
      <c r="L1472" s="190"/>
      <c r="M1472" s="176"/>
      <c r="N1472" s="177"/>
      <c r="O1472" s="177" t="str">
        <f t="shared" si="52"/>
        <v/>
      </c>
      <c r="P1472" s="187" t="e">
        <f t="shared" si="53"/>
        <v>#VALUE!</v>
      </c>
      <c r="Q1472" s="192"/>
      <c r="R1472" s="193"/>
      <c r="S1472" s="194"/>
      <c r="T1472" s="195"/>
      <c r="U1472" s="196"/>
      <c r="V1472" s="197"/>
      <c r="W1472" s="197"/>
    </row>
    <row r="1473" spans="1:23" x14ac:dyDescent="0.25">
      <c r="A1473" s="172"/>
      <c r="F1473" s="174"/>
      <c r="G1473" s="174"/>
      <c r="H1473" s="174"/>
      <c r="J1473" s="174"/>
      <c r="L1473" s="190"/>
      <c r="M1473" s="176"/>
      <c r="N1473" s="177"/>
      <c r="O1473" s="177" t="str">
        <f t="shared" si="52"/>
        <v/>
      </c>
      <c r="P1473" s="187" t="e">
        <f t="shared" si="53"/>
        <v>#VALUE!</v>
      </c>
      <c r="Q1473" s="192"/>
      <c r="R1473" s="193"/>
      <c r="S1473" s="194"/>
      <c r="T1473" s="195"/>
      <c r="U1473" s="196"/>
      <c r="V1473" s="197"/>
      <c r="W1473" s="197"/>
    </row>
    <row r="1474" spans="1:23" x14ac:dyDescent="0.25">
      <c r="A1474" s="172"/>
      <c r="B1474" s="189"/>
      <c r="E1474" s="189"/>
      <c r="F1474" s="174"/>
      <c r="G1474" s="174"/>
      <c r="H1474" s="174"/>
      <c r="I1474" s="189"/>
      <c r="J1474" s="174"/>
      <c r="L1474" s="190"/>
      <c r="M1474" s="176"/>
      <c r="N1474" s="177"/>
      <c r="O1474" s="177" t="str">
        <f t="shared" si="52"/>
        <v/>
      </c>
      <c r="P1474" s="187" t="e">
        <f t="shared" si="53"/>
        <v>#VALUE!</v>
      </c>
      <c r="Q1474" s="192"/>
      <c r="R1474" s="193"/>
      <c r="S1474" s="194"/>
      <c r="T1474" s="195"/>
      <c r="U1474" s="196"/>
      <c r="V1474" s="197"/>
      <c r="W1474" s="197"/>
    </row>
    <row r="1475" spans="1:23" x14ac:dyDescent="0.25">
      <c r="A1475" s="172"/>
      <c r="B1475" s="189"/>
      <c r="E1475" s="189"/>
      <c r="F1475" s="174"/>
      <c r="G1475" s="174"/>
      <c r="H1475" s="174"/>
      <c r="I1475" s="189"/>
      <c r="J1475" s="174"/>
      <c r="L1475" s="190"/>
      <c r="M1475" s="176"/>
      <c r="N1475" s="177"/>
      <c r="O1475" s="177" t="str">
        <f t="shared" si="52"/>
        <v/>
      </c>
      <c r="P1475" s="187" t="e">
        <f t="shared" si="53"/>
        <v>#VALUE!</v>
      </c>
      <c r="Q1475" s="192"/>
      <c r="R1475" s="193"/>
      <c r="S1475" s="194"/>
      <c r="T1475" s="195"/>
      <c r="U1475" s="196"/>
      <c r="V1475" s="197"/>
      <c r="W1475" s="197"/>
    </row>
    <row r="1476" spans="1:23" x14ac:dyDescent="0.25">
      <c r="A1476" s="172"/>
      <c r="B1476" s="189"/>
      <c r="E1476" s="189"/>
      <c r="F1476" s="174"/>
      <c r="G1476" s="174"/>
      <c r="H1476" s="174"/>
      <c r="I1476" s="189"/>
      <c r="J1476" s="174"/>
      <c r="L1476" s="190"/>
      <c r="M1476" s="176"/>
      <c r="N1476" s="177"/>
      <c r="O1476" s="177" t="str">
        <f t="shared" si="52"/>
        <v/>
      </c>
      <c r="P1476" s="187" t="e">
        <f t="shared" si="53"/>
        <v>#VALUE!</v>
      </c>
      <c r="Q1476" s="192"/>
      <c r="R1476" s="193"/>
      <c r="S1476" s="194"/>
      <c r="T1476" s="195"/>
      <c r="U1476" s="196"/>
      <c r="V1476" s="197"/>
      <c r="W1476" s="197"/>
    </row>
    <row r="1477" spans="1:23" x14ac:dyDescent="0.25">
      <c r="A1477" s="172"/>
      <c r="B1477" s="189"/>
      <c r="E1477" s="189"/>
      <c r="F1477" s="174"/>
      <c r="G1477" s="174"/>
      <c r="H1477" s="174"/>
      <c r="I1477" s="189"/>
      <c r="J1477" s="174"/>
      <c r="L1477" s="190"/>
      <c r="M1477" s="176"/>
      <c r="N1477" s="177"/>
      <c r="O1477" s="177" t="str">
        <f t="shared" si="52"/>
        <v/>
      </c>
      <c r="P1477" s="187" t="e">
        <f t="shared" si="53"/>
        <v>#VALUE!</v>
      </c>
      <c r="Q1477" s="192"/>
      <c r="R1477" s="193"/>
      <c r="S1477" s="194"/>
      <c r="T1477" s="195"/>
      <c r="U1477" s="196"/>
      <c r="V1477" s="197"/>
      <c r="W1477" s="197"/>
    </row>
    <row r="1478" spans="1:23" x14ac:dyDescent="0.25">
      <c r="A1478" s="172"/>
      <c r="B1478" s="189"/>
      <c r="E1478" s="189"/>
      <c r="F1478" s="174"/>
      <c r="G1478" s="174"/>
      <c r="H1478" s="174"/>
      <c r="I1478" s="189"/>
      <c r="J1478" s="174"/>
      <c r="L1478" s="190"/>
      <c r="M1478" s="176"/>
      <c r="N1478" s="177"/>
      <c r="O1478" s="177" t="str">
        <f t="shared" si="52"/>
        <v/>
      </c>
      <c r="P1478" s="187" t="e">
        <f t="shared" si="53"/>
        <v>#VALUE!</v>
      </c>
      <c r="Q1478" s="192"/>
      <c r="R1478" s="193"/>
      <c r="S1478" s="194"/>
      <c r="T1478" s="195"/>
      <c r="U1478" s="196"/>
      <c r="V1478" s="197"/>
      <c r="W1478" s="197"/>
    </row>
    <row r="1479" spans="1:23" x14ac:dyDescent="0.25">
      <c r="A1479" s="172"/>
      <c r="B1479" s="189"/>
      <c r="E1479" s="189"/>
      <c r="F1479" s="174"/>
      <c r="G1479" s="174"/>
      <c r="H1479" s="174"/>
      <c r="I1479" s="189"/>
      <c r="J1479" s="174"/>
      <c r="L1479" s="190"/>
      <c r="M1479" s="176"/>
      <c r="N1479" s="177"/>
      <c r="O1479" s="177" t="str">
        <f t="shared" si="52"/>
        <v/>
      </c>
      <c r="P1479" s="187" t="e">
        <f t="shared" si="53"/>
        <v>#VALUE!</v>
      </c>
      <c r="Q1479" s="192"/>
      <c r="R1479" s="193"/>
      <c r="S1479" s="194"/>
      <c r="T1479" s="195"/>
      <c r="U1479" s="196"/>
      <c r="V1479" s="197"/>
      <c r="W1479" s="197"/>
    </row>
    <row r="1480" spans="1:23" x14ac:dyDescent="0.25">
      <c r="A1480" s="172"/>
      <c r="F1480" s="174"/>
      <c r="G1480" s="174"/>
      <c r="H1480" s="174"/>
      <c r="J1480" s="174"/>
      <c r="L1480" s="190"/>
      <c r="M1480" s="176"/>
      <c r="N1480" s="177"/>
      <c r="O1480" s="177" t="str">
        <f t="shared" si="52"/>
        <v/>
      </c>
      <c r="P1480" s="187" t="e">
        <f t="shared" si="53"/>
        <v>#VALUE!</v>
      </c>
      <c r="Q1480" s="192"/>
      <c r="R1480" s="193"/>
      <c r="S1480" s="194"/>
      <c r="T1480" s="195"/>
      <c r="U1480" s="196"/>
      <c r="V1480" s="197"/>
      <c r="W1480" s="197"/>
    </row>
    <row r="1481" spans="1:23" x14ac:dyDescent="0.25">
      <c r="A1481" s="172"/>
      <c r="B1481" s="189"/>
      <c r="E1481" s="189"/>
      <c r="F1481" s="174"/>
      <c r="G1481" s="174"/>
      <c r="H1481" s="174"/>
      <c r="I1481" s="189"/>
      <c r="J1481" s="174"/>
      <c r="L1481" s="190"/>
      <c r="M1481" s="176"/>
      <c r="N1481" s="177"/>
      <c r="O1481" s="177" t="str">
        <f t="shared" si="52"/>
        <v/>
      </c>
      <c r="P1481" s="187" t="e">
        <f t="shared" si="53"/>
        <v>#VALUE!</v>
      </c>
      <c r="Q1481" s="192"/>
      <c r="R1481" s="193"/>
      <c r="S1481" s="194"/>
      <c r="T1481" s="195"/>
      <c r="U1481" s="196"/>
      <c r="V1481" s="197"/>
      <c r="W1481" s="197"/>
    </row>
    <row r="1482" spans="1:23" x14ac:dyDescent="0.25">
      <c r="A1482" s="172"/>
      <c r="F1482" s="174"/>
      <c r="G1482" s="174"/>
      <c r="H1482" s="174"/>
      <c r="J1482" s="174"/>
      <c r="L1482" s="190"/>
      <c r="M1482" s="176"/>
      <c r="N1482" s="177"/>
      <c r="O1482" s="177" t="str">
        <f t="shared" si="52"/>
        <v/>
      </c>
      <c r="P1482" s="187" t="e">
        <f t="shared" si="53"/>
        <v>#VALUE!</v>
      </c>
      <c r="Q1482" s="192"/>
      <c r="R1482" s="193"/>
      <c r="S1482" s="194"/>
      <c r="T1482" s="195"/>
      <c r="U1482" s="196"/>
      <c r="V1482" s="197"/>
      <c r="W1482" s="197"/>
    </row>
    <row r="1483" spans="1:23" x14ac:dyDescent="0.25">
      <c r="A1483" s="172"/>
      <c r="B1483" s="189"/>
      <c r="E1483" s="189"/>
      <c r="F1483" s="174"/>
      <c r="G1483" s="174"/>
      <c r="H1483" s="174"/>
      <c r="I1483" s="189"/>
      <c r="J1483" s="174"/>
      <c r="L1483" s="190"/>
      <c r="M1483" s="176"/>
      <c r="N1483" s="177"/>
      <c r="O1483" s="177" t="str">
        <f t="shared" si="52"/>
        <v/>
      </c>
      <c r="P1483" s="187" t="e">
        <f t="shared" si="53"/>
        <v>#VALUE!</v>
      </c>
      <c r="Q1483" s="192"/>
      <c r="R1483" s="193"/>
      <c r="S1483" s="194"/>
      <c r="T1483" s="195"/>
      <c r="U1483" s="196"/>
      <c r="V1483" s="197"/>
      <c r="W1483" s="197"/>
    </row>
    <row r="1484" spans="1:23" x14ac:dyDescent="0.25">
      <c r="A1484" s="172"/>
      <c r="F1484" s="174"/>
      <c r="G1484" s="174"/>
      <c r="H1484" s="174"/>
      <c r="J1484" s="174"/>
      <c r="L1484" s="190"/>
      <c r="M1484" s="176"/>
      <c r="N1484" s="177"/>
      <c r="O1484" s="177" t="str">
        <f t="shared" si="52"/>
        <v/>
      </c>
      <c r="P1484" s="187" t="e">
        <f t="shared" si="53"/>
        <v>#VALUE!</v>
      </c>
      <c r="Q1484" s="192"/>
      <c r="R1484" s="193"/>
      <c r="S1484" s="194"/>
      <c r="T1484" s="195"/>
      <c r="U1484" s="196"/>
      <c r="V1484" s="197"/>
      <c r="W1484" s="197"/>
    </row>
    <row r="1485" spans="1:23" x14ac:dyDescent="0.25">
      <c r="A1485" s="172"/>
      <c r="B1485" s="189"/>
      <c r="E1485" s="189"/>
      <c r="F1485" s="174"/>
      <c r="G1485" s="174"/>
      <c r="H1485" s="174"/>
      <c r="I1485" s="189"/>
      <c r="J1485" s="174"/>
      <c r="L1485" s="190"/>
      <c r="M1485" s="176"/>
      <c r="N1485" s="177"/>
      <c r="O1485" s="177" t="str">
        <f t="shared" si="52"/>
        <v/>
      </c>
      <c r="P1485" s="187" t="e">
        <f t="shared" si="53"/>
        <v>#VALUE!</v>
      </c>
      <c r="Q1485" s="192"/>
      <c r="R1485" s="193"/>
      <c r="S1485" s="194"/>
      <c r="T1485" s="195"/>
      <c r="U1485" s="196"/>
      <c r="V1485" s="197"/>
      <c r="W1485" s="197"/>
    </row>
    <row r="1486" spans="1:23" x14ac:dyDescent="0.25">
      <c r="A1486" s="172"/>
      <c r="B1486" s="189"/>
      <c r="E1486" s="189"/>
      <c r="F1486" s="174"/>
      <c r="G1486" s="174"/>
      <c r="H1486" s="174"/>
      <c r="I1486" s="189"/>
      <c r="J1486" s="174"/>
      <c r="L1486" s="190"/>
      <c r="M1486" s="176"/>
      <c r="N1486" s="177"/>
      <c r="O1486" s="177" t="str">
        <f t="shared" si="52"/>
        <v/>
      </c>
      <c r="P1486" s="187" t="e">
        <f t="shared" si="53"/>
        <v>#VALUE!</v>
      </c>
      <c r="Q1486" s="192"/>
      <c r="R1486" s="193"/>
      <c r="S1486" s="194"/>
      <c r="T1486" s="195"/>
      <c r="U1486" s="196"/>
      <c r="V1486" s="197"/>
      <c r="W1486" s="197"/>
    </row>
    <row r="1487" spans="1:23" x14ac:dyDescent="0.25">
      <c r="A1487" s="172"/>
      <c r="F1487" s="174"/>
      <c r="G1487" s="174"/>
      <c r="H1487" s="174"/>
      <c r="J1487" s="174"/>
      <c r="L1487" s="190"/>
      <c r="M1487" s="176"/>
      <c r="N1487" s="177"/>
      <c r="O1487" s="177" t="str">
        <f t="shared" si="52"/>
        <v/>
      </c>
      <c r="P1487" s="187" t="e">
        <f t="shared" si="53"/>
        <v>#VALUE!</v>
      </c>
      <c r="Q1487" s="192"/>
      <c r="R1487" s="193"/>
      <c r="S1487" s="194"/>
      <c r="T1487" s="195"/>
      <c r="U1487" s="196"/>
      <c r="V1487" s="197"/>
      <c r="W1487" s="197"/>
    </row>
    <row r="1488" spans="1:23" x14ac:dyDescent="0.25">
      <c r="A1488" s="172"/>
      <c r="B1488" s="189"/>
      <c r="E1488" s="189"/>
      <c r="F1488" s="174"/>
      <c r="G1488" s="174"/>
      <c r="H1488" s="174"/>
      <c r="I1488" s="189"/>
      <c r="J1488" s="174"/>
      <c r="L1488" s="190"/>
      <c r="M1488" s="176"/>
      <c r="N1488" s="177"/>
      <c r="O1488" s="177" t="str">
        <f t="shared" si="52"/>
        <v/>
      </c>
      <c r="P1488" s="187" t="e">
        <f t="shared" si="53"/>
        <v>#VALUE!</v>
      </c>
      <c r="Q1488" s="192"/>
      <c r="R1488" s="193"/>
      <c r="S1488" s="194"/>
      <c r="T1488" s="195"/>
      <c r="U1488" s="196"/>
      <c r="V1488" s="197"/>
      <c r="W1488" s="197"/>
    </row>
    <row r="1489" spans="1:23" x14ac:dyDescent="0.25">
      <c r="A1489" s="172"/>
      <c r="F1489" s="174"/>
      <c r="G1489" s="174"/>
      <c r="H1489" s="174"/>
      <c r="J1489" s="174"/>
      <c r="L1489" s="190"/>
      <c r="M1489" s="176"/>
      <c r="N1489" s="177"/>
      <c r="O1489" s="177" t="str">
        <f t="shared" si="52"/>
        <v/>
      </c>
      <c r="P1489" s="187" t="e">
        <f t="shared" si="53"/>
        <v>#VALUE!</v>
      </c>
      <c r="Q1489" s="192"/>
      <c r="R1489" s="193"/>
      <c r="S1489" s="194"/>
      <c r="T1489" s="195"/>
      <c r="U1489" s="196"/>
      <c r="V1489" s="197"/>
      <c r="W1489" s="197"/>
    </row>
    <row r="1490" spans="1:23" x14ac:dyDescent="0.25">
      <c r="A1490" s="172"/>
      <c r="B1490" s="189"/>
      <c r="E1490" s="189"/>
      <c r="F1490" s="174"/>
      <c r="G1490" s="174"/>
      <c r="H1490" s="174"/>
      <c r="I1490" s="189"/>
      <c r="J1490" s="174"/>
      <c r="L1490" s="190"/>
      <c r="M1490" s="176"/>
      <c r="N1490" s="177"/>
      <c r="O1490" s="177" t="str">
        <f t="shared" si="52"/>
        <v/>
      </c>
      <c r="P1490" s="187" t="e">
        <f t="shared" si="53"/>
        <v>#VALUE!</v>
      </c>
      <c r="Q1490" s="192"/>
      <c r="R1490" s="193"/>
      <c r="S1490" s="194"/>
      <c r="T1490" s="195"/>
      <c r="U1490" s="196"/>
      <c r="V1490" s="197"/>
      <c r="W1490" s="197"/>
    </row>
    <row r="1491" spans="1:23" x14ac:dyDescent="0.25">
      <c r="A1491" s="172"/>
      <c r="B1491" s="189"/>
      <c r="E1491" s="189"/>
      <c r="F1491" s="174"/>
      <c r="G1491" s="174"/>
      <c r="H1491" s="174"/>
      <c r="I1491" s="189"/>
      <c r="J1491" s="174"/>
      <c r="L1491" s="190"/>
      <c r="M1491" s="176"/>
      <c r="N1491" s="177"/>
      <c r="O1491" s="177" t="str">
        <f t="shared" si="52"/>
        <v/>
      </c>
      <c r="P1491" s="187" t="e">
        <f t="shared" si="53"/>
        <v>#VALUE!</v>
      </c>
      <c r="Q1491" s="192"/>
      <c r="R1491" s="193"/>
      <c r="S1491" s="194"/>
      <c r="T1491" s="195"/>
      <c r="U1491" s="196"/>
      <c r="V1491" s="197"/>
      <c r="W1491" s="197"/>
    </row>
    <row r="1492" spans="1:23" x14ac:dyDescent="0.25">
      <c r="A1492" s="172"/>
      <c r="F1492" s="174"/>
      <c r="G1492" s="174"/>
      <c r="H1492" s="174"/>
      <c r="J1492" s="174"/>
      <c r="L1492" s="190"/>
      <c r="M1492" s="176"/>
      <c r="N1492" s="177"/>
      <c r="O1492" s="177" t="str">
        <f t="shared" si="52"/>
        <v/>
      </c>
      <c r="P1492" s="187" t="e">
        <f t="shared" si="53"/>
        <v>#VALUE!</v>
      </c>
      <c r="Q1492" s="192"/>
      <c r="R1492" s="193"/>
      <c r="S1492" s="194"/>
      <c r="T1492" s="195"/>
      <c r="U1492" s="196"/>
      <c r="V1492" s="197"/>
      <c r="W1492" s="197"/>
    </row>
    <row r="1493" spans="1:23" x14ac:dyDescent="0.25">
      <c r="A1493" s="172"/>
      <c r="B1493" s="189"/>
      <c r="E1493" s="189"/>
      <c r="F1493" s="174"/>
      <c r="G1493" s="174"/>
      <c r="H1493" s="174"/>
      <c r="I1493" s="189"/>
      <c r="J1493" s="174"/>
      <c r="L1493" s="190"/>
      <c r="M1493" s="176"/>
      <c r="N1493" s="177"/>
      <c r="O1493" s="177" t="str">
        <f t="shared" si="52"/>
        <v/>
      </c>
      <c r="P1493" s="187" t="e">
        <f t="shared" si="53"/>
        <v>#VALUE!</v>
      </c>
      <c r="Q1493" s="192"/>
      <c r="R1493" s="193"/>
      <c r="S1493" s="194"/>
      <c r="T1493" s="195"/>
      <c r="U1493" s="196"/>
      <c r="V1493" s="197"/>
      <c r="W1493" s="197"/>
    </row>
    <row r="1494" spans="1:23" x14ac:dyDescent="0.25">
      <c r="A1494" s="172"/>
      <c r="B1494" s="189"/>
      <c r="E1494" s="189"/>
      <c r="F1494" s="174"/>
      <c r="G1494" s="174"/>
      <c r="H1494" s="174"/>
      <c r="I1494" s="189"/>
      <c r="J1494" s="174"/>
      <c r="L1494" s="190"/>
      <c r="M1494" s="176"/>
      <c r="N1494" s="177"/>
      <c r="O1494" s="177" t="str">
        <f t="shared" si="52"/>
        <v/>
      </c>
      <c r="P1494" s="187" t="e">
        <f t="shared" si="53"/>
        <v>#VALUE!</v>
      </c>
      <c r="Q1494" s="192"/>
      <c r="R1494" s="193"/>
      <c r="S1494" s="194"/>
      <c r="T1494" s="195"/>
      <c r="U1494" s="196"/>
      <c r="V1494" s="197"/>
      <c r="W1494" s="197"/>
    </row>
    <row r="1495" spans="1:23" x14ac:dyDescent="0.25">
      <c r="A1495" s="172"/>
      <c r="B1495" s="189"/>
      <c r="E1495" s="189"/>
      <c r="F1495" s="174"/>
      <c r="G1495" s="174"/>
      <c r="H1495" s="174"/>
      <c r="I1495" s="189"/>
      <c r="J1495" s="174"/>
      <c r="L1495" s="190"/>
      <c r="M1495" s="176"/>
      <c r="N1495" s="177"/>
      <c r="O1495" s="177" t="str">
        <f t="shared" si="52"/>
        <v/>
      </c>
      <c r="P1495" s="187" t="e">
        <f t="shared" si="53"/>
        <v>#VALUE!</v>
      </c>
      <c r="Q1495" s="192"/>
      <c r="R1495" s="193"/>
      <c r="S1495" s="194"/>
      <c r="T1495" s="195"/>
      <c r="U1495" s="196"/>
      <c r="V1495" s="197"/>
      <c r="W1495" s="197"/>
    </row>
    <row r="1496" spans="1:23" x14ac:dyDescent="0.25">
      <c r="A1496" s="172"/>
      <c r="B1496" s="189"/>
      <c r="E1496" s="189"/>
      <c r="F1496" s="174"/>
      <c r="G1496" s="174"/>
      <c r="H1496" s="174"/>
      <c r="I1496" s="189"/>
      <c r="J1496" s="174"/>
      <c r="L1496" s="190"/>
      <c r="M1496" s="176"/>
      <c r="N1496" s="177"/>
      <c r="O1496" s="177" t="str">
        <f t="shared" si="52"/>
        <v/>
      </c>
      <c r="P1496" s="187" t="e">
        <f t="shared" si="53"/>
        <v>#VALUE!</v>
      </c>
      <c r="Q1496" s="192"/>
      <c r="R1496" s="193"/>
      <c r="S1496" s="194"/>
      <c r="T1496" s="195"/>
      <c r="U1496" s="196"/>
      <c r="V1496" s="197"/>
      <c r="W1496" s="197"/>
    </row>
    <row r="1497" spans="1:23" x14ac:dyDescent="0.25">
      <c r="A1497" s="172"/>
      <c r="B1497" s="189"/>
      <c r="E1497" s="189"/>
      <c r="F1497" s="174"/>
      <c r="G1497" s="174"/>
      <c r="H1497" s="174"/>
      <c r="I1497" s="189"/>
      <c r="J1497" s="174"/>
      <c r="L1497" s="190"/>
      <c r="M1497" s="176"/>
      <c r="N1497" s="177"/>
      <c r="O1497" s="177" t="str">
        <f t="shared" si="52"/>
        <v/>
      </c>
      <c r="P1497" s="187" t="e">
        <f t="shared" si="53"/>
        <v>#VALUE!</v>
      </c>
      <c r="Q1497" s="192"/>
      <c r="R1497" s="193"/>
      <c r="S1497" s="194"/>
      <c r="T1497" s="195"/>
      <c r="U1497" s="196"/>
      <c r="V1497" s="197"/>
      <c r="W1497" s="197"/>
    </row>
    <row r="1498" spans="1:23" x14ac:dyDescent="0.25">
      <c r="A1498" s="172"/>
      <c r="F1498" s="174"/>
      <c r="G1498" s="174"/>
      <c r="H1498" s="174"/>
      <c r="J1498" s="174"/>
      <c r="L1498" s="190"/>
      <c r="M1498" s="176"/>
      <c r="N1498" s="177"/>
      <c r="O1498" s="177" t="str">
        <f t="shared" si="52"/>
        <v/>
      </c>
      <c r="P1498" s="187" t="e">
        <f t="shared" si="53"/>
        <v>#VALUE!</v>
      </c>
      <c r="Q1498" s="192"/>
      <c r="R1498" s="193"/>
      <c r="S1498" s="194"/>
      <c r="T1498" s="195"/>
      <c r="U1498" s="196"/>
      <c r="V1498" s="197"/>
      <c r="W1498" s="197"/>
    </row>
    <row r="1499" spans="1:23" x14ac:dyDescent="0.25">
      <c r="A1499" s="172"/>
      <c r="B1499" s="189"/>
      <c r="E1499" s="189"/>
      <c r="F1499" s="174"/>
      <c r="G1499" s="174"/>
      <c r="H1499" s="174"/>
      <c r="I1499" s="189"/>
      <c r="J1499" s="174"/>
      <c r="L1499" s="190"/>
      <c r="M1499" s="176"/>
      <c r="N1499" s="177"/>
      <c r="O1499" s="177" t="str">
        <f t="shared" si="52"/>
        <v/>
      </c>
      <c r="P1499" s="187" t="e">
        <f t="shared" si="53"/>
        <v>#VALUE!</v>
      </c>
      <c r="Q1499" s="192"/>
      <c r="R1499" s="193"/>
      <c r="S1499" s="194"/>
      <c r="T1499" s="195"/>
      <c r="U1499" s="196"/>
      <c r="V1499" s="197"/>
      <c r="W1499" s="197"/>
    </row>
    <row r="1500" spans="1:23" x14ac:dyDescent="0.25">
      <c r="A1500" s="172"/>
      <c r="B1500" s="189"/>
      <c r="E1500" s="189"/>
      <c r="F1500" s="174"/>
      <c r="G1500" s="174"/>
      <c r="H1500" s="174"/>
      <c r="I1500" s="189"/>
      <c r="J1500" s="174"/>
      <c r="L1500" s="190"/>
      <c r="M1500" s="176"/>
      <c r="N1500" s="177"/>
      <c r="O1500" s="177" t="str">
        <f t="shared" si="52"/>
        <v/>
      </c>
      <c r="P1500" s="187" t="e">
        <f t="shared" si="53"/>
        <v>#VALUE!</v>
      </c>
      <c r="Q1500" s="192"/>
      <c r="R1500" s="193"/>
      <c r="S1500" s="194"/>
      <c r="T1500" s="195"/>
      <c r="U1500" s="196"/>
      <c r="V1500" s="197"/>
      <c r="W1500" s="197"/>
    </row>
    <row r="1501" spans="1:23" x14ac:dyDescent="0.25">
      <c r="A1501" s="172"/>
      <c r="B1501" s="189"/>
      <c r="E1501" s="189"/>
      <c r="F1501" s="174"/>
      <c r="G1501" s="174"/>
      <c r="H1501" s="174"/>
      <c r="I1501" s="189"/>
      <c r="J1501" s="174"/>
      <c r="L1501" s="190"/>
      <c r="M1501" s="176"/>
      <c r="N1501" s="177"/>
      <c r="O1501" s="177" t="str">
        <f t="shared" si="52"/>
        <v/>
      </c>
      <c r="P1501" s="187" t="e">
        <f t="shared" si="53"/>
        <v>#VALUE!</v>
      </c>
      <c r="Q1501" s="192"/>
      <c r="R1501" s="193"/>
      <c r="S1501" s="194"/>
      <c r="T1501" s="195"/>
      <c r="U1501" s="196"/>
      <c r="V1501" s="197"/>
      <c r="W1501" s="197"/>
    </row>
    <row r="1502" spans="1:23" x14ac:dyDescent="0.25">
      <c r="A1502" s="172"/>
      <c r="F1502" s="174"/>
      <c r="G1502" s="174"/>
      <c r="H1502" s="174"/>
      <c r="J1502" s="174"/>
      <c r="L1502" s="190"/>
      <c r="M1502" s="176"/>
      <c r="N1502" s="177"/>
      <c r="O1502" s="177" t="str">
        <f t="shared" si="52"/>
        <v/>
      </c>
      <c r="P1502" s="187" t="e">
        <f t="shared" si="53"/>
        <v>#VALUE!</v>
      </c>
      <c r="Q1502" s="192"/>
      <c r="R1502" s="193"/>
      <c r="S1502" s="194"/>
      <c r="T1502" s="195"/>
      <c r="U1502" s="196"/>
      <c r="V1502" s="197"/>
      <c r="W1502" s="197"/>
    </row>
    <row r="1503" spans="1:23" x14ac:dyDescent="0.25">
      <c r="A1503" s="172"/>
      <c r="B1503" s="189"/>
      <c r="E1503" s="189"/>
      <c r="F1503" s="174"/>
      <c r="G1503" s="174"/>
      <c r="H1503" s="174"/>
      <c r="I1503" s="189"/>
      <c r="J1503" s="174"/>
      <c r="L1503" s="190"/>
      <c r="M1503" s="176"/>
      <c r="N1503" s="177"/>
      <c r="O1503" s="177" t="str">
        <f t="shared" si="52"/>
        <v/>
      </c>
      <c r="P1503" s="187" t="e">
        <f t="shared" si="53"/>
        <v>#VALUE!</v>
      </c>
      <c r="Q1503" s="192"/>
      <c r="R1503" s="193"/>
      <c r="S1503" s="194"/>
      <c r="T1503" s="195"/>
      <c r="U1503" s="196"/>
      <c r="V1503" s="197"/>
      <c r="W1503" s="197"/>
    </row>
    <row r="1504" spans="1:23" x14ac:dyDescent="0.25">
      <c r="A1504" s="172"/>
      <c r="B1504" s="189"/>
      <c r="E1504" s="189"/>
      <c r="F1504" s="174"/>
      <c r="G1504" s="174"/>
      <c r="H1504" s="174"/>
      <c r="I1504" s="189"/>
      <c r="J1504" s="174"/>
      <c r="L1504" s="190"/>
      <c r="M1504" s="176"/>
      <c r="N1504" s="177"/>
      <c r="O1504" s="177" t="str">
        <f t="shared" si="52"/>
        <v/>
      </c>
      <c r="P1504" s="187" t="e">
        <f t="shared" si="53"/>
        <v>#VALUE!</v>
      </c>
      <c r="Q1504" s="192"/>
      <c r="R1504" s="193"/>
      <c r="S1504" s="194"/>
      <c r="T1504" s="195"/>
      <c r="U1504" s="196"/>
      <c r="V1504" s="197"/>
      <c r="W1504" s="197"/>
    </row>
    <row r="1505" spans="1:23" x14ac:dyDescent="0.25">
      <c r="A1505" s="172"/>
      <c r="F1505" s="174"/>
      <c r="G1505" s="174"/>
      <c r="H1505" s="174"/>
      <c r="J1505" s="174"/>
      <c r="L1505" s="190"/>
      <c r="M1505" s="176"/>
      <c r="N1505" s="177"/>
      <c r="O1505" s="177" t="str">
        <f t="shared" si="52"/>
        <v/>
      </c>
      <c r="P1505" s="187" t="e">
        <f t="shared" si="53"/>
        <v>#VALUE!</v>
      </c>
      <c r="Q1505" s="192"/>
      <c r="R1505" s="193"/>
      <c r="S1505" s="194"/>
      <c r="T1505" s="195"/>
      <c r="U1505" s="196"/>
      <c r="V1505" s="197"/>
      <c r="W1505" s="197"/>
    </row>
    <row r="1506" spans="1:23" x14ac:dyDescent="0.25">
      <c r="A1506" s="172"/>
      <c r="F1506" s="174"/>
      <c r="G1506" s="174"/>
      <c r="H1506" s="174"/>
      <c r="J1506" s="174"/>
      <c r="L1506" s="190"/>
      <c r="M1506" s="176"/>
      <c r="N1506" s="177"/>
      <c r="O1506" s="177" t="str">
        <f t="shared" si="52"/>
        <v/>
      </c>
      <c r="P1506" s="187" t="e">
        <f t="shared" si="53"/>
        <v>#VALUE!</v>
      </c>
      <c r="Q1506" s="192"/>
      <c r="R1506" s="193"/>
      <c r="S1506" s="194"/>
      <c r="T1506" s="195"/>
      <c r="U1506" s="196"/>
      <c r="V1506" s="197"/>
      <c r="W1506" s="197"/>
    </row>
    <row r="1507" spans="1:23" x14ac:dyDescent="0.25">
      <c r="A1507" s="172"/>
      <c r="B1507" s="189"/>
      <c r="E1507" s="189"/>
      <c r="F1507" s="174"/>
      <c r="G1507" s="174"/>
      <c r="H1507" s="174"/>
      <c r="I1507" s="189"/>
      <c r="J1507" s="174"/>
      <c r="L1507" s="190"/>
      <c r="M1507" s="176"/>
      <c r="N1507" s="177"/>
      <c r="O1507" s="177" t="str">
        <f t="shared" si="52"/>
        <v/>
      </c>
      <c r="P1507" s="187" t="e">
        <f t="shared" si="53"/>
        <v>#VALUE!</v>
      </c>
      <c r="Q1507" s="192"/>
      <c r="R1507" s="193"/>
      <c r="S1507" s="194"/>
      <c r="T1507" s="195"/>
      <c r="U1507" s="196"/>
      <c r="V1507" s="197"/>
      <c r="W1507" s="197"/>
    </row>
    <row r="1508" spans="1:23" x14ac:dyDescent="0.25">
      <c r="A1508" s="172"/>
      <c r="B1508" s="189"/>
      <c r="E1508" s="189"/>
      <c r="F1508" s="174"/>
      <c r="G1508" s="174"/>
      <c r="H1508" s="174"/>
      <c r="I1508" s="189"/>
      <c r="J1508" s="174"/>
      <c r="L1508" s="190"/>
      <c r="M1508" s="176"/>
      <c r="N1508" s="177"/>
      <c r="O1508" s="177" t="str">
        <f t="shared" si="52"/>
        <v/>
      </c>
      <c r="P1508" s="187" t="e">
        <f t="shared" si="53"/>
        <v>#VALUE!</v>
      </c>
      <c r="Q1508" s="192"/>
      <c r="R1508" s="193"/>
      <c r="S1508" s="194"/>
      <c r="T1508" s="195"/>
      <c r="U1508" s="196"/>
      <c r="V1508" s="197"/>
      <c r="W1508" s="197"/>
    </row>
    <row r="1509" spans="1:23" x14ac:dyDescent="0.25">
      <c r="A1509" s="172"/>
      <c r="B1509" s="189"/>
      <c r="E1509" s="189"/>
      <c r="F1509" s="174"/>
      <c r="G1509" s="174"/>
      <c r="H1509" s="174"/>
      <c r="I1509" s="189"/>
      <c r="J1509" s="174"/>
      <c r="L1509" s="190"/>
      <c r="M1509" s="176"/>
      <c r="N1509" s="177"/>
      <c r="O1509" s="177" t="str">
        <f t="shared" si="52"/>
        <v/>
      </c>
      <c r="P1509" s="187" t="e">
        <f t="shared" si="53"/>
        <v>#VALUE!</v>
      </c>
      <c r="Q1509" s="192"/>
      <c r="R1509" s="193"/>
      <c r="S1509" s="194"/>
      <c r="T1509" s="195"/>
      <c r="U1509" s="196"/>
      <c r="V1509" s="197"/>
      <c r="W1509" s="197"/>
    </row>
    <row r="1510" spans="1:23" x14ac:dyDescent="0.25">
      <c r="A1510" s="172"/>
      <c r="B1510" s="189"/>
      <c r="E1510" s="189"/>
      <c r="F1510" s="174"/>
      <c r="G1510" s="174"/>
      <c r="H1510" s="174"/>
      <c r="I1510" s="189"/>
      <c r="J1510" s="174"/>
      <c r="L1510" s="190"/>
      <c r="M1510" s="176"/>
      <c r="N1510" s="177"/>
      <c r="O1510" s="177" t="str">
        <f t="shared" si="52"/>
        <v/>
      </c>
      <c r="P1510" s="187" t="e">
        <f t="shared" si="53"/>
        <v>#VALUE!</v>
      </c>
      <c r="Q1510" s="192"/>
      <c r="R1510" s="193"/>
      <c r="S1510" s="194"/>
      <c r="T1510" s="195"/>
      <c r="U1510" s="196"/>
      <c r="V1510" s="197"/>
      <c r="W1510" s="197"/>
    </row>
    <row r="1511" spans="1:23" x14ac:dyDescent="0.25">
      <c r="A1511" s="172"/>
      <c r="F1511" s="174"/>
      <c r="G1511" s="174"/>
      <c r="H1511" s="174"/>
      <c r="J1511" s="174"/>
      <c r="L1511" s="190"/>
      <c r="M1511" s="176"/>
      <c r="N1511" s="177"/>
      <c r="O1511" s="177" t="str">
        <f t="shared" si="52"/>
        <v/>
      </c>
      <c r="P1511" s="187" t="e">
        <f t="shared" si="53"/>
        <v>#VALUE!</v>
      </c>
      <c r="Q1511" s="192"/>
      <c r="R1511" s="193"/>
      <c r="S1511" s="194"/>
      <c r="T1511" s="195"/>
      <c r="U1511" s="196"/>
      <c r="V1511" s="197"/>
      <c r="W1511" s="197"/>
    </row>
    <row r="1512" spans="1:23" x14ac:dyDescent="0.25">
      <c r="A1512" s="172"/>
      <c r="F1512" s="174"/>
      <c r="G1512" s="174"/>
      <c r="H1512" s="174"/>
      <c r="J1512" s="174"/>
      <c r="L1512" s="190"/>
      <c r="M1512" s="176"/>
      <c r="N1512" s="177"/>
      <c r="O1512" s="177" t="str">
        <f t="shared" si="52"/>
        <v/>
      </c>
      <c r="P1512" s="187" t="e">
        <f t="shared" si="53"/>
        <v>#VALUE!</v>
      </c>
      <c r="Q1512" s="192"/>
      <c r="R1512" s="193"/>
      <c r="S1512" s="194"/>
      <c r="T1512" s="195"/>
      <c r="U1512" s="196"/>
      <c r="V1512" s="197"/>
      <c r="W1512" s="197"/>
    </row>
    <row r="1513" spans="1:23" x14ac:dyDescent="0.25">
      <c r="A1513" s="172"/>
      <c r="F1513" s="174"/>
      <c r="G1513" s="174"/>
      <c r="H1513" s="174"/>
      <c r="J1513" s="174"/>
      <c r="L1513" s="190"/>
      <c r="M1513" s="176"/>
      <c r="N1513" s="177"/>
      <c r="O1513" s="177" t="str">
        <f t="shared" si="52"/>
        <v/>
      </c>
      <c r="P1513" s="187" t="e">
        <f t="shared" si="53"/>
        <v>#VALUE!</v>
      </c>
      <c r="Q1513" s="192"/>
      <c r="R1513" s="193"/>
      <c r="S1513" s="194"/>
      <c r="T1513" s="195"/>
      <c r="U1513" s="196"/>
      <c r="V1513" s="197"/>
      <c r="W1513" s="197"/>
    </row>
    <row r="1514" spans="1:23" x14ac:dyDescent="0.25">
      <c r="A1514" s="172"/>
      <c r="B1514" s="189"/>
      <c r="E1514" s="189"/>
      <c r="F1514" s="174"/>
      <c r="G1514" s="174"/>
      <c r="H1514" s="174"/>
      <c r="I1514" s="189"/>
      <c r="J1514" s="174"/>
      <c r="L1514" s="190"/>
      <c r="M1514" s="176"/>
      <c r="N1514" s="177"/>
      <c r="O1514" s="177" t="str">
        <f t="shared" si="52"/>
        <v/>
      </c>
      <c r="P1514" s="187" t="e">
        <f t="shared" si="53"/>
        <v>#VALUE!</v>
      </c>
      <c r="Q1514" s="192"/>
      <c r="R1514" s="193"/>
      <c r="S1514" s="194"/>
      <c r="T1514" s="195"/>
      <c r="U1514" s="196"/>
      <c r="V1514" s="197"/>
      <c r="W1514" s="197"/>
    </row>
    <row r="1515" spans="1:23" x14ac:dyDescent="0.25">
      <c r="A1515" s="172"/>
      <c r="B1515" s="189"/>
      <c r="E1515" s="189"/>
      <c r="F1515" s="174"/>
      <c r="G1515" s="174"/>
      <c r="H1515" s="174"/>
      <c r="I1515" s="189"/>
      <c r="J1515" s="174"/>
      <c r="L1515" s="190"/>
      <c r="M1515" s="176"/>
      <c r="N1515" s="177"/>
      <c r="O1515" s="177" t="str">
        <f t="shared" si="52"/>
        <v/>
      </c>
      <c r="P1515" s="187" t="e">
        <f t="shared" si="53"/>
        <v>#VALUE!</v>
      </c>
      <c r="Q1515" s="192"/>
      <c r="R1515" s="193"/>
      <c r="S1515" s="194"/>
      <c r="T1515" s="195"/>
      <c r="U1515" s="196"/>
      <c r="V1515" s="197"/>
      <c r="W1515" s="197"/>
    </row>
    <row r="1516" spans="1:23" x14ac:dyDescent="0.25">
      <c r="A1516" s="172"/>
      <c r="B1516" s="189"/>
      <c r="E1516" s="189"/>
      <c r="F1516" s="174"/>
      <c r="G1516" s="174"/>
      <c r="H1516" s="174"/>
      <c r="I1516" s="189"/>
      <c r="J1516" s="174"/>
      <c r="L1516" s="190"/>
      <c r="M1516" s="176"/>
      <c r="N1516" s="177"/>
      <c r="O1516" s="177" t="str">
        <f t="shared" si="52"/>
        <v/>
      </c>
      <c r="P1516" s="187" t="e">
        <f t="shared" si="53"/>
        <v>#VALUE!</v>
      </c>
      <c r="Q1516" s="192"/>
      <c r="R1516" s="193"/>
      <c r="S1516" s="194"/>
      <c r="T1516" s="195"/>
      <c r="U1516" s="196"/>
      <c r="V1516" s="197"/>
      <c r="W1516" s="197"/>
    </row>
    <row r="1517" spans="1:23" x14ac:dyDescent="0.25">
      <c r="A1517" s="172"/>
      <c r="B1517" s="189"/>
      <c r="E1517" s="189"/>
      <c r="F1517" s="174"/>
      <c r="G1517" s="174"/>
      <c r="H1517" s="174"/>
      <c r="I1517" s="189"/>
      <c r="J1517" s="174"/>
      <c r="L1517" s="190"/>
      <c r="M1517" s="176"/>
      <c r="N1517" s="177"/>
      <c r="O1517" s="177" t="str">
        <f t="shared" si="52"/>
        <v/>
      </c>
      <c r="P1517" s="187" t="e">
        <f t="shared" si="53"/>
        <v>#VALUE!</v>
      </c>
      <c r="Q1517" s="192"/>
      <c r="R1517" s="193"/>
      <c r="S1517" s="194"/>
      <c r="T1517" s="195"/>
      <c r="U1517" s="196"/>
      <c r="V1517" s="197"/>
      <c r="W1517" s="197"/>
    </row>
    <row r="1518" spans="1:23" x14ac:dyDescent="0.25">
      <c r="A1518" s="172"/>
      <c r="B1518" s="189"/>
      <c r="E1518" s="189"/>
      <c r="F1518" s="174"/>
      <c r="G1518" s="174"/>
      <c r="H1518" s="174"/>
      <c r="I1518" s="189"/>
      <c r="J1518" s="174"/>
      <c r="L1518" s="190"/>
      <c r="M1518" s="176"/>
      <c r="N1518" s="177"/>
      <c r="O1518" s="177" t="str">
        <f t="shared" si="52"/>
        <v/>
      </c>
      <c r="P1518" s="187" t="e">
        <f t="shared" si="53"/>
        <v>#VALUE!</v>
      </c>
      <c r="Q1518" s="192"/>
      <c r="R1518" s="193"/>
      <c r="S1518" s="194"/>
      <c r="T1518" s="195"/>
      <c r="U1518" s="196"/>
      <c r="V1518" s="197"/>
      <c r="W1518" s="197"/>
    </row>
    <row r="1519" spans="1:23" x14ac:dyDescent="0.25">
      <c r="A1519" s="172"/>
      <c r="F1519" s="174"/>
      <c r="G1519" s="174"/>
      <c r="H1519" s="174"/>
      <c r="J1519" s="174"/>
      <c r="L1519" s="190"/>
      <c r="M1519" s="176"/>
      <c r="N1519" s="177"/>
      <c r="O1519" s="177" t="str">
        <f t="shared" si="52"/>
        <v/>
      </c>
      <c r="P1519" s="187" t="e">
        <f t="shared" si="53"/>
        <v>#VALUE!</v>
      </c>
      <c r="Q1519" s="192"/>
      <c r="R1519" s="193"/>
      <c r="S1519" s="194"/>
      <c r="T1519" s="195"/>
      <c r="U1519" s="196"/>
      <c r="V1519" s="197"/>
      <c r="W1519" s="197"/>
    </row>
    <row r="1520" spans="1:23" x14ac:dyDescent="0.25">
      <c r="A1520" s="172"/>
      <c r="F1520" s="174"/>
      <c r="G1520" s="174"/>
      <c r="H1520" s="174"/>
      <c r="J1520" s="174"/>
      <c r="L1520" s="190"/>
      <c r="M1520" s="176"/>
      <c r="N1520" s="177"/>
      <c r="O1520" s="177" t="str">
        <f t="shared" si="52"/>
        <v/>
      </c>
      <c r="P1520" s="187" t="e">
        <f t="shared" si="53"/>
        <v>#VALUE!</v>
      </c>
      <c r="Q1520" s="192"/>
      <c r="R1520" s="193"/>
      <c r="S1520" s="194"/>
      <c r="T1520" s="195"/>
      <c r="U1520" s="196"/>
      <c r="V1520" s="197"/>
      <c r="W1520" s="197"/>
    </row>
    <row r="1521" spans="1:23" x14ac:dyDescent="0.25">
      <c r="A1521" s="172"/>
      <c r="F1521" s="174"/>
      <c r="G1521" s="174"/>
      <c r="H1521" s="174"/>
      <c r="J1521" s="174"/>
      <c r="L1521" s="190"/>
      <c r="M1521" s="176"/>
      <c r="N1521" s="177"/>
      <c r="O1521" s="177" t="str">
        <f t="shared" si="52"/>
        <v/>
      </c>
      <c r="P1521" s="187" t="e">
        <f t="shared" si="53"/>
        <v>#VALUE!</v>
      </c>
      <c r="Q1521" s="192"/>
      <c r="R1521" s="193"/>
      <c r="S1521" s="194"/>
      <c r="T1521" s="195"/>
      <c r="U1521" s="196"/>
      <c r="V1521" s="197"/>
      <c r="W1521" s="197"/>
    </row>
    <row r="1522" spans="1:23" x14ac:dyDescent="0.25">
      <c r="A1522" s="172"/>
      <c r="F1522" s="174"/>
      <c r="G1522" s="174"/>
      <c r="H1522" s="174"/>
      <c r="J1522" s="174"/>
      <c r="L1522" s="190"/>
      <c r="M1522" s="176"/>
      <c r="N1522" s="177"/>
      <c r="O1522" s="177" t="str">
        <f t="shared" si="52"/>
        <v/>
      </c>
      <c r="P1522" s="187" t="e">
        <f t="shared" si="53"/>
        <v>#VALUE!</v>
      </c>
      <c r="Q1522" s="192"/>
      <c r="R1522" s="193"/>
      <c r="S1522" s="194"/>
      <c r="T1522" s="195"/>
      <c r="U1522" s="196"/>
      <c r="V1522" s="197"/>
      <c r="W1522" s="197"/>
    </row>
    <row r="1523" spans="1:23" x14ac:dyDescent="0.25">
      <c r="A1523" s="172"/>
      <c r="F1523" s="174"/>
      <c r="G1523" s="174"/>
      <c r="H1523" s="174"/>
      <c r="J1523" s="174"/>
      <c r="L1523" s="190"/>
      <c r="M1523" s="176"/>
      <c r="N1523" s="177"/>
      <c r="O1523" s="177" t="str">
        <f t="shared" si="52"/>
        <v/>
      </c>
      <c r="P1523" s="187" t="e">
        <f t="shared" si="53"/>
        <v>#VALUE!</v>
      </c>
      <c r="Q1523" s="192"/>
      <c r="R1523" s="193"/>
      <c r="S1523" s="194"/>
      <c r="T1523" s="195"/>
      <c r="U1523" s="196"/>
      <c r="V1523" s="197"/>
      <c r="W1523" s="197"/>
    </row>
    <row r="1524" spans="1:23" x14ac:dyDescent="0.25">
      <c r="A1524" s="172"/>
      <c r="F1524" s="174"/>
      <c r="G1524" s="174"/>
      <c r="H1524" s="174"/>
      <c r="J1524" s="174"/>
      <c r="L1524" s="190"/>
      <c r="M1524" s="176"/>
      <c r="N1524" s="177"/>
      <c r="O1524" s="177" t="str">
        <f t="shared" si="52"/>
        <v/>
      </c>
      <c r="P1524" s="187" t="e">
        <f t="shared" si="53"/>
        <v>#VALUE!</v>
      </c>
      <c r="Q1524" s="192"/>
      <c r="R1524" s="193"/>
      <c r="S1524" s="194"/>
      <c r="T1524" s="195"/>
      <c r="U1524" s="196"/>
      <c r="V1524" s="197"/>
      <c r="W1524" s="197"/>
    </row>
    <row r="1525" spans="1:23" x14ac:dyDescent="0.25">
      <c r="A1525" s="172"/>
      <c r="B1525" s="189"/>
      <c r="E1525" s="189"/>
      <c r="F1525" s="174"/>
      <c r="G1525" s="174"/>
      <c r="H1525" s="174"/>
      <c r="I1525" s="189"/>
      <c r="J1525" s="174"/>
      <c r="L1525" s="190"/>
      <c r="M1525" s="176"/>
      <c r="N1525" s="177"/>
      <c r="O1525" s="177" t="str">
        <f t="shared" si="52"/>
        <v/>
      </c>
      <c r="P1525" s="187" t="e">
        <f t="shared" si="53"/>
        <v>#VALUE!</v>
      </c>
      <c r="Q1525" s="192"/>
      <c r="R1525" s="193"/>
      <c r="S1525" s="194"/>
      <c r="T1525" s="195"/>
      <c r="U1525" s="196"/>
      <c r="V1525" s="197"/>
      <c r="W1525" s="197"/>
    </row>
    <row r="1526" spans="1:23" x14ac:dyDescent="0.25">
      <c r="A1526" s="172"/>
      <c r="B1526" s="189"/>
      <c r="E1526" s="189"/>
      <c r="F1526" s="174"/>
      <c r="G1526" s="174"/>
      <c r="H1526" s="174"/>
      <c r="I1526" s="189"/>
      <c r="J1526" s="174"/>
      <c r="L1526" s="190"/>
      <c r="M1526" s="176"/>
      <c r="N1526" s="177"/>
      <c r="O1526" s="177" t="str">
        <f t="shared" si="52"/>
        <v/>
      </c>
      <c r="P1526" s="187" t="e">
        <f t="shared" si="53"/>
        <v>#VALUE!</v>
      </c>
      <c r="Q1526" s="192"/>
      <c r="R1526" s="193"/>
      <c r="S1526" s="194"/>
      <c r="T1526" s="195"/>
      <c r="U1526" s="196"/>
      <c r="V1526" s="197"/>
      <c r="W1526" s="197"/>
    </row>
    <row r="1527" spans="1:23" x14ac:dyDescent="0.25">
      <c r="A1527" s="172"/>
      <c r="B1527" s="189"/>
      <c r="E1527" s="189"/>
      <c r="F1527" s="174"/>
      <c r="G1527" s="174"/>
      <c r="H1527" s="174"/>
      <c r="I1527" s="189"/>
      <c r="J1527" s="174"/>
      <c r="L1527" s="190"/>
      <c r="M1527" s="176"/>
      <c r="N1527" s="177"/>
      <c r="O1527" s="177" t="str">
        <f t="shared" si="52"/>
        <v/>
      </c>
      <c r="P1527" s="187" t="e">
        <f t="shared" si="53"/>
        <v>#VALUE!</v>
      </c>
      <c r="Q1527" s="192"/>
      <c r="R1527" s="193"/>
      <c r="S1527" s="194"/>
      <c r="T1527" s="195"/>
      <c r="U1527" s="196"/>
      <c r="V1527" s="197"/>
      <c r="W1527" s="197"/>
    </row>
    <row r="1528" spans="1:23" x14ac:dyDescent="0.25">
      <c r="A1528" s="172"/>
      <c r="B1528" s="189"/>
      <c r="E1528" s="189"/>
      <c r="F1528" s="174"/>
      <c r="G1528" s="174"/>
      <c r="H1528" s="174"/>
      <c r="I1528" s="189"/>
      <c r="J1528" s="174"/>
      <c r="L1528" s="190"/>
      <c r="M1528" s="176"/>
      <c r="N1528" s="177"/>
      <c r="O1528" s="177" t="str">
        <f t="shared" si="52"/>
        <v/>
      </c>
      <c r="P1528" s="187" t="e">
        <f t="shared" si="53"/>
        <v>#VALUE!</v>
      </c>
      <c r="Q1528" s="192"/>
      <c r="R1528" s="193"/>
      <c r="S1528" s="194"/>
      <c r="T1528" s="195"/>
      <c r="U1528" s="196"/>
      <c r="V1528" s="197"/>
      <c r="W1528" s="197"/>
    </row>
    <row r="1529" spans="1:23" x14ac:dyDescent="0.25">
      <c r="A1529" s="172"/>
      <c r="B1529" s="189"/>
      <c r="E1529" s="189"/>
      <c r="F1529" s="174"/>
      <c r="G1529" s="174"/>
      <c r="H1529" s="174"/>
      <c r="I1529" s="189"/>
      <c r="J1529" s="174"/>
      <c r="L1529" s="190"/>
      <c r="M1529" s="176"/>
      <c r="N1529" s="177"/>
      <c r="O1529" s="177" t="str">
        <f t="shared" si="52"/>
        <v/>
      </c>
      <c r="P1529" s="187" t="e">
        <f t="shared" si="53"/>
        <v>#VALUE!</v>
      </c>
      <c r="Q1529" s="192"/>
      <c r="R1529" s="193"/>
      <c r="S1529" s="194"/>
      <c r="T1529" s="195"/>
      <c r="U1529" s="196"/>
      <c r="V1529" s="197"/>
      <c r="W1529" s="197"/>
    </row>
    <row r="1530" spans="1:23" x14ac:dyDescent="0.25">
      <c r="A1530" s="172"/>
      <c r="B1530" s="189"/>
      <c r="E1530" s="189"/>
      <c r="F1530" s="174"/>
      <c r="G1530" s="174"/>
      <c r="H1530" s="174"/>
      <c r="I1530" s="189"/>
      <c r="J1530" s="174"/>
      <c r="L1530" s="190"/>
      <c r="M1530" s="176"/>
      <c r="N1530" s="177"/>
      <c r="O1530" s="177" t="str">
        <f t="shared" si="52"/>
        <v/>
      </c>
      <c r="P1530" s="187" t="e">
        <f t="shared" si="53"/>
        <v>#VALUE!</v>
      </c>
      <c r="Q1530" s="192"/>
      <c r="R1530" s="193"/>
      <c r="S1530" s="194"/>
      <c r="T1530" s="195"/>
      <c r="U1530" s="196"/>
      <c r="V1530" s="197"/>
      <c r="W1530" s="197"/>
    </row>
    <row r="1531" spans="1:23" x14ac:dyDescent="0.25">
      <c r="A1531" s="172"/>
      <c r="F1531" s="174"/>
      <c r="G1531" s="174"/>
      <c r="H1531" s="174"/>
      <c r="J1531" s="174"/>
      <c r="L1531" s="190"/>
      <c r="M1531" s="176"/>
      <c r="N1531" s="177"/>
      <c r="O1531" s="177" t="str">
        <f t="shared" si="52"/>
        <v/>
      </c>
      <c r="P1531" s="187" t="e">
        <f t="shared" si="53"/>
        <v>#VALUE!</v>
      </c>
      <c r="Q1531" s="192"/>
      <c r="R1531" s="193"/>
      <c r="S1531" s="194"/>
      <c r="T1531" s="195"/>
      <c r="U1531" s="196"/>
      <c r="V1531" s="197"/>
      <c r="W1531" s="197"/>
    </row>
    <row r="1532" spans="1:23" x14ac:dyDescent="0.25">
      <c r="A1532" s="172"/>
      <c r="F1532" s="174"/>
      <c r="G1532" s="174"/>
      <c r="H1532" s="174"/>
      <c r="J1532" s="174"/>
      <c r="L1532" s="190"/>
      <c r="M1532" s="176"/>
      <c r="N1532" s="177"/>
      <c r="O1532" s="177" t="str">
        <f t="shared" si="52"/>
        <v/>
      </c>
      <c r="P1532" s="187" t="e">
        <f t="shared" si="53"/>
        <v>#VALUE!</v>
      </c>
      <c r="Q1532" s="192"/>
      <c r="R1532" s="193"/>
      <c r="S1532" s="194"/>
      <c r="T1532" s="195"/>
      <c r="U1532" s="196"/>
      <c r="V1532" s="197"/>
      <c r="W1532" s="197"/>
    </row>
    <row r="1533" spans="1:23" x14ac:dyDescent="0.25">
      <c r="A1533" s="172"/>
      <c r="B1533" s="189"/>
      <c r="E1533" s="189"/>
      <c r="F1533" s="174"/>
      <c r="G1533" s="174"/>
      <c r="H1533" s="174"/>
      <c r="I1533" s="189"/>
      <c r="J1533" s="174"/>
      <c r="L1533" s="190"/>
      <c r="M1533" s="176"/>
      <c r="N1533" s="177"/>
      <c r="O1533" s="177" t="str">
        <f t="shared" si="52"/>
        <v/>
      </c>
      <c r="P1533" s="187" t="e">
        <f t="shared" si="53"/>
        <v>#VALUE!</v>
      </c>
      <c r="Q1533" s="192"/>
      <c r="R1533" s="193"/>
      <c r="S1533" s="194"/>
      <c r="T1533" s="195"/>
      <c r="U1533" s="196"/>
      <c r="V1533" s="197"/>
      <c r="W1533" s="197"/>
    </row>
    <row r="1534" spans="1:23" x14ac:dyDescent="0.25">
      <c r="A1534" s="172"/>
      <c r="B1534" s="189"/>
      <c r="E1534" s="189"/>
      <c r="F1534" s="174"/>
      <c r="G1534" s="174"/>
      <c r="H1534" s="174"/>
      <c r="I1534" s="189"/>
      <c r="J1534" s="174"/>
      <c r="L1534" s="190"/>
      <c r="M1534" s="176"/>
      <c r="N1534" s="177"/>
      <c r="O1534" s="177" t="str">
        <f t="shared" ref="O1534:O1597" si="54">RIGHT(C1534,2)</f>
        <v/>
      </c>
      <c r="P1534" s="187" t="e">
        <f t="shared" ref="P1534:P1597" si="55">42522+O1534+29</f>
        <v>#VALUE!</v>
      </c>
      <c r="Q1534" s="192"/>
      <c r="R1534" s="193"/>
      <c r="S1534" s="194"/>
      <c r="T1534" s="195"/>
      <c r="U1534" s="196"/>
      <c r="V1534" s="197"/>
      <c r="W1534" s="197"/>
    </row>
    <row r="1535" spans="1:23" x14ac:dyDescent="0.25">
      <c r="A1535" s="172"/>
      <c r="B1535" s="189"/>
      <c r="E1535" s="189"/>
      <c r="F1535" s="174"/>
      <c r="G1535" s="174"/>
      <c r="H1535" s="174"/>
      <c r="I1535" s="189"/>
      <c r="J1535" s="174"/>
      <c r="L1535" s="190"/>
      <c r="M1535" s="176"/>
      <c r="N1535" s="177"/>
      <c r="O1535" s="177" t="str">
        <f t="shared" si="54"/>
        <v/>
      </c>
      <c r="P1535" s="187" t="e">
        <f t="shared" si="55"/>
        <v>#VALUE!</v>
      </c>
      <c r="Q1535" s="192"/>
      <c r="R1535" s="193"/>
      <c r="S1535" s="194"/>
      <c r="T1535" s="195"/>
      <c r="U1535" s="196"/>
      <c r="V1535" s="197"/>
      <c r="W1535" s="197"/>
    </row>
    <row r="1536" spans="1:23" x14ac:dyDescent="0.25">
      <c r="A1536" s="172"/>
      <c r="F1536" s="174"/>
      <c r="G1536" s="174"/>
      <c r="H1536" s="174"/>
      <c r="J1536" s="174"/>
      <c r="L1536" s="190"/>
      <c r="M1536" s="176"/>
      <c r="N1536" s="177"/>
      <c r="O1536" s="177" t="str">
        <f t="shared" si="54"/>
        <v/>
      </c>
      <c r="P1536" s="187" t="e">
        <f t="shared" si="55"/>
        <v>#VALUE!</v>
      </c>
      <c r="Q1536" s="192"/>
      <c r="R1536" s="193"/>
      <c r="S1536" s="194"/>
      <c r="T1536" s="195"/>
      <c r="U1536" s="196"/>
      <c r="V1536" s="197"/>
      <c r="W1536" s="197"/>
    </row>
    <row r="1537" spans="1:23" x14ac:dyDescent="0.25">
      <c r="A1537" s="172"/>
      <c r="B1537" s="189"/>
      <c r="E1537" s="189"/>
      <c r="F1537" s="174"/>
      <c r="G1537" s="174"/>
      <c r="H1537" s="174"/>
      <c r="I1537" s="189"/>
      <c r="J1537" s="174"/>
      <c r="L1537" s="190"/>
      <c r="M1537" s="176"/>
      <c r="N1537" s="177"/>
      <c r="O1537" s="177" t="str">
        <f t="shared" si="54"/>
        <v/>
      </c>
      <c r="P1537" s="187" t="e">
        <f t="shared" si="55"/>
        <v>#VALUE!</v>
      </c>
      <c r="Q1537" s="192"/>
      <c r="R1537" s="193"/>
      <c r="S1537" s="194"/>
      <c r="T1537" s="195"/>
      <c r="U1537" s="196"/>
      <c r="V1537" s="197"/>
      <c r="W1537" s="197"/>
    </row>
    <row r="1538" spans="1:23" x14ac:dyDescent="0.25">
      <c r="A1538" s="172"/>
      <c r="B1538" s="189"/>
      <c r="E1538" s="189"/>
      <c r="F1538" s="174"/>
      <c r="G1538" s="174"/>
      <c r="H1538" s="174"/>
      <c r="I1538" s="189"/>
      <c r="J1538" s="174"/>
      <c r="L1538" s="190"/>
      <c r="M1538" s="176"/>
      <c r="N1538" s="177"/>
      <c r="O1538" s="177" t="str">
        <f t="shared" si="54"/>
        <v/>
      </c>
      <c r="P1538" s="187" t="e">
        <f t="shared" si="55"/>
        <v>#VALUE!</v>
      </c>
      <c r="Q1538" s="192"/>
      <c r="R1538" s="193"/>
      <c r="S1538" s="194"/>
      <c r="T1538" s="195"/>
      <c r="U1538" s="196"/>
      <c r="V1538" s="197"/>
      <c r="W1538" s="197"/>
    </row>
    <row r="1539" spans="1:23" x14ac:dyDescent="0.25">
      <c r="A1539" s="172"/>
      <c r="F1539" s="174"/>
      <c r="G1539" s="174"/>
      <c r="H1539" s="174"/>
      <c r="J1539" s="174"/>
      <c r="L1539" s="190"/>
      <c r="M1539" s="176"/>
      <c r="N1539" s="177"/>
      <c r="O1539" s="177" t="str">
        <f t="shared" si="54"/>
        <v/>
      </c>
      <c r="P1539" s="187" t="e">
        <f t="shared" si="55"/>
        <v>#VALUE!</v>
      </c>
      <c r="Q1539" s="192"/>
      <c r="R1539" s="193"/>
      <c r="S1539" s="194"/>
      <c r="T1539" s="195"/>
      <c r="U1539" s="196"/>
      <c r="V1539" s="197"/>
      <c r="W1539" s="197"/>
    </row>
    <row r="1540" spans="1:23" x14ac:dyDescent="0.25">
      <c r="A1540" s="172"/>
      <c r="F1540" s="174"/>
      <c r="G1540" s="174"/>
      <c r="H1540" s="174"/>
      <c r="J1540" s="174"/>
      <c r="L1540" s="190"/>
      <c r="M1540" s="176"/>
      <c r="N1540" s="177"/>
      <c r="O1540" s="177" t="str">
        <f t="shared" si="54"/>
        <v/>
      </c>
      <c r="P1540" s="187" t="e">
        <f t="shared" si="55"/>
        <v>#VALUE!</v>
      </c>
      <c r="Q1540" s="192"/>
      <c r="R1540" s="193"/>
      <c r="S1540" s="194"/>
      <c r="T1540" s="195"/>
      <c r="U1540" s="196"/>
      <c r="V1540" s="197"/>
      <c r="W1540" s="197"/>
    </row>
    <row r="1541" spans="1:23" x14ac:dyDescent="0.25">
      <c r="A1541" s="172"/>
      <c r="F1541" s="174"/>
      <c r="G1541" s="174"/>
      <c r="H1541" s="174"/>
      <c r="J1541" s="174"/>
      <c r="L1541" s="190"/>
      <c r="M1541" s="176"/>
      <c r="N1541" s="177"/>
      <c r="O1541" s="177" t="str">
        <f t="shared" si="54"/>
        <v/>
      </c>
      <c r="P1541" s="187" t="e">
        <f t="shared" si="55"/>
        <v>#VALUE!</v>
      </c>
      <c r="Q1541" s="192"/>
      <c r="R1541" s="193"/>
      <c r="S1541" s="194"/>
      <c r="T1541" s="195"/>
      <c r="U1541" s="196"/>
      <c r="V1541" s="197"/>
      <c r="W1541" s="197"/>
    </row>
    <row r="1542" spans="1:23" x14ac:dyDescent="0.25">
      <c r="A1542" s="172"/>
      <c r="F1542" s="174"/>
      <c r="G1542" s="174"/>
      <c r="H1542" s="174"/>
      <c r="J1542" s="174"/>
      <c r="L1542" s="190"/>
      <c r="M1542" s="176"/>
      <c r="N1542" s="177"/>
      <c r="O1542" s="177" t="str">
        <f t="shared" si="54"/>
        <v/>
      </c>
      <c r="P1542" s="187" t="e">
        <f t="shared" si="55"/>
        <v>#VALUE!</v>
      </c>
      <c r="Q1542" s="192"/>
      <c r="R1542" s="193"/>
      <c r="S1542" s="194"/>
      <c r="T1542" s="195"/>
      <c r="U1542" s="196"/>
      <c r="V1542" s="197"/>
      <c r="W1542" s="197"/>
    </row>
    <row r="1543" spans="1:23" x14ac:dyDescent="0.25">
      <c r="A1543" s="172"/>
      <c r="F1543" s="174"/>
      <c r="G1543" s="174"/>
      <c r="H1543" s="174"/>
      <c r="J1543" s="174"/>
      <c r="L1543" s="190"/>
      <c r="M1543" s="176"/>
      <c r="N1543" s="177"/>
      <c r="O1543" s="177" t="str">
        <f t="shared" si="54"/>
        <v/>
      </c>
      <c r="P1543" s="187" t="e">
        <f t="shared" si="55"/>
        <v>#VALUE!</v>
      </c>
      <c r="Q1543" s="192"/>
      <c r="R1543" s="193"/>
      <c r="S1543" s="194"/>
      <c r="T1543" s="195"/>
      <c r="U1543" s="196"/>
      <c r="V1543" s="197"/>
      <c r="W1543" s="197"/>
    </row>
    <row r="1544" spans="1:23" x14ac:dyDescent="0.25">
      <c r="A1544" s="172"/>
      <c r="F1544" s="174"/>
      <c r="G1544" s="174"/>
      <c r="H1544" s="174"/>
      <c r="J1544" s="174"/>
      <c r="L1544" s="190"/>
      <c r="M1544" s="176"/>
      <c r="N1544" s="177"/>
      <c r="O1544" s="177" t="str">
        <f t="shared" si="54"/>
        <v/>
      </c>
      <c r="P1544" s="187" t="e">
        <f t="shared" si="55"/>
        <v>#VALUE!</v>
      </c>
      <c r="Q1544" s="192"/>
      <c r="R1544" s="193"/>
      <c r="S1544" s="194"/>
      <c r="T1544" s="195"/>
      <c r="U1544" s="196"/>
      <c r="V1544" s="197"/>
      <c r="W1544" s="197"/>
    </row>
    <row r="1545" spans="1:23" x14ac:dyDescent="0.25">
      <c r="A1545" s="172"/>
      <c r="F1545" s="174"/>
      <c r="G1545" s="174"/>
      <c r="H1545" s="174"/>
      <c r="J1545" s="174"/>
      <c r="L1545" s="190"/>
      <c r="M1545" s="176"/>
      <c r="N1545" s="177"/>
      <c r="O1545" s="177" t="str">
        <f t="shared" si="54"/>
        <v/>
      </c>
      <c r="P1545" s="187" t="e">
        <f t="shared" si="55"/>
        <v>#VALUE!</v>
      </c>
      <c r="Q1545" s="192"/>
      <c r="R1545" s="193"/>
      <c r="S1545" s="194"/>
      <c r="T1545" s="195"/>
      <c r="U1545" s="196"/>
      <c r="V1545" s="197"/>
      <c r="W1545" s="197"/>
    </row>
    <row r="1546" spans="1:23" x14ac:dyDescent="0.25">
      <c r="A1546" s="172"/>
      <c r="F1546" s="174"/>
      <c r="G1546" s="174"/>
      <c r="H1546" s="174"/>
      <c r="J1546" s="174"/>
      <c r="L1546" s="190"/>
      <c r="M1546" s="176"/>
      <c r="N1546" s="177"/>
      <c r="O1546" s="177" t="str">
        <f t="shared" si="54"/>
        <v/>
      </c>
      <c r="P1546" s="187" t="e">
        <f t="shared" si="55"/>
        <v>#VALUE!</v>
      </c>
      <c r="Q1546" s="192"/>
      <c r="R1546" s="193"/>
      <c r="S1546" s="194"/>
      <c r="T1546" s="195"/>
      <c r="U1546" s="196"/>
      <c r="V1546" s="197"/>
      <c r="W1546" s="197"/>
    </row>
    <row r="1547" spans="1:23" x14ac:dyDescent="0.25">
      <c r="A1547" s="172"/>
      <c r="F1547" s="174"/>
      <c r="G1547" s="174"/>
      <c r="H1547" s="174"/>
      <c r="J1547" s="174"/>
      <c r="L1547" s="190"/>
      <c r="M1547" s="176"/>
      <c r="N1547" s="177"/>
      <c r="O1547" s="177" t="str">
        <f t="shared" si="54"/>
        <v/>
      </c>
      <c r="P1547" s="187" t="e">
        <f t="shared" si="55"/>
        <v>#VALUE!</v>
      </c>
      <c r="Q1547" s="192"/>
      <c r="R1547" s="193"/>
      <c r="S1547" s="194"/>
      <c r="T1547" s="195"/>
      <c r="U1547" s="196"/>
      <c r="V1547" s="197"/>
      <c r="W1547" s="197"/>
    </row>
    <row r="1548" spans="1:23" x14ac:dyDescent="0.25">
      <c r="A1548" s="172"/>
      <c r="F1548" s="174"/>
      <c r="G1548" s="174"/>
      <c r="H1548" s="174"/>
      <c r="J1548" s="174"/>
      <c r="L1548" s="190"/>
      <c r="M1548" s="176"/>
      <c r="N1548" s="177"/>
      <c r="O1548" s="177" t="str">
        <f t="shared" si="54"/>
        <v/>
      </c>
      <c r="P1548" s="187" t="e">
        <f t="shared" si="55"/>
        <v>#VALUE!</v>
      </c>
      <c r="Q1548" s="192"/>
      <c r="R1548" s="193"/>
      <c r="S1548" s="194"/>
      <c r="T1548" s="195"/>
      <c r="U1548" s="196"/>
      <c r="V1548" s="197"/>
      <c r="W1548" s="197"/>
    </row>
    <row r="1549" spans="1:23" x14ac:dyDescent="0.25">
      <c r="A1549" s="172"/>
      <c r="F1549" s="174"/>
      <c r="G1549" s="174"/>
      <c r="H1549" s="174"/>
      <c r="J1549" s="174"/>
      <c r="L1549" s="190"/>
      <c r="M1549" s="176"/>
      <c r="N1549" s="177"/>
      <c r="O1549" s="177" t="str">
        <f t="shared" si="54"/>
        <v/>
      </c>
      <c r="P1549" s="187" t="e">
        <f t="shared" si="55"/>
        <v>#VALUE!</v>
      </c>
      <c r="Q1549" s="192"/>
      <c r="R1549" s="193"/>
      <c r="S1549" s="194"/>
      <c r="T1549" s="195"/>
      <c r="U1549" s="196"/>
      <c r="V1549" s="197"/>
      <c r="W1549" s="197"/>
    </row>
    <row r="1550" spans="1:23" x14ac:dyDescent="0.25">
      <c r="A1550" s="172"/>
      <c r="F1550" s="174"/>
      <c r="G1550" s="174"/>
      <c r="H1550" s="174"/>
      <c r="J1550" s="174"/>
      <c r="L1550" s="190"/>
      <c r="M1550" s="176"/>
      <c r="N1550" s="177"/>
      <c r="O1550" s="177" t="str">
        <f t="shared" si="54"/>
        <v/>
      </c>
      <c r="P1550" s="187" t="e">
        <f t="shared" si="55"/>
        <v>#VALUE!</v>
      </c>
      <c r="Q1550" s="192"/>
      <c r="R1550" s="193"/>
      <c r="S1550" s="194"/>
      <c r="T1550" s="195"/>
      <c r="U1550" s="196"/>
      <c r="V1550" s="197"/>
      <c r="W1550" s="197"/>
    </row>
    <row r="1551" spans="1:23" x14ac:dyDescent="0.25">
      <c r="A1551" s="172"/>
      <c r="F1551" s="174"/>
      <c r="G1551" s="174"/>
      <c r="H1551" s="174"/>
      <c r="J1551" s="174"/>
      <c r="L1551" s="190"/>
      <c r="M1551" s="176"/>
      <c r="N1551" s="177"/>
      <c r="O1551" s="177" t="str">
        <f t="shared" si="54"/>
        <v/>
      </c>
      <c r="P1551" s="187" t="e">
        <f t="shared" si="55"/>
        <v>#VALUE!</v>
      </c>
      <c r="Q1551" s="192"/>
      <c r="R1551" s="193"/>
      <c r="S1551" s="194"/>
      <c r="T1551" s="195"/>
      <c r="U1551" s="196"/>
      <c r="V1551" s="197"/>
      <c r="W1551" s="197"/>
    </row>
    <row r="1552" spans="1:23" x14ac:dyDescent="0.25">
      <c r="A1552" s="172"/>
      <c r="F1552" s="174"/>
      <c r="G1552" s="174"/>
      <c r="H1552" s="174"/>
      <c r="J1552" s="174"/>
      <c r="L1552" s="190"/>
      <c r="M1552" s="176"/>
      <c r="N1552" s="177"/>
      <c r="O1552" s="177" t="str">
        <f t="shared" si="54"/>
        <v/>
      </c>
      <c r="P1552" s="187" t="e">
        <f t="shared" si="55"/>
        <v>#VALUE!</v>
      </c>
      <c r="Q1552" s="192"/>
      <c r="R1552" s="193"/>
      <c r="S1552" s="194"/>
      <c r="T1552" s="195"/>
      <c r="U1552" s="196"/>
      <c r="V1552" s="197"/>
      <c r="W1552" s="197"/>
    </row>
    <row r="1553" spans="1:23" x14ac:dyDescent="0.25">
      <c r="A1553" s="172"/>
      <c r="F1553" s="174"/>
      <c r="G1553" s="174"/>
      <c r="H1553" s="174"/>
      <c r="J1553" s="174"/>
      <c r="L1553" s="190"/>
      <c r="M1553" s="176"/>
      <c r="N1553" s="177"/>
      <c r="O1553" s="177" t="str">
        <f t="shared" si="54"/>
        <v/>
      </c>
      <c r="P1553" s="187" t="e">
        <f t="shared" si="55"/>
        <v>#VALUE!</v>
      </c>
      <c r="Q1553" s="192"/>
      <c r="R1553" s="193"/>
      <c r="S1553" s="194"/>
      <c r="T1553" s="195"/>
      <c r="U1553" s="196"/>
      <c r="V1553" s="197"/>
      <c r="W1553" s="197"/>
    </row>
    <row r="1554" spans="1:23" x14ac:dyDescent="0.25">
      <c r="A1554" s="172"/>
      <c r="F1554" s="174"/>
      <c r="G1554" s="174"/>
      <c r="H1554" s="174"/>
      <c r="J1554" s="174"/>
      <c r="L1554" s="190"/>
      <c r="M1554" s="176"/>
      <c r="N1554" s="177"/>
      <c r="O1554" s="177" t="str">
        <f t="shared" si="54"/>
        <v/>
      </c>
      <c r="P1554" s="187" t="e">
        <f t="shared" si="55"/>
        <v>#VALUE!</v>
      </c>
      <c r="Q1554" s="192"/>
      <c r="R1554" s="193"/>
      <c r="S1554" s="194"/>
      <c r="T1554" s="195"/>
      <c r="U1554" s="196"/>
      <c r="V1554" s="197"/>
      <c r="W1554" s="197"/>
    </row>
    <row r="1555" spans="1:23" x14ac:dyDescent="0.25">
      <c r="A1555" s="172"/>
      <c r="F1555" s="174"/>
      <c r="G1555" s="174"/>
      <c r="H1555" s="174"/>
      <c r="J1555" s="174"/>
      <c r="L1555" s="190"/>
      <c r="M1555" s="176"/>
      <c r="N1555" s="177"/>
      <c r="O1555" s="177" t="str">
        <f t="shared" si="54"/>
        <v/>
      </c>
      <c r="P1555" s="187" t="e">
        <f t="shared" si="55"/>
        <v>#VALUE!</v>
      </c>
      <c r="Q1555" s="192"/>
      <c r="R1555" s="193"/>
      <c r="S1555" s="194"/>
      <c r="T1555" s="195"/>
      <c r="U1555" s="196"/>
      <c r="V1555" s="197"/>
      <c r="W1555" s="197"/>
    </row>
    <row r="1556" spans="1:23" x14ac:dyDescent="0.25">
      <c r="A1556" s="172"/>
      <c r="F1556" s="174"/>
      <c r="G1556" s="174"/>
      <c r="H1556" s="174"/>
      <c r="J1556" s="174"/>
      <c r="L1556" s="190"/>
      <c r="M1556" s="176"/>
      <c r="N1556" s="177"/>
      <c r="O1556" s="177" t="str">
        <f t="shared" si="54"/>
        <v/>
      </c>
      <c r="P1556" s="187" t="e">
        <f t="shared" si="55"/>
        <v>#VALUE!</v>
      </c>
      <c r="Q1556" s="192"/>
      <c r="R1556" s="193"/>
      <c r="S1556" s="194"/>
      <c r="T1556" s="195"/>
      <c r="U1556" s="196"/>
      <c r="V1556" s="197"/>
      <c r="W1556" s="197"/>
    </row>
    <row r="1557" spans="1:23" x14ac:dyDescent="0.25">
      <c r="A1557" s="172"/>
      <c r="F1557" s="174"/>
      <c r="G1557" s="174"/>
      <c r="H1557" s="174"/>
      <c r="J1557" s="174"/>
      <c r="L1557" s="190"/>
      <c r="M1557" s="176"/>
      <c r="N1557" s="177"/>
      <c r="O1557" s="177" t="str">
        <f t="shared" si="54"/>
        <v/>
      </c>
      <c r="P1557" s="187" t="e">
        <f t="shared" si="55"/>
        <v>#VALUE!</v>
      </c>
      <c r="Q1557" s="192"/>
      <c r="R1557" s="193"/>
      <c r="S1557" s="194"/>
      <c r="T1557" s="195"/>
      <c r="U1557" s="196"/>
      <c r="V1557" s="197"/>
      <c r="W1557" s="197"/>
    </row>
    <row r="1558" spans="1:23" x14ac:dyDescent="0.25">
      <c r="A1558" s="172"/>
      <c r="F1558" s="174"/>
      <c r="G1558" s="174"/>
      <c r="H1558" s="174"/>
      <c r="J1558" s="174"/>
      <c r="L1558" s="190"/>
      <c r="M1558" s="176"/>
      <c r="N1558" s="177"/>
      <c r="O1558" s="177" t="str">
        <f t="shared" si="54"/>
        <v/>
      </c>
      <c r="P1558" s="187" t="e">
        <f t="shared" si="55"/>
        <v>#VALUE!</v>
      </c>
      <c r="Q1558" s="192"/>
      <c r="R1558" s="193"/>
      <c r="S1558" s="194"/>
      <c r="T1558" s="195"/>
      <c r="U1558" s="196"/>
      <c r="V1558" s="197"/>
      <c r="W1558" s="197"/>
    </row>
    <row r="1559" spans="1:23" x14ac:dyDescent="0.25">
      <c r="A1559" s="172"/>
      <c r="F1559" s="174"/>
      <c r="G1559" s="174"/>
      <c r="H1559" s="174"/>
      <c r="J1559" s="174"/>
      <c r="L1559" s="190"/>
      <c r="M1559" s="176"/>
      <c r="N1559" s="177"/>
      <c r="O1559" s="177" t="str">
        <f t="shared" si="54"/>
        <v/>
      </c>
      <c r="P1559" s="187" t="e">
        <f t="shared" si="55"/>
        <v>#VALUE!</v>
      </c>
      <c r="Q1559" s="192"/>
      <c r="R1559" s="193"/>
      <c r="S1559" s="194"/>
      <c r="T1559" s="195"/>
      <c r="U1559" s="196"/>
      <c r="V1559" s="197"/>
      <c r="W1559" s="197"/>
    </row>
    <row r="1560" spans="1:23" x14ac:dyDescent="0.25">
      <c r="A1560" s="172"/>
      <c r="F1560" s="174"/>
      <c r="G1560" s="174"/>
      <c r="H1560" s="174"/>
      <c r="J1560" s="174"/>
      <c r="L1560" s="190"/>
      <c r="M1560" s="176"/>
      <c r="N1560" s="177"/>
      <c r="O1560" s="177" t="str">
        <f t="shared" si="54"/>
        <v/>
      </c>
      <c r="P1560" s="187" t="e">
        <f t="shared" si="55"/>
        <v>#VALUE!</v>
      </c>
      <c r="Q1560" s="192"/>
      <c r="R1560" s="193"/>
      <c r="S1560" s="194"/>
      <c r="T1560" s="195"/>
      <c r="U1560" s="196"/>
      <c r="V1560" s="197"/>
      <c r="W1560" s="197"/>
    </row>
    <row r="1561" spans="1:23" x14ac:dyDescent="0.25">
      <c r="A1561" s="172"/>
      <c r="F1561" s="174"/>
      <c r="G1561" s="174"/>
      <c r="H1561" s="174"/>
      <c r="J1561" s="174"/>
      <c r="L1561" s="190"/>
      <c r="M1561" s="176"/>
      <c r="N1561" s="177"/>
      <c r="O1561" s="177" t="str">
        <f t="shared" si="54"/>
        <v/>
      </c>
      <c r="P1561" s="187" t="e">
        <f t="shared" si="55"/>
        <v>#VALUE!</v>
      </c>
      <c r="Q1561" s="192"/>
      <c r="R1561" s="193"/>
      <c r="S1561" s="194"/>
      <c r="T1561" s="195"/>
      <c r="U1561" s="196"/>
      <c r="V1561" s="197"/>
      <c r="W1561" s="197"/>
    </row>
    <row r="1562" spans="1:23" x14ac:dyDescent="0.25">
      <c r="A1562" s="172"/>
      <c r="F1562" s="174"/>
      <c r="G1562" s="174"/>
      <c r="H1562" s="174"/>
      <c r="J1562" s="174"/>
      <c r="L1562" s="190"/>
      <c r="M1562" s="176"/>
      <c r="N1562" s="177"/>
      <c r="O1562" s="177" t="str">
        <f t="shared" si="54"/>
        <v/>
      </c>
      <c r="P1562" s="187" t="e">
        <f t="shared" si="55"/>
        <v>#VALUE!</v>
      </c>
      <c r="Q1562" s="192"/>
      <c r="R1562" s="193"/>
      <c r="S1562" s="194"/>
      <c r="T1562" s="195"/>
      <c r="U1562" s="196"/>
      <c r="V1562" s="197"/>
      <c r="W1562" s="197"/>
    </row>
    <row r="1563" spans="1:23" x14ac:dyDescent="0.25">
      <c r="A1563" s="172"/>
      <c r="F1563" s="174"/>
      <c r="G1563" s="174"/>
      <c r="H1563" s="174"/>
      <c r="J1563" s="174"/>
      <c r="L1563" s="190"/>
      <c r="M1563" s="176"/>
      <c r="N1563" s="177"/>
      <c r="O1563" s="177" t="str">
        <f t="shared" si="54"/>
        <v/>
      </c>
      <c r="P1563" s="187" t="e">
        <f t="shared" si="55"/>
        <v>#VALUE!</v>
      </c>
      <c r="Q1563" s="192"/>
      <c r="R1563" s="193"/>
      <c r="S1563" s="194"/>
      <c r="T1563" s="195"/>
      <c r="U1563" s="196"/>
      <c r="V1563" s="197"/>
      <c r="W1563" s="197"/>
    </row>
    <row r="1564" spans="1:23" x14ac:dyDescent="0.25">
      <c r="A1564" s="172"/>
      <c r="F1564" s="174"/>
      <c r="G1564" s="174"/>
      <c r="H1564" s="174"/>
      <c r="J1564" s="174"/>
      <c r="L1564" s="190"/>
      <c r="M1564" s="176"/>
      <c r="N1564" s="177"/>
      <c r="O1564" s="177" t="str">
        <f t="shared" si="54"/>
        <v/>
      </c>
      <c r="P1564" s="187" t="e">
        <f t="shared" si="55"/>
        <v>#VALUE!</v>
      </c>
      <c r="Q1564" s="192"/>
      <c r="R1564" s="193"/>
      <c r="S1564" s="194"/>
      <c r="T1564" s="195"/>
      <c r="U1564" s="196"/>
      <c r="V1564" s="197"/>
      <c r="W1564" s="197"/>
    </row>
    <row r="1565" spans="1:23" x14ac:dyDescent="0.25">
      <c r="A1565" s="172"/>
      <c r="F1565" s="174"/>
      <c r="G1565" s="174"/>
      <c r="H1565" s="174"/>
      <c r="J1565" s="174"/>
      <c r="L1565" s="190"/>
      <c r="M1565" s="176"/>
      <c r="N1565" s="177"/>
      <c r="O1565" s="177" t="str">
        <f t="shared" si="54"/>
        <v/>
      </c>
      <c r="P1565" s="187" t="e">
        <f t="shared" si="55"/>
        <v>#VALUE!</v>
      </c>
      <c r="Q1565" s="192"/>
      <c r="R1565" s="193"/>
      <c r="S1565" s="194"/>
      <c r="T1565" s="195"/>
      <c r="U1565" s="196"/>
      <c r="V1565" s="197"/>
      <c r="W1565" s="197"/>
    </row>
    <row r="1566" spans="1:23" x14ac:dyDescent="0.25">
      <c r="A1566" s="172"/>
      <c r="F1566" s="174"/>
      <c r="G1566" s="174"/>
      <c r="H1566" s="174"/>
      <c r="J1566" s="174"/>
      <c r="L1566" s="190"/>
      <c r="M1566" s="176"/>
      <c r="N1566" s="177"/>
      <c r="O1566" s="177" t="str">
        <f t="shared" si="54"/>
        <v/>
      </c>
      <c r="P1566" s="187" t="e">
        <f t="shared" si="55"/>
        <v>#VALUE!</v>
      </c>
      <c r="Q1566" s="192"/>
      <c r="R1566" s="193"/>
      <c r="S1566" s="194"/>
      <c r="T1566" s="195"/>
      <c r="U1566" s="196"/>
      <c r="V1566" s="197"/>
      <c r="W1566" s="197"/>
    </row>
    <row r="1567" spans="1:23" x14ac:dyDescent="0.25">
      <c r="A1567" s="172"/>
      <c r="F1567" s="174"/>
      <c r="G1567" s="174"/>
      <c r="H1567" s="174"/>
      <c r="J1567" s="174"/>
      <c r="L1567" s="190"/>
      <c r="M1567" s="176"/>
      <c r="N1567" s="177"/>
      <c r="O1567" s="177" t="str">
        <f t="shared" si="54"/>
        <v/>
      </c>
      <c r="P1567" s="187" t="e">
        <f t="shared" si="55"/>
        <v>#VALUE!</v>
      </c>
      <c r="Q1567" s="192"/>
      <c r="R1567" s="193"/>
      <c r="S1567" s="194"/>
      <c r="T1567" s="195"/>
      <c r="U1567" s="196"/>
      <c r="V1567" s="197"/>
      <c r="W1567" s="197"/>
    </row>
    <row r="1568" spans="1:23" x14ac:dyDescent="0.25">
      <c r="A1568" s="172"/>
      <c r="F1568" s="174"/>
      <c r="G1568" s="174"/>
      <c r="H1568" s="174"/>
      <c r="J1568" s="174"/>
      <c r="L1568" s="190"/>
      <c r="M1568" s="176"/>
      <c r="N1568" s="177"/>
      <c r="O1568" s="177" t="str">
        <f t="shared" si="54"/>
        <v/>
      </c>
      <c r="P1568" s="187" t="e">
        <f t="shared" si="55"/>
        <v>#VALUE!</v>
      </c>
      <c r="Q1568" s="192"/>
      <c r="R1568" s="193"/>
      <c r="S1568" s="194"/>
      <c r="T1568" s="195"/>
      <c r="U1568" s="196"/>
      <c r="V1568" s="197"/>
      <c r="W1568" s="197"/>
    </row>
    <row r="1569" spans="1:23" x14ac:dyDescent="0.25">
      <c r="A1569" s="172"/>
      <c r="F1569" s="174"/>
      <c r="G1569" s="174"/>
      <c r="H1569" s="174"/>
      <c r="J1569" s="174"/>
      <c r="L1569" s="190"/>
      <c r="M1569" s="176"/>
      <c r="N1569" s="177"/>
      <c r="O1569" s="177" t="str">
        <f t="shared" si="54"/>
        <v/>
      </c>
      <c r="P1569" s="187" t="e">
        <f t="shared" si="55"/>
        <v>#VALUE!</v>
      </c>
      <c r="Q1569" s="192"/>
      <c r="R1569" s="193"/>
      <c r="S1569" s="194"/>
      <c r="T1569" s="195"/>
      <c r="U1569" s="196"/>
      <c r="V1569" s="197"/>
      <c r="W1569" s="197"/>
    </row>
    <row r="1570" spans="1:23" x14ac:dyDescent="0.25">
      <c r="A1570" s="172"/>
      <c r="F1570" s="174"/>
      <c r="G1570" s="174"/>
      <c r="H1570" s="174"/>
      <c r="J1570" s="174"/>
      <c r="L1570" s="190"/>
      <c r="M1570" s="176"/>
      <c r="N1570" s="177"/>
      <c r="O1570" s="177" t="str">
        <f t="shared" si="54"/>
        <v/>
      </c>
      <c r="P1570" s="187" t="e">
        <f t="shared" si="55"/>
        <v>#VALUE!</v>
      </c>
      <c r="Q1570" s="192"/>
      <c r="R1570" s="193"/>
      <c r="S1570" s="194"/>
      <c r="T1570" s="195"/>
      <c r="U1570" s="196"/>
      <c r="V1570" s="197"/>
      <c r="W1570" s="197"/>
    </row>
    <row r="1571" spans="1:23" x14ac:dyDescent="0.25">
      <c r="A1571" s="172"/>
      <c r="F1571" s="174"/>
      <c r="G1571" s="174"/>
      <c r="H1571" s="174"/>
      <c r="J1571" s="174"/>
      <c r="L1571" s="190"/>
      <c r="M1571" s="176"/>
      <c r="N1571" s="177"/>
      <c r="O1571" s="177" t="str">
        <f t="shared" si="54"/>
        <v/>
      </c>
      <c r="P1571" s="187" t="e">
        <f t="shared" si="55"/>
        <v>#VALUE!</v>
      </c>
      <c r="Q1571" s="192"/>
      <c r="R1571" s="193"/>
      <c r="S1571" s="194"/>
      <c r="T1571" s="195"/>
      <c r="U1571" s="196"/>
      <c r="V1571" s="197"/>
      <c r="W1571" s="197"/>
    </row>
    <row r="1572" spans="1:23" x14ac:dyDescent="0.25">
      <c r="A1572" s="172"/>
      <c r="F1572" s="174"/>
      <c r="G1572" s="174"/>
      <c r="H1572" s="174"/>
      <c r="J1572" s="174"/>
      <c r="L1572" s="190"/>
      <c r="M1572" s="176"/>
      <c r="N1572" s="177"/>
      <c r="O1572" s="177" t="str">
        <f t="shared" si="54"/>
        <v/>
      </c>
      <c r="P1572" s="187" t="e">
        <f t="shared" si="55"/>
        <v>#VALUE!</v>
      </c>
      <c r="Q1572" s="192"/>
      <c r="R1572" s="193"/>
      <c r="S1572" s="194"/>
      <c r="T1572" s="195"/>
      <c r="U1572" s="196"/>
      <c r="V1572" s="197"/>
      <c r="W1572" s="197"/>
    </row>
    <row r="1573" spans="1:23" x14ac:dyDescent="0.25">
      <c r="A1573" s="172"/>
      <c r="F1573" s="174"/>
      <c r="G1573" s="174"/>
      <c r="H1573" s="174"/>
      <c r="J1573" s="174"/>
      <c r="L1573" s="190"/>
      <c r="M1573" s="176"/>
      <c r="N1573" s="177"/>
      <c r="O1573" s="177" t="str">
        <f t="shared" si="54"/>
        <v/>
      </c>
      <c r="P1573" s="187" t="e">
        <f t="shared" si="55"/>
        <v>#VALUE!</v>
      </c>
      <c r="Q1573" s="192"/>
      <c r="R1573" s="193"/>
      <c r="S1573" s="194"/>
      <c r="T1573" s="195"/>
      <c r="U1573" s="196"/>
      <c r="V1573" s="197"/>
      <c r="W1573" s="197"/>
    </row>
    <row r="1574" spans="1:23" x14ac:dyDescent="0.25">
      <c r="A1574" s="172"/>
      <c r="F1574" s="174"/>
      <c r="G1574" s="174"/>
      <c r="H1574" s="174"/>
      <c r="J1574" s="174"/>
      <c r="L1574" s="190"/>
      <c r="M1574" s="176"/>
      <c r="N1574" s="177"/>
      <c r="O1574" s="177" t="str">
        <f t="shared" si="54"/>
        <v/>
      </c>
      <c r="P1574" s="187" t="e">
        <f t="shared" si="55"/>
        <v>#VALUE!</v>
      </c>
      <c r="Q1574" s="192"/>
      <c r="R1574" s="193"/>
      <c r="S1574" s="194"/>
      <c r="T1574" s="195"/>
      <c r="U1574" s="196"/>
      <c r="V1574" s="197"/>
      <c r="W1574" s="197"/>
    </row>
    <row r="1575" spans="1:23" x14ac:dyDescent="0.25">
      <c r="A1575" s="172"/>
      <c r="F1575" s="174"/>
      <c r="G1575" s="174"/>
      <c r="H1575" s="174"/>
      <c r="J1575" s="174"/>
      <c r="L1575" s="190"/>
      <c r="M1575" s="176"/>
      <c r="N1575" s="177"/>
      <c r="O1575" s="177" t="str">
        <f t="shared" si="54"/>
        <v/>
      </c>
      <c r="P1575" s="187" t="e">
        <f t="shared" si="55"/>
        <v>#VALUE!</v>
      </c>
      <c r="Q1575" s="192"/>
      <c r="R1575" s="193"/>
      <c r="S1575" s="194"/>
      <c r="T1575" s="195"/>
      <c r="U1575" s="196"/>
      <c r="V1575" s="197"/>
      <c r="W1575" s="197"/>
    </row>
    <row r="1576" spans="1:23" x14ac:dyDescent="0.25">
      <c r="A1576" s="172"/>
      <c r="F1576" s="174"/>
      <c r="G1576" s="174"/>
      <c r="H1576" s="174"/>
      <c r="J1576" s="174"/>
      <c r="L1576" s="190"/>
      <c r="M1576" s="176"/>
      <c r="N1576" s="177"/>
      <c r="O1576" s="177" t="str">
        <f t="shared" si="54"/>
        <v/>
      </c>
      <c r="P1576" s="187" t="e">
        <f t="shared" si="55"/>
        <v>#VALUE!</v>
      </c>
      <c r="Q1576" s="192"/>
      <c r="R1576" s="193"/>
      <c r="S1576" s="194"/>
      <c r="T1576" s="195"/>
      <c r="U1576" s="196"/>
      <c r="V1576" s="197"/>
      <c r="W1576" s="197"/>
    </row>
    <row r="1577" spans="1:23" x14ac:dyDescent="0.25">
      <c r="A1577" s="172"/>
      <c r="F1577" s="174"/>
      <c r="G1577" s="174"/>
      <c r="H1577" s="174"/>
      <c r="J1577" s="174"/>
      <c r="L1577" s="190"/>
      <c r="M1577" s="176"/>
      <c r="N1577" s="177"/>
      <c r="O1577" s="177" t="str">
        <f t="shared" si="54"/>
        <v/>
      </c>
      <c r="P1577" s="187" t="e">
        <f t="shared" si="55"/>
        <v>#VALUE!</v>
      </c>
      <c r="Q1577" s="192"/>
      <c r="R1577" s="193"/>
      <c r="S1577" s="194"/>
      <c r="T1577" s="195"/>
      <c r="U1577" s="196"/>
      <c r="V1577" s="197"/>
      <c r="W1577" s="197"/>
    </row>
    <row r="1578" spans="1:23" x14ac:dyDescent="0.25">
      <c r="A1578" s="172"/>
      <c r="F1578" s="174"/>
      <c r="G1578" s="174"/>
      <c r="H1578" s="174"/>
      <c r="J1578" s="174"/>
      <c r="L1578" s="190"/>
      <c r="M1578" s="176"/>
      <c r="N1578" s="177"/>
      <c r="O1578" s="177" t="str">
        <f t="shared" si="54"/>
        <v/>
      </c>
      <c r="P1578" s="187" t="e">
        <f t="shared" si="55"/>
        <v>#VALUE!</v>
      </c>
      <c r="Q1578" s="192"/>
      <c r="R1578" s="193"/>
      <c r="S1578" s="194"/>
      <c r="T1578" s="195"/>
      <c r="U1578" s="196"/>
      <c r="V1578" s="197"/>
      <c r="W1578" s="197"/>
    </row>
    <row r="1579" spans="1:23" x14ac:dyDescent="0.25">
      <c r="A1579" s="172"/>
      <c r="F1579" s="174"/>
      <c r="G1579" s="174"/>
      <c r="H1579" s="174"/>
      <c r="J1579" s="174"/>
      <c r="L1579" s="190"/>
      <c r="M1579" s="176"/>
      <c r="N1579" s="177"/>
      <c r="O1579" s="177" t="str">
        <f t="shared" si="54"/>
        <v/>
      </c>
      <c r="P1579" s="187" t="e">
        <f t="shared" si="55"/>
        <v>#VALUE!</v>
      </c>
      <c r="Q1579" s="192"/>
      <c r="R1579" s="193"/>
      <c r="S1579" s="194"/>
      <c r="T1579" s="195"/>
      <c r="U1579" s="196"/>
      <c r="V1579" s="197"/>
      <c r="W1579" s="197"/>
    </row>
    <row r="1580" spans="1:23" x14ac:dyDescent="0.25">
      <c r="A1580" s="172"/>
      <c r="F1580" s="174"/>
      <c r="G1580" s="174"/>
      <c r="H1580" s="174"/>
      <c r="J1580" s="174"/>
      <c r="L1580" s="190"/>
      <c r="M1580" s="176"/>
      <c r="N1580" s="177"/>
      <c r="O1580" s="177" t="str">
        <f t="shared" si="54"/>
        <v/>
      </c>
      <c r="P1580" s="187" t="e">
        <f t="shared" si="55"/>
        <v>#VALUE!</v>
      </c>
      <c r="Q1580" s="192"/>
      <c r="R1580" s="193"/>
      <c r="S1580" s="194"/>
      <c r="T1580" s="195"/>
      <c r="U1580" s="196"/>
      <c r="V1580" s="197"/>
      <c r="W1580" s="197"/>
    </row>
    <row r="1581" spans="1:23" x14ac:dyDescent="0.25">
      <c r="A1581" s="172"/>
      <c r="F1581" s="174"/>
      <c r="G1581" s="174"/>
      <c r="H1581" s="174"/>
      <c r="J1581" s="174"/>
      <c r="L1581" s="190"/>
      <c r="M1581" s="176"/>
      <c r="N1581" s="177"/>
      <c r="O1581" s="177" t="str">
        <f t="shared" si="54"/>
        <v/>
      </c>
      <c r="P1581" s="187" t="e">
        <f t="shared" si="55"/>
        <v>#VALUE!</v>
      </c>
      <c r="Q1581" s="192"/>
      <c r="R1581" s="193"/>
      <c r="S1581" s="194"/>
      <c r="T1581" s="195"/>
      <c r="U1581" s="196"/>
      <c r="V1581" s="197"/>
      <c r="W1581" s="197"/>
    </row>
    <row r="1582" spans="1:23" x14ac:dyDescent="0.25">
      <c r="A1582" s="172"/>
      <c r="F1582" s="174"/>
      <c r="G1582" s="174"/>
      <c r="H1582" s="174"/>
      <c r="J1582" s="174"/>
      <c r="L1582" s="190"/>
      <c r="M1582" s="176"/>
      <c r="N1582" s="177"/>
      <c r="O1582" s="177" t="str">
        <f t="shared" si="54"/>
        <v/>
      </c>
      <c r="P1582" s="187" t="e">
        <f t="shared" si="55"/>
        <v>#VALUE!</v>
      </c>
      <c r="Q1582" s="192"/>
      <c r="R1582" s="193"/>
      <c r="S1582" s="194"/>
      <c r="T1582" s="195"/>
      <c r="U1582" s="196"/>
      <c r="V1582" s="197"/>
      <c r="W1582" s="197"/>
    </row>
    <row r="1583" spans="1:23" x14ac:dyDescent="0.25">
      <c r="A1583" s="172"/>
      <c r="F1583" s="174"/>
      <c r="G1583" s="174"/>
      <c r="H1583" s="174"/>
      <c r="J1583" s="174"/>
      <c r="L1583" s="190"/>
      <c r="M1583" s="176"/>
      <c r="N1583" s="177"/>
      <c r="O1583" s="177" t="str">
        <f t="shared" si="54"/>
        <v/>
      </c>
      <c r="P1583" s="187" t="e">
        <f t="shared" si="55"/>
        <v>#VALUE!</v>
      </c>
      <c r="Q1583" s="192"/>
      <c r="R1583" s="193"/>
      <c r="S1583" s="194"/>
      <c r="T1583" s="195"/>
      <c r="U1583" s="196"/>
      <c r="V1583" s="197"/>
      <c r="W1583" s="197"/>
    </row>
    <row r="1584" spans="1:23" x14ac:dyDescent="0.25">
      <c r="A1584" s="172"/>
      <c r="F1584" s="174"/>
      <c r="G1584" s="174"/>
      <c r="H1584" s="174"/>
      <c r="J1584" s="174"/>
      <c r="L1584" s="190"/>
      <c r="M1584" s="176"/>
      <c r="N1584" s="177"/>
      <c r="O1584" s="177" t="str">
        <f t="shared" si="54"/>
        <v/>
      </c>
      <c r="P1584" s="187" t="e">
        <f t="shared" si="55"/>
        <v>#VALUE!</v>
      </c>
      <c r="Q1584" s="192"/>
      <c r="R1584" s="193"/>
      <c r="S1584" s="194"/>
      <c r="T1584" s="195"/>
      <c r="U1584" s="196"/>
      <c r="V1584" s="197"/>
      <c r="W1584" s="197"/>
    </row>
    <row r="1585" spans="1:23" x14ac:dyDescent="0.25">
      <c r="A1585" s="172"/>
      <c r="F1585" s="174"/>
      <c r="G1585" s="174"/>
      <c r="H1585" s="174"/>
      <c r="J1585" s="174"/>
      <c r="L1585" s="190"/>
      <c r="M1585" s="176"/>
      <c r="N1585" s="177"/>
      <c r="O1585" s="177" t="str">
        <f t="shared" si="54"/>
        <v/>
      </c>
      <c r="P1585" s="187" t="e">
        <f t="shared" si="55"/>
        <v>#VALUE!</v>
      </c>
      <c r="Q1585" s="192"/>
      <c r="R1585" s="193"/>
      <c r="S1585" s="194"/>
      <c r="T1585" s="195"/>
      <c r="U1585" s="196"/>
      <c r="V1585" s="197"/>
      <c r="W1585" s="197"/>
    </row>
    <row r="1586" spans="1:23" x14ac:dyDescent="0.25">
      <c r="A1586" s="172"/>
      <c r="F1586" s="174"/>
      <c r="G1586" s="174"/>
      <c r="H1586" s="174"/>
      <c r="J1586" s="174"/>
      <c r="L1586" s="190"/>
      <c r="M1586" s="176"/>
      <c r="N1586" s="177"/>
      <c r="O1586" s="177" t="str">
        <f t="shared" si="54"/>
        <v/>
      </c>
      <c r="P1586" s="187" t="e">
        <f t="shared" si="55"/>
        <v>#VALUE!</v>
      </c>
      <c r="Q1586" s="192"/>
      <c r="R1586" s="193"/>
      <c r="S1586" s="194"/>
      <c r="T1586" s="195"/>
      <c r="U1586" s="196"/>
      <c r="V1586" s="197"/>
      <c r="W1586" s="197"/>
    </row>
    <row r="1587" spans="1:23" x14ac:dyDescent="0.25">
      <c r="A1587" s="172"/>
      <c r="F1587" s="174"/>
      <c r="G1587" s="174"/>
      <c r="H1587" s="174"/>
      <c r="J1587" s="174"/>
      <c r="L1587" s="190"/>
      <c r="M1587" s="176"/>
      <c r="N1587" s="177"/>
      <c r="O1587" s="177" t="str">
        <f t="shared" si="54"/>
        <v/>
      </c>
      <c r="P1587" s="187" t="e">
        <f t="shared" si="55"/>
        <v>#VALUE!</v>
      </c>
      <c r="Q1587" s="192"/>
      <c r="R1587" s="193"/>
      <c r="S1587" s="194"/>
      <c r="T1587" s="195"/>
      <c r="U1587" s="196"/>
      <c r="V1587" s="197"/>
      <c r="W1587" s="197"/>
    </row>
    <row r="1588" spans="1:23" x14ac:dyDescent="0.25">
      <c r="A1588" s="172"/>
      <c r="F1588" s="174"/>
      <c r="G1588" s="174"/>
      <c r="H1588" s="174"/>
      <c r="J1588" s="174"/>
      <c r="L1588" s="190"/>
      <c r="M1588" s="176"/>
      <c r="N1588" s="177"/>
      <c r="O1588" s="177" t="str">
        <f t="shared" si="54"/>
        <v/>
      </c>
      <c r="P1588" s="187" t="e">
        <f t="shared" si="55"/>
        <v>#VALUE!</v>
      </c>
      <c r="Q1588" s="192"/>
      <c r="R1588" s="193"/>
      <c r="S1588" s="194"/>
      <c r="T1588" s="195"/>
      <c r="U1588" s="196"/>
      <c r="V1588" s="197"/>
      <c r="W1588" s="197"/>
    </row>
    <row r="1589" spans="1:23" x14ac:dyDescent="0.25">
      <c r="A1589" s="172"/>
      <c r="F1589" s="174"/>
      <c r="G1589" s="174"/>
      <c r="H1589" s="174"/>
      <c r="J1589" s="174"/>
      <c r="L1589" s="190"/>
      <c r="M1589" s="176"/>
      <c r="N1589" s="177"/>
      <c r="O1589" s="177" t="str">
        <f t="shared" si="54"/>
        <v/>
      </c>
      <c r="P1589" s="187" t="e">
        <f t="shared" si="55"/>
        <v>#VALUE!</v>
      </c>
      <c r="Q1589" s="192"/>
      <c r="R1589" s="193"/>
      <c r="S1589" s="194"/>
      <c r="T1589" s="195"/>
      <c r="U1589" s="196"/>
      <c r="V1589" s="197"/>
      <c r="W1589" s="197"/>
    </row>
    <row r="1590" spans="1:23" x14ac:dyDescent="0.25">
      <c r="A1590" s="172"/>
      <c r="F1590" s="174"/>
      <c r="G1590" s="174"/>
      <c r="H1590" s="174"/>
      <c r="J1590" s="174"/>
      <c r="L1590" s="190"/>
      <c r="M1590" s="176"/>
      <c r="N1590" s="177"/>
      <c r="O1590" s="177" t="str">
        <f t="shared" si="54"/>
        <v/>
      </c>
      <c r="P1590" s="187" t="e">
        <f t="shared" si="55"/>
        <v>#VALUE!</v>
      </c>
      <c r="Q1590" s="192"/>
      <c r="R1590" s="193"/>
      <c r="S1590" s="194"/>
      <c r="T1590" s="195"/>
      <c r="U1590" s="196"/>
      <c r="V1590" s="197"/>
      <c r="W1590" s="197"/>
    </row>
    <row r="1591" spans="1:23" x14ac:dyDescent="0.25">
      <c r="A1591" s="172"/>
      <c r="F1591" s="174"/>
      <c r="G1591" s="174"/>
      <c r="H1591" s="174"/>
      <c r="J1591" s="174"/>
      <c r="L1591" s="190"/>
      <c r="M1591" s="176"/>
      <c r="N1591" s="177"/>
      <c r="O1591" s="177" t="str">
        <f t="shared" si="54"/>
        <v/>
      </c>
      <c r="P1591" s="187" t="e">
        <f t="shared" si="55"/>
        <v>#VALUE!</v>
      </c>
      <c r="Q1591" s="192"/>
      <c r="R1591" s="193"/>
      <c r="S1591" s="194"/>
      <c r="T1591" s="195"/>
      <c r="U1591" s="196"/>
      <c r="V1591" s="197"/>
      <c r="W1591" s="197"/>
    </row>
    <row r="1592" spans="1:23" x14ac:dyDescent="0.25">
      <c r="A1592" s="172"/>
      <c r="F1592" s="174"/>
      <c r="G1592" s="174"/>
      <c r="H1592" s="174"/>
      <c r="J1592" s="174"/>
      <c r="L1592" s="190"/>
      <c r="M1592" s="176"/>
      <c r="N1592" s="177"/>
      <c r="O1592" s="177" t="str">
        <f t="shared" si="54"/>
        <v/>
      </c>
      <c r="P1592" s="187" t="e">
        <f t="shared" si="55"/>
        <v>#VALUE!</v>
      </c>
      <c r="Q1592" s="192"/>
      <c r="R1592" s="193"/>
      <c r="S1592" s="194"/>
      <c r="T1592" s="195"/>
      <c r="U1592" s="196"/>
      <c r="V1592" s="197"/>
      <c r="W1592" s="197"/>
    </row>
    <row r="1593" spans="1:23" x14ac:dyDescent="0.25">
      <c r="A1593" s="172"/>
      <c r="F1593" s="174"/>
      <c r="G1593" s="174"/>
      <c r="H1593" s="174"/>
      <c r="J1593" s="174"/>
      <c r="L1593" s="190"/>
      <c r="M1593" s="176"/>
      <c r="N1593" s="177"/>
      <c r="O1593" s="177" t="str">
        <f t="shared" si="54"/>
        <v/>
      </c>
      <c r="P1593" s="187" t="e">
        <f t="shared" si="55"/>
        <v>#VALUE!</v>
      </c>
      <c r="Q1593" s="192"/>
      <c r="R1593" s="193"/>
      <c r="S1593" s="194"/>
      <c r="T1593" s="195"/>
      <c r="U1593" s="196"/>
      <c r="V1593" s="197"/>
      <c r="W1593" s="197"/>
    </row>
    <row r="1594" spans="1:23" x14ac:dyDescent="0.25">
      <c r="A1594" s="172"/>
      <c r="F1594" s="174"/>
      <c r="G1594" s="174"/>
      <c r="H1594" s="174"/>
      <c r="J1594" s="174"/>
      <c r="L1594" s="190"/>
      <c r="M1594" s="176"/>
      <c r="N1594" s="177"/>
      <c r="O1594" s="177" t="str">
        <f t="shared" si="54"/>
        <v/>
      </c>
      <c r="P1594" s="187" t="e">
        <f t="shared" si="55"/>
        <v>#VALUE!</v>
      </c>
      <c r="Q1594" s="192"/>
      <c r="R1594" s="193"/>
      <c r="S1594" s="194"/>
      <c r="T1594" s="195"/>
      <c r="U1594" s="196"/>
      <c r="V1594" s="197"/>
      <c r="W1594" s="197"/>
    </row>
    <row r="1595" spans="1:23" x14ac:dyDescent="0.25">
      <c r="A1595" s="172"/>
      <c r="F1595" s="174"/>
      <c r="G1595" s="174"/>
      <c r="H1595" s="174"/>
      <c r="J1595" s="174"/>
      <c r="L1595" s="190"/>
      <c r="M1595" s="176"/>
      <c r="N1595" s="177"/>
      <c r="O1595" s="177" t="str">
        <f t="shared" si="54"/>
        <v/>
      </c>
      <c r="P1595" s="187" t="e">
        <f t="shared" si="55"/>
        <v>#VALUE!</v>
      </c>
      <c r="Q1595" s="192"/>
      <c r="R1595" s="193"/>
      <c r="S1595" s="194"/>
      <c r="T1595" s="195"/>
      <c r="U1595" s="196"/>
      <c r="V1595" s="197"/>
      <c r="W1595" s="197"/>
    </row>
    <row r="1596" spans="1:23" x14ac:dyDescent="0.25">
      <c r="A1596" s="172"/>
      <c r="F1596" s="174"/>
      <c r="G1596" s="174"/>
      <c r="H1596" s="174"/>
      <c r="J1596" s="174"/>
      <c r="L1596" s="190"/>
      <c r="M1596" s="176"/>
      <c r="N1596" s="177"/>
      <c r="O1596" s="177" t="str">
        <f t="shared" si="54"/>
        <v/>
      </c>
      <c r="P1596" s="187" t="e">
        <f t="shared" si="55"/>
        <v>#VALUE!</v>
      </c>
      <c r="Q1596" s="192"/>
      <c r="R1596" s="193"/>
      <c r="S1596" s="194"/>
      <c r="T1596" s="195"/>
      <c r="U1596" s="196"/>
      <c r="V1596" s="197"/>
      <c r="W1596" s="197"/>
    </row>
    <row r="1597" spans="1:23" x14ac:dyDescent="0.25">
      <c r="A1597" s="172"/>
      <c r="F1597" s="174"/>
      <c r="G1597" s="174"/>
      <c r="H1597" s="174"/>
      <c r="J1597" s="174"/>
      <c r="L1597" s="190"/>
      <c r="M1597" s="176"/>
      <c r="N1597" s="177"/>
      <c r="O1597" s="177" t="str">
        <f t="shared" si="54"/>
        <v/>
      </c>
      <c r="P1597" s="187" t="e">
        <f t="shared" si="55"/>
        <v>#VALUE!</v>
      </c>
      <c r="Q1597" s="192"/>
      <c r="R1597" s="193"/>
      <c r="S1597" s="194"/>
      <c r="T1597" s="195"/>
      <c r="U1597" s="196"/>
      <c r="V1597" s="197"/>
      <c r="W1597" s="197"/>
    </row>
    <row r="1598" spans="1:23" x14ac:dyDescent="0.25">
      <c r="A1598" s="172"/>
      <c r="B1598" s="189"/>
      <c r="E1598" s="189"/>
      <c r="F1598" s="174"/>
      <c r="G1598" s="174"/>
      <c r="H1598" s="174"/>
      <c r="I1598" s="189"/>
      <c r="J1598" s="174"/>
      <c r="L1598" s="190"/>
      <c r="M1598" s="176"/>
      <c r="N1598" s="177"/>
      <c r="O1598" s="177" t="str">
        <f t="shared" ref="O1598:O1654" si="56">RIGHT(C1598,2)</f>
        <v/>
      </c>
      <c r="P1598" s="187" t="e">
        <f t="shared" ref="P1598:P1654" si="57">42522+O1598+29</f>
        <v>#VALUE!</v>
      </c>
      <c r="Q1598" s="192"/>
      <c r="R1598" s="193"/>
      <c r="S1598" s="194"/>
      <c r="T1598" s="195"/>
      <c r="U1598" s="196"/>
      <c r="V1598" s="197"/>
      <c r="W1598" s="197"/>
    </row>
    <row r="1599" spans="1:23" x14ac:dyDescent="0.25">
      <c r="A1599" s="172"/>
      <c r="F1599" s="174"/>
      <c r="G1599" s="174"/>
      <c r="H1599" s="174"/>
      <c r="J1599" s="174"/>
      <c r="L1599" s="190"/>
      <c r="M1599" s="176"/>
      <c r="N1599" s="177"/>
      <c r="O1599" s="177" t="str">
        <f t="shared" si="56"/>
        <v/>
      </c>
      <c r="P1599" s="187" t="e">
        <f t="shared" si="57"/>
        <v>#VALUE!</v>
      </c>
      <c r="Q1599" s="192"/>
      <c r="R1599" s="193"/>
      <c r="S1599" s="194"/>
      <c r="T1599" s="195"/>
      <c r="U1599" s="196"/>
      <c r="V1599" s="197"/>
      <c r="W1599" s="197"/>
    </row>
    <row r="1600" spans="1:23" x14ac:dyDescent="0.25">
      <c r="A1600" s="172"/>
      <c r="F1600" s="174"/>
      <c r="G1600" s="174"/>
      <c r="H1600" s="174"/>
      <c r="J1600" s="174"/>
      <c r="L1600" s="190"/>
      <c r="M1600" s="176"/>
      <c r="N1600" s="177"/>
      <c r="O1600" s="177" t="str">
        <f t="shared" si="56"/>
        <v/>
      </c>
      <c r="P1600" s="187" t="e">
        <f t="shared" si="57"/>
        <v>#VALUE!</v>
      </c>
      <c r="Q1600" s="192"/>
      <c r="R1600" s="193"/>
      <c r="S1600" s="194"/>
      <c r="T1600" s="195"/>
      <c r="U1600" s="196"/>
      <c r="V1600" s="197"/>
      <c r="W1600" s="197"/>
    </row>
    <row r="1601" spans="1:23" x14ac:dyDescent="0.25">
      <c r="A1601" s="172"/>
      <c r="B1601" s="189"/>
      <c r="E1601" s="189"/>
      <c r="F1601" s="174"/>
      <c r="G1601" s="174"/>
      <c r="H1601" s="174"/>
      <c r="I1601" s="189"/>
      <c r="J1601" s="174"/>
      <c r="L1601" s="190"/>
      <c r="M1601" s="176"/>
      <c r="N1601" s="177"/>
      <c r="O1601" s="177" t="str">
        <f t="shared" si="56"/>
        <v/>
      </c>
      <c r="P1601" s="187" t="e">
        <f t="shared" si="57"/>
        <v>#VALUE!</v>
      </c>
      <c r="Q1601" s="192"/>
      <c r="R1601" s="193"/>
      <c r="S1601" s="194"/>
      <c r="T1601" s="195"/>
      <c r="U1601" s="196"/>
      <c r="V1601" s="197"/>
      <c r="W1601" s="197"/>
    </row>
    <row r="1602" spans="1:23" x14ac:dyDescent="0.25">
      <c r="A1602" s="172"/>
      <c r="B1602" s="189"/>
      <c r="E1602" s="189"/>
      <c r="F1602" s="174"/>
      <c r="G1602" s="174"/>
      <c r="H1602" s="174"/>
      <c r="I1602" s="189"/>
      <c r="J1602" s="174"/>
      <c r="L1602" s="190"/>
      <c r="M1602" s="176"/>
      <c r="N1602" s="177"/>
      <c r="O1602" s="177" t="str">
        <f t="shared" si="56"/>
        <v/>
      </c>
      <c r="P1602" s="187" t="e">
        <f t="shared" si="57"/>
        <v>#VALUE!</v>
      </c>
      <c r="Q1602" s="192"/>
      <c r="R1602" s="193"/>
      <c r="S1602" s="194"/>
      <c r="T1602" s="195"/>
      <c r="U1602" s="196"/>
      <c r="V1602" s="197"/>
      <c r="W1602" s="197"/>
    </row>
    <row r="1603" spans="1:23" x14ac:dyDescent="0.25">
      <c r="A1603" s="172"/>
      <c r="F1603" s="174"/>
      <c r="G1603" s="174"/>
      <c r="H1603" s="174"/>
      <c r="J1603" s="174"/>
      <c r="L1603" s="190"/>
      <c r="M1603" s="176"/>
      <c r="N1603" s="177"/>
      <c r="O1603" s="177" t="str">
        <f t="shared" si="56"/>
        <v/>
      </c>
      <c r="P1603" s="187" t="e">
        <f t="shared" si="57"/>
        <v>#VALUE!</v>
      </c>
      <c r="Q1603" s="192"/>
      <c r="R1603" s="193"/>
      <c r="S1603" s="194"/>
      <c r="T1603" s="195"/>
      <c r="U1603" s="196"/>
      <c r="V1603" s="197"/>
      <c r="W1603" s="197"/>
    </row>
    <row r="1604" spans="1:23" x14ac:dyDescent="0.25">
      <c r="A1604" s="172"/>
      <c r="B1604" s="189"/>
      <c r="E1604" s="189"/>
      <c r="F1604" s="174"/>
      <c r="G1604" s="174"/>
      <c r="H1604" s="174"/>
      <c r="I1604" s="189"/>
      <c r="J1604" s="174"/>
      <c r="L1604" s="190"/>
      <c r="M1604" s="176"/>
      <c r="N1604" s="177"/>
      <c r="O1604" s="177" t="str">
        <f t="shared" si="56"/>
        <v/>
      </c>
      <c r="P1604" s="187" t="e">
        <f t="shared" si="57"/>
        <v>#VALUE!</v>
      </c>
      <c r="Q1604" s="192"/>
      <c r="R1604" s="193"/>
      <c r="S1604" s="194"/>
      <c r="T1604" s="195"/>
      <c r="U1604" s="196"/>
      <c r="V1604" s="197"/>
      <c r="W1604" s="197"/>
    </row>
    <row r="1605" spans="1:23" x14ac:dyDescent="0.25">
      <c r="A1605" s="172"/>
      <c r="B1605" s="189"/>
      <c r="E1605" s="189"/>
      <c r="F1605" s="174"/>
      <c r="G1605" s="174"/>
      <c r="H1605" s="174"/>
      <c r="I1605" s="189"/>
      <c r="J1605" s="174"/>
      <c r="L1605" s="190"/>
      <c r="M1605" s="176"/>
      <c r="N1605" s="177"/>
      <c r="O1605" s="177" t="str">
        <f t="shared" si="56"/>
        <v/>
      </c>
      <c r="P1605" s="187" t="e">
        <f t="shared" si="57"/>
        <v>#VALUE!</v>
      </c>
      <c r="Q1605" s="192"/>
      <c r="R1605" s="193"/>
      <c r="S1605" s="194"/>
      <c r="T1605" s="195"/>
      <c r="U1605" s="196"/>
      <c r="V1605" s="197"/>
      <c r="W1605" s="197"/>
    </row>
    <row r="1606" spans="1:23" x14ac:dyDescent="0.25">
      <c r="A1606" s="172"/>
      <c r="B1606" s="189"/>
      <c r="E1606" s="189"/>
      <c r="F1606" s="174"/>
      <c r="G1606" s="174"/>
      <c r="H1606" s="174"/>
      <c r="I1606" s="189"/>
      <c r="J1606" s="174"/>
      <c r="L1606" s="190"/>
      <c r="M1606" s="176"/>
      <c r="N1606" s="177"/>
      <c r="O1606" s="177" t="str">
        <f t="shared" si="56"/>
        <v/>
      </c>
      <c r="P1606" s="187" t="e">
        <f t="shared" si="57"/>
        <v>#VALUE!</v>
      </c>
      <c r="Q1606" s="192"/>
      <c r="R1606" s="193"/>
      <c r="S1606" s="194"/>
      <c r="T1606" s="195"/>
      <c r="U1606" s="196"/>
      <c r="V1606" s="197"/>
      <c r="W1606" s="197"/>
    </row>
    <row r="1607" spans="1:23" x14ac:dyDescent="0.25">
      <c r="A1607" s="172"/>
      <c r="F1607" s="174"/>
      <c r="G1607" s="174"/>
      <c r="H1607" s="174"/>
      <c r="J1607" s="174"/>
      <c r="L1607" s="190"/>
      <c r="M1607" s="176"/>
      <c r="N1607" s="177"/>
      <c r="O1607" s="177" t="str">
        <f t="shared" si="56"/>
        <v/>
      </c>
      <c r="P1607" s="187" t="e">
        <f t="shared" si="57"/>
        <v>#VALUE!</v>
      </c>
      <c r="Q1607" s="192"/>
      <c r="R1607" s="193"/>
      <c r="S1607" s="194"/>
      <c r="T1607" s="195"/>
      <c r="U1607" s="196"/>
      <c r="V1607" s="197"/>
      <c r="W1607" s="197"/>
    </row>
    <row r="1608" spans="1:23" x14ac:dyDescent="0.25">
      <c r="A1608" s="172"/>
      <c r="F1608" s="174"/>
      <c r="G1608" s="174"/>
      <c r="H1608" s="174"/>
      <c r="J1608" s="174"/>
      <c r="L1608" s="190"/>
      <c r="M1608" s="176"/>
      <c r="N1608" s="177"/>
      <c r="O1608" s="177" t="str">
        <f t="shared" si="56"/>
        <v/>
      </c>
      <c r="P1608" s="187" t="e">
        <f t="shared" si="57"/>
        <v>#VALUE!</v>
      </c>
      <c r="Q1608" s="192"/>
      <c r="R1608" s="193"/>
      <c r="S1608" s="194"/>
      <c r="T1608" s="195"/>
      <c r="U1608" s="196"/>
      <c r="V1608" s="197"/>
      <c r="W1608" s="197"/>
    </row>
    <row r="1609" spans="1:23" x14ac:dyDescent="0.25">
      <c r="A1609" s="172"/>
      <c r="F1609" s="174"/>
      <c r="G1609" s="174"/>
      <c r="H1609" s="174"/>
      <c r="J1609" s="174"/>
      <c r="L1609" s="190"/>
      <c r="M1609" s="176"/>
      <c r="N1609" s="177"/>
      <c r="O1609" s="177" t="str">
        <f t="shared" si="56"/>
        <v/>
      </c>
      <c r="P1609" s="187" t="e">
        <f t="shared" si="57"/>
        <v>#VALUE!</v>
      </c>
      <c r="Q1609" s="192"/>
      <c r="R1609" s="193"/>
      <c r="S1609" s="194"/>
      <c r="T1609" s="195"/>
      <c r="U1609" s="196"/>
      <c r="V1609" s="197"/>
      <c r="W1609" s="197"/>
    </row>
    <row r="1610" spans="1:23" x14ac:dyDescent="0.25">
      <c r="A1610" s="172"/>
      <c r="B1610" s="189"/>
      <c r="E1610" s="189"/>
      <c r="F1610" s="174"/>
      <c r="G1610" s="174"/>
      <c r="H1610" s="174"/>
      <c r="I1610" s="189"/>
      <c r="J1610" s="174"/>
      <c r="L1610" s="190"/>
      <c r="M1610" s="176"/>
      <c r="N1610" s="177"/>
      <c r="O1610" s="177" t="str">
        <f t="shared" si="56"/>
        <v/>
      </c>
      <c r="P1610" s="187" t="e">
        <f t="shared" si="57"/>
        <v>#VALUE!</v>
      </c>
      <c r="Q1610" s="192"/>
      <c r="R1610" s="193"/>
      <c r="S1610" s="194"/>
      <c r="T1610" s="195"/>
      <c r="U1610" s="196"/>
      <c r="V1610" s="197"/>
      <c r="W1610" s="197"/>
    </row>
    <row r="1611" spans="1:23" x14ac:dyDescent="0.25">
      <c r="A1611" s="172"/>
      <c r="F1611" s="174"/>
      <c r="G1611" s="174"/>
      <c r="H1611" s="174"/>
      <c r="J1611" s="174"/>
      <c r="L1611" s="190"/>
      <c r="M1611" s="176"/>
      <c r="N1611" s="177"/>
      <c r="O1611" s="177" t="str">
        <f t="shared" si="56"/>
        <v/>
      </c>
      <c r="P1611" s="187" t="e">
        <f t="shared" si="57"/>
        <v>#VALUE!</v>
      </c>
      <c r="Q1611" s="192"/>
      <c r="R1611" s="193"/>
      <c r="S1611" s="194"/>
      <c r="T1611" s="195"/>
      <c r="U1611" s="196"/>
      <c r="V1611" s="197"/>
      <c r="W1611" s="197"/>
    </row>
    <row r="1612" spans="1:23" x14ac:dyDescent="0.25">
      <c r="A1612" s="172"/>
      <c r="F1612" s="174"/>
      <c r="G1612" s="174"/>
      <c r="H1612" s="174"/>
      <c r="J1612" s="174"/>
      <c r="L1612" s="190"/>
      <c r="M1612" s="176"/>
      <c r="N1612" s="177"/>
      <c r="O1612" s="177" t="str">
        <f t="shared" si="56"/>
        <v/>
      </c>
      <c r="P1612" s="187" t="e">
        <f t="shared" si="57"/>
        <v>#VALUE!</v>
      </c>
      <c r="Q1612" s="192"/>
      <c r="R1612" s="193"/>
      <c r="S1612" s="194"/>
      <c r="T1612" s="195"/>
      <c r="U1612" s="196"/>
      <c r="V1612" s="197"/>
      <c r="W1612" s="197"/>
    </row>
    <row r="1613" spans="1:23" x14ac:dyDescent="0.25">
      <c r="A1613" s="172"/>
      <c r="B1613" s="189"/>
      <c r="E1613" s="189"/>
      <c r="F1613" s="174"/>
      <c r="G1613" s="174"/>
      <c r="H1613" s="174"/>
      <c r="I1613" s="189"/>
      <c r="J1613" s="174"/>
      <c r="L1613" s="190"/>
      <c r="M1613" s="176"/>
      <c r="N1613" s="177"/>
      <c r="O1613" s="177" t="str">
        <f t="shared" si="56"/>
        <v/>
      </c>
      <c r="P1613" s="187" t="e">
        <f t="shared" si="57"/>
        <v>#VALUE!</v>
      </c>
      <c r="Q1613" s="192"/>
      <c r="R1613" s="193"/>
      <c r="S1613" s="194"/>
      <c r="T1613" s="195"/>
      <c r="U1613" s="196"/>
      <c r="V1613" s="197"/>
      <c r="W1613" s="197"/>
    </row>
    <row r="1614" spans="1:23" x14ac:dyDescent="0.25">
      <c r="A1614" s="172"/>
      <c r="B1614" s="189"/>
      <c r="E1614" s="189"/>
      <c r="F1614" s="174"/>
      <c r="G1614" s="174"/>
      <c r="H1614" s="174"/>
      <c r="I1614" s="189"/>
      <c r="J1614" s="174"/>
      <c r="L1614" s="190"/>
      <c r="M1614" s="176"/>
      <c r="N1614" s="177"/>
      <c r="O1614" s="177" t="str">
        <f t="shared" si="56"/>
        <v/>
      </c>
      <c r="P1614" s="187" t="e">
        <f t="shared" si="57"/>
        <v>#VALUE!</v>
      </c>
      <c r="Q1614" s="192"/>
      <c r="R1614" s="193"/>
      <c r="S1614" s="194"/>
      <c r="T1614" s="195"/>
      <c r="U1614" s="196"/>
      <c r="V1614" s="197"/>
      <c r="W1614" s="197"/>
    </row>
    <row r="1615" spans="1:23" x14ac:dyDescent="0.25">
      <c r="A1615" s="172"/>
      <c r="B1615" s="189"/>
      <c r="E1615" s="189"/>
      <c r="F1615" s="174"/>
      <c r="G1615" s="174"/>
      <c r="H1615" s="174"/>
      <c r="I1615" s="189"/>
      <c r="J1615" s="174"/>
      <c r="L1615" s="190"/>
      <c r="M1615" s="176"/>
      <c r="N1615" s="177"/>
      <c r="O1615" s="177" t="str">
        <f t="shared" si="56"/>
        <v/>
      </c>
      <c r="P1615" s="187" t="e">
        <f t="shared" si="57"/>
        <v>#VALUE!</v>
      </c>
      <c r="Q1615" s="192"/>
      <c r="R1615" s="193"/>
      <c r="S1615" s="194"/>
      <c r="T1615" s="195"/>
      <c r="U1615" s="196"/>
      <c r="V1615" s="197"/>
      <c r="W1615" s="197"/>
    </row>
    <row r="1616" spans="1:23" x14ac:dyDescent="0.25">
      <c r="A1616" s="172"/>
      <c r="F1616" s="174"/>
      <c r="G1616" s="174"/>
      <c r="H1616" s="174"/>
      <c r="J1616" s="174"/>
      <c r="L1616" s="190"/>
      <c r="M1616" s="176"/>
      <c r="N1616" s="177"/>
      <c r="O1616" s="177" t="str">
        <f t="shared" si="56"/>
        <v/>
      </c>
      <c r="P1616" s="187" t="e">
        <f t="shared" si="57"/>
        <v>#VALUE!</v>
      </c>
      <c r="Q1616" s="192"/>
      <c r="R1616" s="193"/>
      <c r="S1616" s="194"/>
      <c r="T1616" s="195"/>
      <c r="U1616" s="196"/>
      <c r="V1616" s="197"/>
      <c r="W1616" s="197"/>
    </row>
    <row r="1617" spans="1:23" x14ac:dyDescent="0.25">
      <c r="A1617" s="172"/>
      <c r="F1617" s="174"/>
      <c r="G1617" s="174"/>
      <c r="H1617" s="174"/>
      <c r="J1617" s="174"/>
      <c r="L1617" s="190"/>
      <c r="M1617" s="176"/>
      <c r="N1617" s="177"/>
      <c r="O1617" s="177" t="str">
        <f t="shared" si="56"/>
        <v/>
      </c>
      <c r="P1617" s="187" t="e">
        <f t="shared" si="57"/>
        <v>#VALUE!</v>
      </c>
      <c r="Q1617" s="192"/>
      <c r="R1617" s="193"/>
      <c r="S1617" s="194"/>
      <c r="T1617" s="195"/>
      <c r="U1617" s="196"/>
      <c r="V1617" s="197"/>
      <c r="W1617" s="197"/>
    </row>
    <row r="1618" spans="1:23" x14ac:dyDescent="0.25">
      <c r="A1618" s="172"/>
      <c r="B1618" s="189"/>
      <c r="E1618" s="189"/>
      <c r="F1618" s="174"/>
      <c r="G1618" s="174"/>
      <c r="H1618" s="174"/>
      <c r="I1618" s="189"/>
      <c r="J1618" s="174"/>
      <c r="L1618" s="190"/>
      <c r="M1618" s="176"/>
      <c r="N1618" s="177"/>
      <c r="O1618" s="177" t="str">
        <f t="shared" si="56"/>
        <v/>
      </c>
      <c r="P1618" s="187" t="e">
        <f t="shared" si="57"/>
        <v>#VALUE!</v>
      </c>
      <c r="Q1618" s="192"/>
      <c r="R1618" s="193"/>
      <c r="S1618" s="194"/>
      <c r="T1618" s="195"/>
      <c r="U1618" s="196"/>
      <c r="V1618" s="197"/>
      <c r="W1618" s="197"/>
    </row>
    <row r="1619" spans="1:23" x14ac:dyDescent="0.25">
      <c r="A1619" s="172"/>
      <c r="F1619" s="174"/>
      <c r="G1619" s="174"/>
      <c r="H1619" s="174"/>
      <c r="J1619" s="174"/>
      <c r="L1619" s="190"/>
      <c r="M1619" s="176"/>
      <c r="N1619" s="177"/>
      <c r="O1619" s="177" t="str">
        <f t="shared" si="56"/>
        <v/>
      </c>
      <c r="P1619" s="187" t="e">
        <f t="shared" si="57"/>
        <v>#VALUE!</v>
      </c>
      <c r="Q1619" s="192"/>
      <c r="R1619" s="193"/>
      <c r="S1619" s="194"/>
      <c r="T1619" s="195"/>
      <c r="U1619" s="196"/>
      <c r="V1619" s="197"/>
      <c r="W1619" s="197"/>
    </row>
    <row r="1620" spans="1:23" x14ac:dyDescent="0.25">
      <c r="A1620" s="172"/>
      <c r="B1620" s="189"/>
      <c r="E1620" s="189"/>
      <c r="F1620" s="174"/>
      <c r="G1620" s="174"/>
      <c r="H1620" s="174"/>
      <c r="I1620" s="189"/>
      <c r="J1620" s="174"/>
      <c r="L1620" s="190"/>
      <c r="M1620" s="176"/>
      <c r="N1620" s="177"/>
      <c r="O1620" s="177" t="str">
        <f t="shared" si="56"/>
        <v/>
      </c>
      <c r="P1620" s="187" t="e">
        <f t="shared" si="57"/>
        <v>#VALUE!</v>
      </c>
      <c r="Q1620" s="192"/>
      <c r="R1620" s="193"/>
      <c r="S1620" s="194"/>
      <c r="T1620" s="195"/>
      <c r="U1620" s="196"/>
      <c r="V1620" s="197"/>
      <c r="W1620" s="197"/>
    </row>
    <row r="1621" spans="1:23" x14ac:dyDescent="0.25">
      <c r="A1621" s="172"/>
      <c r="B1621" s="189"/>
      <c r="E1621" s="189"/>
      <c r="F1621" s="174"/>
      <c r="G1621" s="174"/>
      <c r="H1621" s="174"/>
      <c r="I1621" s="189"/>
      <c r="J1621" s="174"/>
      <c r="L1621" s="190"/>
      <c r="M1621" s="176"/>
      <c r="N1621" s="177"/>
      <c r="O1621" s="177" t="str">
        <f t="shared" si="56"/>
        <v/>
      </c>
      <c r="P1621" s="187" t="e">
        <f t="shared" si="57"/>
        <v>#VALUE!</v>
      </c>
      <c r="Q1621" s="192"/>
      <c r="R1621" s="193"/>
      <c r="S1621" s="194"/>
      <c r="T1621" s="195"/>
      <c r="U1621" s="196"/>
      <c r="V1621" s="197"/>
      <c r="W1621" s="197"/>
    </row>
    <row r="1622" spans="1:23" x14ac:dyDescent="0.25">
      <c r="A1622" s="172"/>
      <c r="B1622" s="189"/>
      <c r="E1622" s="189"/>
      <c r="F1622" s="174"/>
      <c r="G1622" s="174"/>
      <c r="H1622" s="174"/>
      <c r="I1622" s="189"/>
      <c r="J1622" s="174"/>
      <c r="L1622" s="190"/>
      <c r="M1622" s="176"/>
      <c r="N1622" s="177"/>
      <c r="O1622" s="177" t="str">
        <f t="shared" si="56"/>
        <v/>
      </c>
      <c r="P1622" s="187" t="e">
        <f t="shared" si="57"/>
        <v>#VALUE!</v>
      </c>
      <c r="Q1622" s="192"/>
      <c r="R1622" s="193"/>
      <c r="S1622" s="194"/>
      <c r="T1622" s="195"/>
      <c r="U1622" s="196"/>
      <c r="V1622" s="197"/>
      <c r="W1622" s="197"/>
    </row>
    <row r="1623" spans="1:23" x14ac:dyDescent="0.25">
      <c r="A1623" s="172"/>
      <c r="F1623" s="174"/>
      <c r="G1623" s="174"/>
      <c r="H1623" s="174"/>
      <c r="J1623" s="174"/>
      <c r="L1623" s="190"/>
      <c r="M1623" s="176"/>
      <c r="N1623" s="177"/>
      <c r="O1623" s="177" t="str">
        <f t="shared" si="56"/>
        <v/>
      </c>
      <c r="P1623" s="187" t="e">
        <f t="shared" si="57"/>
        <v>#VALUE!</v>
      </c>
      <c r="Q1623" s="192"/>
      <c r="R1623" s="193"/>
      <c r="S1623" s="194"/>
      <c r="T1623" s="195"/>
      <c r="U1623" s="196"/>
      <c r="V1623" s="197"/>
      <c r="W1623" s="197"/>
    </row>
    <row r="1624" spans="1:23" x14ac:dyDescent="0.25">
      <c r="A1624" s="172"/>
      <c r="F1624" s="174"/>
      <c r="G1624" s="174"/>
      <c r="H1624" s="174"/>
      <c r="J1624" s="174"/>
      <c r="L1624" s="190"/>
      <c r="M1624" s="176"/>
      <c r="N1624" s="177"/>
      <c r="O1624" s="177" t="str">
        <f t="shared" si="56"/>
        <v/>
      </c>
      <c r="P1624" s="187" t="e">
        <f t="shared" si="57"/>
        <v>#VALUE!</v>
      </c>
      <c r="Q1624" s="192"/>
      <c r="R1624" s="193"/>
      <c r="S1624" s="194"/>
      <c r="T1624" s="195"/>
      <c r="U1624" s="196"/>
      <c r="V1624" s="197"/>
      <c r="W1624" s="197"/>
    </row>
    <row r="1625" spans="1:23" x14ac:dyDescent="0.25">
      <c r="A1625" s="172"/>
      <c r="B1625" s="189"/>
      <c r="E1625" s="189"/>
      <c r="F1625" s="174"/>
      <c r="G1625" s="174"/>
      <c r="H1625" s="174"/>
      <c r="I1625" s="189"/>
      <c r="J1625" s="174"/>
      <c r="L1625" s="190"/>
      <c r="M1625" s="176"/>
      <c r="N1625" s="177"/>
      <c r="O1625" s="177" t="str">
        <f t="shared" si="56"/>
        <v/>
      </c>
      <c r="P1625" s="187" t="e">
        <f t="shared" si="57"/>
        <v>#VALUE!</v>
      </c>
      <c r="Q1625" s="192"/>
      <c r="R1625" s="193"/>
      <c r="S1625" s="194"/>
      <c r="T1625" s="195"/>
      <c r="U1625" s="196"/>
      <c r="V1625" s="197"/>
      <c r="W1625" s="197"/>
    </row>
    <row r="1626" spans="1:23" x14ac:dyDescent="0.25">
      <c r="A1626" s="172"/>
      <c r="B1626" s="189"/>
      <c r="E1626" s="189"/>
      <c r="F1626" s="174"/>
      <c r="G1626" s="174"/>
      <c r="H1626" s="174"/>
      <c r="I1626" s="189"/>
      <c r="J1626" s="174"/>
      <c r="L1626" s="190"/>
      <c r="M1626" s="176"/>
      <c r="N1626" s="177"/>
      <c r="O1626" s="177" t="str">
        <f t="shared" si="56"/>
        <v/>
      </c>
      <c r="P1626" s="187" t="e">
        <f t="shared" si="57"/>
        <v>#VALUE!</v>
      </c>
      <c r="Q1626" s="192"/>
      <c r="R1626" s="193"/>
      <c r="S1626" s="194"/>
      <c r="T1626" s="195"/>
      <c r="U1626" s="196"/>
      <c r="V1626" s="197"/>
      <c r="W1626" s="197"/>
    </row>
    <row r="1627" spans="1:23" x14ac:dyDescent="0.25">
      <c r="A1627" s="172"/>
      <c r="F1627" s="174"/>
      <c r="G1627" s="174"/>
      <c r="H1627" s="174"/>
      <c r="J1627" s="174"/>
      <c r="L1627" s="190"/>
      <c r="M1627" s="176"/>
      <c r="N1627" s="177"/>
      <c r="O1627" s="177" t="str">
        <f t="shared" si="56"/>
        <v/>
      </c>
      <c r="P1627" s="187" t="e">
        <f t="shared" si="57"/>
        <v>#VALUE!</v>
      </c>
      <c r="Q1627" s="192"/>
      <c r="R1627" s="193"/>
      <c r="S1627" s="194"/>
      <c r="T1627" s="195"/>
      <c r="U1627" s="196"/>
      <c r="V1627" s="197"/>
      <c r="W1627" s="197"/>
    </row>
    <row r="1628" spans="1:23" x14ac:dyDescent="0.25">
      <c r="A1628" s="172"/>
      <c r="B1628" s="189"/>
      <c r="E1628" s="189"/>
      <c r="F1628" s="174"/>
      <c r="G1628" s="174"/>
      <c r="H1628" s="174"/>
      <c r="I1628" s="189"/>
      <c r="J1628" s="174"/>
      <c r="L1628" s="190"/>
      <c r="M1628" s="176"/>
      <c r="N1628" s="177"/>
      <c r="O1628" s="177" t="str">
        <f t="shared" si="56"/>
        <v/>
      </c>
      <c r="P1628" s="187" t="e">
        <f t="shared" si="57"/>
        <v>#VALUE!</v>
      </c>
      <c r="Q1628" s="192"/>
      <c r="R1628" s="193"/>
      <c r="S1628" s="194"/>
      <c r="T1628" s="195"/>
      <c r="U1628" s="196"/>
      <c r="V1628" s="197"/>
      <c r="W1628" s="197"/>
    </row>
    <row r="1629" spans="1:23" x14ac:dyDescent="0.25">
      <c r="A1629" s="172"/>
      <c r="F1629" s="174"/>
      <c r="G1629" s="174"/>
      <c r="H1629" s="174"/>
      <c r="J1629" s="174"/>
      <c r="L1629" s="190"/>
      <c r="M1629" s="176"/>
      <c r="N1629" s="177"/>
      <c r="O1629" s="177" t="str">
        <f t="shared" si="56"/>
        <v/>
      </c>
      <c r="P1629" s="187" t="e">
        <f t="shared" si="57"/>
        <v>#VALUE!</v>
      </c>
      <c r="Q1629" s="192"/>
      <c r="R1629" s="193"/>
      <c r="S1629" s="194"/>
      <c r="T1629" s="195"/>
      <c r="U1629" s="196"/>
      <c r="V1629" s="197"/>
      <c r="W1629" s="197"/>
    </row>
    <row r="1630" spans="1:23" x14ac:dyDescent="0.25">
      <c r="A1630" s="172"/>
      <c r="B1630" s="189"/>
      <c r="E1630" s="189"/>
      <c r="F1630" s="174"/>
      <c r="G1630" s="174"/>
      <c r="H1630" s="174"/>
      <c r="I1630" s="189"/>
      <c r="J1630" s="174"/>
      <c r="L1630" s="190"/>
      <c r="M1630" s="176"/>
      <c r="N1630" s="177"/>
      <c r="O1630" s="177" t="str">
        <f t="shared" si="56"/>
        <v/>
      </c>
      <c r="P1630" s="187" t="e">
        <f t="shared" si="57"/>
        <v>#VALUE!</v>
      </c>
      <c r="Q1630" s="192"/>
      <c r="R1630" s="193"/>
      <c r="S1630" s="194"/>
      <c r="T1630" s="195"/>
      <c r="U1630" s="196"/>
      <c r="V1630" s="197"/>
      <c r="W1630" s="197"/>
    </row>
    <row r="1631" spans="1:23" x14ac:dyDescent="0.25">
      <c r="A1631" s="172"/>
      <c r="B1631" s="189"/>
      <c r="E1631" s="189"/>
      <c r="F1631" s="174"/>
      <c r="G1631" s="174"/>
      <c r="H1631" s="174"/>
      <c r="I1631" s="189"/>
      <c r="J1631" s="174"/>
      <c r="L1631" s="190"/>
      <c r="M1631" s="176"/>
      <c r="N1631" s="177"/>
      <c r="O1631" s="177" t="str">
        <f t="shared" si="56"/>
        <v/>
      </c>
      <c r="P1631" s="187" t="e">
        <f t="shared" si="57"/>
        <v>#VALUE!</v>
      </c>
      <c r="Q1631" s="192"/>
      <c r="R1631" s="193"/>
      <c r="S1631" s="194"/>
      <c r="T1631" s="195"/>
      <c r="U1631" s="196"/>
      <c r="V1631" s="197"/>
      <c r="W1631" s="197"/>
    </row>
    <row r="1632" spans="1:23" x14ac:dyDescent="0.25">
      <c r="A1632" s="172"/>
      <c r="B1632" s="189"/>
      <c r="E1632" s="189"/>
      <c r="F1632" s="174"/>
      <c r="G1632" s="174"/>
      <c r="H1632" s="174"/>
      <c r="I1632" s="189"/>
      <c r="J1632" s="174"/>
      <c r="L1632" s="190"/>
      <c r="M1632" s="176"/>
      <c r="N1632" s="177"/>
      <c r="O1632" s="177" t="str">
        <f t="shared" si="56"/>
        <v/>
      </c>
      <c r="P1632" s="187" t="e">
        <f t="shared" si="57"/>
        <v>#VALUE!</v>
      </c>
      <c r="Q1632" s="192"/>
      <c r="R1632" s="193"/>
      <c r="S1632" s="194"/>
      <c r="T1632" s="195"/>
      <c r="U1632" s="196"/>
      <c r="V1632" s="197"/>
      <c r="W1632" s="197"/>
    </row>
    <row r="1633" spans="1:23" x14ac:dyDescent="0.25">
      <c r="A1633" s="172"/>
      <c r="F1633" s="174"/>
      <c r="G1633" s="174"/>
      <c r="H1633" s="174"/>
      <c r="J1633" s="174"/>
      <c r="L1633" s="190"/>
      <c r="M1633" s="176"/>
      <c r="N1633" s="177"/>
      <c r="O1633" s="177" t="str">
        <f t="shared" si="56"/>
        <v/>
      </c>
      <c r="P1633" s="187" t="e">
        <f t="shared" si="57"/>
        <v>#VALUE!</v>
      </c>
      <c r="Q1633" s="192"/>
      <c r="R1633" s="193"/>
      <c r="S1633" s="194"/>
      <c r="T1633" s="195"/>
      <c r="U1633" s="196"/>
      <c r="V1633" s="197"/>
      <c r="W1633" s="197"/>
    </row>
    <row r="1634" spans="1:23" x14ac:dyDescent="0.25">
      <c r="A1634" s="172"/>
      <c r="F1634" s="174"/>
      <c r="G1634" s="174"/>
      <c r="H1634" s="174"/>
      <c r="J1634" s="174"/>
      <c r="L1634" s="190"/>
      <c r="M1634" s="176"/>
      <c r="N1634" s="177"/>
      <c r="O1634" s="177" t="str">
        <f t="shared" si="56"/>
        <v/>
      </c>
      <c r="P1634" s="187" t="e">
        <f t="shared" si="57"/>
        <v>#VALUE!</v>
      </c>
      <c r="Q1634" s="192"/>
      <c r="R1634" s="193"/>
      <c r="S1634" s="194"/>
      <c r="T1634" s="195"/>
      <c r="U1634" s="196"/>
      <c r="V1634" s="197"/>
      <c r="W1634" s="197"/>
    </row>
    <row r="1635" spans="1:23" x14ac:dyDescent="0.25">
      <c r="A1635" s="172"/>
      <c r="B1635" s="189"/>
      <c r="E1635" s="189"/>
      <c r="F1635" s="174"/>
      <c r="G1635" s="174"/>
      <c r="H1635" s="174"/>
      <c r="I1635" s="189"/>
      <c r="J1635" s="174"/>
      <c r="L1635" s="190"/>
      <c r="M1635" s="176"/>
      <c r="N1635" s="177"/>
      <c r="O1635" s="177" t="str">
        <f t="shared" si="56"/>
        <v/>
      </c>
      <c r="P1635" s="187" t="e">
        <f t="shared" si="57"/>
        <v>#VALUE!</v>
      </c>
      <c r="Q1635" s="192"/>
      <c r="R1635" s="193"/>
      <c r="S1635" s="194"/>
      <c r="T1635" s="195"/>
      <c r="U1635" s="196"/>
      <c r="V1635" s="197"/>
      <c r="W1635" s="197"/>
    </row>
    <row r="1636" spans="1:23" x14ac:dyDescent="0.25">
      <c r="A1636" s="172"/>
      <c r="B1636" s="189"/>
      <c r="E1636" s="189"/>
      <c r="F1636" s="174"/>
      <c r="G1636" s="174"/>
      <c r="H1636" s="174"/>
      <c r="I1636" s="189"/>
      <c r="J1636" s="174"/>
      <c r="L1636" s="190"/>
      <c r="M1636" s="176"/>
      <c r="N1636" s="177"/>
      <c r="O1636" s="177" t="str">
        <f t="shared" si="56"/>
        <v/>
      </c>
      <c r="P1636" s="187" t="e">
        <f t="shared" si="57"/>
        <v>#VALUE!</v>
      </c>
      <c r="Q1636" s="192"/>
      <c r="R1636" s="193"/>
      <c r="S1636" s="194"/>
      <c r="T1636" s="195"/>
      <c r="U1636" s="196"/>
      <c r="V1636" s="197"/>
      <c r="W1636" s="197"/>
    </row>
    <row r="1637" spans="1:23" x14ac:dyDescent="0.25">
      <c r="A1637" s="172"/>
      <c r="B1637" s="189"/>
      <c r="E1637" s="189"/>
      <c r="F1637" s="174"/>
      <c r="G1637" s="174"/>
      <c r="H1637" s="174"/>
      <c r="I1637" s="189"/>
      <c r="J1637" s="174"/>
      <c r="L1637" s="190"/>
      <c r="M1637" s="176"/>
      <c r="N1637" s="177"/>
      <c r="O1637" s="177" t="str">
        <f t="shared" si="56"/>
        <v/>
      </c>
      <c r="P1637" s="187" t="e">
        <f t="shared" si="57"/>
        <v>#VALUE!</v>
      </c>
      <c r="Q1637" s="192"/>
      <c r="R1637" s="193"/>
      <c r="S1637" s="194"/>
      <c r="T1637" s="195"/>
      <c r="U1637" s="196"/>
      <c r="V1637" s="197"/>
      <c r="W1637" s="197"/>
    </row>
    <row r="1638" spans="1:23" x14ac:dyDescent="0.25">
      <c r="A1638" s="172"/>
      <c r="B1638" s="189"/>
      <c r="E1638" s="189"/>
      <c r="F1638" s="174"/>
      <c r="G1638" s="174"/>
      <c r="H1638" s="174"/>
      <c r="I1638" s="189"/>
      <c r="J1638" s="174"/>
      <c r="L1638" s="190"/>
      <c r="M1638" s="176"/>
      <c r="N1638" s="177"/>
      <c r="O1638" s="177" t="str">
        <f t="shared" si="56"/>
        <v/>
      </c>
      <c r="P1638" s="187" t="e">
        <f t="shared" si="57"/>
        <v>#VALUE!</v>
      </c>
      <c r="Q1638" s="192"/>
      <c r="R1638" s="193"/>
      <c r="S1638" s="194"/>
      <c r="T1638" s="195"/>
      <c r="U1638" s="196"/>
      <c r="V1638" s="197"/>
      <c r="W1638" s="197"/>
    </row>
    <row r="1639" spans="1:23" x14ac:dyDescent="0.25">
      <c r="A1639" s="172"/>
      <c r="F1639" s="174"/>
      <c r="G1639" s="174"/>
      <c r="H1639" s="174"/>
      <c r="J1639" s="174"/>
      <c r="L1639" s="190"/>
      <c r="M1639" s="176"/>
      <c r="N1639" s="177"/>
      <c r="O1639" s="177" t="str">
        <f t="shared" si="56"/>
        <v/>
      </c>
      <c r="P1639" s="187" t="e">
        <f t="shared" si="57"/>
        <v>#VALUE!</v>
      </c>
      <c r="Q1639" s="192"/>
      <c r="R1639" s="193"/>
      <c r="S1639" s="194"/>
      <c r="T1639" s="195"/>
      <c r="U1639" s="196"/>
      <c r="V1639" s="197"/>
      <c r="W1639" s="197"/>
    </row>
    <row r="1640" spans="1:23" x14ac:dyDescent="0.25">
      <c r="A1640" s="172"/>
      <c r="B1640" s="189"/>
      <c r="E1640" s="189"/>
      <c r="F1640" s="174"/>
      <c r="G1640" s="174"/>
      <c r="H1640" s="174"/>
      <c r="I1640" s="189"/>
      <c r="J1640" s="174"/>
      <c r="L1640" s="190"/>
      <c r="M1640" s="176"/>
      <c r="N1640" s="177"/>
      <c r="O1640" s="177" t="str">
        <f t="shared" si="56"/>
        <v/>
      </c>
      <c r="P1640" s="187" t="e">
        <f t="shared" si="57"/>
        <v>#VALUE!</v>
      </c>
      <c r="Q1640" s="192"/>
      <c r="R1640" s="193"/>
      <c r="S1640" s="194"/>
      <c r="T1640" s="195"/>
      <c r="U1640" s="196"/>
      <c r="V1640" s="197"/>
      <c r="W1640" s="197"/>
    </row>
    <row r="1641" spans="1:23" x14ac:dyDescent="0.25">
      <c r="A1641" s="172"/>
      <c r="F1641" s="174"/>
      <c r="G1641" s="174"/>
      <c r="H1641" s="174"/>
      <c r="J1641" s="174"/>
      <c r="L1641" s="190"/>
      <c r="M1641" s="176"/>
      <c r="N1641" s="177"/>
      <c r="O1641" s="177" t="str">
        <f t="shared" si="56"/>
        <v/>
      </c>
      <c r="P1641" s="187" t="e">
        <f t="shared" si="57"/>
        <v>#VALUE!</v>
      </c>
      <c r="Q1641" s="192"/>
      <c r="R1641" s="193"/>
      <c r="S1641" s="194"/>
      <c r="T1641" s="195"/>
      <c r="U1641" s="196"/>
      <c r="V1641" s="197"/>
      <c r="W1641" s="197"/>
    </row>
    <row r="1642" spans="1:23" x14ac:dyDescent="0.25">
      <c r="A1642" s="172"/>
      <c r="B1642" s="189"/>
      <c r="E1642" s="189"/>
      <c r="F1642" s="174"/>
      <c r="G1642" s="174"/>
      <c r="H1642" s="174"/>
      <c r="I1642" s="189"/>
      <c r="J1642" s="174"/>
      <c r="L1642" s="190"/>
      <c r="M1642" s="176"/>
      <c r="N1642" s="177"/>
      <c r="O1642" s="177" t="str">
        <f t="shared" si="56"/>
        <v/>
      </c>
      <c r="P1642" s="187" t="e">
        <f t="shared" si="57"/>
        <v>#VALUE!</v>
      </c>
      <c r="Q1642" s="192"/>
      <c r="R1642" s="193"/>
      <c r="S1642" s="194"/>
      <c r="T1642" s="195"/>
      <c r="U1642" s="196"/>
      <c r="V1642" s="197"/>
      <c r="W1642" s="197"/>
    </row>
    <row r="1643" spans="1:23" x14ac:dyDescent="0.25">
      <c r="A1643" s="172"/>
      <c r="B1643" s="189"/>
      <c r="E1643" s="189"/>
      <c r="F1643" s="174"/>
      <c r="G1643" s="174"/>
      <c r="H1643" s="174"/>
      <c r="I1643" s="189"/>
      <c r="J1643" s="174"/>
      <c r="L1643" s="190"/>
      <c r="M1643" s="176"/>
      <c r="N1643" s="177"/>
      <c r="O1643" s="177" t="str">
        <f t="shared" si="56"/>
        <v/>
      </c>
      <c r="P1643" s="187" t="e">
        <f t="shared" si="57"/>
        <v>#VALUE!</v>
      </c>
      <c r="Q1643" s="192"/>
      <c r="R1643" s="193"/>
      <c r="S1643" s="194"/>
      <c r="T1643" s="195"/>
      <c r="U1643" s="196"/>
      <c r="V1643" s="197"/>
      <c r="W1643" s="197"/>
    </row>
    <row r="1644" spans="1:23" x14ac:dyDescent="0.25">
      <c r="A1644" s="172"/>
      <c r="B1644" s="189"/>
      <c r="E1644" s="189"/>
      <c r="F1644" s="174"/>
      <c r="G1644" s="174"/>
      <c r="H1644" s="174"/>
      <c r="I1644" s="189"/>
      <c r="J1644" s="174"/>
      <c r="L1644" s="190"/>
      <c r="M1644" s="176"/>
      <c r="N1644" s="177"/>
      <c r="O1644" s="177" t="str">
        <f t="shared" si="56"/>
        <v/>
      </c>
      <c r="P1644" s="187" t="e">
        <f t="shared" si="57"/>
        <v>#VALUE!</v>
      </c>
      <c r="Q1644" s="192"/>
      <c r="R1644" s="193"/>
      <c r="S1644" s="194"/>
      <c r="T1644" s="195"/>
      <c r="U1644" s="196"/>
      <c r="V1644" s="197"/>
      <c r="W1644" s="197"/>
    </row>
    <row r="1645" spans="1:23" x14ac:dyDescent="0.25">
      <c r="A1645" s="172"/>
      <c r="B1645" s="189"/>
      <c r="E1645" s="189"/>
      <c r="F1645" s="174"/>
      <c r="G1645" s="174"/>
      <c r="H1645" s="174"/>
      <c r="I1645" s="189"/>
      <c r="J1645" s="174"/>
      <c r="L1645" s="190"/>
      <c r="M1645" s="176"/>
      <c r="N1645" s="177"/>
      <c r="O1645" s="177" t="str">
        <f t="shared" si="56"/>
        <v/>
      </c>
      <c r="P1645" s="187" t="e">
        <f t="shared" si="57"/>
        <v>#VALUE!</v>
      </c>
      <c r="Q1645" s="192"/>
      <c r="R1645" s="193"/>
      <c r="S1645" s="194"/>
      <c r="T1645" s="195"/>
      <c r="U1645" s="196"/>
      <c r="V1645" s="197"/>
      <c r="W1645" s="197"/>
    </row>
    <row r="1646" spans="1:23" x14ac:dyDescent="0.25">
      <c r="A1646" s="172"/>
      <c r="F1646" s="174"/>
      <c r="G1646" s="174"/>
      <c r="H1646" s="174"/>
      <c r="J1646" s="174"/>
      <c r="L1646" s="190"/>
      <c r="M1646" s="176"/>
      <c r="N1646" s="177"/>
      <c r="O1646" s="177" t="str">
        <f t="shared" si="56"/>
        <v/>
      </c>
      <c r="P1646" s="187" t="e">
        <f t="shared" si="57"/>
        <v>#VALUE!</v>
      </c>
      <c r="Q1646" s="192"/>
      <c r="R1646" s="193"/>
      <c r="S1646" s="194"/>
      <c r="T1646" s="195"/>
      <c r="U1646" s="196"/>
      <c r="V1646" s="197"/>
      <c r="W1646" s="197"/>
    </row>
    <row r="1647" spans="1:23" x14ac:dyDescent="0.25">
      <c r="A1647" s="172"/>
      <c r="B1647" s="189"/>
      <c r="E1647" s="189"/>
      <c r="F1647" s="174"/>
      <c r="G1647" s="174"/>
      <c r="H1647" s="174"/>
      <c r="I1647" s="189"/>
      <c r="J1647" s="174"/>
      <c r="L1647" s="190"/>
      <c r="M1647" s="176"/>
      <c r="N1647" s="177"/>
      <c r="O1647" s="177" t="str">
        <f t="shared" si="56"/>
        <v/>
      </c>
      <c r="P1647" s="187" t="e">
        <f t="shared" si="57"/>
        <v>#VALUE!</v>
      </c>
      <c r="Q1647" s="192"/>
      <c r="R1647" s="193"/>
      <c r="S1647" s="194"/>
      <c r="T1647" s="195"/>
      <c r="U1647" s="196"/>
      <c r="V1647" s="197"/>
      <c r="W1647" s="197"/>
    </row>
    <row r="1648" spans="1:23" x14ac:dyDescent="0.25">
      <c r="A1648" s="172"/>
      <c r="F1648" s="174"/>
      <c r="G1648" s="174"/>
      <c r="H1648" s="174"/>
      <c r="J1648" s="174"/>
      <c r="L1648" s="190"/>
      <c r="M1648" s="176"/>
      <c r="N1648" s="177"/>
      <c r="O1648" s="177" t="str">
        <f t="shared" si="56"/>
        <v/>
      </c>
      <c r="P1648" s="187" t="e">
        <f t="shared" si="57"/>
        <v>#VALUE!</v>
      </c>
      <c r="Q1648" s="192"/>
      <c r="R1648" s="193"/>
      <c r="S1648" s="194"/>
      <c r="T1648" s="195"/>
      <c r="U1648" s="196"/>
      <c r="V1648" s="197"/>
      <c r="W1648" s="197"/>
    </row>
    <row r="1649" spans="1:23" x14ac:dyDescent="0.25">
      <c r="A1649" s="172"/>
      <c r="B1649" s="189"/>
      <c r="E1649" s="189"/>
      <c r="F1649" s="174"/>
      <c r="G1649" s="174"/>
      <c r="H1649" s="174"/>
      <c r="I1649" s="189"/>
      <c r="J1649" s="174"/>
      <c r="L1649" s="190"/>
      <c r="M1649" s="176"/>
      <c r="N1649" s="177"/>
      <c r="O1649" s="177" t="str">
        <f t="shared" si="56"/>
        <v/>
      </c>
      <c r="P1649" s="187" t="e">
        <f t="shared" si="57"/>
        <v>#VALUE!</v>
      </c>
      <c r="Q1649" s="192"/>
      <c r="R1649" s="193"/>
      <c r="S1649" s="194"/>
      <c r="T1649" s="195"/>
      <c r="U1649" s="196"/>
      <c r="V1649" s="197"/>
      <c r="W1649" s="197"/>
    </row>
    <row r="1650" spans="1:23" x14ac:dyDescent="0.25">
      <c r="A1650" s="172"/>
      <c r="F1650" s="174"/>
      <c r="G1650" s="174"/>
      <c r="H1650" s="174"/>
      <c r="J1650" s="174"/>
      <c r="L1650" s="190"/>
      <c r="M1650" s="176"/>
      <c r="N1650" s="177"/>
      <c r="O1650" s="177" t="str">
        <f t="shared" si="56"/>
        <v/>
      </c>
      <c r="P1650" s="187" t="e">
        <f t="shared" si="57"/>
        <v>#VALUE!</v>
      </c>
      <c r="Q1650" s="192"/>
      <c r="R1650" s="193"/>
      <c r="S1650" s="194"/>
      <c r="T1650" s="195"/>
      <c r="U1650" s="196"/>
      <c r="V1650" s="197"/>
      <c r="W1650" s="197"/>
    </row>
    <row r="1651" spans="1:23" x14ac:dyDescent="0.25">
      <c r="A1651" s="172"/>
      <c r="B1651" s="189"/>
      <c r="E1651" s="189"/>
      <c r="F1651" s="174"/>
      <c r="G1651" s="174"/>
      <c r="H1651" s="174"/>
      <c r="I1651" s="189"/>
      <c r="J1651" s="174"/>
      <c r="L1651" s="190"/>
      <c r="M1651" s="176"/>
      <c r="N1651" s="177"/>
      <c r="O1651" s="177" t="str">
        <f t="shared" si="56"/>
        <v/>
      </c>
      <c r="P1651" s="187" t="e">
        <f t="shared" si="57"/>
        <v>#VALUE!</v>
      </c>
      <c r="Q1651" s="192"/>
      <c r="R1651" s="193"/>
      <c r="S1651" s="194"/>
      <c r="T1651" s="195"/>
      <c r="U1651" s="196"/>
      <c r="V1651" s="197"/>
      <c r="W1651" s="197"/>
    </row>
    <row r="1652" spans="1:23" x14ac:dyDescent="0.25">
      <c r="A1652" s="172"/>
      <c r="B1652" s="189"/>
      <c r="E1652" s="189"/>
      <c r="F1652" s="174"/>
      <c r="G1652" s="174"/>
      <c r="H1652" s="174"/>
      <c r="I1652" s="189"/>
      <c r="J1652" s="174"/>
      <c r="L1652" s="190"/>
      <c r="M1652" s="176"/>
      <c r="N1652" s="177"/>
      <c r="O1652" s="177" t="str">
        <f t="shared" si="56"/>
        <v/>
      </c>
      <c r="P1652" s="187" t="e">
        <f t="shared" si="57"/>
        <v>#VALUE!</v>
      </c>
      <c r="Q1652" s="192"/>
      <c r="R1652" s="193"/>
      <c r="S1652" s="194"/>
      <c r="T1652" s="195"/>
      <c r="U1652" s="196"/>
      <c r="V1652" s="197"/>
      <c r="W1652" s="197"/>
    </row>
    <row r="1653" spans="1:23" x14ac:dyDescent="0.25">
      <c r="A1653" s="172"/>
      <c r="B1653" s="189"/>
      <c r="E1653" s="189"/>
      <c r="F1653" s="174"/>
      <c r="G1653" s="174"/>
      <c r="H1653" s="174"/>
      <c r="I1653" s="189"/>
      <c r="J1653" s="174"/>
      <c r="L1653" s="190"/>
      <c r="M1653" s="176"/>
      <c r="N1653" s="177"/>
      <c r="O1653" s="177" t="str">
        <f t="shared" si="56"/>
        <v/>
      </c>
      <c r="P1653" s="187" t="e">
        <f t="shared" si="57"/>
        <v>#VALUE!</v>
      </c>
      <c r="Q1653" s="192"/>
      <c r="R1653" s="193"/>
      <c r="S1653" s="194"/>
      <c r="T1653" s="195"/>
      <c r="U1653" s="196"/>
      <c r="V1653" s="197"/>
      <c r="W1653" s="197"/>
    </row>
    <row r="1654" spans="1:23" x14ac:dyDescent="0.25">
      <c r="A1654" s="172"/>
      <c r="B1654" s="189"/>
      <c r="E1654" s="189"/>
      <c r="F1654" s="174"/>
      <c r="G1654" s="174"/>
      <c r="H1654" s="174"/>
      <c r="I1654" s="189"/>
      <c r="J1654" s="174"/>
      <c r="L1654" s="190"/>
      <c r="M1654" s="176"/>
      <c r="N1654" s="177"/>
      <c r="O1654" s="177" t="str">
        <f t="shared" si="56"/>
        <v/>
      </c>
      <c r="P1654" s="187" t="e">
        <f t="shared" si="57"/>
        <v>#VALUE!</v>
      </c>
      <c r="Q1654" s="192"/>
      <c r="R1654" s="193"/>
      <c r="S1654" s="194"/>
      <c r="T1654" s="195"/>
      <c r="U1654" s="196"/>
      <c r="V1654" s="197"/>
      <c r="W1654" s="197"/>
    </row>
  </sheetData>
  <autoFilter ref="A1:P1654"/>
  <conditionalFormatting sqref="M1:Q1 M1409:M1440">
    <cfRule type="cellIs" dxfId="70" priority="70" operator="equal">
      <formula>"Y"</formula>
    </cfRule>
  </conditionalFormatting>
  <conditionalFormatting sqref="A1409:N1440 O584:O675 O1278:O1654">
    <cfRule type="expression" dxfId="69" priority="71">
      <formula>$M584="Y"</formula>
    </cfRule>
  </conditionalFormatting>
  <conditionalFormatting sqref="N584:N633">
    <cfRule type="expression" dxfId="68" priority="69">
      <formula>$M584="Y"</formula>
    </cfRule>
  </conditionalFormatting>
  <conditionalFormatting sqref="N634:N674">
    <cfRule type="expression" dxfId="67" priority="68">
      <formula>$M634="Y"</formula>
    </cfRule>
  </conditionalFormatting>
  <conditionalFormatting sqref="N675">
    <cfRule type="expression" dxfId="66" priority="67">
      <formula>$M675="Y"</formula>
    </cfRule>
  </conditionalFormatting>
  <conditionalFormatting sqref="M1278:M1279">
    <cfRule type="cellIs" dxfId="65" priority="66" operator="equal">
      <formula>"Y"</formula>
    </cfRule>
  </conditionalFormatting>
  <conditionalFormatting sqref="A1278:N1279">
    <cfRule type="expression" dxfId="64" priority="65">
      <formula>$M1278="Y"</formula>
    </cfRule>
  </conditionalFormatting>
  <conditionalFormatting sqref="M1280:M1348">
    <cfRule type="cellIs" dxfId="63" priority="64" operator="equal">
      <formula>"Y"</formula>
    </cfRule>
  </conditionalFormatting>
  <conditionalFormatting sqref="L1340:N1348 A1280:N1339">
    <cfRule type="expression" dxfId="62" priority="63">
      <formula>$M1280="Y"</formula>
    </cfRule>
  </conditionalFormatting>
  <conditionalFormatting sqref="M1349:M1408">
    <cfRule type="cellIs" dxfId="61" priority="62" operator="equal">
      <formula>"Y"</formula>
    </cfRule>
  </conditionalFormatting>
  <conditionalFormatting sqref="A1349:N1408">
    <cfRule type="expression" dxfId="60" priority="61">
      <formula>$M1349="Y"</formula>
    </cfRule>
  </conditionalFormatting>
  <conditionalFormatting sqref="M1441:M1480">
    <cfRule type="cellIs" dxfId="59" priority="60" operator="equal">
      <formula>"Y"</formula>
    </cfRule>
  </conditionalFormatting>
  <conditionalFormatting sqref="A1441:N1480">
    <cfRule type="expression" dxfId="58" priority="59">
      <formula>$M1441="Y"</formula>
    </cfRule>
  </conditionalFormatting>
  <conditionalFormatting sqref="M1481:M1536">
    <cfRule type="cellIs" dxfId="57" priority="58" operator="equal">
      <formula>"Y"</formula>
    </cfRule>
  </conditionalFormatting>
  <conditionalFormatting sqref="L1521:N1536 A1481:N1520">
    <cfRule type="expression" dxfId="56" priority="57">
      <formula>$M1481="Y"</formula>
    </cfRule>
  </conditionalFormatting>
  <conditionalFormatting sqref="M1537:M1597">
    <cfRule type="cellIs" dxfId="55" priority="56" operator="equal">
      <formula>"Y"</formula>
    </cfRule>
  </conditionalFormatting>
  <conditionalFormatting sqref="A1537:N1597">
    <cfRule type="expression" dxfId="54" priority="55">
      <formula>$M1537="Y"</formula>
    </cfRule>
  </conditionalFormatting>
  <conditionalFormatting sqref="M1598:M1654">
    <cfRule type="cellIs" dxfId="53" priority="54" operator="equal">
      <formula>"Y"</formula>
    </cfRule>
  </conditionalFormatting>
  <conditionalFormatting sqref="A1598:N1598 L1638:L1647 A1599:L1637 L1648:N1654 M1599:N1647">
    <cfRule type="expression" dxfId="52" priority="53">
      <formula>$M1598="Y"</formula>
    </cfRule>
  </conditionalFormatting>
  <conditionalFormatting sqref="M2">
    <cfRule type="cellIs" dxfId="51" priority="52" operator="equal">
      <formula>"Y"</formula>
    </cfRule>
  </conditionalFormatting>
  <conditionalFormatting sqref="A2:N2">
    <cfRule type="expression" dxfId="50" priority="51">
      <formula>$M2="Y"</formula>
    </cfRule>
  </conditionalFormatting>
  <conditionalFormatting sqref="M287:M335">
    <cfRule type="cellIs" dxfId="49" priority="50" operator="equal">
      <formula>"Y"</formula>
    </cfRule>
  </conditionalFormatting>
  <conditionalFormatting sqref="A287:N335">
    <cfRule type="expression" dxfId="48" priority="49">
      <formula>$M287="Y"</formula>
    </cfRule>
  </conditionalFormatting>
  <conditionalFormatting sqref="M336:M397">
    <cfRule type="cellIs" dxfId="47" priority="48" operator="equal">
      <formula>"Y"</formula>
    </cfRule>
  </conditionalFormatting>
  <conditionalFormatting sqref="A336:N397">
    <cfRule type="expression" dxfId="46" priority="47">
      <formula>$M336="Y"</formula>
    </cfRule>
  </conditionalFormatting>
  <conditionalFormatting sqref="M398:M460">
    <cfRule type="cellIs" dxfId="45" priority="46" operator="equal">
      <formula>"Y"</formula>
    </cfRule>
  </conditionalFormatting>
  <conditionalFormatting sqref="A398:N460">
    <cfRule type="expression" dxfId="44" priority="45">
      <formula>$M398="Y"</formula>
    </cfRule>
  </conditionalFormatting>
  <conditionalFormatting sqref="M461:M505">
    <cfRule type="cellIs" dxfId="43" priority="44" operator="equal">
      <formula>"Y"</formula>
    </cfRule>
  </conditionalFormatting>
  <conditionalFormatting sqref="A461:N505">
    <cfRule type="expression" dxfId="42" priority="43">
      <formula>$M461="Y"</formula>
    </cfRule>
  </conditionalFormatting>
  <conditionalFormatting sqref="M506:M542">
    <cfRule type="cellIs" dxfId="41" priority="42" operator="equal">
      <formula>"Y"</formula>
    </cfRule>
  </conditionalFormatting>
  <conditionalFormatting sqref="A506:N542">
    <cfRule type="expression" dxfId="40" priority="41">
      <formula>$M506="Y"</formula>
    </cfRule>
  </conditionalFormatting>
  <conditionalFormatting sqref="M543:M583">
    <cfRule type="cellIs" dxfId="39" priority="40" operator="equal">
      <formula>"Y"</formula>
    </cfRule>
  </conditionalFormatting>
  <conditionalFormatting sqref="A543:N583">
    <cfRule type="expression" dxfId="38" priority="39">
      <formula>$M543="Y"</formula>
    </cfRule>
  </conditionalFormatting>
  <conditionalFormatting sqref="M584:M634">
    <cfRule type="cellIs" dxfId="37" priority="38" operator="equal">
      <formula>"Y"</formula>
    </cfRule>
  </conditionalFormatting>
  <conditionalFormatting sqref="A584:M634">
    <cfRule type="expression" dxfId="36" priority="37">
      <formula>$M584="Y"</formula>
    </cfRule>
  </conditionalFormatting>
  <conditionalFormatting sqref="M635:M675">
    <cfRule type="cellIs" dxfId="35" priority="36" operator="equal">
      <formula>"Y"</formula>
    </cfRule>
  </conditionalFormatting>
  <conditionalFormatting sqref="A635:M675">
    <cfRule type="expression" dxfId="34" priority="35">
      <formula>$M635="Y"</formula>
    </cfRule>
  </conditionalFormatting>
  <conditionalFormatting sqref="M676:M740">
    <cfRule type="cellIs" dxfId="33" priority="34" operator="equal">
      <formula>"Y"</formula>
    </cfRule>
  </conditionalFormatting>
  <conditionalFormatting sqref="A676:N740">
    <cfRule type="expression" dxfId="32" priority="33">
      <formula>$M676="Y"</formula>
    </cfRule>
  </conditionalFormatting>
  <conditionalFormatting sqref="M741:M823">
    <cfRule type="cellIs" dxfId="31" priority="32" operator="equal">
      <formula>"Y"</formula>
    </cfRule>
  </conditionalFormatting>
  <conditionalFormatting sqref="A741:N823">
    <cfRule type="expression" dxfId="30" priority="31">
      <formula>$M741="Y"</formula>
    </cfRule>
  </conditionalFormatting>
  <conditionalFormatting sqref="M824:M877">
    <cfRule type="cellIs" dxfId="29" priority="30" operator="equal">
      <formula>"Y"</formula>
    </cfRule>
  </conditionalFormatting>
  <conditionalFormatting sqref="A824:N877">
    <cfRule type="expression" dxfId="28" priority="29">
      <formula>$M824="Y"</formula>
    </cfRule>
  </conditionalFormatting>
  <conditionalFormatting sqref="M878:M944">
    <cfRule type="cellIs" dxfId="27" priority="28" operator="equal">
      <formula>"Y"</formula>
    </cfRule>
  </conditionalFormatting>
  <conditionalFormatting sqref="A878:N944">
    <cfRule type="expression" dxfId="26" priority="27">
      <formula>$M878="Y"</formula>
    </cfRule>
  </conditionalFormatting>
  <conditionalFormatting sqref="M945:M993">
    <cfRule type="cellIs" dxfId="25" priority="26" operator="equal">
      <formula>"Y"</formula>
    </cfRule>
  </conditionalFormatting>
  <conditionalFormatting sqref="A945:N993">
    <cfRule type="expression" dxfId="24" priority="25">
      <formula>$M945="Y"</formula>
    </cfRule>
  </conditionalFormatting>
  <conditionalFormatting sqref="M994:M1043">
    <cfRule type="cellIs" dxfId="23" priority="24" operator="equal">
      <formula>"Y"</formula>
    </cfRule>
  </conditionalFormatting>
  <conditionalFormatting sqref="A994:N1043">
    <cfRule type="expression" dxfId="22" priority="23">
      <formula>$M994="Y"</formula>
    </cfRule>
  </conditionalFormatting>
  <conditionalFormatting sqref="M1044:M1105">
    <cfRule type="cellIs" dxfId="21" priority="22" operator="equal">
      <formula>"Y"</formula>
    </cfRule>
  </conditionalFormatting>
  <conditionalFormatting sqref="A1044:N1105">
    <cfRule type="expression" dxfId="20" priority="21">
      <formula>$M1044="Y"</formula>
    </cfRule>
  </conditionalFormatting>
  <conditionalFormatting sqref="M1106:M1151">
    <cfRule type="cellIs" dxfId="19" priority="20" operator="equal">
      <formula>"Y"</formula>
    </cfRule>
  </conditionalFormatting>
  <conditionalFormatting sqref="A1106:N1151">
    <cfRule type="expression" dxfId="18" priority="19">
      <formula>$M1106="Y"</formula>
    </cfRule>
  </conditionalFormatting>
  <conditionalFormatting sqref="M1152:M1185">
    <cfRule type="cellIs" dxfId="17" priority="18" operator="equal">
      <formula>"Y"</formula>
    </cfRule>
  </conditionalFormatting>
  <conditionalFormatting sqref="A1152:N1185">
    <cfRule type="expression" dxfId="16" priority="17">
      <formula>$M1152="Y"</formula>
    </cfRule>
  </conditionalFormatting>
  <conditionalFormatting sqref="M1186:M1229">
    <cfRule type="cellIs" dxfId="15" priority="16" operator="equal">
      <formula>"Y"</formula>
    </cfRule>
  </conditionalFormatting>
  <conditionalFormatting sqref="A1186:N1229">
    <cfRule type="expression" dxfId="14" priority="15">
      <formula>$M1186="Y"</formula>
    </cfRule>
  </conditionalFormatting>
  <conditionalFormatting sqref="M1230:M1277">
    <cfRule type="cellIs" dxfId="13" priority="14" operator="equal">
      <formula>"Y"</formula>
    </cfRule>
  </conditionalFormatting>
  <conditionalFormatting sqref="A1230:N1277">
    <cfRule type="expression" dxfId="12" priority="13">
      <formula>$M1230="Y"</formula>
    </cfRule>
  </conditionalFormatting>
  <conditionalFormatting sqref="M3:M52">
    <cfRule type="cellIs" dxfId="11" priority="12" operator="equal">
      <formula>"Y"</formula>
    </cfRule>
  </conditionalFormatting>
  <conditionalFormatting sqref="A3:N52">
    <cfRule type="expression" dxfId="10" priority="11">
      <formula>$M3="Y"</formula>
    </cfRule>
  </conditionalFormatting>
  <conditionalFormatting sqref="M53:M114">
    <cfRule type="cellIs" dxfId="9" priority="10" operator="equal">
      <formula>"Y"</formula>
    </cfRule>
  </conditionalFormatting>
  <conditionalFormatting sqref="A53:N114">
    <cfRule type="expression" dxfId="8" priority="9">
      <formula>$M53="Y"</formula>
    </cfRule>
  </conditionalFormatting>
  <conditionalFormatting sqref="M115:M160">
    <cfRule type="cellIs" dxfId="7" priority="8" operator="equal">
      <formula>"Y"</formula>
    </cfRule>
  </conditionalFormatting>
  <conditionalFormatting sqref="A115:N160">
    <cfRule type="expression" dxfId="6" priority="7">
      <formula>$M115="Y"</formula>
    </cfRule>
  </conditionalFormatting>
  <conditionalFormatting sqref="M161:M194">
    <cfRule type="cellIs" dxfId="5" priority="6" operator="equal">
      <formula>"Y"</formula>
    </cfRule>
  </conditionalFormatting>
  <conditionalFormatting sqref="A161:N194">
    <cfRule type="expression" dxfId="4" priority="5">
      <formula>$M161="Y"</formula>
    </cfRule>
  </conditionalFormatting>
  <conditionalFormatting sqref="M195:M238">
    <cfRule type="cellIs" dxfId="3" priority="4" operator="equal">
      <formula>"Y"</formula>
    </cfRule>
  </conditionalFormatting>
  <conditionalFormatting sqref="A195:N238">
    <cfRule type="expression" dxfId="2" priority="3">
      <formula>$M195="Y"</formula>
    </cfRule>
  </conditionalFormatting>
  <conditionalFormatting sqref="M239:M286">
    <cfRule type="cellIs" dxfId="1" priority="2" operator="equal">
      <formula>"Y"</formula>
    </cfRule>
  </conditionalFormatting>
  <conditionalFormatting sqref="A239:N286">
    <cfRule type="expression" dxfId="0" priority="1">
      <formula>$M239="Y"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1437"/>
  <sheetViews>
    <sheetView workbookViewId="0">
      <selection sqref="A1:E14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42613.034502314818</v>
      </c>
      <c r="B1" s="23" t="s">
        <v>200</v>
      </c>
      <c r="C1" s="23" t="s">
        <v>752</v>
      </c>
      <c r="D1" s="23">
        <v>1230000</v>
      </c>
      <c r="E1" s="23" t="s">
        <v>149</v>
      </c>
      <c r="F1" s="23" t="str">
        <f>B1</f>
        <v>rtdc.l.rtdc.4019:itc</v>
      </c>
      <c r="G1" s="8">
        <f>A1</f>
        <v>42613.034502314818</v>
      </c>
    </row>
    <row r="2" spans="1:7" x14ac:dyDescent="0.25">
      <c r="A2" s="8">
        <v>42613.048738425925</v>
      </c>
      <c r="B2" s="23" t="s">
        <v>726</v>
      </c>
      <c r="C2" s="23" t="s">
        <v>753</v>
      </c>
      <c r="D2" s="23">
        <v>1290000</v>
      </c>
      <c r="E2" s="23" t="s">
        <v>263</v>
      </c>
      <c r="F2" s="23" t="str">
        <f t="shared" ref="F2:F65" si="0">B2</f>
        <v>rtdc.l.rtdc.4040:itc</v>
      </c>
      <c r="G2" s="8">
        <f t="shared" ref="G2:G65" si="1">A2</f>
        <v>42613.048738425925</v>
      </c>
    </row>
    <row r="3" spans="1:7" x14ac:dyDescent="0.25">
      <c r="A3" s="8">
        <v>42613.058692129627</v>
      </c>
      <c r="B3" s="23" t="s">
        <v>245</v>
      </c>
      <c r="C3" s="23" t="s">
        <v>754</v>
      </c>
      <c r="D3" s="23">
        <v>1800000</v>
      </c>
      <c r="E3" s="23" t="s">
        <v>152</v>
      </c>
      <c r="F3" s="23" t="str">
        <f t="shared" si="0"/>
        <v>rtdc.l.rtdc.4017:itc</v>
      </c>
      <c r="G3" s="8">
        <f t="shared" si="1"/>
        <v>42613.058692129627</v>
      </c>
    </row>
    <row r="4" spans="1:7" x14ac:dyDescent="0.25">
      <c r="A4" s="8">
        <v>42613.068182870367</v>
      </c>
      <c r="B4" s="23" t="s">
        <v>201</v>
      </c>
      <c r="C4" s="23" t="s">
        <v>755</v>
      </c>
      <c r="D4" s="23">
        <v>1230000</v>
      </c>
      <c r="E4" s="23" t="s">
        <v>149</v>
      </c>
      <c r="F4" s="23" t="str">
        <f t="shared" si="0"/>
        <v>rtdc.l.rtdc.4020:itc</v>
      </c>
      <c r="G4" s="8">
        <f t="shared" si="1"/>
        <v>42613.068182870367</v>
      </c>
    </row>
    <row r="5" spans="1:7" x14ac:dyDescent="0.25">
      <c r="A5" s="8">
        <v>42613.078055555554</v>
      </c>
      <c r="B5" s="23" t="s">
        <v>151</v>
      </c>
      <c r="C5" s="23" t="s">
        <v>756</v>
      </c>
      <c r="D5" s="23">
        <v>780000</v>
      </c>
      <c r="E5" s="23" t="s">
        <v>757</v>
      </c>
      <c r="F5" s="23" t="str">
        <f t="shared" si="0"/>
        <v>rtdc.l.rtdc.4009:itc</v>
      </c>
      <c r="G5" s="8">
        <f t="shared" si="1"/>
        <v>42613.078055555554</v>
      </c>
    </row>
    <row r="6" spans="1:7" x14ac:dyDescent="0.25">
      <c r="A6" s="8">
        <v>42613.090324074074</v>
      </c>
      <c r="B6" s="23" t="s">
        <v>247</v>
      </c>
      <c r="C6" s="23" t="s">
        <v>758</v>
      </c>
      <c r="D6" s="23">
        <v>1800000</v>
      </c>
      <c r="E6" s="23" t="s">
        <v>152</v>
      </c>
      <c r="F6" s="23" t="str">
        <f t="shared" si="0"/>
        <v>rtdc.l.rtdc.4018:itc</v>
      </c>
      <c r="G6" s="8">
        <f t="shared" si="1"/>
        <v>42613.090324074074</v>
      </c>
    </row>
    <row r="7" spans="1:7" x14ac:dyDescent="0.25">
      <c r="A7" s="8">
        <v>42613.094849537039</v>
      </c>
      <c r="B7" s="23" t="s">
        <v>351</v>
      </c>
      <c r="C7" s="23" t="s">
        <v>717</v>
      </c>
      <c r="D7" s="23">
        <v>780000</v>
      </c>
      <c r="E7" s="23" t="s">
        <v>757</v>
      </c>
      <c r="F7" s="23" t="str">
        <f t="shared" si="0"/>
        <v>rtdc.l.rtdc.4010:itc</v>
      </c>
      <c r="G7" s="8">
        <f t="shared" si="1"/>
        <v>42613.094849537039</v>
      </c>
    </row>
    <row r="8" spans="1:7" x14ac:dyDescent="0.25">
      <c r="A8" s="8">
        <v>42613.105983796297</v>
      </c>
      <c r="B8" s="23" t="s">
        <v>151</v>
      </c>
      <c r="C8" s="23" t="s">
        <v>756</v>
      </c>
      <c r="D8" s="23">
        <v>780000</v>
      </c>
      <c r="E8" s="23" t="s">
        <v>757</v>
      </c>
      <c r="F8" s="23" t="str">
        <f t="shared" si="0"/>
        <v>rtdc.l.rtdc.4009:itc</v>
      </c>
      <c r="G8" s="8">
        <f t="shared" si="1"/>
        <v>42613.105983796297</v>
      </c>
    </row>
    <row r="9" spans="1:7" ht="15.75" thickBot="1" x14ac:dyDescent="0.3">
      <c r="A9" s="27">
        <v>42613.13621527778</v>
      </c>
      <c r="B9" s="23" t="s">
        <v>351</v>
      </c>
      <c r="C9" s="23" t="s">
        <v>717</v>
      </c>
      <c r="D9" s="23">
        <v>780000</v>
      </c>
      <c r="E9" s="23" t="s">
        <v>757</v>
      </c>
      <c r="F9" s="23" t="str">
        <f t="shared" si="0"/>
        <v>rtdc.l.rtdc.4010:itc</v>
      </c>
      <c r="G9" s="8">
        <f t="shared" si="1"/>
        <v>42613.13621527778</v>
      </c>
    </row>
    <row r="10" spans="1:7" x14ac:dyDescent="0.25">
      <c r="A10" s="8">
        <v>42613.14402777778</v>
      </c>
      <c r="B10" s="23" t="s">
        <v>418</v>
      </c>
      <c r="C10" s="23" t="s">
        <v>759</v>
      </c>
      <c r="D10" s="23">
        <v>2010000</v>
      </c>
      <c r="E10" s="23" t="s">
        <v>760</v>
      </c>
      <c r="F10" s="23" t="str">
        <f t="shared" si="0"/>
        <v>rtdc.l.rtdc.4042:itc</v>
      </c>
      <c r="G10" s="8">
        <f t="shared" si="1"/>
        <v>42613.14402777778</v>
      </c>
    </row>
    <row r="11" spans="1:7" x14ac:dyDescent="0.25">
      <c r="A11" s="8">
        <v>42613.168946759259</v>
      </c>
      <c r="B11" s="23" t="s">
        <v>724</v>
      </c>
      <c r="C11" s="23" t="s">
        <v>761</v>
      </c>
      <c r="D11" s="23">
        <v>1760000</v>
      </c>
      <c r="E11" s="23" t="s">
        <v>762</v>
      </c>
      <c r="F11" s="23" t="str">
        <f t="shared" si="0"/>
        <v>rtdc.l.rtdc.4016:itc</v>
      </c>
      <c r="G11" s="8">
        <f t="shared" si="1"/>
        <v>42613.168946759259</v>
      </c>
    </row>
    <row r="12" spans="1:7" x14ac:dyDescent="0.25">
      <c r="A12" s="8">
        <v>42613.173506944448</v>
      </c>
      <c r="B12" s="23" t="s">
        <v>92</v>
      </c>
      <c r="C12" s="23" t="s">
        <v>763</v>
      </c>
      <c r="D12" s="23">
        <v>2010000</v>
      </c>
      <c r="E12" s="23" t="s">
        <v>760</v>
      </c>
      <c r="F12" s="23" t="str">
        <f t="shared" si="0"/>
        <v>rtdc.l.rtdc.4030:itc</v>
      </c>
      <c r="G12" s="8">
        <f t="shared" si="1"/>
        <v>42613.173506944448</v>
      </c>
    </row>
    <row r="13" spans="1:7" x14ac:dyDescent="0.25">
      <c r="A13" s="8">
        <v>42613.180844907409</v>
      </c>
      <c r="B13" s="23" t="s">
        <v>111</v>
      </c>
      <c r="C13" s="23" t="s">
        <v>764</v>
      </c>
      <c r="D13" s="23">
        <v>1090000</v>
      </c>
      <c r="E13" s="23" t="s">
        <v>329</v>
      </c>
      <c r="F13" s="23" t="str">
        <f t="shared" si="0"/>
        <v>rtdc.l.rtdc.4014:itc</v>
      </c>
      <c r="G13" s="8">
        <f t="shared" si="1"/>
        <v>42613.180844907409</v>
      </c>
    </row>
    <row r="14" spans="1:7" x14ac:dyDescent="0.25">
      <c r="A14" s="8">
        <v>42613.191192129627</v>
      </c>
      <c r="B14" s="23" t="s">
        <v>227</v>
      </c>
      <c r="C14" s="23" t="s">
        <v>765</v>
      </c>
      <c r="D14" s="23">
        <v>2260000</v>
      </c>
      <c r="E14" s="23" t="s">
        <v>162</v>
      </c>
      <c r="F14" s="23" t="str">
        <f t="shared" si="0"/>
        <v>rtdc.l.rtdc.4001:itc</v>
      </c>
      <c r="G14" s="8">
        <f t="shared" si="1"/>
        <v>42613.191192129627</v>
      </c>
    </row>
    <row r="15" spans="1:7" x14ac:dyDescent="0.25">
      <c r="A15" s="8">
        <v>42613.192037037035</v>
      </c>
      <c r="B15" s="23" t="s">
        <v>227</v>
      </c>
      <c r="C15" s="23" t="s">
        <v>765</v>
      </c>
      <c r="D15" s="23">
        <v>2260000</v>
      </c>
      <c r="E15" s="23" t="s">
        <v>162</v>
      </c>
      <c r="F15" s="23" t="str">
        <f t="shared" si="0"/>
        <v>rtdc.l.rtdc.4001:itc</v>
      </c>
      <c r="G15" s="8">
        <f t="shared" si="1"/>
        <v>42613.192037037035</v>
      </c>
    </row>
    <row r="16" spans="1:7" x14ac:dyDescent="0.25">
      <c r="A16" s="8">
        <v>42613.193252314813</v>
      </c>
      <c r="B16" s="23" t="s">
        <v>213</v>
      </c>
      <c r="C16" s="23" t="s">
        <v>766</v>
      </c>
      <c r="D16" s="23">
        <v>2030000</v>
      </c>
      <c r="E16" s="23" t="s">
        <v>246</v>
      </c>
      <c r="F16" s="23" t="str">
        <f t="shared" si="0"/>
        <v>rtdc.l.rtdc.4011:itc</v>
      </c>
      <c r="G16" s="8">
        <f t="shared" si="1"/>
        <v>42613.193252314813</v>
      </c>
    </row>
    <row r="17" spans="1:7" x14ac:dyDescent="0.25">
      <c r="A17" s="8">
        <v>42613.208321759259</v>
      </c>
      <c r="B17" s="23" t="s">
        <v>418</v>
      </c>
      <c r="C17" s="23" t="s">
        <v>767</v>
      </c>
      <c r="D17" s="23">
        <v>900000</v>
      </c>
      <c r="E17" s="23" t="s">
        <v>330</v>
      </c>
      <c r="F17" s="23" t="str">
        <f t="shared" si="0"/>
        <v>rtdc.l.rtdc.4042:itc</v>
      </c>
      <c r="G17" s="8">
        <f t="shared" si="1"/>
        <v>42613.208321759259</v>
      </c>
    </row>
    <row r="18" spans="1:7" x14ac:dyDescent="0.25">
      <c r="A18" s="8">
        <v>42613.211736111109</v>
      </c>
      <c r="B18" s="23" t="s">
        <v>204</v>
      </c>
      <c r="C18" s="23" t="s">
        <v>768</v>
      </c>
      <c r="D18" s="23">
        <v>1760000</v>
      </c>
      <c r="E18" s="23" t="s">
        <v>762</v>
      </c>
      <c r="F18" s="23" t="str">
        <f t="shared" si="0"/>
        <v>rtdc.l.rtdc.4028:itc</v>
      </c>
      <c r="G18" s="8">
        <f t="shared" si="1"/>
        <v>42613.211736111109</v>
      </c>
    </row>
    <row r="19" spans="1:7" x14ac:dyDescent="0.25">
      <c r="A19" s="8">
        <v>42613.213472222225</v>
      </c>
      <c r="B19" s="23" t="s">
        <v>91</v>
      </c>
      <c r="C19" s="23" t="s">
        <v>769</v>
      </c>
      <c r="D19" s="23">
        <v>2010000</v>
      </c>
      <c r="E19" s="23" t="s">
        <v>760</v>
      </c>
      <c r="F19" s="23" t="str">
        <f t="shared" si="0"/>
        <v>rtdc.l.rtdc.4029:itc</v>
      </c>
      <c r="G19" s="8">
        <f t="shared" si="1"/>
        <v>42613.213472222225</v>
      </c>
    </row>
    <row r="20" spans="1:7" x14ac:dyDescent="0.25">
      <c r="A20" s="8">
        <v>42613.214988425927</v>
      </c>
      <c r="B20" s="23" t="s">
        <v>114</v>
      </c>
      <c r="C20" s="23" t="s">
        <v>770</v>
      </c>
      <c r="D20" s="23">
        <v>1110000</v>
      </c>
      <c r="E20" s="23" t="s">
        <v>259</v>
      </c>
      <c r="F20" s="23" t="str">
        <f t="shared" si="0"/>
        <v>rtdc.l.rtdc.4032:itc</v>
      </c>
      <c r="G20" s="8">
        <f t="shared" si="1"/>
        <v>42613.214988425927</v>
      </c>
    </row>
    <row r="21" spans="1:7" x14ac:dyDescent="0.25">
      <c r="A21" s="8">
        <v>42613.220057870371</v>
      </c>
      <c r="B21" s="23" t="s">
        <v>90</v>
      </c>
      <c r="C21" s="23" t="s">
        <v>722</v>
      </c>
      <c r="D21" s="23">
        <v>1090000</v>
      </c>
      <c r="E21" s="23" t="s">
        <v>329</v>
      </c>
      <c r="F21" s="23" t="str">
        <f t="shared" si="0"/>
        <v>rtdc.l.rtdc.4013:itc</v>
      </c>
      <c r="G21" s="8">
        <f t="shared" si="1"/>
        <v>42613.220057870371</v>
      </c>
    </row>
    <row r="22" spans="1:7" x14ac:dyDescent="0.25">
      <c r="A22" s="29">
        <v>42613.227349537039</v>
      </c>
      <c r="B22" s="23" t="s">
        <v>228</v>
      </c>
      <c r="C22" s="23" t="s">
        <v>771</v>
      </c>
      <c r="D22" s="23">
        <v>2230000</v>
      </c>
      <c r="E22" s="23" t="s">
        <v>503</v>
      </c>
      <c r="F22" s="23" t="str">
        <f t="shared" si="0"/>
        <v>rtdc.l.rtdc.4044:itc</v>
      </c>
      <c r="G22" s="8">
        <f t="shared" si="1"/>
        <v>42613.227349537039</v>
      </c>
    </row>
    <row r="23" spans="1:7" x14ac:dyDescent="0.25">
      <c r="A23" s="8">
        <v>42613.230891203704</v>
      </c>
      <c r="B23" s="23" t="s">
        <v>325</v>
      </c>
      <c r="C23" s="23" t="s">
        <v>772</v>
      </c>
      <c r="D23" s="23">
        <v>2030000</v>
      </c>
      <c r="E23" s="23" t="s">
        <v>246</v>
      </c>
      <c r="F23" s="23" t="str">
        <f t="shared" si="0"/>
        <v>rtdc.l.rtdc.4012:itc</v>
      </c>
      <c r="G23" s="8">
        <f t="shared" si="1"/>
        <v>42613.230891203704</v>
      </c>
    </row>
    <row r="24" spans="1:7" x14ac:dyDescent="0.25">
      <c r="A24" s="8">
        <v>42613.235162037039</v>
      </c>
      <c r="B24" s="23" t="s">
        <v>154</v>
      </c>
      <c r="C24" s="23" t="s">
        <v>773</v>
      </c>
      <c r="D24" s="23">
        <v>2260000</v>
      </c>
      <c r="E24" s="23" t="s">
        <v>162</v>
      </c>
      <c r="F24" s="23" t="str">
        <f t="shared" si="0"/>
        <v>rtdc.l.rtdc.4002:itc</v>
      </c>
      <c r="G24" s="8">
        <f t="shared" si="1"/>
        <v>42613.235162037039</v>
      </c>
    </row>
    <row r="25" spans="1:7" x14ac:dyDescent="0.25">
      <c r="A25" s="8">
        <v>42613.236898148149</v>
      </c>
      <c r="B25" s="23" t="s">
        <v>349</v>
      </c>
      <c r="C25" s="23" t="s">
        <v>774</v>
      </c>
      <c r="D25" s="23">
        <v>900000</v>
      </c>
      <c r="E25" s="23" t="s">
        <v>330</v>
      </c>
      <c r="F25" s="23" t="str">
        <f t="shared" si="0"/>
        <v>rtdc.l.rtdc.4041:itc</v>
      </c>
      <c r="G25" s="8">
        <f t="shared" si="1"/>
        <v>42613.236898148149</v>
      </c>
    </row>
    <row r="26" spans="1:7" x14ac:dyDescent="0.25">
      <c r="A26" s="8">
        <v>42613.241701388892</v>
      </c>
      <c r="B26" s="23" t="s">
        <v>113</v>
      </c>
      <c r="C26" s="23" t="s">
        <v>775</v>
      </c>
      <c r="D26" s="23">
        <v>1110000</v>
      </c>
      <c r="E26" s="23" t="s">
        <v>259</v>
      </c>
      <c r="F26" s="23" t="str">
        <f t="shared" si="0"/>
        <v>rtdc.l.rtdc.4031:itc</v>
      </c>
      <c r="G26" s="8">
        <f t="shared" si="1"/>
        <v>42613.241701388892</v>
      </c>
    </row>
    <row r="27" spans="1:7" x14ac:dyDescent="0.25">
      <c r="A27" s="8">
        <v>42613.248831018522</v>
      </c>
      <c r="B27" s="23" t="s">
        <v>724</v>
      </c>
      <c r="C27" s="23" t="s">
        <v>776</v>
      </c>
      <c r="D27" s="23">
        <v>1760000</v>
      </c>
      <c r="E27" s="23" t="s">
        <v>762</v>
      </c>
      <c r="F27" s="23" t="str">
        <f t="shared" si="0"/>
        <v>rtdc.l.rtdc.4016:itc</v>
      </c>
      <c r="G27" s="8">
        <f t="shared" si="1"/>
        <v>42613.248831018522</v>
      </c>
    </row>
    <row r="28" spans="1:7" x14ac:dyDescent="0.25">
      <c r="A28" s="8">
        <v>42613.250324074077</v>
      </c>
      <c r="B28" s="23" t="s">
        <v>92</v>
      </c>
      <c r="C28" s="23" t="s">
        <v>777</v>
      </c>
      <c r="D28" s="23">
        <v>2010000</v>
      </c>
      <c r="E28" s="23" t="s">
        <v>760</v>
      </c>
      <c r="F28" s="23" t="str">
        <f t="shared" si="0"/>
        <v>rtdc.l.rtdc.4030:itc</v>
      </c>
      <c r="G28" s="8">
        <f t="shared" si="1"/>
        <v>42613.250324074077</v>
      </c>
    </row>
    <row r="29" spans="1:7" x14ac:dyDescent="0.25">
      <c r="A29" s="8">
        <v>42613.255057870374</v>
      </c>
      <c r="B29" s="23" t="s">
        <v>724</v>
      </c>
      <c r="C29" s="23" t="s">
        <v>776</v>
      </c>
      <c r="D29" s="23">
        <v>1760000</v>
      </c>
      <c r="E29" s="23" t="s">
        <v>762</v>
      </c>
      <c r="F29" s="23" t="str">
        <f t="shared" si="0"/>
        <v>rtdc.l.rtdc.4016:itc</v>
      </c>
      <c r="G29" s="8">
        <f t="shared" si="1"/>
        <v>42613.255057870374</v>
      </c>
    </row>
    <row r="30" spans="1:7" x14ac:dyDescent="0.25">
      <c r="A30" s="8">
        <v>42613.255891203706</v>
      </c>
      <c r="B30" s="23" t="s">
        <v>114</v>
      </c>
      <c r="C30" s="23" t="s">
        <v>778</v>
      </c>
      <c r="D30" s="23">
        <v>1110000</v>
      </c>
      <c r="E30" s="23" t="s">
        <v>259</v>
      </c>
      <c r="F30" s="23" t="str">
        <f t="shared" si="0"/>
        <v>rtdc.l.rtdc.4032:itc</v>
      </c>
      <c r="G30" s="8">
        <f t="shared" si="1"/>
        <v>42613.255891203706</v>
      </c>
    </row>
    <row r="31" spans="1:7" x14ac:dyDescent="0.25">
      <c r="A31" s="8">
        <v>42613.256782407407</v>
      </c>
      <c r="B31" s="23" t="s">
        <v>111</v>
      </c>
      <c r="C31" s="23" t="s">
        <v>779</v>
      </c>
      <c r="D31" s="23">
        <v>1090000</v>
      </c>
      <c r="E31" s="23" t="s">
        <v>329</v>
      </c>
      <c r="F31" s="23" t="str">
        <f t="shared" si="0"/>
        <v>rtdc.l.rtdc.4014:itc</v>
      </c>
      <c r="G31" s="8">
        <f t="shared" si="1"/>
        <v>42613.256782407407</v>
      </c>
    </row>
    <row r="32" spans="1:7" x14ac:dyDescent="0.25">
      <c r="A32" s="8">
        <v>42613.257939814815</v>
      </c>
      <c r="B32" s="23" t="s">
        <v>226</v>
      </c>
      <c r="C32" s="23" t="s">
        <v>780</v>
      </c>
      <c r="D32" s="23">
        <v>2230000</v>
      </c>
      <c r="E32" s="23" t="s">
        <v>503</v>
      </c>
      <c r="F32" s="23" t="str">
        <f t="shared" si="0"/>
        <v>rtdc.l.rtdc.4043:itc</v>
      </c>
      <c r="G32" s="8">
        <f t="shared" si="1"/>
        <v>42613.257939814815</v>
      </c>
    </row>
    <row r="33" spans="1:7" x14ac:dyDescent="0.25">
      <c r="A33" s="8">
        <v>42613.259756944448</v>
      </c>
      <c r="B33" s="23" t="s">
        <v>781</v>
      </c>
      <c r="C33" s="23" t="s">
        <v>782</v>
      </c>
      <c r="D33" s="23">
        <v>1100000</v>
      </c>
      <c r="E33" s="23" t="s">
        <v>347</v>
      </c>
      <c r="F33" s="23" t="str">
        <f t="shared" si="0"/>
        <v>rtdc.l.rtdc.4007:itc</v>
      </c>
      <c r="G33" s="8">
        <f t="shared" si="1"/>
        <v>42613.259756944448</v>
      </c>
    </row>
    <row r="34" spans="1:7" x14ac:dyDescent="0.25">
      <c r="A34" s="8">
        <v>42613.265787037039</v>
      </c>
      <c r="B34" s="23" t="s">
        <v>213</v>
      </c>
      <c r="C34" s="23" t="s">
        <v>783</v>
      </c>
      <c r="D34" s="23">
        <v>2030000</v>
      </c>
      <c r="E34" s="23" t="s">
        <v>246</v>
      </c>
      <c r="F34" s="23" t="str">
        <f t="shared" si="0"/>
        <v>rtdc.l.rtdc.4011:itc</v>
      </c>
      <c r="G34" s="8">
        <f t="shared" si="1"/>
        <v>42613.265787037039</v>
      </c>
    </row>
    <row r="35" spans="1:7" x14ac:dyDescent="0.25">
      <c r="A35" s="8">
        <v>42613.273078703707</v>
      </c>
      <c r="B35" s="23" t="s">
        <v>227</v>
      </c>
      <c r="C35" s="23" t="s">
        <v>784</v>
      </c>
      <c r="D35" s="23">
        <v>2260000</v>
      </c>
      <c r="E35" s="23" t="s">
        <v>162</v>
      </c>
      <c r="F35" s="23" t="str">
        <f t="shared" si="0"/>
        <v>rtdc.l.rtdc.4001:itc</v>
      </c>
      <c r="G35" s="8">
        <f t="shared" si="1"/>
        <v>42613.273078703707</v>
      </c>
    </row>
    <row r="36" spans="1:7" x14ac:dyDescent="0.25">
      <c r="A36" s="8">
        <v>42613.274814814817</v>
      </c>
      <c r="B36" s="23" t="s">
        <v>227</v>
      </c>
      <c r="C36" s="23" t="s">
        <v>785</v>
      </c>
      <c r="D36" s="23">
        <v>2260000</v>
      </c>
      <c r="E36" s="23" t="s">
        <v>162</v>
      </c>
      <c r="F36" s="23" t="str">
        <f t="shared" si="0"/>
        <v>rtdc.l.rtdc.4001:itc</v>
      </c>
      <c r="G36" s="8">
        <f t="shared" si="1"/>
        <v>42613.274814814817</v>
      </c>
    </row>
    <row r="37" spans="1:7" x14ac:dyDescent="0.25">
      <c r="A37" s="8">
        <v>42613.275856481479</v>
      </c>
      <c r="B37" s="23" t="s">
        <v>720</v>
      </c>
      <c r="C37" s="23" t="s">
        <v>786</v>
      </c>
      <c r="D37" s="23">
        <v>1100000</v>
      </c>
      <c r="E37" s="23" t="s">
        <v>347</v>
      </c>
      <c r="F37" s="23" t="str">
        <f t="shared" si="0"/>
        <v>rtdc.l.rtdc.4008:itc</v>
      </c>
      <c r="G37" s="8">
        <f t="shared" si="1"/>
        <v>42613.275856481479</v>
      </c>
    </row>
    <row r="38" spans="1:7" x14ac:dyDescent="0.25">
      <c r="A38" s="8">
        <v>42613.276770833334</v>
      </c>
      <c r="B38" s="23" t="s">
        <v>418</v>
      </c>
      <c r="C38" s="23" t="s">
        <v>787</v>
      </c>
      <c r="D38" s="23">
        <v>900000</v>
      </c>
      <c r="E38" s="23" t="s">
        <v>330</v>
      </c>
      <c r="F38" s="23" t="str">
        <f t="shared" si="0"/>
        <v>rtdc.l.rtdc.4042:itc</v>
      </c>
      <c r="G38" s="8">
        <f t="shared" si="1"/>
        <v>42613.276770833334</v>
      </c>
    </row>
    <row r="39" spans="1:7" x14ac:dyDescent="0.25">
      <c r="A39" s="8">
        <v>42613.282013888886</v>
      </c>
      <c r="B39" s="23" t="s">
        <v>113</v>
      </c>
      <c r="C39" s="23" t="s">
        <v>788</v>
      </c>
      <c r="D39" s="23">
        <v>1110000</v>
      </c>
      <c r="E39" s="23" t="s">
        <v>259</v>
      </c>
      <c r="F39" s="23" t="str">
        <f t="shared" si="0"/>
        <v>rtdc.l.rtdc.4031:itc</v>
      </c>
      <c r="G39" s="8">
        <f t="shared" si="1"/>
        <v>42613.282013888886</v>
      </c>
    </row>
    <row r="40" spans="1:7" x14ac:dyDescent="0.25">
      <c r="A40" s="8">
        <v>42613.285092592596</v>
      </c>
      <c r="B40" s="28" t="s">
        <v>746</v>
      </c>
      <c r="C40" s="23" t="s">
        <v>789</v>
      </c>
      <c r="D40" s="23">
        <v>1760000</v>
      </c>
      <c r="E40" s="23" t="s">
        <v>762</v>
      </c>
      <c r="F40" s="23" t="str">
        <f t="shared" si="0"/>
        <v>rtdc.l.rtdc.4015:itc</v>
      </c>
      <c r="G40" s="8">
        <f t="shared" si="1"/>
        <v>42613.285092592596</v>
      </c>
    </row>
    <row r="41" spans="1:7" x14ac:dyDescent="0.25">
      <c r="A41" s="8">
        <v>42613.289629629631</v>
      </c>
      <c r="B41" s="23" t="s">
        <v>91</v>
      </c>
      <c r="C41" s="23" t="s">
        <v>790</v>
      </c>
      <c r="D41" s="23">
        <v>2010000</v>
      </c>
      <c r="E41" s="23" t="s">
        <v>760</v>
      </c>
      <c r="F41" s="23" t="str">
        <f t="shared" si="0"/>
        <v>rtdc.l.rtdc.4029:itc</v>
      </c>
      <c r="G41" s="8">
        <f t="shared" si="1"/>
        <v>42613.289629629631</v>
      </c>
    </row>
    <row r="42" spans="1:7" x14ac:dyDescent="0.25">
      <c r="A42" s="8">
        <v>42613.294340277775</v>
      </c>
      <c r="B42" s="23" t="s">
        <v>90</v>
      </c>
      <c r="C42" s="23" t="s">
        <v>791</v>
      </c>
      <c r="D42" s="23">
        <v>1090000</v>
      </c>
      <c r="E42" s="23" t="s">
        <v>329</v>
      </c>
      <c r="F42" s="23" t="str">
        <f t="shared" si="0"/>
        <v>rtdc.l.rtdc.4013:itc</v>
      </c>
      <c r="G42" s="8">
        <f t="shared" si="1"/>
        <v>42613.294340277775</v>
      </c>
    </row>
    <row r="43" spans="1:7" x14ac:dyDescent="0.25">
      <c r="A43" s="8">
        <v>42613.296770833331</v>
      </c>
      <c r="B43" s="23" t="s">
        <v>228</v>
      </c>
      <c r="C43" s="23" t="s">
        <v>792</v>
      </c>
      <c r="D43" s="23">
        <v>2230000</v>
      </c>
      <c r="E43" s="23" t="s">
        <v>503</v>
      </c>
      <c r="F43" s="23" t="str">
        <f t="shared" si="0"/>
        <v>rtdc.l.rtdc.4044:itc</v>
      </c>
      <c r="G43" s="8">
        <f t="shared" si="1"/>
        <v>42613.296770833331</v>
      </c>
    </row>
    <row r="44" spans="1:7" x14ac:dyDescent="0.25">
      <c r="A44" s="8">
        <v>42613.298726851855</v>
      </c>
      <c r="B44" s="23" t="s">
        <v>114</v>
      </c>
      <c r="C44" s="23" t="s">
        <v>793</v>
      </c>
      <c r="D44" s="23">
        <v>1110000</v>
      </c>
      <c r="E44" s="23" t="s">
        <v>259</v>
      </c>
      <c r="F44" s="23" t="str">
        <f t="shared" si="0"/>
        <v>rtdc.l.rtdc.4032:itc</v>
      </c>
      <c r="G44" s="8">
        <f t="shared" si="1"/>
        <v>42613.298726851855</v>
      </c>
    </row>
    <row r="45" spans="1:7" x14ac:dyDescent="0.25">
      <c r="A45" s="8">
        <v>42613.302395833336</v>
      </c>
      <c r="B45" s="23" t="s">
        <v>325</v>
      </c>
      <c r="C45" s="23" t="s">
        <v>794</v>
      </c>
      <c r="D45" s="23">
        <v>2030000</v>
      </c>
      <c r="E45" s="23" t="s">
        <v>246</v>
      </c>
      <c r="F45" s="23" t="str">
        <f t="shared" si="0"/>
        <v>rtdc.l.rtdc.4012:itc</v>
      </c>
      <c r="G45" s="8">
        <f t="shared" si="1"/>
        <v>42613.302395833336</v>
      </c>
    </row>
    <row r="46" spans="1:7" x14ac:dyDescent="0.25">
      <c r="A46" s="8">
        <v>42613.304340277777</v>
      </c>
      <c r="B46" s="23" t="s">
        <v>781</v>
      </c>
      <c r="C46" s="23" t="s">
        <v>795</v>
      </c>
      <c r="D46" s="23">
        <v>1100000</v>
      </c>
      <c r="E46" s="23" t="s">
        <v>347</v>
      </c>
      <c r="F46" s="23" t="str">
        <f t="shared" si="0"/>
        <v>rtdc.l.rtdc.4007:itc</v>
      </c>
      <c r="G46" s="8">
        <f t="shared" si="1"/>
        <v>42613.304340277777</v>
      </c>
    </row>
    <row r="47" spans="1:7" x14ac:dyDescent="0.25">
      <c r="A47" s="8">
        <v>42613.308263888888</v>
      </c>
      <c r="B47" s="23" t="s">
        <v>154</v>
      </c>
      <c r="C47" s="23" t="s">
        <v>784</v>
      </c>
      <c r="D47" s="23">
        <v>2260000</v>
      </c>
      <c r="E47" s="23" t="s">
        <v>162</v>
      </c>
      <c r="F47" s="23" t="str">
        <f t="shared" si="0"/>
        <v>rtdc.l.rtdc.4002:itc</v>
      </c>
      <c r="G47" s="8">
        <f t="shared" si="1"/>
        <v>42613.308263888888</v>
      </c>
    </row>
    <row r="48" spans="1:7" x14ac:dyDescent="0.25">
      <c r="A48" s="8">
        <v>42613.317627314813</v>
      </c>
      <c r="B48" s="23" t="s">
        <v>349</v>
      </c>
      <c r="C48" s="23" t="s">
        <v>796</v>
      </c>
      <c r="D48" s="23">
        <v>900000</v>
      </c>
      <c r="E48" s="23" t="s">
        <v>330</v>
      </c>
      <c r="F48" s="23" t="str">
        <f t="shared" si="0"/>
        <v>rtdc.l.rtdc.4041:itc</v>
      </c>
      <c r="G48" s="8">
        <f t="shared" si="1"/>
        <v>42613.317627314813</v>
      </c>
    </row>
    <row r="49" spans="1:7" x14ac:dyDescent="0.25">
      <c r="A49" s="8">
        <v>42613.317685185182</v>
      </c>
      <c r="B49" s="23" t="s">
        <v>720</v>
      </c>
      <c r="C49" s="23" t="s">
        <v>797</v>
      </c>
      <c r="D49" s="23">
        <v>1100000</v>
      </c>
      <c r="E49" s="23" t="s">
        <v>347</v>
      </c>
      <c r="F49" s="23" t="str">
        <f t="shared" si="0"/>
        <v>rtdc.l.rtdc.4008:itc</v>
      </c>
      <c r="G49" s="8">
        <f t="shared" si="1"/>
        <v>42613.317685185182</v>
      </c>
    </row>
    <row r="50" spans="1:7" x14ac:dyDescent="0.25">
      <c r="A50" s="8">
        <v>42613.3200462963</v>
      </c>
      <c r="B50" s="23" t="s">
        <v>724</v>
      </c>
      <c r="C50" s="23" t="s">
        <v>798</v>
      </c>
      <c r="D50" s="23">
        <v>1760000</v>
      </c>
      <c r="E50" s="23" t="s">
        <v>762</v>
      </c>
      <c r="F50" s="23" t="str">
        <f t="shared" si="0"/>
        <v>rtdc.l.rtdc.4016:itc</v>
      </c>
      <c r="G50" s="8">
        <f t="shared" si="1"/>
        <v>42613.3200462963</v>
      </c>
    </row>
    <row r="51" spans="1:7" x14ac:dyDescent="0.25">
      <c r="A51" s="8">
        <v>42613.323333333334</v>
      </c>
      <c r="B51" s="23" t="s">
        <v>92</v>
      </c>
      <c r="C51" s="23" t="s">
        <v>799</v>
      </c>
      <c r="D51" s="23">
        <v>2010000</v>
      </c>
      <c r="E51" s="23" t="s">
        <v>760</v>
      </c>
      <c r="F51" s="23" t="str">
        <f t="shared" si="0"/>
        <v>rtdc.l.rtdc.4030:itc</v>
      </c>
      <c r="G51" s="8">
        <f t="shared" si="1"/>
        <v>42613.323333333334</v>
      </c>
    </row>
    <row r="52" spans="1:7" x14ac:dyDescent="0.25">
      <c r="A52" s="8">
        <v>42613.324374999997</v>
      </c>
      <c r="B52" s="23" t="s">
        <v>113</v>
      </c>
      <c r="C52" s="23" t="s">
        <v>800</v>
      </c>
      <c r="D52" s="23">
        <v>1110000</v>
      </c>
      <c r="E52" s="23" t="s">
        <v>259</v>
      </c>
      <c r="F52" s="23" t="str">
        <f t="shared" si="0"/>
        <v>rtdc.l.rtdc.4031:itc</v>
      </c>
      <c r="G52" s="8">
        <f t="shared" si="1"/>
        <v>42613.324374999997</v>
      </c>
    </row>
    <row r="53" spans="1:7" x14ac:dyDescent="0.25">
      <c r="A53" s="8">
        <v>42613.329548611109</v>
      </c>
      <c r="B53" s="23" t="s">
        <v>111</v>
      </c>
      <c r="C53" s="23" t="s">
        <v>801</v>
      </c>
      <c r="D53" s="23">
        <v>1090000</v>
      </c>
      <c r="E53" s="23" t="s">
        <v>329</v>
      </c>
      <c r="F53" s="23" t="str">
        <f t="shared" si="0"/>
        <v>rtdc.l.rtdc.4014:itc</v>
      </c>
      <c r="G53" s="8">
        <f t="shared" si="1"/>
        <v>42613.329548611109</v>
      </c>
    </row>
    <row r="54" spans="1:7" x14ac:dyDescent="0.25">
      <c r="A54" s="8">
        <v>42613.334328703706</v>
      </c>
      <c r="B54" s="23" t="s">
        <v>226</v>
      </c>
      <c r="C54" s="23" t="s">
        <v>802</v>
      </c>
      <c r="D54" s="23">
        <v>2230000</v>
      </c>
      <c r="E54" s="23" t="s">
        <v>503</v>
      </c>
      <c r="F54" s="23" t="str">
        <f t="shared" si="0"/>
        <v>rtdc.l.rtdc.4043:itc</v>
      </c>
      <c r="G54" s="8">
        <f t="shared" si="1"/>
        <v>42613.334328703706</v>
      </c>
    </row>
    <row r="55" spans="1:7" x14ac:dyDescent="0.25">
      <c r="A55" s="8">
        <v>42613.340810185182</v>
      </c>
      <c r="B55" s="23" t="s">
        <v>114</v>
      </c>
      <c r="C55" s="23" t="s">
        <v>803</v>
      </c>
      <c r="D55" s="23">
        <v>1110000</v>
      </c>
      <c r="E55" s="23" t="s">
        <v>259</v>
      </c>
      <c r="F55" s="23" t="str">
        <f t="shared" si="0"/>
        <v>rtdc.l.rtdc.4032:itc</v>
      </c>
      <c r="G55" s="8">
        <f t="shared" si="1"/>
        <v>42613.340810185182</v>
      </c>
    </row>
    <row r="56" spans="1:7" x14ac:dyDescent="0.25">
      <c r="A56" s="8">
        <v>42613.341678240744</v>
      </c>
      <c r="B56" s="23" t="s">
        <v>213</v>
      </c>
      <c r="C56" s="23" t="s">
        <v>804</v>
      </c>
      <c r="D56" s="23">
        <v>2030000</v>
      </c>
      <c r="E56" s="23" t="s">
        <v>246</v>
      </c>
      <c r="F56" s="23" t="str">
        <f t="shared" si="0"/>
        <v>rtdc.l.rtdc.4011:itc</v>
      </c>
      <c r="G56" s="8">
        <f t="shared" si="1"/>
        <v>42613.341678240744</v>
      </c>
    </row>
    <row r="57" spans="1:7" x14ac:dyDescent="0.25">
      <c r="A57" s="8">
        <v>42613.34611111111</v>
      </c>
      <c r="B57" s="23" t="s">
        <v>781</v>
      </c>
      <c r="C57" s="23" t="s">
        <v>805</v>
      </c>
      <c r="D57" s="23">
        <v>1100000</v>
      </c>
      <c r="E57" s="23" t="s">
        <v>347</v>
      </c>
      <c r="F57" s="23" t="str">
        <f t="shared" si="0"/>
        <v>rtdc.l.rtdc.4007:itc</v>
      </c>
      <c r="G57" s="8">
        <f t="shared" si="1"/>
        <v>42613.34611111111</v>
      </c>
    </row>
    <row r="58" spans="1:7" x14ac:dyDescent="0.25">
      <c r="A58" s="8">
        <v>42613.346990740742</v>
      </c>
      <c r="B58" s="23" t="s">
        <v>227</v>
      </c>
      <c r="C58" s="23" t="s">
        <v>806</v>
      </c>
      <c r="D58" s="23">
        <v>2260000</v>
      </c>
      <c r="E58" s="23" t="s">
        <v>162</v>
      </c>
      <c r="F58" s="23" t="str">
        <f t="shared" si="0"/>
        <v>rtdc.l.rtdc.4001:itc</v>
      </c>
      <c r="G58" s="8">
        <f t="shared" si="1"/>
        <v>42613.346990740742</v>
      </c>
    </row>
    <row r="59" spans="1:7" x14ac:dyDescent="0.25">
      <c r="A59" s="8">
        <v>42613.351099537038</v>
      </c>
      <c r="B59" s="23" t="s">
        <v>418</v>
      </c>
      <c r="C59" s="23" t="s">
        <v>807</v>
      </c>
      <c r="D59" s="23">
        <v>1360000</v>
      </c>
      <c r="E59" s="23" t="s">
        <v>416</v>
      </c>
      <c r="F59" s="23" t="str">
        <f t="shared" si="0"/>
        <v>rtdc.l.rtdc.4042:itc</v>
      </c>
      <c r="G59" s="8">
        <f t="shared" si="1"/>
        <v>42613.351099537038</v>
      </c>
    </row>
    <row r="60" spans="1:7" x14ac:dyDescent="0.25">
      <c r="A60" s="8">
        <v>42613.355613425927</v>
      </c>
      <c r="B60" s="23" t="s">
        <v>113</v>
      </c>
      <c r="C60" s="23" t="s">
        <v>808</v>
      </c>
      <c r="D60" s="23">
        <v>1110000</v>
      </c>
      <c r="E60" s="23" t="s">
        <v>259</v>
      </c>
      <c r="F60" s="23" t="str">
        <f t="shared" si="0"/>
        <v>rtdc.l.rtdc.4031:itc</v>
      </c>
      <c r="G60" s="8">
        <f t="shared" si="1"/>
        <v>42613.355613425927</v>
      </c>
    </row>
    <row r="61" spans="1:7" x14ac:dyDescent="0.25">
      <c r="A61" s="8">
        <v>42613.357662037037</v>
      </c>
      <c r="B61" s="23" t="s">
        <v>746</v>
      </c>
      <c r="C61" s="23" t="s">
        <v>809</v>
      </c>
      <c r="D61" s="23">
        <v>1760000</v>
      </c>
      <c r="E61" s="23" t="s">
        <v>762</v>
      </c>
      <c r="F61" s="23" t="str">
        <f t="shared" si="0"/>
        <v>rtdc.l.rtdc.4015:itc</v>
      </c>
      <c r="G61" s="8">
        <f t="shared" si="1"/>
        <v>42613.357662037037</v>
      </c>
    </row>
    <row r="62" spans="1:7" x14ac:dyDescent="0.25">
      <c r="A62" s="8">
        <v>42613.3594212963</v>
      </c>
      <c r="B62" s="23" t="s">
        <v>720</v>
      </c>
      <c r="C62" s="23" t="s">
        <v>810</v>
      </c>
      <c r="D62" s="23">
        <v>1100000</v>
      </c>
      <c r="E62" s="23" t="s">
        <v>347</v>
      </c>
      <c r="F62" s="23" t="str">
        <f t="shared" si="0"/>
        <v>rtdc.l.rtdc.4008:itc</v>
      </c>
      <c r="G62" s="8">
        <f t="shared" si="1"/>
        <v>42613.3594212963</v>
      </c>
    </row>
    <row r="63" spans="1:7" x14ac:dyDescent="0.25">
      <c r="A63" s="8">
        <v>42613.363263888888</v>
      </c>
      <c r="B63" s="23" t="s">
        <v>91</v>
      </c>
      <c r="C63" s="23" t="s">
        <v>811</v>
      </c>
      <c r="D63" s="23">
        <v>2010000</v>
      </c>
      <c r="E63" s="23" t="s">
        <v>760</v>
      </c>
      <c r="F63" s="23" t="str">
        <f t="shared" si="0"/>
        <v>rtdc.l.rtdc.4029:itc</v>
      </c>
      <c r="G63" s="8">
        <f t="shared" si="1"/>
        <v>42613.363263888888</v>
      </c>
    </row>
    <row r="64" spans="1:7" x14ac:dyDescent="0.25">
      <c r="A64" s="29">
        <v>42613.36886574074</v>
      </c>
      <c r="B64" s="23" t="s">
        <v>90</v>
      </c>
      <c r="C64" s="23" t="s">
        <v>812</v>
      </c>
      <c r="D64" s="23">
        <v>1090000</v>
      </c>
      <c r="E64" s="23" t="s">
        <v>329</v>
      </c>
      <c r="F64" s="23" t="str">
        <f t="shared" si="0"/>
        <v>rtdc.l.rtdc.4013:itc</v>
      </c>
      <c r="G64" s="8">
        <f t="shared" si="1"/>
        <v>42613.36886574074</v>
      </c>
    </row>
    <row r="65" spans="1:7" x14ac:dyDescent="0.25">
      <c r="A65" s="8">
        <v>42613.373796296299</v>
      </c>
      <c r="B65" s="23" t="s">
        <v>228</v>
      </c>
      <c r="C65" s="23" t="s">
        <v>813</v>
      </c>
      <c r="D65" s="23">
        <v>2230000</v>
      </c>
      <c r="E65" s="23" t="s">
        <v>503</v>
      </c>
      <c r="F65" s="23" t="str">
        <f t="shared" si="0"/>
        <v>rtdc.l.rtdc.4044:itc</v>
      </c>
      <c r="G65" s="8">
        <f t="shared" si="1"/>
        <v>42613.373796296299</v>
      </c>
    </row>
    <row r="66" spans="1:7" x14ac:dyDescent="0.25">
      <c r="A66" s="8">
        <v>42613.375613425924</v>
      </c>
      <c r="B66" s="23" t="s">
        <v>325</v>
      </c>
      <c r="C66" s="23" t="s">
        <v>814</v>
      </c>
      <c r="D66" s="23">
        <v>2030000</v>
      </c>
      <c r="E66" s="23" t="s">
        <v>246</v>
      </c>
      <c r="F66" s="23" t="str">
        <f t="shared" ref="F66:F129" si="2">B66</f>
        <v>rtdc.l.rtdc.4012:itc</v>
      </c>
      <c r="G66" s="8">
        <f t="shared" ref="G66:G129" si="3">A66</f>
        <v>42613.375613425924</v>
      </c>
    </row>
    <row r="67" spans="1:7" x14ac:dyDescent="0.25">
      <c r="A67" s="8">
        <v>42613.381967592592</v>
      </c>
      <c r="B67" s="23" t="s">
        <v>349</v>
      </c>
      <c r="C67" s="23" t="s">
        <v>815</v>
      </c>
      <c r="D67" s="23">
        <v>1360000</v>
      </c>
      <c r="E67" s="23" t="s">
        <v>416</v>
      </c>
      <c r="F67" s="23" t="str">
        <f t="shared" si="2"/>
        <v>rtdc.l.rtdc.4041:itc</v>
      </c>
      <c r="G67" s="8">
        <f t="shared" si="3"/>
        <v>42613.381967592592</v>
      </c>
    </row>
    <row r="68" spans="1:7" x14ac:dyDescent="0.25">
      <c r="A68" s="8">
        <v>42613.384456018517</v>
      </c>
      <c r="B68" s="23" t="s">
        <v>154</v>
      </c>
      <c r="C68" s="23" t="s">
        <v>816</v>
      </c>
      <c r="D68" s="23">
        <v>2260000</v>
      </c>
      <c r="E68" s="23" t="s">
        <v>162</v>
      </c>
      <c r="F68" s="23" t="str">
        <f t="shared" si="2"/>
        <v>rtdc.l.rtdc.4002:itc</v>
      </c>
      <c r="G68" s="8">
        <f t="shared" si="3"/>
        <v>42613.384456018517</v>
      </c>
    </row>
    <row r="69" spans="1:7" x14ac:dyDescent="0.25">
      <c r="A69" s="8">
        <v>42613.388495370367</v>
      </c>
      <c r="B69" s="23" t="s">
        <v>781</v>
      </c>
      <c r="C69" s="23" t="s">
        <v>817</v>
      </c>
      <c r="D69" s="23">
        <v>1100000</v>
      </c>
      <c r="E69" s="23" t="s">
        <v>347</v>
      </c>
      <c r="F69" s="23" t="str">
        <f t="shared" si="2"/>
        <v>rtdc.l.rtdc.4007:itc</v>
      </c>
      <c r="G69" s="8">
        <f t="shared" si="3"/>
        <v>42613.388495370367</v>
      </c>
    </row>
    <row r="70" spans="1:7" x14ac:dyDescent="0.25">
      <c r="A70" s="8">
        <v>42613.394537037035</v>
      </c>
      <c r="B70" s="23" t="s">
        <v>724</v>
      </c>
      <c r="C70" s="23" t="s">
        <v>818</v>
      </c>
      <c r="D70" s="23">
        <v>1760000</v>
      </c>
      <c r="E70" s="23" t="s">
        <v>762</v>
      </c>
      <c r="F70" s="23" t="str">
        <f t="shared" si="2"/>
        <v>rtdc.l.rtdc.4016:itc</v>
      </c>
      <c r="G70" s="8">
        <f t="shared" si="3"/>
        <v>42613.394537037035</v>
      </c>
    </row>
    <row r="71" spans="1:7" x14ac:dyDescent="0.25">
      <c r="A71" s="8">
        <v>42613.397268518522</v>
      </c>
      <c r="B71" s="23" t="s">
        <v>92</v>
      </c>
      <c r="C71" s="23" t="s">
        <v>819</v>
      </c>
      <c r="D71" s="23">
        <v>2010000</v>
      </c>
      <c r="E71" s="23" t="s">
        <v>760</v>
      </c>
      <c r="F71" s="23" t="str">
        <f t="shared" si="2"/>
        <v>rtdc.l.rtdc.4030:itc</v>
      </c>
      <c r="G71" s="8">
        <f t="shared" si="3"/>
        <v>42613.397268518522</v>
      </c>
    </row>
    <row r="72" spans="1:7" x14ac:dyDescent="0.25">
      <c r="A72" s="8">
        <v>42613.40221064815</v>
      </c>
      <c r="B72" s="23" t="s">
        <v>720</v>
      </c>
      <c r="C72" s="23" t="s">
        <v>820</v>
      </c>
      <c r="D72" s="23">
        <v>1100000</v>
      </c>
      <c r="E72" s="23" t="s">
        <v>347</v>
      </c>
      <c r="F72" s="23" t="str">
        <f t="shared" si="2"/>
        <v>rtdc.l.rtdc.4008:itc</v>
      </c>
      <c r="G72" s="8">
        <f t="shared" si="3"/>
        <v>42613.40221064815</v>
      </c>
    </row>
    <row r="73" spans="1:7" x14ac:dyDescent="0.25">
      <c r="A73" s="8">
        <v>42613.402789351851</v>
      </c>
      <c r="B73" s="23" t="s">
        <v>111</v>
      </c>
      <c r="C73" s="23" t="s">
        <v>821</v>
      </c>
      <c r="D73" s="23">
        <v>1090000</v>
      </c>
      <c r="E73" s="23" t="s">
        <v>329</v>
      </c>
      <c r="F73" s="23" t="str">
        <f t="shared" si="2"/>
        <v>rtdc.l.rtdc.4014:itc</v>
      </c>
      <c r="G73" s="8">
        <f t="shared" si="3"/>
        <v>42613.402789351851</v>
      </c>
    </row>
    <row r="74" spans="1:7" x14ac:dyDescent="0.25">
      <c r="A74" s="8">
        <v>42613.410532407404</v>
      </c>
      <c r="B74" s="23" t="s">
        <v>226</v>
      </c>
      <c r="C74" s="23" t="s">
        <v>822</v>
      </c>
      <c r="D74" s="23">
        <v>2230000</v>
      </c>
      <c r="E74" s="23" t="s">
        <v>503</v>
      </c>
      <c r="F74" s="23" t="str">
        <f t="shared" si="2"/>
        <v>rtdc.l.rtdc.4043:itc</v>
      </c>
      <c r="G74" s="8">
        <f t="shared" si="3"/>
        <v>42613.410532407404</v>
      </c>
    </row>
    <row r="75" spans="1:7" x14ac:dyDescent="0.25">
      <c r="A75" s="8">
        <v>42613.411886574075</v>
      </c>
      <c r="B75" s="23" t="s">
        <v>213</v>
      </c>
      <c r="C75" s="23" t="s">
        <v>823</v>
      </c>
      <c r="D75" s="23">
        <v>2030000</v>
      </c>
      <c r="E75" s="23" t="s">
        <v>246</v>
      </c>
      <c r="F75" s="23" t="str">
        <f t="shared" si="2"/>
        <v>rtdc.l.rtdc.4011:itc</v>
      </c>
      <c r="G75" s="8">
        <f t="shared" si="3"/>
        <v>42613.411886574075</v>
      </c>
    </row>
    <row r="76" spans="1:7" x14ac:dyDescent="0.25">
      <c r="A76" s="8">
        <v>42613.421041666668</v>
      </c>
      <c r="B76" s="23" t="s">
        <v>227</v>
      </c>
      <c r="C76" s="23" t="s">
        <v>824</v>
      </c>
      <c r="D76" s="23">
        <v>2260000</v>
      </c>
      <c r="E76" s="23" t="s">
        <v>162</v>
      </c>
      <c r="F76" s="23" t="str">
        <f t="shared" si="2"/>
        <v>rtdc.l.rtdc.4001:itc</v>
      </c>
      <c r="G76" s="8">
        <f t="shared" si="3"/>
        <v>42613.421041666668</v>
      </c>
    </row>
    <row r="77" spans="1:7" x14ac:dyDescent="0.25">
      <c r="A77" s="8">
        <v>42613.425682870373</v>
      </c>
      <c r="B77" s="23" t="s">
        <v>418</v>
      </c>
      <c r="C77" s="23" t="s">
        <v>825</v>
      </c>
      <c r="D77" s="23">
        <v>900000</v>
      </c>
      <c r="E77" s="23" t="s">
        <v>330</v>
      </c>
      <c r="F77" s="23" t="str">
        <f t="shared" si="2"/>
        <v>rtdc.l.rtdc.4042:itc</v>
      </c>
      <c r="G77" s="8">
        <f t="shared" si="3"/>
        <v>42613.425682870373</v>
      </c>
    </row>
    <row r="78" spans="1:7" x14ac:dyDescent="0.25">
      <c r="A78" s="8">
        <v>42613.429699074077</v>
      </c>
      <c r="B78" s="23" t="s">
        <v>781</v>
      </c>
      <c r="C78" s="23" t="s">
        <v>826</v>
      </c>
      <c r="D78" s="23">
        <v>1100000</v>
      </c>
      <c r="E78" s="23" t="s">
        <v>347</v>
      </c>
      <c r="F78" s="23" t="str">
        <f t="shared" si="2"/>
        <v>rtdc.l.rtdc.4007:itc</v>
      </c>
      <c r="G78" s="8">
        <f t="shared" si="3"/>
        <v>42613.429699074077</v>
      </c>
    </row>
    <row r="79" spans="1:7" x14ac:dyDescent="0.25">
      <c r="A79" s="8">
        <v>42613.432256944441</v>
      </c>
      <c r="B79" s="23" t="s">
        <v>746</v>
      </c>
      <c r="C79" s="23" t="s">
        <v>827</v>
      </c>
      <c r="D79" s="23">
        <v>1760000</v>
      </c>
      <c r="E79" s="23" t="s">
        <v>762</v>
      </c>
      <c r="F79" s="23" t="str">
        <f t="shared" si="2"/>
        <v>rtdc.l.rtdc.4015:itc</v>
      </c>
      <c r="G79" s="8">
        <f t="shared" si="3"/>
        <v>42613.432256944441</v>
      </c>
    </row>
    <row r="80" spans="1:7" x14ac:dyDescent="0.25">
      <c r="A80" s="8">
        <v>42613.433541666665</v>
      </c>
      <c r="B80" s="23" t="s">
        <v>91</v>
      </c>
      <c r="C80" s="23" t="s">
        <v>828</v>
      </c>
      <c r="D80" s="23">
        <v>1110000</v>
      </c>
      <c r="E80" s="23" t="s">
        <v>259</v>
      </c>
      <c r="F80" s="23" t="str">
        <f t="shared" si="2"/>
        <v>rtdc.l.rtdc.4029:itc</v>
      </c>
      <c r="G80" s="8">
        <f t="shared" si="3"/>
        <v>42613.433541666665</v>
      </c>
    </row>
    <row r="81" spans="1:7" x14ac:dyDescent="0.25">
      <c r="A81" s="8">
        <v>42613.43854166667</v>
      </c>
      <c r="B81" s="23" t="s">
        <v>90</v>
      </c>
      <c r="C81" s="23" t="s">
        <v>829</v>
      </c>
      <c r="D81" s="23">
        <v>1090000</v>
      </c>
      <c r="E81" s="23" t="s">
        <v>329</v>
      </c>
      <c r="F81" s="23" t="str">
        <f t="shared" si="2"/>
        <v>rtdc.l.rtdc.4013:itc</v>
      </c>
      <c r="G81" s="8">
        <f t="shared" si="3"/>
        <v>42613.43854166667</v>
      </c>
    </row>
    <row r="82" spans="1:7" x14ac:dyDescent="0.25">
      <c r="A82" s="8">
        <v>42613.442141203705</v>
      </c>
      <c r="B82" s="23" t="s">
        <v>720</v>
      </c>
      <c r="C82" s="23" t="s">
        <v>830</v>
      </c>
      <c r="D82" s="23">
        <v>1100000</v>
      </c>
      <c r="E82" s="23" t="s">
        <v>347</v>
      </c>
      <c r="F82" s="23" t="str">
        <f t="shared" si="2"/>
        <v>rtdc.l.rtdc.4008:itc</v>
      </c>
      <c r="G82" s="8">
        <f t="shared" si="3"/>
        <v>42613.442141203705</v>
      </c>
    </row>
    <row r="83" spans="1:7" x14ac:dyDescent="0.25">
      <c r="A83" s="8">
        <v>42613.44326388889</v>
      </c>
      <c r="B83" s="23" t="s">
        <v>228</v>
      </c>
      <c r="C83" s="23" t="s">
        <v>831</v>
      </c>
      <c r="D83" s="23">
        <v>2230000</v>
      </c>
      <c r="E83" s="23" t="s">
        <v>503</v>
      </c>
      <c r="F83" s="23" t="str">
        <f t="shared" si="2"/>
        <v>rtdc.l.rtdc.4044:itc</v>
      </c>
      <c r="G83" s="8">
        <f t="shared" si="3"/>
        <v>42613.44326388889</v>
      </c>
    </row>
    <row r="84" spans="1:7" x14ac:dyDescent="0.25">
      <c r="A84" s="8">
        <v>42613.450185185182</v>
      </c>
      <c r="B84" s="23" t="s">
        <v>325</v>
      </c>
      <c r="C84" s="23" t="s">
        <v>832</v>
      </c>
      <c r="D84" s="23">
        <v>2030000</v>
      </c>
      <c r="E84" s="23" t="s">
        <v>246</v>
      </c>
      <c r="F84" s="23" t="str">
        <f t="shared" si="2"/>
        <v>rtdc.l.rtdc.4012:itc</v>
      </c>
      <c r="G84" s="8">
        <f t="shared" si="3"/>
        <v>42613.450185185182</v>
      </c>
    </row>
    <row r="85" spans="1:7" x14ac:dyDescent="0.25">
      <c r="A85" s="8">
        <v>42613.455682870372</v>
      </c>
      <c r="B85" s="23" t="s">
        <v>154</v>
      </c>
      <c r="C85" s="23" t="s">
        <v>833</v>
      </c>
      <c r="D85" s="23">
        <v>2260000</v>
      </c>
      <c r="E85" s="23" t="s">
        <v>162</v>
      </c>
      <c r="F85" s="23" t="str">
        <f t="shared" si="2"/>
        <v>rtdc.l.rtdc.4002:itc</v>
      </c>
      <c r="G85" s="8">
        <f t="shared" si="3"/>
        <v>42613.455682870372</v>
      </c>
    </row>
    <row r="86" spans="1:7" x14ac:dyDescent="0.25">
      <c r="A86" s="8">
        <v>42613.464780092596</v>
      </c>
      <c r="B86" s="23" t="s">
        <v>349</v>
      </c>
      <c r="C86" s="23" t="s">
        <v>834</v>
      </c>
      <c r="D86" s="23">
        <v>900000</v>
      </c>
      <c r="E86" s="23" t="s">
        <v>330</v>
      </c>
      <c r="F86" s="23" t="str">
        <f t="shared" si="2"/>
        <v>rtdc.l.rtdc.4041:itc</v>
      </c>
      <c r="G86" s="8">
        <f t="shared" si="3"/>
        <v>42613.464780092596</v>
      </c>
    </row>
    <row r="87" spans="1:7" x14ac:dyDescent="0.25">
      <c r="A87" s="8">
        <v>42613.465370370373</v>
      </c>
      <c r="B87" s="23" t="s">
        <v>724</v>
      </c>
      <c r="C87" s="23" t="s">
        <v>835</v>
      </c>
      <c r="D87" s="23">
        <v>1280000</v>
      </c>
      <c r="E87" s="23" t="s">
        <v>261</v>
      </c>
      <c r="F87" s="23" t="str">
        <f t="shared" si="2"/>
        <v>rtdc.l.rtdc.4016:itc</v>
      </c>
      <c r="G87" s="8">
        <f t="shared" si="3"/>
        <v>42613.465370370373</v>
      </c>
    </row>
    <row r="88" spans="1:7" x14ac:dyDescent="0.25">
      <c r="A88" s="8">
        <v>42613.470358796294</v>
      </c>
      <c r="B88" s="23" t="s">
        <v>781</v>
      </c>
      <c r="C88" s="23" t="s">
        <v>836</v>
      </c>
      <c r="D88" s="23">
        <v>1100000</v>
      </c>
      <c r="E88" s="23" t="s">
        <v>347</v>
      </c>
      <c r="F88" s="23" t="str">
        <f t="shared" si="2"/>
        <v>rtdc.l.rtdc.4007:itc</v>
      </c>
      <c r="G88" s="8">
        <f t="shared" si="3"/>
        <v>42613.470358796294</v>
      </c>
    </row>
    <row r="89" spans="1:7" x14ac:dyDescent="0.25">
      <c r="A89" s="8">
        <v>42613.472685185188</v>
      </c>
      <c r="B89" s="23" t="s">
        <v>92</v>
      </c>
      <c r="C89" s="23" t="s">
        <v>837</v>
      </c>
      <c r="D89" s="23">
        <v>1110000</v>
      </c>
      <c r="E89" s="23" t="s">
        <v>259</v>
      </c>
      <c r="F89" s="23" t="str">
        <f t="shared" si="2"/>
        <v>rtdc.l.rtdc.4030:itc</v>
      </c>
      <c r="G89" s="8">
        <f t="shared" si="3"/>
        <v>42613.472685185188</v>
      </c>
    </row>
    <row r="90" spans="1:7" x14ac:dyDescent="0.25">
      <c r="A90" s="8">
        <v>42613.475034722222</v>
      </c>
      <c r="B90" s="23" t="s">
        <v>111</v>
      </c>
      <c r="C90" s="23" t="s">
        <v>838</v>
      </c>
      <c r="D90" s="23">
        <v>2280000</v>
      </c>
      <c r="E90" s="23" t="s">
        <v>839</v>
      </c>
      <c r="F90" s="23" t="str">
        <f t="shared" si="2"/>
        <v>rtdc.l.rtdc.4014:itc</v>
      </c>
      <c r="G90" s="8">
        <f t="shared" si="3"/>
        <v>42613.475034722222</v>
      </c>
    </row>
    <row r="91" spans="1:7" x14ac:dyDescent="0.25">
      <c r="A91" s="8">
        <v>42613.480393518519</v>
      </c>
      <c r="B91" s="23" t="s">
        <v>226</v>
      </c>
      <c r="C91" s="23" t="s">
        <v>714</v>
      </c>
      <c r="D91" s="23">
        <v>2230000</v>
      </c>
      <c r="E91" s="23" t="s">
        <v>503</v>
      </c>
      <c r="F91" s="23" t="str">
        <f t="shared" si="2"/>
        <v>rtdc.l.rtdc.4043:itc</v>
      </c>
      <c r="G91" s="8">
        <f t="shared" si="3"/>
        <v>42613.480393518519</v>
      </c>
    </row>
    <row r="92" spans="1:7" x14ac:dyDescent="0.25">
      <c r="A92" s="8">
        <v>42613.484756944446</v>
      </c>
      <c r="B92" s="23" t="s">
        <v>720</v>
      </c>
      <c r="C92" s="23" t="s">
        <v>840</v>
      </c>
      <c r="D92" s="23">
        <v>1100000</v>
      </c>
      <c r="E92" s="23" t="s">
        <v>347</v>
      </c>
      <c r="F92" s="23" t="str">
        <f t="shared" si="2"/>
        <v>rtdc.l.rtdc.4008:itc</v>
      </c>
      <c r="G92" s="8">
        <f t="shared" si="3"/>
        <v>42613.484756944446</v>
      </c>
    </row>
    <row r="93" spans="1:7" x14ac:dyDescent="0.25">
      <c r="A93" s="8">
        <v>42613.486377314817</v>
      </c>
      <c r="B93" s="23" t="s">
        <v>213</v>
      </c>
      <c r="C93" s="23" t="s">
        <v>841</v>
      </c>
      <c r="D93" s="23">
        <v>2100000</v>
      </c>
      <c r="E93" s="23" t="s">
        <v>136</v>
      </c>
      <c r="F93" s="23" t="str">
        <f t="shared" si="2"/>
        <v>rtdc.l.rtdc.4011:itc</v>
      </c>
      <c r="G93" s="8">
        <f t="shared" si="3"/>
        <v>42613.486377314817</v>
      </c>
    </row>
    <row r="94" spans="1:7" x14ac:dyDescent="0.25">
      <c r="A94" s="8">
        <v>42613.489965277775</v>
      </c>
      <c r="B94" s="23" t="s">
        <v>227</v>
      </c>
      <c r="C94" s="23" t="s">
        <v>842</v>
      </c>
      <c r="D94" s="23">
        <v>2140000</v>
      </c>
      <c r="E94" s="23" t="s">
        <v>497</v>
      </c>
      <c r="F94" s="23" t="str">
        <f t="shared" si="2"/>
        <v>rtdc.l.rtdc.4001:itc</v>
      </c>
      <c r="G94" s="8">
        <f t="shared" si="3"/>
        <v>42613.489965277775</v>
      </c>
    </row>
    <row r="95" spans="1:7" x14ac:dyDescent="0.25">
      <c r="A95" s="8">
        <v>42613.496516203704</v>
      </c>
      <c r="B95" s="23" t="s">
        <v>418</v>
      </c>
      <c r="C95" s="23" t="s">
        <v>843</v>
      </c>
      <c r="D95" s="23">
        <v>1140000</v>
      </c>
      <c r="E95" s="23" t="s">
        <v>262</v>
      </c>
      <c r="F95" s="23" t="str">
        <f t="shared" si="2"/>
        <v>rtdc.l.rtdc.4042:itc</v>
      </c>
      <c r="G95" s="8">
        <f t="shared" si="3"/>
        <v>42613.496516203704</v>
      </c>
    </row>
    <row r="96" spans="1:7" x14ac:dyDescent="0.25">
      <c r="A96" s="8">
        <v>42613.50104166667</v>
      </c>
      <c r="B96" s="23" t="s">
        <v>746</v>
      </c>
      <c r="C96" s="23" t="s">
        <v>844</v>
      </c>
      <c r="D96" s="23">
        <v>1280000</v>
      </c>
      <c r="E96" s="23" t="s">
        <v>261</v>
      </c>
      <c r="F96" s="23" t="str">
        <f t="shared" si="2"/>
        <v>rtdc.l.rtdc.4015:itc</v>
      </c>
      <c r="G96" s="8">
        <f t="shared" si="3"/>
        <v>42613.50104166667</v>
      </c>
    </row>
    <row r="97" spans="1:7" x14ac:dyDescent="0.25">
      <c r="A97" s="8">
        <v>42613.511458333334</v>
      </c>
      <c r="B97" s="23" t="s">
        <v>91</v>
      </c>
      <c r="C97" s="23" t="s">
        <v>845</v>
      </c>
      <c r="D97" s="23">
        <v>2270000</v>
      </c>
      <c r="E97" s="23" t="s">
        <v>466</v>
      </c>
      <c r="F97" s="23" t="str">
        <f t="shared" si="2"/>
        <v>rtdc.l.rtdc.4029:itc</v>
      </c>
      <c r="G97" s="8">
        <f t="shared" si="3"/>
        <v>42613.511458333334</v>
      </c>
    </row>
    <row r="98" spans="1:7" x14ac:dyDescent="0.25">
      <c r="A98" s="8">
        <v>42613.512592592589</v>
      </c>
      <c r="B98" s="23" t="s">
        <v>781</v>
      </c>
      <c r="C98" s="23" t="s">
        <v>846</v>
      </c>
      <c r="D98" s="23">
        <v>1100000</v>
      </c>
      <c r="E98" s="23" t="s">
        <v>347</v>
      </c>
      <c r="F98" s="23" t="str">
        <f t="shared" si="2"/>
        <v>rtdc.l.rtdc.4007:itc</v>
      </c>
      <c r="G98" s="8">
        <f t="shared" si="3"/>
        <v>42613.512592592589</v>
      </c>
    </row>
    <row r="99" spans="1:7" x14ac:dyDescent="0.25">
      <c r="A99" s="8">
        <v>42613.516412037039</v>
      </c>
      <c r="B99" s="23" t="s">
        <v>90</v>
      </c>
      <c r="C99" s="23" t="s">
        <v>847</v>
      </c>
      <c r="D99" s="23">
        <v>2280000</v>
      </c>
      <c r="E99" s="23" t="s">
        <v>839</v>
      </c>
      <c r="F99" s="23" t="str">
        <f t="shared" si="2"/>
        <v>rtdc.l.rtdc.4013:itc</v>
      </c>
      <c r="G99" s="8">
        <f t="shared" si="3"/>
        <v>42613.516412037039</v>
      </c>
    </row>
    <row r="100" spans="1:7" x14ac:dyDescent="0.25">
      <c r="A100" s="8">
        <v>42613.521574074075</v>
      </c>
      <c r="B100" s="23" t="s">
        <v>228</v>
      </c>
      <c r="C100" s="23" t="s">
        <v>848</v>
      </c>
      <c r="D100" s="23">
        <v>1780000</v>
      </c>
      <c r="E100" s="23" t="s">
        <v>849</v>
      </c>
      <c r="F100" s="23" t="str">
        <f t="shared" si="2"/>
        <v>rtdc.l.rtdc.4044:itc</v>
      </c>
      <c r="G100" s="8">
        <f t="shared" si="3"/>
        <v>42613.521574074075</v>
      </c>
    </row>
    <row r="101" spans="1:7" x14ac:dyDescent="0.25">
      <c r="A101" s="8">
        <v>42613.523506944446</v>
      </c>
      <c r="B101" s="23" t="s">
        <v>325</v>
      </c>
      <c r="C101" s="23" t="s">
        <v>850</v>
      </c>
      <c r="D101" s="23">
        <v>2100000</v>
      </c>
      <c r="E101" s="23" t="s">
        <v>136</v>
      </c>
      <c r="F101" s="23" t="str">
        <f t="shared" si="2"/>
        <v>rtdc.l.rtdc.4012:itc</v>
      </c>
      <c r="G101" s="8">
        <f t="shared" si="3"/>
        <v>42613.523506944446</v>
      </c>
    </row>
    <row r="102" spans="1:7" x14ac:dyDescent="0.25">
      <c r="A102" s="8">
        <v>42613.525983796295</v>
      </c>
      <c r="B102" s="23" t="s">
        <v>720</v>
      </c>
      <c r="C102" s="23" t="s">
        <v>851</v>
      </c>
      <c r="D102" s="23">
        <v>1100000</v>
      </c>
      <c r="E102" s="23" t="s">
        <v>347</v>
      </c>
      <c r="F102" s="23" t="str">
        <f t="shared" si="2"/>
        <v>rtdc.l.rtdc.4008:itc</v>
      </c>
      <c r="G102" s="8">
        <f t="shared" si="3"/>
        <v>42613.525983796295</v>
      </c>
    </row>
    <row r="103" spans="1:7" x14ac:dyDescent="0.25">
      <c r="A103" s="8">
        <v>42613.530902777777</v>
      </c>
      <c r="B103" s="23" t="s">
        <v>154</v>
      </c>
      <c r="C103" s="23" t="s">
        <v>852</v>
      </c>
      <c r="D103" s="23">
        <v>2260000</v>
      </c>
      <c r="E103" s="23" t="s">
        <v>162</v>
      </c>
      <c r="F103" s="23" t="str">
        <f t="shared" si="2"/>
        <v>rtdc.l.rtdc.4002:itc</v>
      </c>
      <c r="G103" s="8">
        <f t="shared" si="3"/>
        <v>42613.530902777777</v>
      </c>
    </row>
    <row r="104" spans="1:7" x14ac:dyDescent="0.25">
      <c r="A104" s="8">
        <v>42613.537002314813</v>
      </c>
      <c r="B104" s="23" t="s">
        <v>349</v>
      </c>
      <c r="C104" s="23" t="s">
        <v>853</v>
      </c>
      <c r="D104" s="23">
        <v>1140000</v>
      </c>
      <c r="E104" s="23" t="s">
        <v>262</v>
      </c>
      <c r="F104" s="23" t="str">
        <f t="shared" si="2"/>
        <v>rtdc.l.rtdc.4041:itc</v>
      </c>
      <c r="G104" s="8">
        <f t="shared" si="3"/>
        <v>42613.537002314813</v>
      </c>
    </row>
    <row r="105" spans="1:7" x14ac:dyDescent="0.25">
      <c r="A105" s="8">
        <v>42613.539837962962</v>
      </c>
      <c r="B105" s="23" t="s">
        <v>724</v>
      </c>
      <c r="C105" s="23" t="s">
        <v>854</v>
      </c>
      <c r="D105" s="23">
        <v>1280000</v>
      </c>
      <c r="E105" s="23" t="s">
        <v>261</v>
      </c>
      <c r="F105" s="23" t="str">
        <f t="shared" si="2"/>
        <v>rtdc.l.rtdc.4016:itc</v>
      </c>
      <c r="G105" s="8">
        <f t="shared" si="3"/>
        <v>42613.539837962962</v>
      </c>
    </row>
    <row r="106" spans="1:7" x14ac:dyDescent="0.25">
      <c r="A106" s="8">
        <v>42613.547337962962</v>
      </c>
      <c r="B106" s="23" t="s">
        <v>92</v>
      </c>
      <c r="C106" s="23" t="s">
        <v>855</v>
      </c>
      <c r="D106" s="23">
        <v>2270000</v>
      </c>
      <c r="E106" s="23" t="s">
        <v>466</v>
      </c>
      <c r="F106" s="23" t="str">
        <f t="shared" si="2"/>
        <v>rtdc.l.rtdc.4030:itc</v>
      </c>
      <c r="G106" s="8">
        <f t="shared" si="3"/>
        <v>42613.547337962962</v>
      </c>
    </row>
    <row r="107" spans="1:7" x14ac:dyDescent="0.25">
      <c r="A107" s="8">
        <v>42613.550439814811</v>
      </c>
      <c r="B107" s="23" t="s">
        <v>781</v>
      </c>
      <c r="C107" s="23" t="s">
        <v>856</v>
      </c>
      <c r="D107" s="23">
        <v>2040000</v>
      </c>
      <c r="E107" s="23" t="s">
        <v>857</v>
      </c>
      <c r="F107" s="23" t="str">
        <f t="shared" si="2"/>
        <v>rtdc.l.rtdc.4007:itc</v>
      </c>
      <c r="G107" s="8">
        <f t="shared" si="3"/>
        <v>42613.550439814811</v>
      </c>
    </row>
    <row r="108" spans="1:7" x14ac:dyDescent="0.25">
      <c r="A108" s="8">
        <v>42613.556296296294</v>
      </c>
      <c r="B108" s="23" t="s">
        <v>111</v>
      </c>
      <c r="C108" s="23" t="s">
        <v>731</v>
      </c>
      <c r="D108" s="23">
        <v>2280000</v>
      </c>
      <c r="E108" s="23" t="s">
        <v>839</v>
      </c>
      <c r="F108" s="23" t="str">
        <f t="shared" si="2"/>
        <v>rtdc.l.rtdc.4014:itc</v>
      </c>
      <c r="G108" s="8">
        <f t="shared" si="3"/>
        <v>42613.556296296294</v>
      </c>
    </row>
    <row r="109" spans="1:7" x14ac:dyDescent="0.25">
      <c r="A109" s="8">
        <v>42613.557592592595</v>
      </c>
      <c r="B109" s="23" t="s">
        <v>226</v>
      </c>
      <c r="C109" s="23" t="s">
        <v>858</v>
      </c>
      <c r="D109" s="23">
        <v>1780000</v>
      </c>
      <c r="E109" s="23" t="s">
        <v>849</v>
      </c>
      <c r="F109" s="23" t="str">
        <f t="shared" si="2"/>
        <v>rtdc.l.rtdc.4043:itc</v>
      </c>
      <c r="G109" s="8">
        <f t="shared" si="3"/>
        <v>42613.557592592595</v>
      </c>
    </row>
    <row r="110" spans="1:7" x14ac:dyDescent="0.25">
      <c r="A110" s="8">
        <v>42613.562824074077</v>
      </c>
      <c r="B110" s="23" t="s">
        <v>213</v>
      </c>
      <c r="C110" s="23" t="s">
        <v>859</v>
      </c>
      <c r="D110" s="23">
        <v>2100000</v>
      </c>
      <c r="E110" s="23" t="s">
        <v>136</v>
      </c>
      <c r="F110" s="23" t="str">
        <f t="shared" si="2"/>
        <v>rtdc.l.rtdc.4011:itc</v>
      </c>
      <c r="G110" s="8">
        <f t="shared" si="3"/>
        <v>42613.562824074077</v>
      </c>
    </row>
    <row r="111" spans="1:7" x14ac:dyDescent="0.25">
      <c r="A111" s="8">
        <v>42613.56585648148</v>
      </c>
      <c r="B111" s="23" t="s">
        <v>227</v>
      </c>
      <c r="C111" s="23" t="s">
        <v>860</v>
      </c>
      <c r="D111" s="23">
        <v>2140000</v>
      </c>
      <c r="E111" s="23" t="s">
        <v>497</v>
      </c>
      <c r="F111" s="23" t="str">
        <f t="shared" si="2"/>
        <v>rtdc.l.rtdc.4001:itc</v>
      </c>
      <c r="G111" s="8">
        <f t="shared" si="3"/>
        <v>42613.56585648148</v>
      </c>
    </row>
    <row r="112" spans="1:7" x14ac:dyDescent="0.25">
      <c r="A112" s="8">
        <v>42613.568553240744</v>
      </c>
      <c r="B112" s="23" t="s">
        <v>720</v>
      </c>
      <c r="C112" s="23" t="s">
        <v>861</v>
      </c>
      <c r="D112" s="23">
        <v>2040000</v>
      </c>
      <c r="E112" s="23" t="s">
        <v>857</v>
      </c>
      <c r="F112" s="23" t="str">
        <f t="shared" si="2"/>
        <v>rtdc.l.rtdc.4008:itc</v>
      </c>
      <c r="G112" s="8">
        <f t="shared" si="3"/>
        <v>42613.568553240744</v>
      </c>
    </row>
    <row r="113" spans="1:7" x14ac:dyDescent="0.25">
      <c r="A113" s="8">
        <v>42613.57508101852</v>
      </c>
      <c r="B113" s="23" t="s">
        <v>418</v>
      </c>
      <c r="C113" s="23" t="s">
        <v>862</v>
      </c>
      <c r="D113" s="23">
        <v>1140000</v>
      </c>
      <c r="E113" s="23" t="s">
        <v>262</v>
      </c>
      <c r="F113" s="23" t="str">
        <f t="shared" si="2"/>
        <v>rtdc.l.rtdc.4042:itc</v>
      </c>
      <c r="G113" s="8">
        <f t="shared" si="3"/>
        <v>42613.57508101852</v>
      </c>
    </row>
    <row r="114" spans="1:7" x14ac:dyDescent="0.25">
      <c r="A114" s="8">
        <v>42613.575208333335</v>
      </c>
      <c r="B114" s="23" t="s">
        <v>746</v>
      </c>
      <c r="C114" s="23" t="s">
        <v>863</v>
      </c>
      <c r="D114" s="23">
        <v>1280000</v>
      </c>
      <c r="E114" s="23" t="s">
        <v>261</v>
      </c>
      <c r="F114" s="23" t="str">
        <f t="shared" si="2"/>
        <v>rtdc.l.rtdc.4015:itc</v>
      </c>
      <c r="G114" s="8">
        <f t="shared" si="3"/>
        <v>42613.575208333335</v>
      </c>
    </row>
    <row r="115" spans="1:7" x14ac:dyDescent="0.25">
      <c r="A115" s="8">
        <v>42613.583495370367</v>
      </c>
      <c r="B115" s="23" t="s">
        <v>91</v>
      </c>
      <c r="C115" s="23" t="s">
        <v>864</v>
      </c>
      <c r="D115" s="23">
        <v>2270000</v>
      </c>
      <c r="E115" s="23" t="s">
        <v>466</v>
      </c>
      <c r="F115" s="23" t="str">
        <f t="shared" si="2"/>
        <v>rtdc.l.rtdc.4029:itc</v>
      </c>
      <c r="G115" s="8">
        <f t="shared" si="3"/>
        <v>42613.583495370367</v>
      </c>
    </row>
    <row r="116" spans="1:7" x14ac:dyDescent="0.25">
      <c r="A116" s="8">
        <v>42613.591064814813</v>
      </c>
      <c r="B116" s="23" t="s">
        <v>781</v>
      </c>
      <c r="C116" s="23" t="s">
        <v>865</v>
      </c>
      <c r="D116" s="23">
        <v>2040000</v>
      </c>
      <c r="E116" s="23" t="s">
        <v>857</v>
      </c>
      <c r="F116" s="23" t="str">
        <f t="shared" si="2"/>
        <v>rtdc.l.rtdc.4007:itc</v>
      </c>
      <c r="G116" s="8">
        <f t="shared" si="3"/>
        <v>42613.591064814813</v>
      </c>
    </row>
    <row r="117" spans="1:7" x14ac:dyDescent="0.25">
      <c r="A117" s="8">
        <v>42613.59134259259</v>
      </c>
      <c r="B117" s="23" t="s">
        <v>228</v>
      </c>
      <c r="C117" s="23" t="s">
        <v>866</v>
      </c>
      <c r="D117" s="23">
        <v>1780000</v>
      </c>
      <c r="E117" s="23" t="s">
        <v>849</v>
      </c>
      <c r="F117" s="23" t="str">
        <f t="shared" si="2"/>
        <v>rtdc.l.rtdc.4044:itc</v>
      </c>
      <c r="G117" s="8">
        <f t="shared" si="3"/>
        <v>42613.59134259259</v>
      </c>
    </row>
    <row r="118" spans="1:7" x14ac:dyDescent="0.25">
      <c r="A118" s="8">
        <v>42613.592928240738</v>
      </c>
      <c r="B118" s="23" t="s">
        <v>90</v>
      </c>
      <c r="C118" s="23" t="s">
        <v>743</v>
      </c>
      <c r="D118" s="23">
        <v>2280000</v>
      </c>
      <c r="E118" s="23" t="s">
        <v>839</v>
      </c>
      <c r="F118" s="23" t="str">
        <f t="shared" si="2"/>
        <v>rtdc.l.rtdc.4013:itc</v>
      </c>
      <c r="G118" s="8">
        <f t="shared" si="3"/>
        <v>42613.592928240738</v>
      </c>
    </row>
    <row r="119" spans="1:7" x14ac:dyDescent="0.25">
      <c r="A119" s="8">
        <v>42613.596458333333</v>
      </c>
      <c r="B119" s="23" t="s">
        <v>325</v>
      </c>
      <c r="C119" s="23" t="s">
        <v>867</v>
      </c>
      <c r="D119" s="23">
        <v>2100000</v>
      </c>
      <c r="E119" s="23" t="s">
        <v>136</v>
      </c>
      <c r="F119" s="23" t="str">
        <f t="shared" si="2"/>
        <v>rtdc.l.rtdc.4012:itc</v>
      </c>
      <c r="G119" s="8">
        <f t="shared" si="3"/>
        <v>42613.596458333333</v>
      </c>
    </row>
    <row r="120" spans="1:7" x14ac:dyDescent="0.25">
      <c r="A120" s="8">
        <v>42613.603368055556</v>
      </c>
      <c r="B120" s="23" t="s">
        <v>154</v>
      </c>
      <c r="C120" s="23" t="s">
        <v>868</v>
      </c>
      <c r="D120" s="23">
        <v>2260000</v>
      </c>
      <c r="E120" s="23" t="s">
        <v>162</v>
      </c>
      <c r="F120" s="23" t="str">
        <f t="shared" si="2"/>
        <v>rtdc.l.rtdc.4002:itc</v>
      </c>
      <c r="G120" s="8">
        <f t="shared" si="3"/>
        <v>42613.603368055556</v>
      </c>
    </row>
    <row r="121" spans="1:7" x14ac:dyDescent="0.25">
      <c r="A121" s="8">
        <v>42613.609814814816</v>
      </c>
      <c r="B121" s="23" t="s">
        <v>720</v>
      </c>
      <c r="C121" s="23" t="s">
        <v>869</v>
      </c>
      <c r="D121" s="23">
        <v>2040000</v>
      </c>
      <c r="E121" s="23" t="s">
        <v>857</v>
      </c>
      <c r="F121" s="23" t="str">
        <f t="shared" si="2"/>
        <v>rtdc.l.rtdc.4008:itc</v>
      </c>
      <c r="G121" s="8">
        <f t="shared" si="3"/>
        <v>42613.609814814816</v>
      </c>
    </row>
    <row r="122" spans="1:7" x14ac:dyDescent="0.25">
      <c r="A122" s="8">
        <v>42613.613761574074</v>
      </c>
      <c r="B122" s="28" t="s">
        <v>724</v>
      </c>
      <c r="C122" s="23" t="s">
        <v>870</v>
      </c>
      <c r="D122" s="23">
        <v>1280000</v>
      </c>
      <c r="E122" s="23" t="s">
        <v>261</v>
      </c>
      <c r="F122" s="23" t="str">
        <f t="shared" si="2"/>
        <v>rtdc.l.rtdc.4016:itc</v>
      </c>
      <c r="G122" s="8">
        <f t="shared" si="3"/>
        <v>42613.613761574074</v>
      </c>
    </row>
    <row r="123" spans="1:7" x14ac:dyDescent="0.25">
      <c r="A123" s="8">
        <v>42613.615289351852</v>
      </c>
      <c r="B123" s="23" t="s">
        <v>349</v>
      </c>
      <c r="C123" s="23" t="s">
        <v>871</v>
      </c>
      <c r="D123" s="23">
        <v>1140000</v>
      </c>
      <c r="E123" s="23" t="s">
        <v>262</v>
      </c>
      <c r="F123" s="23" t="str">
        <f t="shared" si="2"/>
        <v>rtdc.l.rtdc.4041:itc</v>
      </c>
      <c r="G123" s="8">
        <f t="shared" si="3"/>
        <v>42613.615289351852</v>
      </c>
    </row>
    <row r="124" spans="1:7" x14ac:dyDescent="0.25">
      <c r="A124" s="8">
        <v>42613.616678240738</v>
      </c>
      <c r="B124" s="23" t="s">
        <v>92</v>
      </c>
      <c r="C124" s="23" t="s">
        <v>872</v>
      </c>
      <c r="D124" s="23">
        <v>2270000</v>
      </c>
      <c r="E124" s="23" t="s">
        <v>466</v>
      </c>
      <c r="F124" s="23" t="str">
        <f t="shared" si="2"/>
        <v>rtdc.l.rtdc.4030:itc</v>
      </c>
      <c r="G124" s="8">
        <f t="shared" si="3"/>
        <v>42613.616678240738</v>
      </c>
    </row>
    <row r="125" spans="1:7" x14ac:dyDescent="0.25">
      <c r="A125" s="8">
        <v>42613.628541666665</v>
      </c>
      <c r="B125" s="23" t="s">
        <v>226</v>
      </c>
      <c r="C125" s="23" t="s">
        <v>873</v>
      </c>
      <c r="D125" s="23">
        <v>1780000</v>
      </c>
      <c r="E125" s="23" t="s">
        <v>849</v>
      </c>
      <c r="F125" s="23" t="str">
        <f t="shared" si="2"/>
        <v>rtdc.l.rtdc.4043:itc</v>
      </c>
      <c r="G125" s="8">
        <f t="shared" si="3"/>
        <v>42613.628541666665</v>
      </c>
    </row>
    <row r="126" spans="1:7" x14ac:dyDescent="0.25">
      <c r="A126" s="8">
        <v>42613.629629629628</v>
      </c>
      <c r="B126" s="23" t="s">
        <v>111</v>
      </c>
      <c r="C126" s="23" t="s">
        <v>874</v>
      </c>
      <c r="D126" s="23">
        <v>2280000</v>
      </c>
      <c r="E126" s="23" t="s">
        <v>839</v>
      </c>
      <c r="F126" s="23" t="str">
        <f t="shared" si="2"/>
        <v>rtdc.l.rtdc.4014:itc</v>
      </c>
      <c r="G126" s="8">
        <f t="shared" si="3"/>
        <v>42613.629629629628</v>
      </c>
    </row>
    <row r="127" spans="1:7" x14ac:dyDescent="0.25">
      <c r="A127" s="8">
        <v>42613.636678240742</v>
      </c>
      <c r="B127" s="23" t="s">
        <v>781</v>
      </c>
      <c r="C127" s="23" t="s">
        <v>875</v>
      </c>
      <c r="D127" s="23">
        <v>2040000</v>
      </c>
      <c r="E127" s="23" t="s">
        <v>857</v>
      </c>
      <c r="F127" s="23" t="str">
        <f t="shared" si="2"/>
        <v>rtdc.l.rtdc.4007:itc</v>
      </c>
      <c r="G127" s="8">
        <f t="shared" si="3"/>
        <v>42613.636678240742</v>
      </c>
    </row>
    <row r="128" spans="1:7" x14ac:dyDescent="0.25">
      <c r="A128" s="8">
        <v>42613.637326388889</v>
      </c>
      <c r="B128" s="23" t="s">
        <v>93</v>
      </c>
      <c r="C128" s="23" t="s">
        <v>876</v>
      </c>
      <c r="D128" s="23">
        <v>2100000</v>
      </c>
      <c r="E128" s="23" t="s">
        <v>136</v>
      </c>
      <c r="F128" s="23" t="str">
        <f t="shared" si="2"/>
        <v>rtdc.l.rtdc.4027:itc</v>
      </c>
      <c r="G128" s="8">
        <f t="shared" si="3"/>
        <v>42613.637326388889</v>
      </c>
    </row>
    <row r="129" spans="1:7" x14ac:dyDescent="0.25">
      <c r="A129" s="8">
        <v>42613.639247685183</v>
      </c>
      <c r="B129" s="23" t="s">
        <v>227</v>
      </c>
      <c r="C129" s="23" t="s">
        <v>877</v>
      </c>
      <c r="D129" s="23">
        <v>2140000</v>
      </c>
      <c r="E129" s="23" t="s">
        <v>497</v>
      </c>
      <c r="F129" s="23" t="str">
        <f t="shared" si="2"/>
        <v>rtdc.l.rtdc.4001:itc</v>
      </c>
      <c r="G129" s="8">
        <f t="shared" si="3"/>
        <v>42613.639247685183</v>
      </c>
    </row>
    <row r="130" spans="1:7" x14ac:dyDescent="0.25">
      <c r="A130" s="8">
        <v>42613.641203703701</v>
      </c>
      <c r="B130" s="23" t="s">
        <v>114</v>
      </c>
      <c r="C130" s="23" t="s">
        <v>878</v>
      </c>
      <c r="D130" s="23">
        <v>2220000</v>
      </c>
      <c r="E130" s="23" t="s">
        <v>218</v>
      </c>
      <c r="F130" s="23" t="str">
        <f t="shared" ref="F130:F193" si="4">B130</f>
        <v>rtdc.l.rtdc.4032:itc</v>
      </c>
      <c r="G130" s="8">
        <f t="shared" ref="G130:G193" si="5">A130</f>
        <v>42613.641203703701</v>
      </c>
    </row>
    <row r="131" spans="1:7" x14ac:dyDescent="0.25">
      <c r="A131" s="8">
        <v>42613.645324074074</v>
      </c>
      <c r="B131" s="23" t="s">
        <v>746</v>
      </c>
      <c r="C131" s="23" t="s">
        <v>879</v>
      </c>
      <c r="D131" s="23">
        <v>1280000</v>
      </c>
      <c r="E131" s="23" t="s">
        <v>261</v>
      </c>
      <c r="F131" s="23" t="str">
        <f t="shared" si="4"/>
        <v>rtdc.l.rtdc.4015:itc</v>
      </c>
      <c r="G131" s="8">
        <f t="shared" si="5"/>
        <v>42613.645324074074</v>
      </c>
    </row>
    <row r="132" spans="1:7" x14ac:dyDescent="0.25">
      <c r="A132" s="8">
        <v>42613.647615740738</v>
      </c>
      <c r="B132" s="23" t="s">
        <v>114</v>
      </c>
      <c r="C132" s="23" t="s">
        <v>878</v>
      </c>
      <c r="D132" s="23">
        <v>2220000</v>
      </c>
      <c r="E132" s="23" t="s">
        <v>218</v>
      </c>
      <c r="F132" s="23" t="str">
        <f t="shared" si="4"/>
        <v>rtdc.l.rtdc.4032:itc</v>
      </c>
      <c r="G132" s="8">
        <f t="shared" si="5"/>
        <v>42613.647615740738</v>
      </c>
    </row>
    <row r="133" spans="1:7" x14ac:dyDescent="0.25">
      <c r="A133" s="8">
        <v>42613.651921296296</v>
      </c>
      <c r="B133" s="23" t="s">
        <v>720</v>
      </c>
      <c r="C133" s="23" t="s">
        <v>880</v>
      </c>
      <c r="D133" s="23">
        <v>2040000</v>
      </c>
      <c r="E133" s="23" t="s">
        <v>857</v>
      </c>
      <c r="F133" s="23" t="str">
        <f t="shared" si="4"/>
        <v>rtdc.l.rtdc.4008:itc</v>
      </c>
      <c r="G133" s="8">
        <f t="shared" si="5"/>
        <v>42613.651921296296</v>
      </c>
    </row>
    <row r="134" spans="1:7" x14ac:dyDescent="0.25">
      <c r="A134" s="8">
        <v>42613.655914351853</v>
      </c>
      <c r="B134" s="23" t="s">
        <v>418</v>
      </c>
      <c r="C134" s="23" t="s">
        <v>881</v>
      </c>
      <c r="D134" s="23">
        <v>1140000</v>
      </c>
      <c r="E134" s="23" t="s">
        <v>262</v>
      </c>
      <c r="F134" s="23" t="str">
        <f t="shared" si="4"/>
        <v>rtdc.l.rtdc.4042:itc</v>
      </c>
      <c r="G134" s="8">
        <f t="shared" si="5"/>
        <v>42613.655914351853</v>
      </c>
    </row>
    <row r="135" spans="1:7" x14ac:dyDescent="0.25">
      <c r="A135" s="8">
        <v>42613.656793981485</v>
      </c>
      <c r="B135" s="23" t="s">
        <v>113</v>
      </c>
      <c r="C135" s="23" t="s">
        <v>882</v>
      </c>
      <c r="D135" s="23">
        <v>2220000</v>
      </c>
      <c r="E135" s="23" t="s">
        <v>218</v>
      </c>
      <c r="F135" s="23" t="str">
        <f t="shared" si="4"/>
        <v>rtdc.l.rtdc.4031:itc</v>
      </c>
      <c r="G135" s="8">
        <f t="shared" si="5"/>
        <v>42613.656793981485</v>
      </c>
    </row>
    <row r="136" spans="1:7" x14ac:dyDescent="0.25">
      <c r="A136" s="8">
        <v>42613.660474537035</v>
      </c>
      <c r="B136" s="23" t="s">
        <v>91</v>
      </c>
      <c r="C136" s="23" t="s">
        <v>883</v>
      </c>
      <c r="D136" s="23">
        <v>2270000</v>
      </c>
      <c r="E136" s="23" t="s">
        <v>466</v>
      </c>
      <c r="F136" s="23" t="str">
        <f t="shared" si="4"/>
        <v>rtdc.l.rtdc.4029:itc</v>
      </c>
      <c r="G136" s="8">
        <f t="shared" si="5"/>
        <v>42613.660474537035</v>
      </c>
    </row>
    <row r="137" spans="1:7" x14ac:dyDescent="0.25">
      <c r="A137" s="8">
        <v>42613.668067129627</v>
      </c>
      <c r="B137" s="23" t="s">
        <v>90</v>
      </c>
      <c r="C137" s="23" t="s">
        <v>884</v>
      </c>
      <c r="D137" s="23">
        <v>2280000</v>
      </c>
      <c r="E137" s="23" t="s">
        <v>839</v>
      </c>
      <c r="F137" s="23" t="str">
        <f t="shared" si="4"/>
        <v>rtdc.l.rtdc.4013:itc</v>
      </c>
      <c r="G137" s="8">
        <f t="shared" si="5"/>
        <v>42613.668067129627</v>
      </c>
    </row>
    <row r="138" spans="1:7" x14ac:dyDescent="0.25">
      <c r="A138" s="8">
        <v>42613.670428240737</v>
      </c>
      <c r="B138" s="23" t="s">
        <v>151</v>
      </c>
      <c r="C138" s="23" t="s">
        <v>885</v>
      </c>
      <c r="D138" s="23">
        <v>1780000</v>
      </c>
      <c r="E138" s="23" t="s">
        <v>849</v>
      </c>
      <c r="F138" s="23" t="str">
        <f t="shared" si="4"/>
        <v>rtdc.l.rtdc.4009:itc</v>
      </c>
      <c r="G138" s="8">
        <f t="shared" si="5"/>
        <v>42613.670428240737</v>
      </c>
    </row>
    <row r="139" spans="1:7" x14ac:dyDescent="0.25">
      <c r="A139" s="8">
        <v>42613.672488425924</v>
      </c>
      <c r="B139" s="23" t="s">
        <v>204</v>
      </c>
      <c r="C139" s="23" t="s">
        <v>886</v>
      </c>
      <c r="D139" s="23">
        <v>2100000</v>
      </c>
      <c r="E139" s="23" t="s">
        <v>136</v>
      </c>
      <c r="F139" s="23" t="str">
        <f t="shared" si="4"/>
        <v>rtdc.l.rtdc.4028:itc</v>
      </c>
      <c r="G139" s="8">
        <f t="shared" si="5"/>
        <v>42613.672488425924</v>
      </c>
    </row>
    <row r="140" spans="1:7" x14ac:dyDescent="0.25">
      <c r="A140" s="8">
        <v>42613.673587962963</v>
      </c>
      <c r="B140" s="23" t="s">
        <v>114</v>
      </c>
      <c r="C140" s="23" t="s">
        <v>887</v>
      </c>
      <c r="D140" s="23">
        <v>2220000</v>
      </c>
      <c r="E140" s="23" t="s">
        <v>218</v>
      </c>
      <c r="F140" s="23" t="str">
        <f t="shared" si="4"/>
        <v>rtdc.l.rtdc.4032:itc</v>
      </c>
      <c r="G140" s="8">
        <f t="shared" si="5"/>
        <v>42613.673587962963</v>
      </c>
    </row>
    <row r="141" spans="1:7" x14ac:dyDescent="0.25">
      <c r="A141" s="8">
        <v>42613.675381944442</v>
      </c>
      <c r="B141" s="23" t="s">
        <v>227</v>
      </c>
      <c r="C141" s="23" t="s">
        <v>877</v>
      </c>
      <c r="D141" s="23">
        <v>2140000</v>
      </c>
      <c r="E141" s="23" t="s">
        <v>497</v>
      </c>
      <c r="F141" s="23" t="str">
        <f t="shared" si="4"/>
        <v>rtdc.l.rtdc.4001:itc</v>
      </c>
      <c r="G141" s="8">
        <f t="shared" si="5"/>
        <v>42613.675381944442</v>
      </c>
    </row>
    <row r="142" spans="1:7" x14ac:dyDescent="0.25">
      <c r="A142" s="8">
        <v>42613.677395833336</v>
      </c>
      <c r="B142" s="23" t="s">
        <v>781</v>
      </c>
      <c r="C142" s="23" t="s">
        <v>888</v>
      </c>
      <c r="D142" s="23">
        <v>2040000</v>
      </c>
      <c r="E142" s="23" t="s">
        <v>857</v>
      </c>
      <c r="F142" s="23" t="str">
        <f t="shared" si="4"/>
        <v>rtdc.l.rtdc.4007:itc</v>
      </c>
      <c r="G142" s="8">
        <f t="shared" si="5"/>
        <v>42613.677395833336</v>
      </c>
    </row>
    <row r="143" spans="1:7" x14ac:dyDescent="0.25">
      <c r="A143" s="8">
        <v>42613.678252314814</v>
      </c>
      <c r="B143" s="23" t="s">
        <v>154</v>
      </c>
      <c r="C143" s="23" t="s">
        <v>889</v>
      </c>
      <c r="D143" s="23">
        <v>2260000</v>
      </c>
      <c r="E143" s="23" t="s">
        <v>162</v>
      </c>
      <c r="F143" s="23" t="str">
        <f t="shared" si="4"/>
        <v>rtdc.l.rtdc.4002:itc</v>
      </c>
      <c r="G143" s="8">
        <f t="shared" si="5"/>
        <v>42613.678252314814</v>
      </c>
    </row>
    <row r="144" spans="1:7" x14ac:dyDescent="0.25">
      <c r="A144" s="8">
        <v>42613.679895833331</v>
      </c>
      <c r="B144" s="23" t="s">
        <v>154</v>
      </c>
      <c r="C144" s="23" t="s">
        <v>889</v>
      </c>
      <c r="D144" s="23">
        <v>2260000</v>
      </c>
      <c r="E144" s="23" t="s">
        <v>162</v>
      </c>
      <c r="F144" s="23" t="str">
        <f t="shared" si="4"/>
        <v>rtdc.l.rtdc.4002:itc</v>
      </c>
      <c r="G144" s="8">
        <f t="shared" si="5"/>
        <v>42613.679895833331</v>
      </c>
    </row>
    <row r="145" spans="1:7" x14ac:dyDescent="0.25">
      <c r="A145" s="8">
        <v>42613.69153935185</v>
      </c>
      <c r="B145" s="23" t="s">
        <v>113</v>
      </c>
      <c r="C145" s="23" t="s">
        <v>890</v>
      </c>
      <c r="D145" s="23">
        <v>2220000</v>
      </c>
      <c r="E145" s="23" t="s">
        <v>218</v>
      </c>
      <c r="F145" s="23" t="str">
        <f t="shared" si="4"/>
        <v>rtdc.l.rtdc.4031:itc</v>
      </c>
      <c r="G145" s="8">
        <f t="shared" si="5"/>
        <v>42613.69153935185</v>
      </c>
    </row>
    <row r="146" spans="1:7" x14ac:dyDescent="0.25">
      <c r="A146" s="8">
        <v>42613.69159722222</v>
      </c>
      <c r="B146" s="23" t="s">
        <v>349</v>
      </c>
      <c r="C146" s="23" t="s">
        <v>891</v>
      </c>
      <c r="D146" s="23">
        <v>1140000</v>
      </c>
      <c r="E146" s="23" t="s">
        <v>262</v>
      </c>
      <c r="F146" s="23" t="str">
        <f t="shared" si="4"/>
        <v>rtdc.l.rtdc.4041:itc</v>
      </c>
      <c r="G146" s="8">
        <f t="shared" si="5"/>
        <v>42613.69159722222</v>
      </c>
    </row>
    <row r="147" spans="1:7" x14ac:dyDescent="0.25">
      <c r="A147" s="8">
        <v>42613.691759259258</v>
      </c>
      <c r="B147" s="23" t="s">
        <v>724</v>
      </c>
      <c r="C147" s="23" t="s">
        <v>892</v>
      </c>
      <c r="D147" s="23">
        <v>1280000</v>
      </c>
      <c r="E147" s="23" t="s">
        <v>261</v>
      </c>
      <c r="F147" s="23" t="str">
        <f t="shared" si="4"/>
        <v>rtdc.l.rtdc.4016:itc</v>
      </c>
      <c r="G147" s="8">
        <f t="shared" si="5"/>
        <v>42613.691759259258</v>
      </c>
    </row>
    <row r="148" spans="1:7" x14ac:dyDescent="0.25">
      <c r="A148" s="8">
        <v>42613.693553240744</v>
      </c>
      <c r="B148" s="23" t="s">
        <v>720</v>
      </c>
      <c r="C148" s="23" t="s">
        <v>893</v>
      </c>
      <c r="D148" s="23">
        <v>2040000</v>
      </c>
      <c r="E148" s="23" t="s">
        <v>857</v>
      </c>
      <c r="F148" s="23" t="str">
        <f t="shared" si="4"/>
        <v>rtdc.l.rtdc.4008:itc</v>
      </c>
      <c r="G148" s="8">
        <f t="shared" si="5"/>
        <v>42613.693553240744</v>
      </c>
    </row>
    <row r="149" spans="1:7" x14ac:dyDescent="0.25">
      <c r="A149" s="8">
        <v>42613.698958333334</v>
      </c>
      <c r="B149" s="23" t="s">
        <v>92</v>
      </c>
      <c r="C149" s="23" t="s">
        <v>894</v>
      </c>
      <c r="D149" s="23">
        <v>2270000</v>
      </c>
      <c r="E149" s="23" t="s">
        <v>466</v>
      </c>
      <c r="F149" s="23" t="str">
        <f t="shared" si="4"/>
        <v>rtdc.l.rtdc.4030:itc</v>
      </c>
      <c r="G149" s="8">
        <f t="shared" si="5"/>
        <v>42613.698958333334</v>
      </c>
    </row>
    <row r="150" spans="1:7" x14ac:dyDescent="0.25">
      <c r="A150" s="8">
        <v>42613.704351851855</v>
      </c>
      <c r="B150" s="23" t="s">
        <v>111</v>
      </c>
      <c r="C150" s="23" t="s">
        <v>895</v>
      </c>
      <c r="D150" s="23">
        <v>2280000</v>
      </c>
      <c r="E150" s="23" t="s">
        <v>839</v>
      </c>
      <c r="F150" s="23" t="str">
        <f t="shared" si="4"/>
        <v>rtdc.l.rtdc.4014:itc</v>
      </c>
      <c r="G150" s="8">
        <f t="shared" si="5"/>
        <v>42613.704351851855</v>
      </c>
    </row>
    <row r="151" spans="1:7" x14ac:dyDescent="0.25">
      <c r="A151" s="8">
        <v>42613.707569444443</v>
      </c>
      <c r="B151" s="23" t="s">
        <v>111</v>
      </c>
      <c r="C151" s="23" t="s">
        <v>895</v>
      </c>
      <c r="D151" s="23">
        <v>2280000</v>
      </c>
      <c r="E151" s="23" t="s">
        <v>839</v>
      </c>
      <c r="F151" s="23" t="str">
        <f t="shared" si="4"/>
        <v>rtdc.l.rtdc.4014:itc</v>
      </c>
      <c r="G151" s="8">
        <f t="shared" si="5"/>
        <v>42613.707569444443</v>
      </c>
    </row>
    <row r="152" spans="1:7" x14ac:dyDescent="0.25">
      <c r="A152" s="8">
        <v>42613.712118055555</v>
      </c>
      <c r="B152" s="23" t="s">
        <v>351</v>
      </c>
      <c r="C152" s="23" t="s">
        <v>896</v>
      </c>
      <c r="D152" s="23">
        <v>1780000</v>
      </c>
      <c r="E152" s="23" t="s">
        <v>849</v>
      </c>
      <c r="F152" s="23" t="str">
        <f t="shared" si="4"/>
        <v>rtdc.l.rtdc.4010:itc</v>
      </c>
      <c r="G152" s="8">
        <f t="shared" si="5"/>
        <v>42613.712118055555</v>
      </c>
    </row>
    <row r="153" spans="1:7" x14ac:dyDescent="0.25">
      <c r="A153" s="8">
        <v>42613.712407407409</v>
      </c>
      <c r="B153" s="23" t="s">
        <v>93</v>
      </c>
      <c r="C153" s="23" t="s">
        <v>897</v>
      </c>
      <c r="D153" s="23">
        <v>1480000</v>
      </c>
      <c r="E153" s="23" t="s">
        <v>459</v>
      </c>
      <c r="F153" s="23" t="str">
        <f t="shared" si="4"/>
        <v>rtdc.l.rtdc.4027:itc</v>
      </c>
      <c r="G153" s="8">
        <f t="shared" si="5"/>
        <v>42613.712407407409</v>
      </c>
    </row>
    <row r="154" spans="1:7" x14ac:dyDescent="0.25">
      <c r="A154" s="8">
        <v>42613.714456018519</v>
      </c>
      <c r="B154" s="23" t="s">
        <v>114</v>
      </c>
      <c r="C154" s="23" t="s">
        <v>898</v>
      </c>
      <c r="D154" s="23">
        <v>2220000</v>
      </c>
      <c r="E154" s="23" t="s">
        <v>218</v>
      </c>
      <c r="F154" s="23" t="str">
        <f t="shared" si="4"/>
        <v>rtdc.l.rtdc.4032:itc</v>
      </c>
      <c r="G154" s="8">
        <f t="shared" si="5"/>
        <v>42613.714456018519</v>
      </c>
    </row>
    <row r="155" spans="1:7" x14ac:dyDescent="0.25">
      <c r="A155" s="8">
        <v>42613.715486111112</v>
      </c>
      <c r="B155" s="23" t="s">
        <v>111</v>
      </c>
      <c r="C155" s="23" t="s">
        <v>895</v>
      </c>
      <c r="D155" s="23">
        <v>2280000</v>
      </c>
      <c r="E155" s="23" t="s">
        <v>839</v>
      </c>
      <c r="F155" s="23" t="str">
        <f t="shared" si="4"/>
        <v>rtdc.l.rtdc.4014:itc</v>
      </c>
      <c r="G155" s="8">
        <f t="shared" si="5"/>
        <v>42613.715486111112</v>
      </c>
    </row>
    <row r="156" spans="1:7" x14ac:dyDescent="0.25">
      <c r="A156" s="8">
        <v>42613.717106481483</v>
      </c>
      <c r="B156" s="23" t="s">
        <v>111</v>
      </c>
      <c r="C156" s="23" t="s">
        <v>895</v>
      </c>
      <c r="D156" s="23">
        <v>2280000</v>
      </c>
      <c r="E156" s="23" t="s">
        <v>839</v>
      </c>
      <c r="F156" s="23" t="str">
        <f t="shared" si="4"/>
        <v>rtdc.l.rtdc.4014:itc</v>
      </c>
      <c r="G156" s="8">
        <f t="shared" si="5"/>
        <v>42613.717106481483</v>
      </c>
    </row>
    <row r="157" spans="1:7" x14ac:dyDescent="0.25">
      <c r="A157" s="8">
        <v>42613.719606481478</v>
      </c>
      <c r="B157" s="23" t="s">
        <v>781</v>
      </c>
      <c r="C157" s="23" t="s">
        <v>899</v>
      </c>
      <c r="D157" s="23">
        <v>2040000</v>
      </c>
      <c r="E157" s="23" t="s">
        <v>857</v>
      </c>
      <c r="F157" s="23" t="str">
        <f t="shared" si="4"/>
        <v>rtdc.l.rtdc.4007:itc</v>
      </c>
      <c r="G157" s="8">
        <f t="shared" si="5"/>
        <v>42613.719606481478</v>
      </c>
    </row>
    <row r="158" spans="1:7" x14ac:dyDescent="0.25">
      <c r="A158" s="8">
        <v>42613.720613425925</v>
      </c>
      <c r="B158" s="23" t="s">
        <v>227</v>
      </c>
      <c r="C158" s="23" t="s">
        <v>900</v>
      </c>
      <c r="D158" s="23">
        <v>2140000</v>
      </c>
      <c r="E158" s="23" t="s">
        <v>497</v>
      </c>
      <c r="F158" s="23" t="str">
        <f t="shared" si="4"/>
        <v>rtdc.l.rtdc.4001:itc</v>
      </c>
      <c r="G158" s="8">
        <f t="shared" si="5"/>
        <v>42613.720613425925</v>
      </c>
    </row>
    <row r="159" spans="1:7" x14ac:dyDescent="0.25">
      <c r="A159" s="8">
        <v>42613.726817129631</v>
      </c>
      <c r="B159" s="23" t="s">
        <v>746</v>
      </c>
      <c r="C159" s="23" t="s">
        <v>901</v>
      </c>
      <c r="D159" s="23">
        <v>1280000</v>
      </c>
      <c r="E159" s="23" t="s">
        <v>261</v>
      </c>
      <c r="F159" s="23" t="str">
        <f t="shared" si="4"/>
        <v>rtdc.l.rtdc.4015:itc</v>
      </c>
      <c r="G159" s="8">
        <f t="shared" si="5"/>
        <v>42613.726817129631</v>
      </c>
    </row>
    <row r="160" spans="1:7" x14ac:dyDescent="0.25">
      <c r="A160" s="8">
        <v>42613.729027777779</v>
      </c>
      <c r="B160" s="23" t="s">
        <v>418</v>
      </c>
      <c r="C160" s="23" t="s">
        <v>902</v>
      </c>
      <c r="D160" s="23">
        <v>1140000</v>
      </c>
      <c r="E160" s="23" t="s">
        <v>262</v>
      </c>
      <c r="F160" s="23" t="str">
        <f t="shared" si="4"/>
        <v>rtdc.l.rtdc.4042:itc</v>
      </c>
      <c r="G160" s="8">
        <f t="shared" si="5"/>
        <v>42613.729027777779</v>
      </c>
    </row>
    <row r="161" spans="1:7" x14ac:dyDescent="0.25">
      <c r="A161" s="8">
        <v>42613.734699074077</v>
      </c>
      <c r="B161" s="23" t="s">
        <v>720</v>
      </c>
      <c r="C161" s="23" t="s">
        <v>903</v>
      </c>
      <c r="D161" s="23">
        <v>2040000</v>
      </c>
      <c r="E161" s="23" t="s">
        <v>857</v>
      </c>
      <c r="F161" s="23" t="str">
        <f t="shared" si="4"/>
        <v>rtdc.l.rtdc.4008:itc</v>
      </c>
      <c r="G161" s="8">
        <f t="shared" si="5"/>
        <v>42613.734699074077</v>
      </c>
    </row>
    <row r="162" spans="1:7" x14ac:dyDescent="0.25">
      <c r="A162" s="8">
        <v>42613.735300925924</v>
      </c>
      <c r="B162" s="23" t="s">
        <v>706</v>
      </c>
      <c r="C162" s="23" t="s">
        <v>904</v>
      </c>
      <c r="D162" s="23">
        <v>1200000</v>
      </c>
      <c r="E162" s="23" t="s">
        <v>905</v>
      </c>
      <c r="F162" s="23" t="str">
        <f t="shared" si="4"/>
        <v>rtdc.l.rtdc.4039:itc</v>
      </c>
      <c r="G162" s="8">
        <f t="shared" si="5"/>
        <v>42613.735300925924</v>
      </c>
    </row>
    <row r="163" spans="1:7" x14ac:dyDescent="0.25">
      <c r="A163" s="8">
        <v>42613.737013888887</v>
      </c>
      <c r="B163" s="23" t="s">
        <v>91</v>
      </c>
      <c r="C163" s="23" t="s">
        <v>906</v>
      </c>
      <c r="D163" s="23">
        <v>1230000</v>
      </c>
      <c r="E163" s="23" t="s">
        <v>149</v>
      </c>
      <c r="F163" s="23" t="str">
        <f t="shared" si="4"/>
        <v>rtdc.l.rtdc.4029:itc</v>
      </c>
      <c r="G163" s="8">
        <f t="shared" si="5"/>
        <v>42613.737013888887</v>
      </c>
    </row>
    <row r="164" spans="1:7" x14ac:dyDescent="0.25">
      <c r="A164" s="8">
        <v>42613.740127314813</v>
      </c>
      <c r="B164" s="23" t="s">
        <v>113</v>
      </c>
      <c r="C164" s="23" t="s">
        <v>907</v>
      </c>
      <c r="D164" s="23">
        <v>2220000</v>
      </c>
      <c r="E164" s="23" t="s">
        <v>218</v>
      </c>
      <c r="F164" s="23" t="str">
        <f t="shared" si="4"/>
        <v>rtdc.l.rtdc.4031:itc</v>
      </c>
      <c r="G164" s="8">
        <f t="shared" si="5"/>
        <v>42613.740127314813</v>
      </c>
    </row>
    <row r="165" spans="1:7" x14ac:dyDescent="0.25">
      <c r="A165" s="8">
        <v>42613.746076388888</v>
      </c>
      <c r="B165" s="23" t="s">
        <v>90</v>
      </c>
      <c r="C165" s="23" t="s">
        <v>908</v>
      </c>
      <c r="D165" s="23">
        <v>2280000</v>
      </c>
      <c r="E165" s="23" t="s">
        <v>839</v>
      </c>
      <c r="F165" s="23" t="str">
        <f t="shared" si="4"/>
        <v>rtdc.l.rtdc.4013:itc</v>
      </c>
      <c r="G165" s="8">
        <f t="shared" si="5"/>
        <v>42613.746076388888</v>
      </c>
    </row>
    <row r="166" spans="1:7" x14ac:dyDescent="0.25">
      <c r="A166" s="8">
        <v>42613.746145833335</v>
      </c>
      <c r="B166" s="23" t="s">
        <v>909</v>
      </c>
      <c r="C166" s="23" t="s">
        <v>910</v>
      </c>
      <c r="D166" s="23">
        <v>1290000</v>
      </c>
      <c r="E166" s="23" t="s">
        <v>263</v>
      </c>
      <c r="F166" s="23" t="str">
        <f t="shared" si="4"/>
        <v>rtdc.l.rtdc.4005:itc</v>
      </c>
      <c r="G166" s="8">
        <f t="shared" si="5"/>
        <v>42613.746145833335</v>
      </c>
    </row>
    <row r="167" spans="1:7" x14ac:dyDescent="0.25">
      <c r="A167" s="8">
        <v>42613.747303240743</v>
      </c>
      <c r="B167" s="23" t="s">
        <v>151</v>
      </c>
      <c r="C167" s="23" t="s">
        <v>911</v>
      </c>
      <c r="D167" s="23">
        <v>1780000</v>
      </c>
      <c r="E167" s="23" t="s">
        <v>849</v>
      </c>
      <c r="F167" s="23" t="str">
        <f t="shared" si="4"/>
        <v>rtdc.l.rtdc.4009:itc</v>
      </c>
      <c r="G167" s="8">
        <f t="shared" si="5"/>
        <v>42613.747303240743</v>
      </c>
    </row>
    <row r="168" spans="1:7" x14ac:dyDescent="0.25">
      <c r="A168" s="8">
        <v>42613.751886574071</v>
      </c>
      <c r="B168" s="23" t="s">
        <v>204</v>
      </c>
      <c r="C168" s="23" t="s">
        <v>912</v>
      </c>
      <c r="D168" s="23">
        <v>1480000</v>
      </c>
      <c r="E168" s="23" t="s">
        <v>459</v>
      </c>
      <c r="F168" s="23" t="str">
        <f t="shared" si="4"/>
        <v>rtdc.l.rtdc.4028:itc</v>
      </c>
      <c r="G168" s="8">
        <f t="shared" si="5"/>
        <v>42613.751886574071</v>
      </c>
    </row>
    <row r="169" spans="1:7" x14ac:dyDescent="0.25">
      <c r="A169" s="8">
        <v>42613.753101851849</v>
      </c>
      <c r="B169" s="23" t="s">
        <v>228</v>
      </c>
      <c r="C169" s="23" t="s">
        <v>756</v>
      </c>
      <c r="D169" s="23">
        <v>1740000</v>
      </c>
      <c r="E169" s="23" t="s">
        <v>499</v>
      </c>
      <c r="F169" s="23" t="str">
        <f t="shared" si="4"/>
        <v>rtdc.l.rtdc.4044:itc</v>
      </c>
      <c r="G169" s="8">
        <f t="shared" si="5"/>
        <v>42613.753101851849</v>
      </c>
    </row>
    <row r="170" spans="1:7" x14ac:dyDescent="0.25">
      <c r="A170" s="8">
        <v>42613.755902777775</v>
      </c>
      <c r="B170" s="23" t="s">
        <v>114</v>
      </c>
      <c r="C170" s="23" t="s">
        <v>913</v>
      </c>
      <c r="D170" s="23">
        <v>2220000</v>
      </c>
      <c r="E170" s="23" t="s">
        <v>218</v>
      </c>
      <c r="F170" s="23" t="str">
        <f t="shared" si="4"/>
        <v>rtdc.l.rtdc.4032:itc</v>
      </c>
      <c r="G170" s="8">
        <f t="shared" si="5"/>
        <v>42613.755902777775</v>
      </c>
    </row>
    <row r="171" spans="1:7" x14ac:dyDescent="0.25">
      <c r="A171" s="8">
        <v>42613.758067129631</v>
      </c>
      <c r="B171" s="23" t="s">
        <v>154</v>
      </c>
      <c r="C171" s="23" t="s">
        <v>914</v>
      </c>
      <c r="D171" s="23">
        <v>2000000</v>
      </c>
      <c r="E171" s="23" t="s">
        <v>138</v>
      </c>
      <c r="F171" s="23" t="str">
        <f t="shared" si="4"/>
        <v>rtdc.l.rtdc.4002:itc</v>
      </c>
      <c r="G171" s="8">
        <f t="shared" si="5"/>
        <v>42613.758067129631</v>
      </c>
    </row>
    <row r="172" spans="1:7" x14ac:dyDescent="0.25">
      <c r="A172" s="8">
        <v>42613.763090277775</v>
      </c>
      <c r="B172" s="23" t="s">
        <v>349</v>
      </c>
      <c r="C172" s="23" t="s">
        <v>915</v>
      </c>
      <c r="D172" s="23">
        <v>1140000</v>
      </c>
      <c r="E172" s="23" t="s">
        <v>262</v>
      </c>
      <c r="F172" s="23" t="str">
        <f t="shared" si="4"/>
        <v>rtdc.l.rtdc.4041:itc</v>
      </c>
      <c r="G172" s="8">
        <f t="shared" si="5"/>
        <v>42613.763090277775</v>
      </c>
    </row>
    <row r="173" spans="1:7" x14ac:dyDescent="0.25">
      <c r="A173" s="8">
        <v>42613.764120370368</v>
      </c>
      <c r="B173" s="23" t="s">
        <v>781</v>
      </c>
      <c r="C173" s="23" t="s">
        <v>916</v>
      </c>
      <c r="D173" s="23">
        <v>2040000</v>
      </c>
      <c r="E173" s="23" t="s">
        <v>857</v>
      </c>
      <c r="F173" s="23" t="str">
        <f t="shared" si="4"/>
        <v>rtdc.l.rtdc.4007:itc</v>
      </c>
      <c r="G173" s="8">
        <f t="shared" si="5"/>
        <v>42613.764120370368</v>
      </c>
    </row>
    <row r="174" spans="1:7" x14ac:dyDescent="0.25">
      <c r="A174" s="8">
        <v>42613.771944444445</v>
      </c>
      <c r="B174" s="23" t="s">
        <v>724</v>
      </c>
      <c r="C174" s="23" t="s">
        <v>917</v>
      </c>
      <c r="D174" s="23">
        <v>1290000</v>
      </c>
      <c r="E174" s="23" t="s">
        <v>263</v>
      </c>
      <c r="F174" s="23" t="str">
        <f t="shared" si="4"/>
        <v>rtdc.l.rtdc.4016:itc</v>
      </c>
      <c r="G174" s="8">
        <f t="shared" si="5"/>
        <v>42613.771944444445</v>
      </c>
    </row>
    <row r="175" spans="1:7" x14ac:dyDescent="0.25">
      <c r="A175" s="8">
        <v>42613.773634259262</v>
      </c>
      <c r="B175" s="23" t="s">
        <v>92</v>
      </c>
      <c r="C175" s="23" t="s">
        <v>918</v>
      </c>
      <c r="D175" s="23">
        <v>1230000</v>
      </c>
      <c r="E175" s="23" t="s">
        <v>149</v>
      </c>
      <c r="F175" s="23" t="str">
        <f t="shared" si="4"/>
        <v>rtdc.l.rtdc.4030:itc</v>
      </c>
      <c r="G175" s="8">
        <f t="shared" si="5"/>
        <v>42613.773634259262</v>
      </c>
    </row>
    <row r="176" spans="1:7" x14ac:dyDescent="0.25">
      <c r="A176" s="8">
        <v>42613.774375000001</v>
      </c>
      <c r="B176" s="23" t="s">
        <v>919</v>
      </c>
      <c r="C176" s="23" t="s">
        <v>920</v>
      </c>
      <c r="D176" s="23">
        <v>1280000</v>
      </c>
      <c r="E176" s="23" t="s">
        <v>261</v>
      </c>
      <c r="F176" s="23" t="str">
        <f t="shared" si="4"/>
        <v>rtdc.l.rtdc.4006:itc</v>
      </c>
      <c r="G176" s="8">
        <f t="shared" si="5"/>
        <v>42613.774375000001</v>
      </c>
    </row>
    <row r="177" spans="1:7" x14ac:dyDescent="0.25">
      <c r="A177" s="8">
        <v>42613.776921296296</v>
      </c>
      <c r="B177" s="23" t="s">
        <v>724</v>
      </c>
      <c r="C177" s="23" t="s">
        <v>917</v>
      </c>
      <c r="D177" s="23">
        <v>1290000</v>
      </c>
      <c r="E177" s="23" t="s">
        <v>263</v>
      </c>
      <c r="F177" s="23" t="str">
        <f t="shared" si="4"/>
        <v>rtdc.l.rtdc.4016:itc</v>
      </c>
      <c r="G177" s="8">
        <f t="shared" si="5"/>
        <v>42613.776921296296</v>
      </c>
    </row>
    <row r="178" spans="1:7" x14ac:dyDescent="0.25">
      <c r="A178" s="8">
        <v>42613.777361111112</v>
      </c>
      <c r="B178" s="23" t="s">
        <v>720</v>
      </c>
      <c r="C178" s="23" t="s">
        <v>921</v>
      </c>
      <c r="D178" s="23">
        <v>2040000</v>
      </c>
      <c r="E178" s="23" t="s">
        <v>857</v>
      </c>
      <c r="F178" s="23" t="str">
        <f t="shared" si="4"/>
        <v>rtdc.l.rtdc.4008:itc</v>
      </c>
      <c r="G178" s="8">
        <f t="shared" si="5"/>
        <v>42613.777361111112</v>
      </c>
    </row>
    <row r="179" spans="1:7" x14ac:dyDescent="0.25">
      <c r="A179" s="8">
        <v>42613.780717592592</v>
      </c>
      <c r="B179" s="23" t="s">
        <v>349</v>
      </c>
      <c r="C179" s="23" t="s">
        <v>915</v>
      </c>
      <c r="D179" s="23">
        <v>1140000</v>
      </c>
      <c r="E179" s="23" t="s">
        <v>262</v>
      </c>
      <c r="F179" s="23" t="str">
        <f t="shared" si="4"/>
        <v>rtdc.l.rtdc.4041:itc</v>
      </c>
      <c r="G179" s="8">
        <f t="shared" si="5"/>
        <v>42613.780717592592</v>
      </c>
    </row>
    <row r="180" spans="1:7" x14ac:dyDescent="0.25">
      <c r="A180" s="8">
        <v>42613.783206018517</v>
      </c>
      <c r="B180" s="23" t="s">
        <v>113</v>
      </c>
      <c r="C180" s="23" t="s">
        <v>922</v>
      </c>
      <c r="D180" s="23">
        <v>2220000</v>
      </c>
      <c r="E180" s="23" t="s">
        <v>218</v>
      </c>
      <c r="F180" s="23" t="str">
        <f t="shared" si="4"/>
        <v>rtdc.l.rtdc.4031:itc</v>
      </c>
      <c r="G180" s="8">
        <f t="shared" si="5"/>
        <v>42613.783206018517</v>
      </c>
    </row>
    <row r="181" spans="1:7" x14ac:dyDescent="0.25">
      <c r="A181" s="8">
        <v>42613.783912037034</v>
      </c>
      <c r="B181" s="23" t="s">
        <v>111</v>
      </c>
      <c r="C181" s="23" t="s">
        <v>923</v>
      </c>
      <c r="D181" s="23">
        <v>2280000</v>
      </c>
      <c r="E181" s="23" t="s">
        <v>839</v>
      </c>
      <c r="F181" s="23" t="str">
        <f t="shared" si="4"/>
        <v>rtdc.l.rtdc.4014:itc</v>
      </c>
      <c r="G181" s="8">
        <f t="shared" si="5"/>
        <v>42613.783912037034</v>
      </c>
    </row>
    <row r="182" spans="1:7" x14ac:dyDescent="0.25">
      <c r="A182" s="8">
        <v>42613.785810185182</v>
      </c>
      <c r="B182" s="23" t="s">
        <v>351</v>
      </c>
      <c r="C182" s="23" t="s">
        <v>924</v>
      </c>
      <c r="D182" s="23">
        <v>1780000</v>
      </c>
      <c r="E182" s="23" t="s">
        <v>849</v>
      </c>
      <c r="F182" s="23" t="str">
        <f t="shared" si="4"/>
        <v>rtdc.l.rtdc.4010:itc</v>
      </c>
      <c r="G182" s="8">
        <f t="shared" si="5"/>
        <v>42613.785810185182</v>
      </c>
    </row>
    <row r="183" spans="1:7" x14ac:dyDescent="0.25">
      <c r="A183" s="8">
        <v>42613.788865740738</v>
      </c>
      <c r="B183" s="23" t="s">
        <v>93</v>
      </c>
      <c r="C183" s="23" t="s">
        <v>925</v>
      </c>
      <c r="D183" s="23">
        <v>1480000</v>
      </c>
      <c r="E183" s="23" t="s">
        <v>459</v>
      </c>
      <c r="F183" s="23" t="str">
        <f t="shared" si="4"/>
        <v>rtdc.l.rtdc.4027:itc</v>
      </c>
      <c r="G183" s="8">
        <f t="shared" si="5"/>
        <v>42613.788865740738</v>
      </c>
    </row>
    <row r="184" spans="1:7" x14ac:dyDescent="0.25">
      <c r="A184" s="8">
        <v>42613.796053240738</v>
      </c>
      <c r="B184" s="23" t="s">
        <v>227</v>
      </c>
      <c r="C184" s="23" t="s">
        <v>926</v>
      </c>
      <c r="D184" s="23">
        <v>2000000</v>
      </c>
      <c r="E184" s="23" t="s">
        <v>138</v>
      </c>
      <c r="F184" s="23" t="str">
        <f t="shared" si="4"/>
        <v>rtdc.l.rtdc.4001:itc</v>
      </c>
      <c r="G184" s="8">
        <f t="shared" si="5"/>
        <v>42613.796053240738</v>
      </c>
    </row>
    <row r="185" spans="1:7" x14ac:dyDescent="0.25">
      <c r="A185" s="8">
        <v>42613.798252314817</v>
      </c>
      <c r="B185" s="23" t="s">
        <v>114</v>
      </c>
      <c r="C185" s="23" t="s">
        <v>927</v>
      </c>
      <c r="D185" s="23">
        <v>2220000</v>
      </c>
      <c r="E185" s="23" t="s">
        <v>218</v>
      </c>
      <c r="F185" s="23" t="str">
        <f t="shared" si="4"/>
        <v>rtdc.l.rtdc.4032:itc</v>
      </c>
      <c r="G185" s="8">
        <f t="shared" si="5"/>
        <v>42613.798252314817</v>
      </c>
    </row>
    <row r="186" spans="1:7" x14ac:dyDescent="0.25">
      <c r="A186" s="8">
        <v>42613.802129629628</v>
      </c>
      <c r="B186" s="23" t="s">
        <v>781</v>
      </c>
      <c r="C186" s="23" t="s">
        <v>928</v>
      </c>
      <c r="D186" s="23">
        <v>2040000</v>
      </c>
      <c r="E186" s="23" t="s">
        <v>857</v>
      </c>
      <c r="F186" s="23" t="str">
        <f t="shared" si="4"/>
        <v>rtdc.l.rtdc.4007:itc</v>
      </c>
      <c r="G186" s="8">
        <f t="shared" si="5"/>
        <v>42613.802129629628</v>
      </c>
    </row>
    <row r="187" spans="1:7" x14ac:dyDescent="0.25">
      <c r="A187" s="8">
        <v>42613.80777777778</v>
      </c>
      <c r="B187" s="23" t="s">
        <v>746</v>
      </c>
      <c r="C187" s="23" t="s">
        <v>929</v>
      </c>
      <c r="D187" s="23">
        <v>1290000</v>
      </c>
      <c r="E187" s="23" t="s">
        <v>263</v>
      </c>
      <c r="F187" s="23" t="str">
        <f t="shared" si="4"/>
        <v>rtdc.l.rtdc.4015:itc</v>
      </c>
      <c r="G187" s="8">
        <f t="shared" si="5"/>
        <v>42613.80777777778</v>
      </c>
    </row>
    <row r="188" spans="1:7" x14ac:dyDescent="0.25">
      <c r="A188" s="8">
        <v>42613.809444444443</v>
      </c>
      <c r="B188" s="23" t="s">
        <v>91</v>
      </c>
      <c r="C188" s="23" t="s">
        <v>930</v>
      </c>
      <c r="D188" s="23">
        <v>1230000</v>
      </c>
      <c r="E188" s="23" t="s">
        <v>149</v>
      </c>
      <c r="F188" s="23" t="str">
        <f t="shared" si="4"/>
        <v>rtdc.l.rtdc.4029:itc</v>
      </c>
      <c r="G188" s="8">
        <f t="shared" si="5"/>
        <v>42613.809444444443</v>
      </c>
    </row>
    <row r="189" spans="1:7" x14ac:dyDescent="0.25">
      <c r="A189" s="8">
        <v>42613.818599537037</v>
      </c>
      <c r="B189" s="23" t="s">
        <v>720</v>
      </c>
      <c r="C189" s="23" t="s">
        <v>931</v>
      </c>
      <c r="D189" s="23">
        <v>2040000</v>
      </c>
      <c r="E189" s="23" t="s">
        <v>857</v>
      </c>
      <c r="F189" s="23" t="str">
        <f t="shared" si="4"/>
        <v>rtdc.l.rtdc.4008:itc</v>
      </c>
      <c r="G189" s="8">
        <f t="shared" si="5"/>
        <v>42613.818599537037</v>
      </c>
    </row>
    <row r="190" spans="1:7" x14ac:dyDescent="0.25">
      <c r="A190" s="8">
        <v>42613.820243055554</v>
      </c>
      <c r="B190" s="23" t="s">
        <v>151</v>
      </c>
      <c r="C190" s="23" t="s">
        <v>932</v>
      </c>
      <c r="D190" s="23">
        <v>1780000</v>
      </c>
      <c r="E190" s="23" t="s">
        <v>849</v>
      </c>
      <c r="F190" s="23" t="str">
        <f t="shared" si="4"/>
        <v>rtdc.l.rtdc.4009:itc</v>
      </c>
      <c r="G190" s="8">
        <f t="shared" si="5"/>
        <v>42613.820243055554</v>
      </c>
    </row>
    <row r="191" spans="1:7" x14ac:dyDescent="0.25">
      <c r="A191" s="8">
        <v>42613.822002314817</v>
      </c>
      <c r="B191" s="23" t="s">
        <v>204</v>
      </c>
      <c r="C191" s="23" t="s">
        <v>933</v>
      </c>
      <c r="D191" s="23">
        <v>1480000</v>
      </c>
      <c r="E191" s="23" t="s">
        <v>459</v>
      </c>
      <c r="F191" s="23" t="str">
        <f t="shared" si="4"/>
        <v>rtdc.l.rtdc.4028:itc</v>
      </c>
      <c r="G191" s="8">
        <f t="shared" si="5"/>
        <v>42613.822002314817</v>
      </c>
    </row>
    <row r="192" spans="1:7" x14ac:dyDescent="0.25">
      <c r="A192" s="8">
        <v>42613.829340277778</v>
      </c>
      <c r="B192" s="23" t="s">
        <v>154</v>
      </c>
      <c r="C192" s="23" t="s">
        <v>934</v>
      </c>
      <c r="D192" s="23">
        <v>2000000</v>
      </c>
      <c r="E192" s="23" t="s">
        <v>138</v>
      </c>
      <c r="F192" s="23" t="str">
        <f t="shared" si="4"/>
        <v>rtdc.l.rtdc.4002:itc</v>
      </c>
      <c r="G192" s="8">
        <f t="shared" si="5"/>
        <v>42613.829340277778</v>
      </c>
    </row>
    <row r="193" spans="1:7" x14ac:dyDescent="0.25">
      <c r="A193" s="8">
        <v>42613.845208333332</v>
      </c>
      <c r="B193" s="23" t="s">
        <v>781</v>
      </c>
      <c r="C193" s="23" t="s">
        <v>935</v>
      </c>
      <c r="D193" s="23">
        <v>2040000</v>
      </c>
      <c r="E193" s="23" t="s">
        <v>857</v>
      </c>
      <c r="F193" s="23" t="str">
        <f t="shared" si="4"/>
        <v>rtdc.l.rtdc.4007:itc</v>
      </c>
      <c r="G193" s="8">
        <f t="shared" si="5"/>
        <v>42613.845208333332</v>
      </c>
    </row>
    <row r="194" spans="1:7" x14ac:dyDescent="0.25">
      <c r="A194" s="8">
        <v>42613.847708333335</v>
      </c>
      <c r="B194" s="23" t="s">
        <v>92</v>
      </c>
      <c r="C194" s="23" t="s">
        <v>936</v>
      </c>
      <c r="D194" s="23">
        <v>1230000</v>
      </c>
      <c r="E194" s="23" t="s">
        <v>149</v>
      </c>
      <c r="F194" s="23" t="str">
        <f t="shared" ref="F194:F235" si="6">B194</f>
        <v>rtdc.l.rtdc.4030:itc</v>
      </c>
      <c r="G194" s="8">
        <f t="shared" ref="G194:G235" si="7">A194</f>
        <v>42613.847708333335</v>
      </c>
    </row>
    <row r="195" spans="1:7" x14ac:dyDescent="0.25">
      <c r="A195" s="8">
        <v>42613.852569444447</v>
      </c>
      <c r="B195" s="23" t="s">
        <v>724</v>
      </c>
      <c r="C195" s="23" t="s">
        <v>735</v>
      </c>
      <c r="D195" s="23">
        <v>1290000</v>
      </c>
      <c r="E195" s="23" t="s">
        <v>263</v>
      </c>
      <c r="F195" s="23" t="str">
        <f t="shared" si="6"/>
        <v>rtdc.l.rtdc.4016:itc</v>
      </c>
      <c r="G195" s="8">
        <f t="shared" si="7"/>
        <v>42613.852569444447</v>
      </c>
    </row>
    <row r="196" spans="1:7" x14ac:dyDescent="0.25">
      <c r="A196" s="8">
        <v>42613.861516203702</v>
      </c>
      <c r="B196" s="23" t="s">
        <v>781</v>
      </c>
      <c r="C196" s="23" t="s">
        <v>935</v>
      </c>
      <c r="D196" s="23">
        <v>2040000</v>
      </c>
      <c r="E196" s="23" t="s">
        <v>857</v>
      </c>
      <c r="F196" s="23" t="str">
        <f t="shared" si="6"/>
        <v>rtdc.l.rtdc.4007:itc</v>
      </c>
      <c r="G196" s="8">
        <f t="shared" si="7"/>
        <v>42613.861516203702</v>
      </c>
    </row>
    <row r="197" spans="1:7" x14ac:dyDescent="0.25">
      <c r="A197" s="8">
        <v>42613.86309027778</v>
      </c>
      <c r="B197" s="23" t="s">
        <v>720</v>
      </c>
      <c r="C197" s="23" t="s">
        <v>937</v>
      </c>
      <c r="D197" s="23">
        <v>2040000</v>
      </c>
      <c r="E197" s="23" t="s">
        <v>857</v>
      </c>
      <c r="F197" s="23" t="str">
        <f t="shared" si="6"/>
        <v>rtdc.l.rtdc.4008:itc</v>
      </c>
      <c r="G197" s="8">
        <f t="shared" si="7"/>
        <v>42613.86309027778</v>
      </c>
    </row>
    <row r="198" spans="1:7" x14ac:dyDescent="0.25">
      <c r="A198" s="8">
        <v>42613.869664351849</v>
      </c>
      <c r="B198" s="23" t="s">
        <v>227</v>
      </c>
      <c r="C198" s="23" t="s">
        <v>938</v>
      </c>
      <c r="D198" s="23">
        <v>2000000</v>
      </c>
      <c r="E198" s="23" t="s">
        <v>138</v>
      </c>
      <c r="F198" s="23" t="str">
        <f t="shared" si="6"/>
        <v>rtdc.l.rtdc.4001:itc</v>
      </c>
      <c r="G198" s="8">
        <f t="shared" si="7"/>
        <v>42613.869664351849</v>
      </c>
    </row>
    <row r="199" spans="1:7" x14ac:dyDescent="0.25">
      <c r="A199" s="8">
        <v>42613.870694444442</v>
      </c>
      <c r="B199" s="23" t="s">
        <v>93</v>
      </c>
      <c r="C199" s="23" t="s">
        <v>939</v>
      </c>
      <c r="D199" s="23">
        <v>1480000</v>
      </c>
      <c r="E199" s="23" t="s">
        <v>459</v>
      </c>
      <c r="F199" s="23" t="str">
        <f t="shared" si="6"/>
        <v>rtdc.l.rtdc.4027:itc</v>
      </c>
      <c r="G199" s="8">
        <f t="shared" si="7"/>
        <v>42613.870694444442</v>
      </c>
    </row>
    <row r="200" spans="1:7" x14ac:dyDescent="0.25">
      <c r="A200" s="8">
        <v>42613.882106481484</v>
      </c>
      <c r="B200" s="23" t="s">
        <v>781</v>
      </c>
      <c r="C200" s="23" t="s">
        <v>940</v>
      </c>
      <c r="D200" s="23">
        <v>2220000</v>
      </c>
      <c r="E200" s="23" t="s">
        <v>218</v>
      </c>
      <c r="F200" s="23" t="str">
        <f t="shared" si="6"/>
        <v>rtdc.l.rtdc.4007:itc</v>
      </c>
      <c r="G200" s="8">
        <f t="shared" si="7"/>
        <v>42613.882106481484</v>
      </c>
    </row>
    <row r="201" spans="1:7" x14ac:dyDescent="0.25">
      <c r="A201" s="8">
        <v>42613.889004629629</v>
      </c>
      <c r="B201" s="23" t="s">
        <v>746</v>
      </c>
      <c r="C201" s="23" t="s">
        <v>747</v>
      </c>
      <c r="D201" s="23">
        <v>1290000</v>
      </c>
      <c r="E201" s="23" t="s">
        <v>263</v>
      </c>
      <c r="F201" s="23" t="str">
        <f t="shared" si="6"/>
        <v>rtdc.l.rtdc.4015:itc</v>
      </c>
      <c r="G201" s="8">
        <f t="shared" si="7"/>
        <v>42613.889004629629</v>
      </c>
    </row>
    <row r="202" spans="1:7" x14ac:dyDescent="0.25">
      <c r="A202" s="29">
        <v>42613.893333333333</v>
      </c>
      <c r="B202" s="23" t="s">
        <v>91</v>
      </c>
      <c r="C202" s="23" t="s">
        <v>941</v>
      </c>
      <c r="D202" s="23">
        <v>1230000</v>
      </c>
      <c r="E202" s="23" t="s">
        <v>149</v>
      </c>
      <c r="F202" s="23" t="str">
        <f t="shared" si="6"/>
        <v>rtdc.l.rtdc.4029:itc</v>
      </c>
      <c r="G202" s="8">
        <f t="shared" si="7"/>
        <v>42613.893333333333</v>
      </c>
    </row>
    <row r="203" spans="1:7" x14ac:dyDescent="0.25">
      <c r="A203" s="8">
        <v>42613.901770833334</v>
      </c>
      <c r="B203" s="23" t="s">
        <v>720</v>
      </c>
      <c r="C203" s="23" t="s">
        <v>942</v>
      </c>
      <c r="D203" s="23">
        <v>2220000</v>
      </c>
      <c r="E203" s="23" t="s">
        <v>218</v>
      </c>
      <c r="F203" s="23" t="str">
        <f t="shared" si="6"/>
        <v>rtdc.l.rtdc.4008:itc</v>
      </c>
      <c r="G203" s="8">
        <f t="shared" si="7"/>
        <v>42613.901770833334</v>
      </c>
    </row>
    <row r="204" spans="1:7" x14ac:dyDescent="0.25">
      <c r="A204" s="8">
        <v>42613.910509259258</v>
      </c>
      <c r="B204" s="23" t="s">
        <v>204</v>
      </c>
      <c r="C204" s="23" t="s">
        <v>943</v>
      </c>
      <c r="D204" s="23">
        <v>1480000</v>
      </c>
      <c r="E204" s="23" t="s">
        <v>459</v>
      </c>
      <c r="F204" s="23" t="str">
        <f t="shared" si="6"/>
        <v>rtdc.l.rtdc.4028:itc</v>
      </c>
      <c r="G204" s="8">
        <f t="shared" si="7"/>
        <v>42613.910509259258</v>
      </c>
    </row>
    <row r="205" spans="1:7" x14ac:dyDescent="0.25">
      <c r="A205" s="8">
        <v>42613.912858796299</v>
      </c>
      <c r="B205" s="23" t="s">
        <v>154</v>
      </c>
      <c r="C205" s="23" t="s">
        <v>944</v>
      </c>
      <c r="D205" s="23">
        <v>2000000</v>
      </c>
      <c r="E205" s="23" t="s">
        <v>138</v>
      </c>
      <c r="F205" s="23" t="str">
        <f t="shared" si="6"/>
        <v>rtdc.l.rtdc.4002:itc</v>
      </c>
      <c r="G205" s="8">
        <f t="shared" si="7"/>
        <v>42613.912858796299</v>
      </c>
    </row>
    <row r="206" spans="1:7" x14ac:dyDescent="0.25">
      <c r="A206" s="8">
        <v>42613.914409722223</v>
      </c>
      <c r="B206" s="23" t="s">
        <v>154</v>
      </c>
      <c r="C206" s="23" t="s">
        <v>944</v>
      </c>
      <c r="D206" s="23">
        <v>2000000</v>
      </c>
      <c r="E206" s="23" t="s">
        <v>138</v>
      </c>
      <c r="F206" s="23" t="str">
        <f t="shared" si="6"/>
        <v>rtdc.l.rtdc.4002:itc</v>
      </c>
      <c r="G206" s="8">
        <f t="shared" si="7"/>
        <v>42613.914409722223</v>
      </c>
    </row>
    <row r="207" spans="1:7" x14ac:dyDescent="0.25">
      <c r="A207" s="8">
        <v>42613.925983796296</v>
      </c>
      <c r="B207" s="23" t="s">
        <v>781</v>
      </c>
      <c r="C207" s="23" t="s">
        <v>945</v>
      </c>
      <c r="D207" s="23">
        <v>2220000</v>
      </c>
      <c r="E207" s="23" t="s">
        <v>218</v>
      </c>
      <c r="F207" s="23" t="str">
        <f t="shared" si="6"/>
        <v>rtdc.l.rtdc.4007:itc</v>
      </c>
      <c r="G207" s="8">
        <f t="shared" si="7"/>
        <v>42613.925983796296</v>
      </c>
    </row>
    <row r="208" spans="1:7" x14ac:dyDescent="0.25">
      <c r="A208" s="8">
        <v>42613.932233796295</v>
      </c>
      <c r="B208" s="23" t="s">
        <v>92</v>
      </c>
      <c r="C208" s="23" t="s">
        <v>946</v>
      </c>
      <c r="D208" s="23">
        <v>1230000</v>
      </c>
      <c r="E208" s="23" t="s">
        <v>149</v>
      </c>
      <c r="F208" s="23" t="str">
        <f t="shared" si="6"/>
        <v>rtdc.l.rtdc.4030:itc</v>
      </c>
      <c r="G208" s="8">
        <f t="shared" si="7"/>
        <v>42613.932233796295</v>
      </c>
    </row>
    <row r="209" spans="1:7" x14ac:dyDescent="0.25">
      <c r="A209" s="8">
        <v>42613.936030092591</v>
      </c>
      <c r="B209" s="23" t="s">
        <v>724</v>
      </c>
      <c r="C209" s="23" t="s">
        <v>947</v>
      </c>
      <c r="D209" s="23">
        <v>1290000</v>
      </c>
      <c r="E209" s="23" t="s">
        <v>263</v>
      </c>
      <c r="F209" s="23" t="str">
        <f t="shared" si="6"/>
        <v>rtdc.l.rtdc.4016:itc</v>
      </c>
      <c r="G209" s="8">
        <f t="shared" si="7"/>
        <v>42613.936030092591</v>
      </c>
    </row>
    <row r="210" spans="1:7" x14ac:dyDescent="0.25">
      <c r="A210" s="8">
        <v>42613.943553240744</v>
      </c>
      <c r="B210" s="23" t="s">
        <v>720</v>
      </c>
      <c r="C210" s="23" t="s">
        <v>948</v>
      </c>
      <c r="D210" s="23">
        <v>2220000</v>
      </c>
      <c r="E210" s="23" t="s">
        <v>218</v>
      </c>
      <c r="F210" s="23" t="str">
        <f t="shared" si="6"/>
        <v>rtdc.l.rtdc.4008:itc</v>
      </c>
      <c r="G210" s="8">
        <f t="shared" si="7"/>
        <v>42613.943553240744</v>
      </c>
    </row>
    <row r="211" spans="1:7" x14ac:dyDescent="0.25">
      <c r="A211" s="8">
        <v>42613.945787037039</v>
      </c>
      <c r="B211" s="23" t="s">
        <v>92</v>
      </c>
      <c r="C211" s="23" t="s">
        <v>946</v>
      </c>
      <c r="D211" s="23">
        <v>1230000</v>
      </c>
      <c r="E211" s="23" t="s">
        <v>149</v>
      </c>
      <c r="F211" s="23" t="str">
        <f t="shared" si="6"/>
        <v>rtdc.l.rtdc.4030:itc</v>
      </c>
      <c r="G211" s="8">
        <f t="shared" si="7"/>
        <v>42613.945787037039</v>
      </c>
    </row>
    <row r="212" spans="1:7" x14ac:dyDescent="0.25">
      <c r="A212" s="8">
        <v>42613.952511574076</v>
      </c>
      <c r="B212" s="23" t="s">
        <v>93</v>
      </c>
      <c r="C212" s="23" t="s">
        <v>949</v>
      </c>
      <c r="D212" s="23">
        <v>1480000</v>
      </c>
      <c r="E212" s="23" t="s">
        <v>459</v>
      </c>
      <c r="F212" s="23" t="str">
        <f t="shared" si="6"/>
        <v>rtdc.l.rtdc.4027:itc</v>
      </c>
      <c r="G212" s="8">
        <f t="shared" si="7"/>
        <v>42613.952511574076</v>
      </c>
    </row>
    <row r="213" spans="1:7" x14ac:dyDescent="0.25">
      <c r="A213" s="8">
        <v>42613.953657407408</v>
      </c>
      <c r="B213" s="23" t="s">
        <v>227</v>
      </c>
      <c r="C213" s="23" t="s">
        <v>950</v>
      </c>
      <c r="D213" s="23">
        <v>2000000</v>
      </c>
      <c r="E213" s="23" t="s">
        <v>138</v>
      </c>
      <c r="F213" s="23" t="str">
        <f t="shared" si="6"/>
        <v>rtdc.l.rtdc.4001:itc</v>
      </c>
      <c r="G213" s="8">
        <f t="shared" si="7"/>
        <v>42613.953657407408</v>
      </c>
    </row>
    <row r="214" spans="1:7" x14ac:dyDescent="0.25">
      <c r="A214" s="8">
        <v>42613.971504629626</v>
      </c>
      <c r="B214" s="23" t="s">
        <v>746</v>
      </c>
      <c r="C214" s="23" t="s">
        <v>951</v>
      </c>
      <c r="D214" s="23">
        <v>1290000</v>
      </c>
      <c r="E214" s="23" t="s">
        <v>263</v>
      </c>
      <c r="F214" s="23" t="str">
        <f t="shared" si="6"/>
        <v>rtdc.l.rtdc.4015:itc</v>
      </c>
      <c r="G214" s="8">
        <f t="shared" si="7"/>
        <v>42613.971504629626</v>
      </c>
    </row>
    <row r="215" spans="1:7" x14ac:dyDescent="0.25">
      <c r="A215" s="8">
        <v>42613.976493055554</v>
      </c>
      <c r="B215" s="23" t="s">
        <v>91</v>
      </c>
      <c r="C215" s="23" t="s">
        <v>952</v>
      </c>
      <c r="D215" s="23">
        <v>1230000</v>
      </c>
      <c r="E215" s="23" t="s">
        <v>149</v>
      </c>
      <c r="F215" s="23" t="str">
        <f t="shared" si="6"/>
        <v>rtdc.l.rtdc.4029:itc</v>
      </c>
      <c r="G215" s="8">
        <f t="shared" si="7"/>
        <v>42613.976493055554</v>
      </c>
    </row>
    <row r="216" spans="1:7" x14ac:dyDescent="0.25">
      <c r="A216" s="8">
        <v>42613.9925</v>
      </c>
      <c r="B216" s="23" t="s">
        <v>204</v>
      </c>
      <c r="C216" s="23" t="s">
        <v>953</v>
      </c>
      <c r="D216" s="23">
        <v>1480000</v>
      </c>
      <c r="E216" s="23" t="s">
        <v>459</v>
      </c>
      <c r="F216" s="23" t="str">
        <f t="shared" si="6"/>
        <v>rtdc.l.rtdc.4028:itc</v>
      </c>
      <c r="G216" s="8">
        <f t="shared" si="7"/>
        <v>42613.9925</v>
      </c>
    </row>
    <row r="217" spans="1:7" x14ac:dyDescent="0.25">
      <c r="A217" s="8">
        <v>42613.993958333333</v>
      </c>
      <c r="B217" s="23" t="s">
        <v>154</v>
      </c>
      <c r="C217" s="23" t="s">
        <v>954</v>
      </c>
      <c r="D217" s="23">
        <v>2000000</v>
      </c>
      <c r="E217" s="23" t="s">
        <v>138</v>
      </c>
      <c r="F217" s="23" t="str">
        <f t="shared" si="6"/>
        <v>rtdc.l.rtdc.4002:itc</v>
      </c>
      <c r="G217" s="8">
        <f t="shared" si="7"/>
        <v>42613.993958333333</v>
      </c>
    </row>
    <row r="218" spans="1:7" x14ac:dyDescent="0.25">
      <c r="A218" s="8">
        <v>42614.005914351852</v>
      </c>
      <c r="B218" s="23" t="s">
        <v>92</v>
      </c>
      <c r="C218" s="23" t="s">
        <v>955</v>
      </c>
      <c r="D218" s="23">
        <v>1230000</v>
      </c>
      <c r="E218" s="23" t="s">
        <v>149</v>
      </c>
      <c r="F218" s="23" t="str">
        <f t="shared" si="6"/>
        <v>rtdc.l.rtdc.4030:itc</v>
      </c>
      <c r="G218" s="8">
        <f t="shared" si="7"/>
        <v>42614.005914351852</v>
      </c>
    </row>
    <row r="219" spans="1:7" x14ac:dyDescent="0.25">
      <c r="A219" s="8">
        <v>42614.018888888888</v>
      </c>
      <c r="B219" s="23" t="s">
        <v>724</v>
      </c>
      <c r="C219" s="23" t="s">
        <v>956</v>
      </c>
      <c r="D219" s="23">
        <v>1290000</v>
      </c>
      <c r="E219" s="23" t="s">
        <v>263</v>
      </c>
      <c r="F219" s="23" t="str">
        <f t="shared" si="6"/>
        <v>rtdc.l.rtdc.4016:itc</v>
      </c>
      <c r="G219" s="8">
        <f t="shared" si="7"/>
        <v>42614.018888888888</v>
      </c>
    </row>
    <row r="220" spans="1:7" x14ac:dyDescent="0.25">
      <c r="A220" s="8">
        <v>42614.02721064815</v>
      </c>
      <c r="B220" s="23" t="s">
        <v>93</v>
      </c>
      <c r="C220" s="23" t="s">
        <v>957</v>
      </c>
      <c r="D220" s="23">
        <v>1480000</v>
      </c>
      <c r="E220" s="23" t="s">
        <v>459</v>
      </c>
      <c r="F220" s="23" t="str">
        <f t="shared" si="6"/>
        <v>rtdc.l.rtdc.4027:itc</v>
      </c>
      <c r="G220" s="8">
        <f t="shared" si="7"/>
        <v>42614.02721064815</v>
      </c>
    </row>
    <row r="221" spans="1:7" x14ac:dyDescent="0.25">
      <c r="A221" s="8">
        <v>42614.03707175926</v>
      </c>
      <c r="B221" s="23" t="s">
        <v>227</v>
      </c>
      <c r="C221" s="23" t="s">
        <v>958</v>
      </c>
      <c r="D221" s="23">
        <v>2000000</v>
      </c>
      <c r="E221" s="23" t="s">
        <v>138</v>
      </c>
      <c r="F221" s="23" t="str">
        <f t="shared" si="6"/>
        <v>rtdc.l.rtdc.4001:itc</v>
      </c>
      <c r="G221" s="8">
        <f t="shared" si="7"/>
        <v>42614.03707175926</v>
      </c>
    </row>
    <row r="222" spans="1:7" x14ac:dyDescent="0.25">
      <c r="A222" s="8">
        <v>42614.04755787037</v>
      </c>
      <c r="B222" s="23" t="s">
        <v>91</v>
      </c>
      <c r="C222" s="23" t="s">
        <v>959</v>
      </c>
      <c r="D222" s="23">
        <v>1230000</v>
      </c>
      <c r="E222" s="23" t="s">
        <v>149</v>
      </c>
      <c r="F222" s="23" t="str">
        <f t="shared" si="6"/>
        <v>rtdc.l.rtdc.4029:itc</v>
      </c>
      <c r="G222" s="8">
        <f t="shared" si="7"/>
        <v>42614.04755787037</v>
      </c>
    </row>
    <row r="223" spans="1:7" x14ac:dyDescent="0.25">
      <c r="A223" s="8">
        <v>42614.055694444447</v>
      </c>
      <c r="B223" s="23" t="s">
        <v>746</v>
      </c>
      <c r="C223" s="23" t="s">
        <v>960</v>
      </c>
      <c r="D223" s="23">
        <v>1290000</v>
      </c>
      <c r="E223" s="23" t="s">
        <v>263</v>
      </c>
      <c r="F223" s="23" t="str">
        <f t="shared" si="6"/>
        <v>rtdc.l.rtdc.4015:itc</v>
      </c>
      <c r="G223" s="8">
        <f t="shared" si="7"/>
        <v>42614.055694444447</v>
      </c>
    </row>
    <row r="224" spans="1:7" x14ac:dyDescent="0.25">
      <c r="A224" s="8">
        <v>42614.068113425928</v>
      </c>
      <c r="B224" t="s">
        <v>154</v>
      </c>
      <c r="C224" t="s">
        <v>961</v>
      </c>
      <c r="D224">
        <v>2000000</v>
      </c>
      <c r="E224" t="s">
        <v>138</v>
      </c>
      <c r="F224" s="23" t="str">
        <f t="shared" si="6"/>
        <v>rtdc.l.rtdc.4002:itc</v>
      </c>
      <c r="G224" s="8">
        <f t="shared" si="7"/>
        <v>42614.068113425928</v>
      </c>
    </row>
    <row r="225" spans="1:7" x14ac:dyDescent="0.25">
      <c r="A225" s="8">
        <v>42614.088703703703</v>
      </c>
      <c r="B225" t="s">
        <v>724</v>
      </c>
      <c r="C225" t="s">
        <v>962</v>
      </c>
      <c r="D225">
        <v>1290000</v>
      </c>
      <c r="E225" t="s">
        <v>263</v>
      </c>
      <c r="F225" s="23" t="str">
        <f t="shared" si="6"/>
        <v>rtdc.l.rtdc.4016:itc</v>
      </c>
      <c r="G225" s="8">
        <f t="shared" si="7"/>
        <v>42614.088703703703</v>
      </c>
    </row>
    <row r="226" spans="1:7" x14ac:dyDescent="0.25">
      <c r="A226" s="8">
        <v>42614.131041666667</v>
      </c>
      <c r="B226" t="s">
        <v>418</v>
      </c>
      <c r="C226" t="s">
        <v>963</v>
      </c>
      <c r="D226">
        <v>2010000</v>
      </c>
      <c r="E226" t="s">
        <v>760</v>
      </c>
      <c r="F226" s="23" t="str">
        <f t="shared" si="6"/>
        <v>rtdc.l.rtdc.4042:itc</v>
      </c>
      <c r="G226" s="8">
        <f t="shared" si="7"/>
        <v>42614.131041666667</v>
      </c>
    </row>
    <row r="227" spans="1:7" x14ac:dyDescent="0.25">
      <c r="A227" s="8">
        <v>42614.155231481483</v>
      </c>
      <c r="B227" t="s">
        <v>201</v>
      </c>
      <c r="C227" t="s">
        <v>964</v>
      </c>
      <c r="D227">
        <v>1090000</v>
      </c>
      <c r="E227" t="s">
        <v>329</v>
      </c>
      <c r="F227" s="23" t="str">
        <f t="shared" si="6"/>
        <v>rtdc.l.rtdc.4020:itc</v>
      </c>
      <c r="G227" s="8">
        <f t="shared" si="7"/>
        <v>42614.155231481483</v>
      </c>
    </row>
    <row r="228" spans="1:7" x14ac:dyDescent="0.25">
      <c r="A228" s="8">
        <v>42614.166886574072</v>
      </c>
      <c r="B228" t="s">
        <v>226</v>
      </c>
      <c r="C228" t="s">
        <v>965</v>
      </c>
      <c r="D228">
        <v>2010000</v>
      </c>
      <c r="E228" t="s">
        <v>760</v>
      </c>
      <c r="F228" s="23" t="str">
        <f t="shared" si="6"/>
        <v>rtdc.l.rtdc.4043:itc</v>
      </c>
      <c r="G228" s="8">
        <f t="shared" si="7"/>
        <v>42614.166886574072</v>
      </c>
    </row>
    <row r="229" spans="1:7" x14ac:dyDescent="0.25">
      <c r="A229" s="8">
        <v>42614.175798611112</v>
      </c>
      <c r="B229" t="s">
        <v>247</v>
      </c>
      <c r="C229" t="s">
        <v>966</v>
      </c>
      <c r="D229">
        <v>1310000</v>
      </c>
      <c r="E229" t="s">
        <v>967</v>
      </c>
      <c r="F229" s="23" t="str">
        <f t="shared" si="6"/>
        <v>rtdc.l.rtdc.4018:itc</v>
      </c>
      <c r="G229" s="8">
        <f t="shared" si="7"/>
        <v>42614.175798611112</v>
      </c>
    </row>
    <row r="230" spans="1:7" x14ac:dyDescent="0.25">
      <c r="A230" s="8">
        <v>42614.183379629627</v>
      </c>
      <c r="B230" t="s">
        <v>144</v>
      </c>
      <c r="C230" t="s">
        <v>968</v>
      </c>
      <c r="D230">
        <v>1760000</v>
      </c>
      <c r="E230" t="s">
        <v>762</v>
      </c>
      <c r="F230" s="23" t="str">
        <f t="shared" si="6"/>
        <v>rtdc.l.rtdc.4038:itc</v>
      </c>
      <c r="G230" s="8">
        <f t="shared" si="7"/>
        <v>42614.183379629627</v>
      </c>
    </row>
    <row r="231" spans="1:7" x14ac:dyDescent="0.25">
      <c r="A231" s="8">
        <v>42614.196840277778</v>
      </c>
      <c r="B231" t="s">
        <v>781</v>
      </c>
      <c r="C231" t="s">
        <v>969</v>
      </c>
      <c r="D231">
        <v>2260000</v>
      </c>
      <c r="E231" t="s">
        <v>162</v>
      </c>
      <c r="F231" s="23" t="str">
        <f t="shared" si="6"/>
        <v>rtdc.l.rtdc.4007:itc</v>
      </c>
      <c r="G231" s="8">
        <f t="shared" si="7"/>
        <v>42614.196840277778</v>
      </c>
    </row>
    <row r="232" spans="1:7" x14ac:dyDescent="0.25">
      <c r="A232" s="8">
        <v>42614.204189814816</v>
      </c>
      <c r="B232" t="s">
        <v>418</v>
      </c>
      <c r="C232" t="s">
        <v>970</v>
      </c>
      <c r="D232">
        <v>1110000</v>
      </c>
      <c r="E232" t="s">
        <v>259</v>
      </c>
      <c r="F232" s="23" t="str">
        <f t="shared" si="6"/>
        <v>rtdc.l.rtdc.4042:itc</v>
      </c>
      <c r="G232" s="8">
        <f t="shared" si="7"/>
        <v>42614.204189814816</v>
      </c>
    </row>
    <row r="233" spans="1:7" x14ac:dyDescent="0.25">
      <c r="A233" s="8">
        <v>42614.208518518521</v>
      </c>
      <c r="B233" t="s">
        <v>418</v>
      </c>
      <c r="C233" t="s">
        <v>970</v>
      </c>
      <c r="D233">
        <v>1110000</v>
      </c>
      <c r="E233" t="s">
        <v>259</v>
      </c>
      <c r="F233" s="23" t="str">
        <f t="shared" si="6"/>
        <v>rtdc.l.rtdc.4042:itc</v>
      </c>
      <c r="G233" s="8">
        <f t="shared" si="7"/>
        <v>42614.208518518521</v>
      </c>
    </row>
    <row r="234" spans="1:7" x14ac:dyDescent="0.25">
      <c r="A234" s="8">
        <v>42614.210520833331</v>
      </c>
      <c r="B234" t="s">
        <v>351</v>
      </c>
      <c r="C234" t="s">
        <v>971</v>
      </c>
      <c r="D234">
        <v>1830000</v>
      </c>
      <c r="E234" t="s">
        <v>972</v>
      </c>
      <c r="F234" s="23" t="str">
        <f t="shared" si="6"/>
        <v>rtdc.l.rtdc.4010:itc</v>
      </c>
      <c r="G234" s="8">
        <f t="shared" si="7"/>
        <v>42614.210520833331</v>
      </c>
    </row>
    <row r="235" spans="1:7" x14ac:dyDescent="0.25">
      <c r="A235" s="8">
        <v>42614.211956018517</v>
      </c>
      <c r="B235" t="s">
        <v>325</v>
      </c>
      <c r="C235" t="s">
        <v>973</v>
      </c>
      <c r="D235">
        <v>1310000</v>
      </c>
      <c r="E235" t="s">
        <v>967</v>
      </c>
      <c r="F235" s="23" t="str">
        <f t="shared" si="6"/>
        <v>rtdc.l.rtdc.4012:itc</v>
      </c>
      <c r="G235" s="8">
        <f t="shared" si="7"/>
        <v>42614.211956018517</v>
      </c>
    </row>
    <row r="236" spans="1:7" x14ac:dyDescent="0.25">
      <c r="A236" s="8">
        <v>42614.214386574073</v>
      </c>
      <c r="B236" t="s">
        <v>228</v>
      </c>
      <c r="C236" t="s">
        <v>974</v>
      </c>
      <c r="D236">
        <v>2010000</v>
      </c>
      <c r="E236" t="s">
        <v>760</v>
      </c>
      <c r="F236" s="23" t="str">
        <f t="shared" ref="F236:F265" si="8">B236</f>
        <v>rtdc.l.rtdc.4044:itc</v>
      </c>
      <c r="G236" s="8">
        <f t="shared" ref="G236:G265" si="9">A236</f>
        <v>42614.214386574073</v>
      </c>
    </row>
    <row r="237" spans="1:7" x14ac:dyDescent="0.25">
      <c r="A237" s="8">
        <v>42614.224791666667</v>
      </c>
      <c r="B237" t="s">
        <v>139</v>
      </c>
      <c r="C237" t="s">
        <v>975</v>
      </c>
      <c r="D237">
        <v>1760000</v>
      </c>
      <c r="E237" t="s">
        <v>762</v>
      </c>
      <c r="F237" s="23" t="str">
        <f t="shared" si="8"/>
        <v>rtdc.l.rtdc.4037:itc</v>
      </c>
      <c r="G237" s="8">
        <f t="shared" si="9"/>
        <v>42614.224791666667</v>
      </c>
    </row>
    <row r="238" spans="1:7" x14ac:dyDescent="0.25">
      <c r="A238" s="8">
        <v>42614.225856481484</v>
      </c>
      <c r="B238" t="s">
        <v>201</v>
      </c>
      <c r="C238" t="s">
        <v>976</v>
      </c>
      <c r="D238">
        <v>2230000</v>
      </c>
      <c r="E238" t="s">
        <v>503</v>
      </c>
      <c r="F238" s="23" t="str">
        <f t="shared" si="8"/>
        <v>rtdc.l.rtdc.4020:itc</v>
      </c>
      <c r="G238" s="8">
        <f t="shared" si="9"/>
        <v>42614.225856481484</v>
      </c>
    </row>
    <row r="239" spans="1:7" x14ac:dyDescent="0.25">
      <c r="A239" s="8">
        <v>42614.227673611109</v>
      </c>
      <c r="B239" t="s">
        <v>151</v>
      </c>
      <c r="C239" t="s">
        <v>977</v>
      </c>
      <c r="D239">
        <v>1830000</v>
      </c>
      <c r="E239" t="s">
        <v>972</v>
      </c>
      <c r="F239" s="23" t="str">
        <f t="shared" si="8"/>
        <v>rtdc.l.rtdc.4009:itc</v>
      </c>
      <c r="G239" s="8">
        <f t="shared" si="9"/>
        <v>42614.227673611109</v>
      </c>
    </row>
    <row r="240" spans="1:7" x14ac:dyDescent="0.25">
      <c r="A240" s="8">
        <v>42614.231724537036</v>
      </c>
      <c r="B240" t="s">
        <v>113</v>
      </c>
      <c r="C240" t="s">
        <v>978</v>
      </c>
      <c r="D240">
        <v>1090000</v>
      </c>
      <c r="E240" t="s">
        <v>329</v>
      </c>
      <c r="F240" s="23" t="str">
        <f t="shared" si="8"/>
        <v>rtdc.l.rtdc.4031:itc</v>
      </c>
      <c r="G240" s="8">
        <f t="shared" si="9"/>
        <v>42614.231724537036</v>
      </c>
    </row>
    <row r="241" spans="1:7" x14ac:dyDescent="0.25">
      <c r="A241" s="8">
        <v>42614.235833333332</v>
      </c>
      <c r="B241" t="s">
        <v>720</v>
      </c>
      <c r="C241" t="s">
        <v>979</v>
      </c>
      <c r="D241">
        <v>2260000</v>
      </c>
      <c r="E241" t="s">
        <v>162</v>
      </c>
      <c r="F241" s="23" t="str">
        <f t="shared" si="8"/>
        <v>rtdc.l.rtdc.4008:itc</v>
      </c>
      <c r="G241" s="8">
        <f t="shared" si="9"/>
        <v>42614.235833333332</v>
      </c>
    </row>
    <row r="242" spans="1:7" x14ac:dyDescent="0.25">
      <c r="A242" s="8">
        <v>42614.245335648149</v>
      </c>
      <c r="B242" t="s">
        <v>90</v>
      </c>
      <c r="C242" t="s">
        <v>716</v>
      </c>
      <c r="D242">
        <v>1100000</v>
      </c>
      <c r="E242" t="s">
        <v>347</v>
      </c>
      <c r="F242" s="23" t="str">
        <f t="shared" si="8"/>
        <v>rtdc.l.rtdc.4013:itc</v>
      </c>
      <c r="G242" s="8">
        <f t="shared" si="9"/>
        <v>42614.245335648149</v>
      </c>
    </row>
    <row r="243" spans="1:7" x14ac:dyDescent="0.25">
      <c r="A243" s="8">
        <v>42614.245625000003</v>
      </c>
      <c r="B243" t="s">
        <v>349</v>
      </c>
      <c r="C243" t="s">
        <v>980</v>
      </c>
      <c r="D243">
        <v>1110000</v>
      </c>
      <c r="E243" t="s">
        <v>259</v>
      </c>
      <c r="F243" s="23" t="str">
        <f t="shared" si="8"/>
        <v>rtdc.l.rtdc.4041:itc</v>
      </c>
      <c r="G243" s="8">
        <f t="shared" si="9"/>
        <v>42614.245625000003</v>
      </c>
    </row>
    <row r="244" spans="1:7" x14ac:dyDescent="0.25">
      <c r="A244" s="8">
        <v>42614.24763888889</v>
      </c>
      <c r="B244" t="s">
        <v>247</v>
      </c>
      <c r="C244" t="s">
        <v>981</v>
      </c>
      <c r="D244">
        <v>1310000</v>
      </c>
      <c r="E244" t="s">
        <v>967</v>
      </c>
      <c r="F244" s="23" t="str">
        <f t="shared" si="8"/>
        <v>rtdc.l.rtdc.4018:itc</v>
      </c>
      <c r="G244" s="8">
        <f t="shared" si="9"/>
        <v>42614.24763888889</v>
      </c>
    </row>
    <row r="245" spans="1:7" x14ac:dyDescent="0.25">
      <c r="A245" s="8">
        <v>42614.250636574077</v>
      </c>
      <c r="B245" t="s">
        <v>226</v>
      </c>
      <c r="C245" t="s">
        <v>982</v>
      </c>
      <c r="D245">
        <v>2010000</v>
      </c>
      <c r="E245" t="s">
        <v>760</v>
      </c>
      <c r="F245" s="23" t="str">
        <f t="shared" si="8"/>
        <v>rtdc.l.rtdc.4043:itc</v>
      </c>
      <c r="G245" s="8">
        <f t="shared" si="9"/>
        <v>42614.250636574077</v>
      </c>
    </row>
    <row r="246" spans="1:7" x14ac:dyDescent="0.25">
      <c r="A246" s="8">
        <v>42614.254537037035</v>
      </c>
      <c r="B246" t="s">
        <v>351</v>
      </c>
      <c r="C246" t="s">
        <v>983</v>
      </c>
      <c r="D246">
        <v>1830000</v>
      </c>
      <c r="E246" t="s">
        <v>972</v>
      </c>
      <c r="F246" s="23" t="str">
        <f t="shared" si="8"/>
        <v>rtdc.l.rtdc.4010:itc</v>
      </c>
      <c r="G246" s="8">
        <f t="shared" si="9"/>
        <v>42614.254537037035</v>
      </c>
    </row>
    <row r="247" spans="1:7" x14ac:dyDescent="0.25">
      <c r="A247" s="8">
        <v>42614.256863425922</v>
      </c>
      <c r="B247" t="s">
        <v>144</v>
      </c>
      <c r="C247" t="s">
        <v>745</v>
      </c>
      <c r="D247">
        <v>1760000</v>
      </c>
      <c r="E247" t="s">
        <v>762</v>
      </c>
      <c r="F247" s="23" t="str">
        <f t="shared" si="8"/>
        <v>rtdc.l.rtdc.4038:itc</v>
      </c>
      <c r="G247" s="8">
        <f t="shared" si="9"/>
        <v>42614.256863425922</v>
      </c>
    </row>
    <row r="248" spans="1:7" x14ac:dyDescent="0.25">
      <c r="A248" s="8">
        <v>42614.259201388886</v>
      </c>
      <c r="B248" t="s">
        <v>111</v>
      </c>
      <c r="C248" t="s">
        <v>984</v>
      </c>
      <c r="D248">
        <v>1100000</v>
      </c>
      <c r="E248" t="s">
        <v>347</v>
      </c>
      <c r="F248" s="23" t="str">
        <f t="shared" si="8"/>
        <v>rtdc.l.rtdc.4014:itc</v>
      </c>
      <c r="G248" s="8">
        <f t="shared" si="9"/>
        <v>42614.259201388886</v>
      </c>
    </row>
    <row r="249" spans="1:7" x14ac:dyDescent="0.25">
      <c r="A249" s="8">
        <v>42614.264907407407</v>
      </c>
      <c r="B249" t="s">
        <v>200</v>
      </c>
      <c r="C249" t="s">
        <v>985</v>
      </c>
      <c r="D249">
        <v>2230000</v>
      </c>
      <c r="E249" t="s">
        <v>503</v>
      </c>
      <c r="F249" s="23" t="str">
        <f t="shared" si="8"/>
        <v>rtdc.l.rtdc.4019:itc</v>
      </c>
      <c r="G249" s="8">
        <f t="shared" si="9"/>
        <v>42614.264907407407</v>
      </c>
    </row>
    <row r="250" spans="1:7" x14ac:dyDescent="0.25">
      <c r="A250" s="8">
        <v>42614.26898148148</v>
      </c>
      <c r="B250" t="s">
        <v>781</v>
      </c>
      <c r="C250" t="s">
        <v>986</v>
      </c>
      <c r="D250">
        <v>2260000</v>
      </c>
      <c r="E250" t="s">
        <v>162</v>
      </c>
      <c r="F250" s="23" t="str">
        <f t="shared" si="8"/>
        <v>rtdc.l.rtdc.4007:itc</v>
      </c>
      <c r="G250" s="8">
        <f t="shared" si="9"/>
        <v>42614.26898148148</v>
      </c>
    </row>
    <row r="251" spans="1:7" x14ac:dyDescent="0.25">
      <c r="A251" s="8">
        <v>42614.270300925928</v>
      </c>
      <c r="B251" t="s">
        <v>151</v>
      </c>
      <c r="C251" t="s">
        <v>987</v>
      </c>
      <c r="D251">
        <v>1830000</v>
      </c>
      <c r="E251" t="s">
        <v>972</v>
      </c>
      <c r="F251" s="23" t="str">
        <f t="shared" si="8"/>
        <v>rtdc.l.rtdc.4009:itc</v>
      </c>
      <c r="G251" s="8">
        <f t="shared" si="9"/>
        <v>42614.270300925928</v>
      </c>
    </row>
    <row r="252" spans="1:7" x14ac:dyDescent="0.25">
      <c r="A252" s="8">
        <v>42614.276226851849</v>
      </c>
      <c r="B252" t="s">
        <v>90</v>
      </c>
      <c r="C252" t="s">
        <v>988</v>
      </c>
      <c r="D252">
        <v>1100000</v>
      </c>
      <c r="E252" t="s">
        <v>347</v>
      </c>
      <c r="F252" s="23" t="str">
        <f t="shared" si="8"/>
        <v>rtdc.l.rtdc.4013:itc</v>
      </c>
      <c r="G252" s="8">
        <f t="shared" si="9"/>
        <v>42614.276226851849</v>
      </c>
    </row>
    <row r="253" spans="1:7" x14ac:dyDescent="0.25">
      <c r="A253" s="8">
        <v>42614.277824074074</v>
      </c>
      <c r="B253" t="s">
        <v>418</v>
      </c>
      <c r="C253" t="s">
        <v>989</v>
      </c>
      <c r="D253">
        <v>1110000</v>
      </c>
      <c r="E253" t="s">
        <v>259</v>
      </c>
      <c r="F253" s="23" t="str">
        <f t="shared" si="8"/>
        <v>rtdc.l.rtdc.4042:itc</v>
      </c>
      <c r="G253" s="8">
        <f t="shared" si="9"/>
        <v>42614.277824074074</v>
      </c>
    </row>
    <row r="254" spans="1:7" x14ac:dyDescent="0.25">
      <c r="A254" s="8">
        <v>42614.278807870367</v>
      </c>
      <c r="B254" t="s">
        <v>114</v>
      </c>
      <c r="C254" t="s">
        <v>990</v>
      </c>
      <c r="D254">
        <v>1090000</v>
      </c>
      <c r="E254" t="s">
        <v>329</v>
      </c>
      <c r="F254" s="23" t="str">
        <f t="shared" si="8"/>
        <v>rtdc.l.rtdc.4032:itc</v>
      </c>
      <c r="G254" s="8">
        <f t="shared" si="9"/>
        <v>42614.278807870367</v>
      </c>
    </row>
    <row r="255" spans="1:7" x14ac:dyDescent="0.25">
      <c r="A255" s="8">
        <v>42614.287222222221</v>
      </c>
      <c r="B255" t="s">
        <v>245</v>
      </c>
      <c r="C255" t="s">
        <v>991</v>
      </c>
      <c r="D255">
        <v>1310000</v>
      </c>
      <c r="E255" t="s">
        <v>967</v>
      </c>
      <c r="F255" s="23" t="str">
        <f t="shared" si="8"/>
        <v>rtdc.l.rtdc.4017:itc</v>
      </c>
      <c r="G255" s="8">
        <f t="shared" si="9"/>
        <v>42614.287222222221</v>
      </c>
    </row>
    <row r="256" spans="1:7" x14ac:dyDescent="0.25">
      <c r="A256" s="8">
        <v>42614.288611111115</v>
      </c>
      <c r="B256" t="s">
        <v>228</v>
      </c>
      <c r="C256" t="s">
        <v>992</v>
      </c>
      <c r="D256">
        <v>2010000</v>
      </c>
      <c r="E256" t="s">
        <v>760</v>
      </c>
      <c r="F256" s="23" t="str">
        <f t="shared" si="8"/>
        <v>rtdc.l.rtdc.4044:itc</v>
      </c>
      <c r="G256" s="8">
        <f t="shared" si="9"/>
        <v>42614.288611111115</v>
      </c>
    </row>
    <row r="257" spans="1:7" x14ac:dyDescent="0.25">
      <c r="A257" s="8">
        <v>42614.295624999999</v>
      </c>
      <c r="B257" t="s">
        <v>139</v>
      </c>
      <c r="C257" t="s">
        <v>993</v>
      </c>
      <c r="D257">
        <v>1760000</v>
      </c>
      <c r="E257" t="s">
        <v>762</v>
      </c>
      <c r="F257" s="23" t="str">
        <f t="shared" si="8"/>
        <v>rtdc.l.rtdc.4037:itc</v>
      </c>
      <c r="G257" s="8">
        <f t="shared" si="9"/>
        <v>42614.295624999999</v>
      </c>
    </row>
    <row r="258" spans="1:7" x14ac:dyDescent="0.25">
      <c r="A258" s="8">
        <v>42614.296597222223</v>
      </c>
      <c r="B258" t="s">
        <v>351</v>
      </c>
      <c r="C258" t="s">
        <v>994</v>
      </c>
      <c r="D258">
        <v>1830000</v>
      </c>
      <c r="E258" t="s">
        <v>972</v>
      </c>
      <c r="F258" s="23" t="str">
        <f t="shared" si="8"/>
        <v>rtdc.l.rtdc.4010:itc</v>
      </c>
      <c r="G258" s="8">
        <f t="shared" si="9"/>
        <v>42614.296597222223</v>
      </c>
    </row>
    <row r="259" spans="1:7" x14ac:dyDescent="0.25">
      <c r="A259" s="8">
        <v>42614.299710648149</v>
      </c>
      <c r="B259" t="s">
        <v>201</v>
      </c>
      <c r="C259" t="s">
        <v>995</v>
      </c>
      <c r="D259">
        <v>2230000</v>
      </c>
      <c r="E259" t="s">
        <v>503</v>
      </c>
      <c r="F259" s="23" t="str">
        <f t="shared" si="8"/>
        <v>rtdc.l.rtdc.4020:itc</v>
      </c>
      <c r="G259" s="8">
        <f t="shared" si="9"/>
        <v>42614.299710648149</v>
      </c>
    </row>
    <row r="260" spans="1:7" x14ac:dyDescent="0.25">
      <c r="A260" s="8">
        <v>42614.305231481485</v>
      </c>
      <c r="B260" t="s">
        <v>111</v>
      </c>
      <c r="C260" t="s">
        <v>996</v>
      </c>
      <c r="D260">
        <v>1340000</v>
      </c>
      <c r="E260" t="s">
        <v>997</v>
      </c>
      <c r="F260" s="23" t="str">
        <f t="shared" si="8"/>
        <v>rtdc.l.rtdc.4014:itc</v>
      </c>
      <c r="G260" s="8">
        <f t="shared" si="9"/>
        <v>42614.305231481485</v>
      </c>
    </row>
    <row r="261" spans="1:7" x14ac:dyDescent="0.25">
      <c r="A261" s="8">
        <v>42614.308761574073</v>
      </c>
      <c r="B261" t="s">
        <v>720</v>
      </c>
      <c r="C261" t="s">
        <v>998</v>
      </c>
      <c r="D261">
        <v>2260000</v>
      </c>
      <c r="E261" t="s">
        <v>162</v>
      </c>
      <c r="F261" s="23" t="str">
        <f t="shared" si="8"/>
        <v>rtdc.l.rtdc.4008:itc</v>
      </c>
      <c r="G261" s="8">
        <f t="shared" si="9"/>
        <v>42614.308761574073</v>
      </c>
    </row>
    <row r="262" spans="1:7" x14ac:dyDescent="0.25">
      <c r="A262" s="8">
        <v>42614.31177083333</v>
      </c>
      <c r="B262" t="s">
        <v>151</v>
      </c>
      <c r="C262" t="s">
        <v>999</v>
      </c>
      <c r="D262">
        <v>1830000</v>
      </c>
      <c r="E262" t="s">
        <v>972</v>
      </c>
      <c r="F262" s="23" t="str">
        <f t="shared" si="8"/>
        <v>rtdc.l.rtdc.4009:itc</v>
      </c>
      <c r="G262" s="8">
        <f t="shared" si="9"/>
        <v>42614.31177083333</v>
      </c>
    </row>
    <row r="263" spans="1:7" x14ac:dyDescent="0.25">
      <c r="A263" s="8">
        <v>42614.317627314813</v>
      </c>
      <c r="B263" t="s">
        <v>90</v>
      </c>
      <c r="C263" t="s">
        <v>1000</v>
      </c>
      <c r="D263">
        <v>1340000</v>
      </c>
      <c r="E263" t="s">
        <v>997</v>
      </c>
      <c r="F263" s="23" t="str">
        <f t="shared" si="8"/>
        <v>rtdc.l.rtdc.4013:itc</v>
      </c>
      <c r="G263" s="8">
        <f t="shared" si="9"/>
        <v>42614.317627314813</v>
      </c>
    </row>
    <row r="264" spans="1:7" x14ac:dyDescent="0.25">
      <c r="A264" s="8">
        <v>42614.318240740744</v>
      </c>
      <c r="B264" t="s">
        <v>349</v>
      </c>
      <c r="C264" t="s">
        <v>1001</v>
      </c>
      <c r="D264">
        <v>1110000</v>
      </c>
      <c r="E264" t="s">
        <v>259</v>
      </c>
      <c r="F264" s="23" t="str">
        <f t="shared" si="8"/>
        <v>rtdc.l.rtdc.4041:itc</v>
      </c>
      <c r="G264" s="8">
        <f t="shared" si="9"/>
        <v>42614.318240740744</v>
      </c>
    </row>
    <row r="265" spans="1:7" x14ac:dyDescent="0.25">
      <c r="A265" s="8">
        <v>42614.321944444448</v>
      </c>
      <c r="B265" t="s">
        <v>247</v>
      </c>
      <c r="C265" t="s">
        <v>1002</v>
      </c>
      <c r="D265">
        <v>1310000</v>
      </c>
      <c r="E265" t="s">
        <v>967</v>
      </c>
      <c r="F265" s="23" t="str">
        <f t="shared" si="8"/>
        <v>rtdc.l.rtdc.4018:itc</v>
      </c>
      <c r="G265" s="8">
        <f t="shared" si="9"/>
        <v>42614.321944444448</v>
      </c>
    </row>
    <row r="266" spans="1:7" x14ac:dyDescent="0.25">
      <c r="A266" s="8">
        <v>42614.323645833334</v>
      </c>
      <c r="B266" t="s">
        <v>226</v>
      </c>
      <c r="C266" t="s">
        <v>1003</v>
      </c>
      <c r="D266">
        <v>2010000</v>
      </c>
      <c r="E266" t="s">
        <v>760</v>
      </c>
      <c r="F266" s="23" t="str">
        <f t="shared" ref="F266:F281" si="10">B266</f>
        <v>rtdc.l.rtdc.4043:itc</v>
      </c>
      <c r="G266" s="8">
        <f t="shared" ref="G266:G281" si="11">A266</f>
        <v>42614.323645833334</v>
      </c>
    </row>
    <row r="267" spans="1:7" x14ac:dyDescent="0.25">
      <c r="A267" s="8">
        <v>42614.329027777778</v>
      </c>
      <c r="B267" t="s">
        <v>200</v>
      </c>
      <c r="C267" t="s">
        <v>1004</v>
      </c>
      <c r="D267">
        <v>2230000</v>
      </c>
      <c r="E267" t="s">
        <v>503</v>
      </c>
      <c r="F267" s="23" t="str">
        <f t="shared" si="10"/>
        <v>rtdc.l.rtdc.4019:itc</v>
      </c>
      <c r="G267" s="8">
        <f t="shared" si="11"/>
        <v>42614.329027777778</v>
      </c>
    </row>
    <row r="268" spans="1:7" x14ac:dyDescent="0.25">
      <c r="A268" s="8">
        <v>42614.33079861111</v>
      </c>
      <c r="B268" t="s">
        <v>144</v>
      </c>
      <c r="C268" t="s">
        <v>1005</v>
      </c>
      <c r="D268">
        <v>1760000</v>
      </c>
      <c r="E268" t="s">
        <v>762</v>
      </c>
      <c r="F268" s="23" t="str">
        <f t="shared" si="10"/>
        <v>rtdc.l.rtdc.4038:itc</v>
      </c>
      <c r="G268" s="8">
        <f t="shared" si="11"/>
        <v>42614.33079861111</v>
      </c>
    </row>
    <row r="269" spans="1:7" x14ac:dyDescent="0.25">
      <c r="A269" s="8">
        <v>42614.338043981479</v>
      </c>
      <c r="B269" t="s">
        <v>351</v>
      </c>
      <c r="C269" t="s">
        <v>715</v>
      </c>
      <c r="D269">
        <v>1830000</v>
      </c>
      <c r="E269" t="s">
        <v>972</v>
      </c>
      <c r="F269" s="23" t="str">
        <f t="shared" si="10"/>
        <v>rtdc.l.rtdc.4010:itc</v>
      </c>
      <c r="G269" s="8">
        <f t="shared" si="11"/>
        <v>42614.338043981479</v>
      </c>
    </row>
    <row r="270" spans="1:7" x14ac:dyDescent="0.25">
      <c r="A270" s="8">
        <v>42614.342129629629</v>
      </c>
      <c r="B270" t="s">
        <v>781</v>
      </c>
      <c r="C270" t="s">
        <v>1006</v>
      </c>
      <c r="D270">
        <v>2260000</v>
      </c>
      <c r="E270" t="s">
        <v>162</v>
      </c>
      <c r="F270" s="23" t="str">
        <f t="shared" si="10"/>
        <v>rtdc.l.rtdc.4007:itc</v>
      </c>
      <c r="G270" s="8">
        <f t="shared" si="11"/>
        <v>42614.342129629629</v>
      </c>
    </row>
    <row r="271" spans="1:7" x14ac:dyDescent="0.25">
      <c r="A271" s="8">
        <v>42614.343506944446</v>
      </c>
      <c r="B271" t="s">
        <v>111</v>
      </c>
      <c r="C271" t="s">
        <v>1007</v>
      </c>
      <c r="D271">
        <v>1340000</v>
      </c>
      <c r="E271" t="s">
        <v>997</v>
      </c>
      <c r="F271" s="23" t="str">
        <f t="shared" si="10"/>
        <v>rtdc.l.rtdc.4014:itc</v>
      </c>
      <c r="G271" s="8">
        <f t="shared" si="11"/>
        <v>42614.343506944446</v>
      </c>
    </row>
    <row r="272" spans="1:7" x14ac:dyDescent="0.25">
      <c r="A272" s="8">
        <v>42614.345335648148</v>
      </c>
      <c r="B272" t="s">
        <v>114</v>
      </c>
      <c r="C272" t="s">
        <v>1008</v>
      </c>
      <c r="D272">
        <v>1090000</v>
      </c>
      <c r="E272" t="s">
        <v>329</v>
      </c>
      <c r="F272" s="23" t="str">
        <f t="shared" si="10"/>
        <v>rtdc.l.rtdc.4032:itc</v>
      </c>
      <c r="G272" s="8">
        <f t="shared" si="11"/>
        <v>42614.345335648148</v>
      </c>
    </row>
    <row r="273" spans="1:7" x14ac:dyDescent="0.25">
      <c r="A273" s="8">
        <v>42614.352118055554</v>
      </c>
      <c r="B273" t="s">
        <v>418</v>
      </c>
      <c r="C273" t="s">
        <v>1009</v>
      </c>
      <c r="D273">
        <v>1110000</v>
      </c>
      <c r="E273" t="s">
        <v>259</v>
      </c>
      <c r="F273" s="23" t="str">
        <f t="shared" si="10"/>
        <v>rtdc.l.rtdc.4042:itc</v>
      </c>
      <c r="G273" s="8">
        <f t="shared" si="11"/>
        <v>42614.352118055554</v>
      </c>
    </row>
    <row r="274" spans="1:7" x14ac:dyDescent="0.25">
      <c r="A274" s="8">
        <v>42614.358935185184</v>
      </c>
      <c r="B274" t="s">
        <v>90</v>
      </c>
      <c r="C274" t="s">
        <v>1010</v>
      </c>
      <c r="D274">
        <v>1340000</v>
      </c>
      <c r="E274" t="s">
        <v>997</v>
      </c>
      <c r="F274" s="23" t="str">
        <f t="shared" si="10"/>
        <v>rtdc.l.rtdc.4013:itc</v>
      </c>
      <c r="G274" s="8">
        <f t="shared" si="11"/>
        <v>42614.358935185184</v>
      </c>
    </row>
    <row r="275" spans="1:7" x14ac:dyDescent="0.25">
      <c r="A275" s="8">
        <v>42614.360185185185</v>
      </c>
      <c r="B275" t="s">
        <v>228</v>
      </c>
      <c r="C275" t="s">
        <v>1011</v>
      </c>
      <c r="D275">
        <v>2010000</v>
      </c>
      <c r="E275" t="s">
        <v>760</v>
      </c>
      <c r="F275" s="23" t="str">
        <f t="shared" si="10"/>
        <v>rtdc.l.rtdc.4044:itc</v>
      </c>
      <c r="G275" s="8">
        <f t="shared" si="11"/>
        <v>42614.360185185185</v>
      </c>
    </row>
    <row r="276" spans="1:7" x14ac:dyDescent="0.25">
      <c r="A276" s="8">
        <v>42614.360868055555</v>
      </c>
      <c r="B276" t="s">
        <v>245</v>
      </c>
      <c r="C276" t="s">
        <v>1012</v>
      </c>
      <c r="D276">
        <v>1310000</v>
      </c>
      <c r="E276" t="s">
        <v>967</v>
      </c>
      <c r="F276" s="23" t="str">
        <f t="shared" si="10"/>
        <v>rtdc.l.rtdc.4017:itc</v>
      </c>
      <c r="G276" s="8">
        <f t="shared" si="11"/>
        <v>42614.360868055555</v>
      </c>
    </row>
    <row r="277" spans="1:7" x14ac:dyDescent="0.25">
      <c r="A277" s="8">
        <v>42614.36886574074</v>
      </c>
      <c r="B277" t="s">
        <v>139</v>
      </c>
      <c r="C277" t="s">
        <v>750</v>
      </c>
      <c r="D277">
        <v>1760000</v>
      </c>
      <c r="E277" t="s">
        <v>762</v>
      </c>
      <c r="F277" s="23" t="str">
        <f t="shared" si="10"/>
        <v>rtdc.l.rtdc.4037:itc</v>
      </c>
      <c r="G277" s="8">
        <f t="shared" si="11"/>
        <v>42614.36886574074</v>
      </c>
    </row>
    <row r="278" spans="1:7" x14ac:dyDescent="0.25">
      <c r="A278" s="8">
        <v>42614.371493055558</v>
      </c>
      <c r="B278" t="s">
        <v>201</v>
      </c>
      <c r="C278" t="s">
        <v>1013</v>
      </c>
      <c r="D278">
        <v>2230000</v>
      </c>
      <c r="E278" t="s">
        <v>503</v>
      </c>
      <c r="F278" s="23" t="str">
        <f t="shared" si="10"/>
        <v>rtdc.l.rtdc.4020:itc</v>
      </c>
      <c r="G278" s="8">
        <f t="shared" si="11"/>
        <v>42614.371493055558</v>
      </c>
    </row>
    <row r="279" spans="1:7" x14ac:dyDescent="0.25">
      <c r="A279" s="8">
        <v>42614.380636574075</v>
      </c>
      <c r="B279" t="s">
        <v>720</v>
      </c>
      <c r="C279" t="s">
        <v>721</v>
      </c>
      <c r="D279">
        <v>2260000</v>
      </c>
      <c r="E279" t="s">
        <v>162</v>
      </c>
      <c r="F279" s="23" t="str">
        <f t="shared" si="10"/>
        <v>rtdc.l.rtdc.4008:itc</v>
      </c>
      <c r="G279" s="8">
        <f t="shared" si="11"/>
        <v>42614.380636574075</v>
      </c>
    </row>
    <row r="280" spans="1:7" x14ac:dyDescent="0.25">
      <c r="A280" s="8">
        <v>42614.384652777779</v>
      </c>
      <c r="B280" t="s">
        <v>113</v>
      </c>
      <c r="C280" t="s">
        <v>1014</v>
      </c>
      <c r="D280">
        <v>1090000</v>
      </c>
      <c r="E280" t="s">
        <v>329</v>
      </c>
      <c r="F280" s="23" t="str">
        <f t="shared" si="10"/>
        <v>rtdc.l.rtdc.4031:itc</v>
      </c>
      <c r="G280" s="8">
        <f t="shared" si="11"/>
        <v>42614.384652777779</v>
      </c>
    </row>
    <row r="281" spans="1:7" x14ac:dyDescent="0.25">
      <c r="A281" s="8">
        <v>42614.385821759257</v>
      </c>
      <c r="B281" t="s">
        <v>111</v>
      </c>
      <c r="C281" t="s">
        <v>1015</v>
      </c>
      <c r="D281">
        <v>1100000</v>
      </c>
      <c r="E281" t="s">
        <v>347</v>
      </c>
      <c r="F281" s="23" t="str">
        <f t="shared" si="10"/>
        <v>rtdc.l.rtdc.4014:itc</v>
      </c>
      <c r="G281" s="8">
        <f t="shared" si="11"/>
        <v>42614.385821759257</v>
      </c>
    </row>
    <row r="282" spans="1:7" x14ac:dyDescent="0.25">
      <c r="A282" s="8">
        <v>42614.389270833337</v>
      </c>
      <c r="B282" t="s">
        <v>349</v>
      </c>
      <c r="C282" t="s">
        <v>1016</v>
      </c>
      <c r="D282">
        <v>1110000</v>
      </c>
      <c r="E282" t="s">
        <v>259</v>
      </c>
      <c r="F282" s="23" t="str">
        <f t="shared" ref="F282:F345" si="12">B282</f>
        <v>rtdc.l.rtdc.4041:itc</v>
      </c>
      <c r="G282" s="8">
        <f t="shared" ref="G282:G345" si="13">A282</f>
        <v>42614.389270833337</v>
      </c>
    </row>
    <row r="283" spans="1:7" x14ac:dyDescent="0.25">
      <c r="A283" s="8">
        <v>42614.394317129627</v>
      </c>
      <c r="B283" t="s">
        <v>247</v>
      </c>
      <c r="C283" t="s">
        <v>1017</v>
      </c>
      <c r="D283">
        <v>1310000</v>
      </c>
      <c r="E283" t="s">
        <v>967</v>
      </c>
      <c r="F283" s="23" t="str">
        <f t="shared" si="12"/>
        <v>rtdc.l.rtdc.4018:itc</v>
      </c>
      <c r="G283" s="8">
        <f t="shared" si="13"/>
        <v>42614.394317129627</v>
      </c>
    </row>
    <row r="284" spans="1:7" x14ac:dyDescent="0.25">
      <c r="A284" s="8">
        <v>42614.395462962966</v>
      </c>
      <c r="B284" t="s">
        <v>226</v>
      </c>
      <c r="C284" t="s">
        <v>1018</v>
      </c>
      <c r="D284">
        <v>2010000</v>
      </c>
      <c r="E284" t="s">
        <v>760</v>
      </c>
      <c r="F284" s="23" t="str">
        <f t="shared" si="12"/>
        <v>rtdc.l.rtdc.4043:itc</v>
      </c>
      <c r="G284" s="8">
        <f t="shared" si="13"/>
        <v>42614.395462962966</v>
      </c>
    </row>
    <row r="285" spans="1:7" x14ac:dyDescent="0.25">
      <c r="A285" s="8">
        <v>42614.401631944442</v>
      </c>
      <c r="B285" t="s">
        <v>90</v>
      </c>
      <c r="C285" t="s">
        <v>1019</v>
      </c>
      <c r="D285">
        <v>1100000</v>
      </c>
      <c r="E285" t="s">
        <v>347</v>
      </c>
      <c r="F285" s="23" t="str">
        <f t="shared" si="12"/>
        <v>rtdc.l.rtdc.4013:itc</v>
      </c>
      <c r="G285" s="8">
        <f t="shared" si="13"/>
        <v>42614.401631944442</v>
      </c>
    </row>
    <row r="286" spans="1:7" x14ac:dyDescent="0.25">
      <c r="A286" s="8">
        <v>42614.404143518521</v>
      </c>
      <c r="B286" t="s">
        <v>144</v>
      </c>
      <c r="C286" t="s">
        <v>1020</v>
      </c>
      <c r="D286">
        <v>1760000</v>
      </c>
      <c r="E286" t="s">
        <v>762</v>
      </c>
      <c r="F286" s="23" t="str">
        <f t="shared" si="12"/>
        <v>rtdc.l.rtdc.4038:itc</v>
      </c>
      <c r="G286" s="8">
        <f t="shared" si="13"/>
        <v>42614.404143518521</v>
      </c>
    </row>
    <row r="287" spans="1:7" x14ac:dyDescent="0.25">
      <c r="A287" s="8">
        <v>42614.40902777778</v>
      </c>
      <c r="B287" t="s">
        <v>200</v>
      </c>
      <c r="C287" t="s">
        <v>1021</v>
      </c>
      <c r="D287">
        <v>2230000</v>
      </c>
      <c r="E287" t="s">
        <v>503</v>
      </c>
      <c r="F287" s="23" t="str">
        <f t="shared" si="12"/>
        <v>rtdc.l.rtdc.4019:itc</v>
      </c>
      <c r="G287" s="8">
        <f t="shared" si="13"/>
        <v>42614.40902777778</v>
      </c>
    </row>
    <row r="288" spans="1:7" x14ac:dyDescent="0.25">
      <c r="A288" s="8">
        <v>42614.416041666664</v>
      </c>
      <c r="B288" t="s">
        <v>781</v>
      </c>
      <c r="C288" t="s">
        <v>1022</v>
      </c>
      <c r="D288">
        <v>2260000</v>
      </c>
      <c r="E288" t="s">
        <v>162</v>
      </c>
      <c r="F288" s="23" t="str">
        <f t="shared" si="12"/>
        <v>rtdc.l.rtdc.4007:itc</v>
      </c>
      <c r="G288" s="8">
        <f t="shared" si="13"/>
        <v>42614.416041666664</v>
      </c>
    </row>
    <row r="289" spans="1:7" x14ac:dyDescent="0.25">
      <c r="A289" s="8">
        <v>42614.419722222221</v>
      </c>
      <c r="B289" t="s">
        <v>114</v>
      </c>
      <c r="C289" t="s">
        <v>1023</v>
      </c>
      <c r="D289">
        <v>1090000</v>
      </c>
      <c r="E289" t="s">
        <v>329</v>
      </c>
      <c r="F289" s="23" t="str">
        <f t="shared" si="12"/>
        <v>rtdc.l.rtdc.4032:itc</v>
      </c>
      <c r="G289" s="8">
        <f t="shared" si="13"/>
        <v>42614.419722222221</v>
      </c>
    </row>
    <row r="290" spans="1:7" x14ac:dyDescent="0.25">
      <c r="A290" s="8">
        <v>42614.423333333332</v>
      </c>
      <c r="B290" t="s">
        <v>418</v>
      </c>
      <c r="C290" t="s">
        <v>1024</v>
      </c>
      <c r="D290">
        <v>1110000</v>
      </c>
      <c r="E290" t="s">
        <v>259</v>
      </c>
      <c r="F290" s="23" t="str">
        <f t="shared" si="12"/>
        <v>rtdc.l.rtdc.4042:itc</v>
      </c>
      <c r="G290" s="8">
        <f t="shared" si="13"/>
        <v>42614.423333333332</v>
      </c>
    </row>
    <row r="291" spans="1:7" x14ac:dyDescent="0.25">
      <c r="A291" s="8">
        <v>42614.429837962962</v>
      </c>
      <c r="B291" t="s">
        <v>111</v>
      </c>
      <c r="C291" t="s">
        <v>1025</v>
      </c>
      <c r="D291">
        <v>1100000</v>
      </c>
      <c r="E291" t="s">
        <v>347</v>
      </c>
      <c r="F291" s="23" t="str">
        <f t="shared" si="12"/>
        <v>rtdc.l.rtdc.4014:itc</v>
      </c>
      <c r="G291" s="8">
        <f t="shared" si="13"/>
        <v>42614.429837962962</v>
      </c>
    </row>
    <row r="292" spans="1:7" x14ac:dyDescent="0.25">
      <c r="A292" s="8">
        <v>42614.433495370373</v>
      </c>
      <c r="B292" t="s">
        <v>245</v>
      </c>
      <c r="C292" t="s">
        <v>732</v>
      </c>
      <c r="D292">
        <v>1310000</v>
      </c>
      <c r="E292" t="s">
        <v>967</v>
      </c>
      <c r="F292" s="23" t="str">
        <f t="shared" si="12"/>
        <v>rtdc.l.rtdc.4017:itc</v>
      </c>
      <c r="G292" s="8">
        <f t="shared" si="13"/>
        <v>42614.433495370373</v>
      </c>
    </row>
    <row r="293" spans="1:7" x14ac:dyDescent="0.25">
      <c r="A293" s="8">
        <v>42614.434756944444</v>
      </c>
      <c r="B293" t="s">
        <v>228</v>
      </c>
      <c r="C293" t="s">
        <v>1026</v>
      </c>
      <c r="D293">
        <v>1830000</v>
      </c>
      <c r="E293" t="s">
        <v>972</v>
      </c>
      <c r="F293" s="23" t="str">
        <f t="shared" si="12"/>
        <v>rtdc.l.rtdc.4044:itc</v>
      </c>
      <c r="G293" s="8">
        <f t="shared" si="13"/>
        <v>42614.434756944444</v>
      </c>
    </row>
    <row r="294" spans="1:7" x14ac:dyDescent="0.25">
      <c r="A294" s="8">
        <v>42614.440185185187</v>
      </c>
      <c r="B294" t="s">
        <v>139</v>
      </c>
      <c r="C294" t="s">
        <v>1027</v>
      </c>
      <c r="D294">
        <v>1760000</v>
      </c>
      <c r="E294" t="s">
        <v>762</v>
      </c>
      <c r="F294" s="23" t="str">
        <f t="shared" si="12"/>
        <v>rtdc.l.rtdc.4037:itc</v>
      </c>
      <c r="G294" s="8">
        <f t="shared" si="13"/>
        <v>42614.440185185187</v>
      </c>
    </row>
    <row r="295" spans="1:7" x14ac:dyDescent="0.25">
      <c r="A295" s="8">
        <v>42614.443148148152</v>
      </c>
      <c r="B295" t="s">
        <v>90</v>
      </c>
      <c r="C295" t="s">
        <v>1028</v>
      </c>
      <c r="D295">
        <v>1100000</v>
      </c>
      <c r="E295" t="s">
        <v>347</v>
      </c>
      <c r="F295" s="23" t="str">
        <f t="shared" si="12"/>
        <v>rtdc.l.rtdc.4013:itc</v>
      </c>
      <c r="G295" s="8">
        <f t="shared" si="13"/>
        <v>42614.443148148152</v>
      </c>
    </row>
    <row r="296" spans="1:7" x14ac:dyDescent="0.25">
      <c r="A296" s="8">
        <v>42614.44431712963</v>
      </c>
      <c r="B296" t="s">
        <v>201</v>
      </c>
      <c r="C296" t="s">
        <v>1029</v>
      </c>
      <c r="D296">
        <v>2230000</v>
      </c>
      <c r="E296" t="s">
        <v>503</v>
      </c>
      <c r="F296" s="23" t="str">
        <f t="shared" si="12"/>
        <v>rtdc.l.rtdc.4020:itc</v>
      </c>
      <c r="G296" s="8">
        <f t="shared" si="13"/>
        <v>42614.44431712963</v>
      </c>
    </row>
    <row r="297" spans="1:7" x14ac:dyDescent="0.25">
      <c r="A297" s="8">
        <v>42614.453425925924</v>
      </c>
      <c r="B297" t="s">
        <v>720</v>
      </c>
      <c r="C297" t="s">
        <v>1030</v>
      </c>
      <c r="D297">
        <v>2260000</v>
      </c>
      <c r="E297" t="s">
        <v>162</v>
      </c>
      <c r="F297" s="23" t="str">
        <f t="shared" si="12"/>
        <v>rtdc.l.rtdc.4008:itc</v>
      </c>
      <c r="G297" s="8">
        <f t="shared" si="13"/>
        <v>42614.453425925924</v>
      </c>
    </row>
    <row r="298" spans="1:7" x14ac:dyDescent="0.25">
      <c r="A298" s="8">
        <v>42614.45511574074</v>
      </c>
      <c r="B298" t="s">
        <v>1031</v>
      </c>
      <c r="C298" t="s">
        <v>1032</v>
      </c>
      <c r="D298">
        <v>1810000</v>
      </c>
      <c r="E298" t="s">
        <v>249</v>
      </c>
      <c r="F298" s="23" t="str">
        <f t="shared" si="12"/>
        <v>rtdc.l.rtdc.4021:itc</v>
      </c>
      <c r="G298" s="8">
        <f t="shared" si="13"/>
        <v>42614.45511574074</v>
      </c>
    </row>
    <row r="299" spans="1:7" x14ac:dyDescent="0.25">
      <c r="A299" s="8">
        <v>42614.455601851849</v>
      </c>
      <c r="B299" t="s">
        <v>113</v>
      </c>
      <c r="C299" t="s">
        <v>1033</v>
      </c>
      <c r="D299">
        <v>2140000</v>
      </c>
      <c r="E299" t="s">
        <v>497</v>
      </c>
      <c r="F299" s="23" t="str">
        <f t="shared" si="12"/>
        <v>rtdc.l.rtdc.4031:itc</v>
      </c>
      <c r="G299" s="8">
        <f t="shared" si="13"/>
        <v>42614.455601851849</v>
      </c>
    </row>
    <row r="300" spans="1:7" x14ac:dyDescent="0.25">
      <c r="A300" s="8">
        <v>42614.458703703705</v>
      </c>
      <c r="B300" t="s">
        <v>1031</v>
      </c>
      <c r="C300" t="s">
        <v>1032</v>
      </c>
      <c r="D300">
        <v>1810000</v>
      </c>
      <c r="E300" t="s">
        <v>249</v>
      </c>
      <c r="F300" s="23" t="str">
        <f t="shared" si="12"/>
        <v>rtdc.l.rtdc.4021:itc</v>
      </c>
      <c r="G300" s="8">
        <f t="shared" si="13"/>
        <v>42614.458703703705</v>
      </c>
    </row>
    <row r="301" spans="1:7" x14ac:dyDescent="0.25">
      <c r="A301" s="8">
        <v>42614.463379629633</v>
      </c>
      <c r="B301" t="s">
        <v>349</v>
      </c>
      <c r="C301" t="s">
        <v>1034</v>
      </c>
      <c r="D301">
        <v>1110000</v>
      </c>
      <c r="E301" t="s">
        <v>259</v>
      </c>
      <c r="F301" s="23" t="str">
        <f t="shared" si="12"/>
        <v>rtdc.l.rtdc.4041:itc</v>
      </c>
      <c r="G301" s="8">
        <f t="shared" si="13"/>
        <v>42614.463379629633</v>
      </c>
    </row>
    <row r="302" spans="1:7" x14ac:dyDescent="0.25">
      <c r="A302" s="8">
        <v>42614.464502314811</v>
      </c>
      <c r="B302" t="s">
        <v>226</v>
      </c>
      <c r="C302" t="s">
        <v>1035</v>
      </c>
      <c r="D302">
        <v>1830000</v>
      </c>
      <c r="E302" t="s">
        <v>972</v>
      </c>
      <c r="F302" s="23" t="str">
        <f t="shared" si="12"/>
        <v>rtdc.l.rtdc.4043:itc</v>
      </c>
      <c r="G302" s="8">
        <f t="shared" si="13"/>
        <v>42614.464502314811</v>
      </c>
    </row>
    <row r="303" spans="1:7" x14ac:dyDescent="0.25">
      <c r="A303" s="8">
        <v>42614.466006944444</v>
      </c>
      <c r="B303" t="s">
        <v>247</v>
      </c>
      <c r="C303" t="s">
        <v>1036</v>
      </c>
      <c r="D303">
        <v>2020000</v>
      </c>
      <c r="E303" t="s">
        <v>1037</v>
      </c>
      <c r="F303" s="23" t="str">
        <f t="shared" si="12"/>
        <v>rtdc.l.rtdc.4018:itc</v>
      </c>
      <c r="G303" s="8">
        <f t="shared" si="13"/>
        <v>42614.466006944444</v>
      </c>
    </row>
    <row r="304" spans="1:7" x14ac:dyDescent="0.25">
      <c r="A304" s="8">
        <v>42614.471354166664</v>
      </c>
      <c r="B304" t="s">
        <v>111</v>
      </c>
      <c r="C304" t="s">
        <v>1038</v>
      </c>
      <c r="D304">
        <v>1100000</v>
      </c>
      <c r="E304" t="s">
        <v>347</v>
      </c>
      <c r="F304" s="23" t="str">
        <f t="shared" si="12"/>
        <v>rtdc.l.rtdc.4014:itc</v>
      </c>
      <c r="G304" s="8">
        <f t="shared" si="13"/>
        <v>42614.471354166664</v>
      </c>
    </row>
    <row r="305" spans="1:7" x14ac:dyDescent="0.25">
      <c r="A305" s="8">
        <v>42614.472534722219</v>
      </c>
      <c r="B305" t="s">
        <v>919</v>
      </c>
      <c r="C305" t="s">
        <v>1039</v>
      </c>
      <c r="D305">
        <v>1310000</v>
      </c>
      <c r="E305" t="s">
        <v>967</v>
      </c>
      <c r="F305" s="23" t="str">
        <f t="shared" si="12"/>
        <v>rtdc.l.rtdc.4006:itc</v>
      </c>
      <c r="G305" s="8">
        <f t="shared" si="13"/>
        <v>42614.472534722219</v>
      </c>
    </row>
    <row r="306" spans="1:7" x14ac:dyDescent="0.25">
      <c r="A306" s="8">
        <v>42614.476435185185</v>
      </c>
      <c r="B306" t="s">
        <v>144</v>
      </c>
      <c r="C306" t="s">
        <v>1040</v>
      </c>
      <c r="D306">
        <v>2040000</v>
      </c>
      <c r="E306" t="s">
        <v>857</v>
      </c>
      <c r="F306" s="23" t="str">
        <f t="shared" si="12"/>
        <v>rtdc.l.rtdc.4038:itc</v>
      </c>
      <c r="G306" s="8">
        <f t="shared" si="13"/>
        <v>42614.476435185185</v>
      </c>
    </row>
    <row r="307" spans="1:7" x14ac:dyDescent="0.25">
      <c r="A307" s="8">
        <v>42614.482256944444</v>
      </c>
      <c r="B307" t="s">
        <v>200</v>
      </c>
      <c r="C307" t="s">
        <v>1041</v>
      </c>
      <c r="D307">
        <v>2230000</v>
      </c>
      <c r="E307" t="s">
        <v>503</v>
      </c>
      <c r="F307" s="23" t="str">
        <f t="shared" si="12"/>
        <v>rtdc.l.rtdc.4019:itc</v>
      </c>
      <c r="G307" s="8">
        <f t="shared" si="13"/>
        <v>42614.482256944444</v>
      </c>
    </row>
    <row r="308" spans="1:7" x14ac:dyDescent="0.25">
      <c r="A308" s="8">
        <v>42614.485185185185</v>
      </c>
      <c r="B308" t="s">
        <v>90</v>
      </c>
      <c r="C308" t="s">
        <v>1042</v>
      </c>
      <c r="D308">
        <v>1100000</v>
      </c>
      <c r="E308" t="s">
        <v>347</v>
      </c>
      <c r="F308" s="23" t="str">
        <f t="shared" si="12"/>
        <v>rtdc.l.rtdc.4013:itc</v>
      </c>
      <c r="G308" s="8">
        <f t="shared" si="13"/>
        <v>42614.485185185185</v>
      </c>
    </row>
    <row r="309" spans="1:7" x14ac:dyDescent="0.25">
      <c r="A309" s="8">
        <v>42614.486331018517</v>
      </c>
      <c r="B309" t="s">
        <v>781</v>
      </c>
      <c r="C309" t="s">
        <v>1043</v>
      </c>
      <c r="D309">
        <v>2270000</v>
      </c>
      <c r="E309" t="s">
        <v>466</v>
      </c>
      <c r="F309" s="23" t="str">
        <f t="shared" si="12"/>
        <v>rtdc.l.rtdc.4007:itc</v>
      </c>
      <c r="G309" s="8">
        <f t="shared" si="13"/>
        <v>42614.486331018517</v>
      </c>
    </row>
    <row r="310" spans="1:7" x14ac:dyDescent="0.25">
      <c r="A310" s="8">
        <v>42614.490868055553</v>
      </c>
      <c r="B310" t="s">
        <v>491</v>
      </c>
      <c r="C310" t="s">
        <v>1044</v>
      </c>
      <c r="D310">
        <v>900000</v>
      </c>
      <c r="E310" t="s">
        <v>330</v>
      </c>
      <c r="F310" s="23" t="str">
        <f t="shared" si="12"/>
        <v>rtdc.l.rtdc.4022:itc</v>
      </c>
      <c r="G310" s="8">
        <f t="shared" si="13"/>
        <v>42614.490868055553</v>
      </c>
    </row>
    <row r="311" spans="1:7" x14ac:dyDescent="0.25">
      <c r="A311" s="8">
        <v>42614.491493055553</v>
      </c>
      <c r="B311" t="s">
        <v>114</v>
      </c>
      <c r="C311" t="s">
        <v>1045</v>
      </c>
      <c r="D311">
        <v>2140000</v>
      </c>
      <c r="E311" t="s">
        <v>497</v>
      </c>
      <c r="F311" s="23" t="str">
        <f t="shared" si="12"/>
        <v>rtdc.l.rtdc.4032:itc</v>
      </c>
      <c r="G311" s="8">
        <f t="shared" si="13"/>
        <v>42614.491493055553</v>
      </c>
    </row>
    <row r="312" spans="1:7" x14ac:dyDescent="0.25">
      <c r="A312" s="8">
        <v>42614.491747685184</v>
      </c>
      <c r="B312" t="s">
        <v>491</v>
      </c>
      <c r="C312" t="s">
        <v>1044</v>
      </c>
      <c r="D312">
        <v>900000</v>
      </c>
      <c r="E312" t="s">
        <v>330</v>
      </c>
      <c r="F312" s="23" t="str">
        <f t="shared" si="12"/>
        <v>rtdc.l.rtdc.4022:itc</v>
      </c>
      <c r="G312" s="8">
        <f t="shared" si="13"/>
        <v>42614.491747685184</v>
      </c>
    </row>
    <row r="313" spans="1:7" x14ac:dyDescent="0.25">
      <c r="A313" s="8">
        <v>42614.497060185182</v>
      </c>
      <c r="B313" t="s">
        <v>418</v>
      </c>
      <c r="C313" t="s">
        <v>1046</v>
      </c>
      <c r="D313">
        <v>1140000</v>
      </c>
      <c r="E313" t="s">
        <v>262</v>
      </c>
      <c r="F313" s="23" t="str">
        <f t="shared" si="12"/>
        <v>rtdc.l.rtdc.4042:itc</v>
      </c>
      <c r="G313" s="8">
        <f t="shared" si="13"/>
        <v>42614.497060185182</v>
      </c>
    </row>
    <row r="314" spans="1:7" x14ac:dyDescent="0.25">
      <c r="A314" s="8">
        <v>42614.501979166664</v>
      </c>
      <c r="B314" t="s">
        <v>245</v>
      </c>
      <c r="C314" t="s">
        <v>1047</v>
      </c>
      <c r="D314">
        <v>2020000</v>
      </c>
      <c r="E314" t="s">
        <v>1037</v>
      </c>
      <c r="F314" s="23" t="str">
        <f t="shared" si="12"/>
        <v>rtdc.l.rtdc.4017:itc</v>
      </c>
      <c r="G314" s="8">
        <f t="shared" si="13"/>
        <v>42614.501979166664</v>
      </c>
    </row>
    <row r="315" spans="1:7" x14ac:dyDescent="0.25">
      <c r="A315" s="8">
        <v>42614.50576388889</v>
      </c>
      <c r="B315" t="s">
        <v>228</v>
      </c>
      <c r="C315" t="s">
        <v>1048</v>
      </c>
      <c r="D315">
        <v>2100000</v>
      </c>
      <c r="E315" t="s">
        <v>136</v>
      </c>
      <c r="F315" s="23" t="str">
        <f t="shared" si="12"/>
        <v>rtdc.l.rtdc.4044:itc</v>
      </c>
      <c r="G315" s="8">
        <f t="shared" si="13"/>
        <v>42614.50576388889</v>
      </c>
    </row>
    <row r="316" spans="1:7" x14ac:dyDescent="0.25">
      <c r="A316" s="8">
        <v>42614.512372685182</v>
      </c>
      <c r="B316" t="s">
        <v>111</v>
      </c>
      <c r="C316" t="s">
        <v>1049</v>
      </c>
      <c r="D316">
        <v>1100000</v>
      </c>
      <c r="E316" t="s">
        <v>347</v>
      </c>
      <c r="F316" s="23" t="str">
        <f t="shared" si="12"/>
        <v>rtdc.l.rtdc.4014:itc</v>
      </c>
      <c r="G316" s="8">
        <f t="shared" si="13"/>
        <v>42614.512372685182</v>
      </c>
    </row>
    <row r="317" spans="1:7" x14ac:dyDescent="0.25">
      <c r="A317" s="8">
        <v>42614.516226851854</v>
      </c>
      <c r="B317" t="s">
        <v>720</v>
      </c>
      <c r="C317" t="s">
        <v>1050</v>
      </c>
      <c r="D317">
        <v>2270000</v>
      </c>
      <c r="E317" t="s">
        <v>466</v>
      </c>
      <c r="F317" s="23" t="str">
        <f t="shared" si="12"/>
        <v>rtdc.l.rtdc.4008:itc</v>
      </c>
      <c r="G317" s="8">
        <f t="shared" si="13"/>
        <v>42614.516226851854</v>
      </c>
    </row>
    <row r="318" spans="1:7" x14ac:dyDescent="0.25">
      <c r="A318" s="8">
        <v>42614.516226851854</v>
      </c>
      <c r="B318" t="s">
        <v>139</v>
      </c>
      <c r="C318" t="s">
        <v>1051</v>
      </c>
      <c r="D318">
        <v>2040000</v>
      </c>
      <c r="E318" t="s">
        <v>857</v>
      </c>
      <c r="F318" s="23" t="str">
        <f t="shared" si="12"/>
        <v>rtdc.l.rtdc.4037:itc</v>
      </c>
      <c r="G318" s="8">
        <f t="shared" si="13"/>
        <v>42614.516226851854</v>
      </c>
    </row>
    <row r="319" spans="1:7" x14ac:dyDescent="0.25">
      <c r="A319" s="8">
        <v>42614.516851851855</v>
      </c>
      <c r="B319" t="s">
        <v>201</v>
      </c>
      <c r="C319" t="s">
        <v>1052</v>
      </c>
      <c r="D319">
        <v>910000</v>
      </c>
      <c r="E319" t="s">
        <v>1053</v>
      </c>
      <c r="F319" s="23" t="str">
        <f t="shared" si="12"/>
        <v>rtdc.l.rtdc.4020:itc</v>
      </c>
      <c r="G319" s="8">
        <f t="shared" si="13"/>
        <v>42614.516851851855</v>
      </c>
    </row>
    <row r="320" spans="1:7" x14ac:dyDescent="0.25">
      <c r="A320" s="8">
        <v>42614.526643518519</v>
      </c>
      <c r="B320" t="s">
        <v>90</v>
      </c>
      <c r="C320" t="s">
        <v>1054</v>
      </c>
      <c r="D320">
        <v>1100000</v>
      </c>
      <c r="E320" t="s">
        <v>347</v>
      </c>
      <c r="F320" s="23" t="str">
        <f t="shared" si="12"/>
        <v>rtdc.l.rtdc.4013:itc</v>
      </c>
      <c r="G320" s="8">
        <f t="shared" si="13"/>
        <v>42614.526643518519</v>
      </c>
    </row>
    <row r="321" spans="1:7" x14ac:dyDescent="0.25">
      <c r="A321" s="8">
        <v>42614.527511574073</v>
      </c>
      <c r="B321" t="s">
        <v>113</v>
      </c>
      <c r="C321" t="s">
        <v>1055</v>
      </c>
      <c r="D321">
        <v>2140000</v>
      </c>
      <c r="E321" t="s">
        <v>497</v>
      </c>
      <c r="F321" s="23" t="str">
        <f t="shared" si="12"/>
        <v>rtdc.l.rtdc.4031:itc</v>
      </c>
      <c r="G321" s="8">
        <f t="shared" si="13"/>
        <v>42614.527511574073</v>
      </c>
    </row>
    <row r="322" spans="1:7" x14ac:dyDescent="0.25">
      <c r="A322" s="8">
        <v>42614.530439814815</v>
      </c>
      <c r="B322" t="s">
        <v>349</v>
      </c>
      <c r="C322" t="s">
        <v>1056</v>
      </c>
      <c r="D322">
        <v>1140000</v>
      </c>
      <c r="E322" t="s">
        <v>262</v>
      </c>
      <c r="F322" s="23" t="str">
        <f t="shared" si="12"/>
        <v>rtdc.l.rtdc.4041:itc</v>
      </c>
      <c r="G322" s="8">
        <f t="shared" si="13"/>
        <v>42614.530439814815</v>
      </c>
    </row>
    <row r="323" spans="1:7" x14ac:dyDescent="0.25">
      <c r="A323" s="8">
        <v>42614.538437499999</v>
      </c>
      <c r="B323" t="s">
        <v>247</v>
      </c>
      <c r="C323" t="s">
        <v>1057</v>
      </c>
      <c r="D323">
        <v>2020000</v>
      </c>
      <c r="E323" t="s">
        <v>1037</v>
      </c>
      <c r="F323" s="23" t="str">
        <f t="shared" si="12"/>
        <v>rtdc.l.rtdc.4018:itc</v>
      </c>
      <c r="G323" s="8">
        <f t="shared" si="13"/>
        <v>42614.538437499999</v>
      </c>
    </row>
    <row r="324" spans="1:7" x14ac:dyDescent="0.25">
      <c r="A324" s="8">
        <v>42614.543391203704</v>
      </c>
      <c r="B324" t="s">
        <v>226</v>
      </c>
      <c r="C324" t="s">
        <v>1058</v>
      </c>
      <c r="D324">
        <v>2100000</v>
      </c>
      <c r="E324" t="s">
        <v>136</v>
      </c>
      <c r="F324" s="23" t="str">
        <f t="shared" si="12"/>
        <v>rtdc.l.rtdc.4043:itc</v>
      </c>
      <c r="G324" s="8">
        <f t="shared" si="13"/>
        <v>42614.543391203704</v>
      </c>
    </row>
    <row r="325" spans="1:7" x14ac:dyDescent="0.25">
      <c r="A325" s="8">
        <v>42614.550405092596</v>
      </c>
      <c r="B325" t="s">
        <v>144</v>
      </c>
      <c r="C325" t="s">
        <v>1059</v>
      </c>
      <c r="D325">
        <v>2040000</v>
      </c>
      <c r="E325" t="s">
        <v>857</v>
      </c>
      <c r="F325" s="23" t="str">
        <f t="shared" si="12"/>
        <v>rtdc.l.rtdc.4038:itc</v>
      </c>
      <c r="G325" s="8">
        <f t="shared" si="13"/>
        <v>42614.550405092596</v>
      </c>
    </row>
    <row r="326" spans="1:7" x14ac:dyDescent="0.25">
      <c r="A326" s="8">
        <v>42614.552233796298</v>
      </c>
      <c r="B326" t="s">
        <v>200</v>
      </c>
      <c r="C326" t="s">
        <v>734</v>
      </c>
      <c r="D326">
        <v>910000</v>
      </c>
      <c r="E326" t="s">
        <v>1053</v>
      </c>
      <c r="F326" s="23" t="str">
        <f t="shared" si="12"/>
        <v>rtdc.l.rtdc.4019:itc</v>
      </c>
      <c r="G326" s="8">
        <f t="shared" si="13"/>
        <v>42614.552233796298</v>
      </c>
    </row>
    <row r="327" spans="1:7" x14ac:dyDescent="0.25">
      <c r="A327" s="8">
        <v>42614.553240740737</v>
      </c>
      <c r="B327" t="s">
        <v>111</v>
      </c>
      <c r="C327" t="s">
        <v>1060</v>
      </c>
      <c r="D327">
        <v>2280000</v>
      </c>
      <c r="E327" t="s">
        <v>839</v>
      </c>
      <c r="F327" s="23" t="str">
        <f t="shared" si="12"/>
        <v>rtdc.l.rtdc.4014:itc</v>
      </c>
      <c r="G327" s="8">
        <f t="shared" si="13"/>
        <v>42614.553240740737</v>
      </c>
    </row>
    <row r="328" spans="1:7" x14ac:dyDescent="0.25">
      <c r="A328" s="8">
        <v>42614.558125000003</v>
      </c>
      <c r="B328" t="s">
        <v>781</v>
      </c>
      <c r="C328" t="s">
        <v>1061</v>
      </c>
      <c r="D328">
        <v>2270000</v>
      </c>
      <c r="E328" t="s">
        <v>466</v>
      </c>
      <c r="F328" s="23" t="str">
        <f t="shared" si="12"/>
        <v>rtdc.l.rtdc.4007:itc</v>
      </c>
      <c r="G328" s="8">
        <f t="shared" si="13"/>
        <v>42614.558125000003</v>
      </c>
    </row>
    <row r="329" spans="1:7" x14ac:dyDescent="0.25">
      <c r="A329" s="8">
        <v>42614.568414351852</v>
      </c>
      <c r="B329" t="s">
        <v>114</v>
      </c>
      <c r="C329" t="s">
        <v>1062</v>
      </c>
      <c r="D329">
        <v>940000</v>
      </c>
      <c r="E329" t="s">
        <v>1063</v>
      </c>
      <c r="F329" s="23" t="str">
        <f t="shared" si="12"/>
        <v>rtdc.l.rtdc.4032:itc</v>
      </c>
      <c r="G329" s="8">
        <f t="shared" si="13"/>
        <v>42614.568414351852</v>
      </c>
    </row>
    <row r="330" spans="1:7" x14ac:dyDescent="0.25">
      <c r="A330" s="8">
        <v>42614.570532407408</v>
      </c>
      <c r="B330" t="s">
        <v>418</v>
      </c>
      <c r="C330" t="s">
        <v>1064</v>
      </c>
      <c r="D330">
        <v>1140000</v>
      </c>
      <c r="E330" t="s">
        <v>262</v>
      </c>
      <c r="F330" s="23" t="str">
        <f t="shared" si="12"/>
        <v>rtdc.l.rtdc.4042:itc</v>
      </c>
      <c r="G330" s="8">
        <f t="shared" si="13"/>
        <v>42614.570532407408</v>
      </c>
    </row>
    <row r="331" spans="1:7" x14ac:dyDescent="0.25">
      <c r="A331" s="8">
        <v>42614.571250000001</v>
      </c>
      <c r="B331" t="s">
        <v>90</v>
      </c>
      <c r="C331" t="s">
        <v>1065</v>
      </c>
      <c r="D331">
        <v>2280000</v>
      </c>
      <c r="E331" t="s">
        <v>839</v>
      </c>
      <c r="F331" s="23" t="str">
        <f t="shared" si="12"/>
        <v>rtdc.l.rtdc.4013:itc</v>
      </c>
      <c r="G331" s="8">
        <f t="shared" si="13"/>
        <v>42614.571250000001</v>
      </c>
    </row>
    <row r="332" spans="1:7" x14ac:dyDescent="0.25">
      <c r="A332" s="8">
        <v>42614.576238425929</v>
      </c>
      <c r="B332" t="s">
        <v>245</v>
      </c>
      <c r="C332" t="s">
        <v>749</v>
      </c>
      <c r="D332">
        <v>2020000</v>
      </c>
      <c r="E332" t="s">
        <v>1037</v>
      </c>
      <c r="F332" s="23" t="str">
        <f t="shared" si="12"/>
        <v>rtdc.l.rtdc.4017:itc</v>
      </c>
      <c r="G332" s="8">
        <f t="shared" si="13"/>
        <v>42614.576238425929</v>
      </c>
    </row>
    <row r="333" spans="1:7" x14ac:dyDescent="0.25">
      <c r="A333" s="8">
        <v>42614.579988425925</v>
      </c>
      <c r="B333" t="s">
        <v>228</v>
      </c>
      <c r="C333" t="s">
        <v>1066</v>
      </c>
      <c r="D333">
        <v>2100000</v>
      </c>
      <c r="E333" t="s">
        <v>136</v>
      </c>
      <c r="F333" s="23" t="str">
        <f t="shared" si="12"/>
        <v>rtdc.l.rtdc.4044:itc</v>
      </c>
      <c r="G333" s="8">
        <f t="shared" si="13"/>
        <v>42614.579988425925</v>
      </c>
    </row>
    <row r="334" spans="1:7" x14ac:dyDescent="0.25">
      <c r="A334" s="8">
        <v>42614.588634259257</v>
      </c>
      <c r="B334" t="s">
        <v>139</v>
      </c>
      <c r="C334" t="s">
        <v>1067</v>
      </c>
      <c r="D334">
        <v>2040000</v>
      </c>
      <c r="E334" t="s">
        <v>857</v>
      </c>
      <c r="F334" s="23" t="str">
        <f t="shared" si="12"/>
        <v>rtdc.l.rtdc.4037:itc</v>
      </c>
      <c r="G334" s="8">
        <f t="shared" si="13"/>
        <v>42614.588634259257</v>
      </c>
    </row>
    <row r="335" spans="1:7" x14ac:dyDescent="0.25">
      <c r="A335" s="8">
        <v>42614.588900462964</v>
      </c>
      <c r="B335" t="s">
        <v>201</v>
      </c>
      <c r="C335" t="s">
        <v>737</v>
      </c>
      <c r="D335">
        <v>910000</v>
      </c>
      <c r="E335" t="s">
        <v>1053</v>
      </c>
      <c r="F335" s="23" t="str">
        <f t="shared" si="12"/>
        <v>rtdc.l.rtdc.4020:itc</v>
      </c>
      <c r="G335" s="8">
        <f t="shared" si="13"/>
        <v>42614.588900462964</v>
      </c>
    </row>
    <row r="336" spans="1:7" x14ac:dyDescent="0.25">
      <c r="A336" s="8">
        <v>42614.589849537035</v>
      </c>
      <c r="B336" t="s">
        <v>720</v>
      </c>
      <c r="C336" t="s">
        <v>1068</v>
      </c>
      <c r="D336">
        <v>2270000</v>
      </c>
      <c r="E336" t="s">
        <v>466</v>
      </c>
      <c r="F336" s="23" t="str">
        <f t="shared" si="12"/>
        <v>rtdc.l.rtdc.4008:itc</v>
      </c>
      <c r="G336" s="8">
        <f t="shared" si="13"/>
        <v>42614.589849537035</v>
      </c>
    </row>
    <row r="337" spans="1:7" x14ac:dyDescent="0.25">
      <c r="A337" s="8">
        <v>42614.592418981483</v>
      </c>
      <c r="B337" t="s">
        <v>201</v>
      </c>
      <c r="C337" t="s">
        <v>737</v>
      </c>
      <c r="D337">
        <v>910000</v>
      </c>
      <c r="E337" t="s">
        <v>1053</v>
      </c>
      <c r="F337" s="23" t="str">
        <f t="shared" si="12"/>
        <v>rtdc.l.rtdc.4020:itc</v>
      </c>
      <c r="G337" s="8">
        <f t="shared" si="13"/>
        <v>42614.592418981483</v>
      </c>
    </row>
    <row r="338" spans="1:7" x14ac:dyDescent="0.25">
      <c r="A338" s="8">
        <v>42614.594155092593</v>
      </c>
      <c r="B338" t="s">
        <v>111</v>
      </c>
      <c r="C338" t="s">
        <v>1069</v>
      </c>
      <c r="D338">
        <v>2280000</v>
      </c>
      <c r="E338" t="s">
        <v>839</v>
      </c>
      <c r="F338" s="23" t="str">
        <f t="shared" si="12"/>
        <v>rtdc.l.rtdc.4014:itc</v>
      </c>
      <c r="G338" s="8">
        <f t="shared" si="13"/>
        <v>42614.594155092593</v>
      </c>
    </row>
    <row r="339" spans="1:7" x14ac:dyDescent="0.25">
      <c r="A339" s="8">
        <v>42614.600208333337</v>
      </c>
      <c r="B339" t="s">
        <v>113</v>
      </c>
      <c r="C339" t="s">
        <v>1070</v>
      </c>
      <c r="D339">
        <v>940000</v>
      </c>
      <c r="E339" t="s">
        <v>1063</v>
      </c>
      <c r="F339" s="23" t="str">
        <f t="shared" si="12"/>
        <v>rtdc.l.rtdc.4031:itc</v>
      </c>
      <c r="G339" s="8">
        <f t="shared" si="13"/>
        <v>42614.600208333337</v>
      </c>
    </row>
    <row r="340" spans="1:7" x14ac:dyDescent="0.25">
      <c r="A340" s="8">
        <v>42614.606215277781</v>
      </c>
      <c r="B340" t="s">
        <v>349</v>
      </c>
      <c r="C340" t="s">
        <v>1071</v>
      </c>
      <c r="D340">
        <v>1140000</v>
      </c>
      <c r="E340" t="s">
        <v>262</v>
      </c>
      <c r="F340" s="23" t="str">
        <f t="shared" si="12"/>
        <v>rtdc.l.rtdc.4041:itc</v>
      </c>
      <c r="G340" s="8">
        <f t="shared" si="13"/>
        <v>42614.606215277781</v>
      </c>
    </row>
    <row r="341" spans="1:7" x14ac:dyDescent="0.25">
      <c r="A341" s="8">
        <v>42614.610358796293</v>
      </c>
      <c r="B341" t="s">
        <v>247</v>
      </c>
      <c r="C341" t="s">
        <v>1072</v>
      </c>
      <c r="D341">
        <v>2020000</v>
      </c>
      <c r="E341" t="s">
        <v>1037</v>
      </c>
      <c r="F341" s="23" t="str">
        <f t="shared" si="12"/>
        <v>rtdc.l.rtdc.4018:itc</v>
      </c>
      <c r="G341" s="8">
        <f t="shared" si="13"/>
        <v>42614.610358796293</v>
      </c>
    </row>
    <row r="342" spans="1:7" x14ac:dyDescent="0.25">
      <c r="A342" s="8">
        <v>42614.610856481479</v>
      </c>
      <c r="B342" t="s">
        <v>90</v>
      </c>
      <c r="C342" t="s">
        <v>1073</v>
      </c>
      <c r="D342">
        <v>2280000</v>
      </c>
      <c r="E342" t="s">
        <v>839</v>
      </c>
      <c r="F342" s="23" t="str">
        <f t="shared" si="12"/>
        <v>rtdc.l.rtdc.4013:itc</v>
      </c>
      <c r="G342" s="8">
        <f t="shared" si="13"/>
        <v>42614.610856481479</v>
      </c>
    </row>
    <row r="343" spans="1:7" x14ac:dyDescent="0.25">
      <c r="A343" s="8">
        <v>42614.611805555556</v>
      </c>
      <c r="B343" t="s">
        <v>327</v>
      </c>
      <c r="C343" t="s">
        <v>1074</v>
      </c>
      <c r="D343">
        <v>0</v>
      </c>
      <c r="E343" t="s">
        <v>1075</v>
      </c>
      <c r="F343" s="23" t="str">
        <f t="shared" si="12"/>
        <v>rtdc.l.rtdc.4051:itc</v>
      </c>
      <c r="G343" s="8">
        <f t="shared" si="13"/>
        <v>42614.611805555556</v>
      </c>
    </row>
    <row r="344" spans="1:7" x14ac:dyDescent="0.25">
      <c r="A344" s="8">
        <v>42614.615972222222</v>
      </c>
      <c r="B344" t="s">
        <v>226</v>
      </c>
      <c r="C344" t="s">
        <v>1076</v>
      </c>
      <c r="D344">
        <v>2100000</v>
      </c>
      <c r="E344" t="s">
        <v>136</v>
      </c>
      <c r="F344" s="23" t="str">
        <f t="shared" si="12"/>
        <v>rtdc.l.rtdc.4043:itc</v>
      </c>
      <c r="G344" s="8">
        <f t="shared" si="13"/>
        <v>42614.615972222222</v>
      </c>
    </row>
    <row r="345" spans="1:7" x14ac:dyDescent="0.25">
      <c r="A345" s="8">
        <v>42614.623437499999</v>
      </c>
      <c r="B345" t="s">
        <v>200</v>
      </c>
      <c r="C345" t="s">
        <v>1077</v>
      </c>
      <c r="D345">
        <v>910000</v>
      </c>
      <c r="E345" t="s">
        <v>1053</v>
      </c>
      <c r="F345" s="23" t="str">
        <f t="shared" si="12"/>
        <v>rtdc.l.rtdc.4019:itc</v>
      </c>
      <c r="G345" s="8">
        <f t="shared" si="13"/>
        <v>42614.623437499999</v>
      </c>
    </row>
    <row r="346" spans="1:7" x14ac:dyDescent="0.25">
      <c r="A346" s="8">
        <v>42614.624259259261</v>
      </c>
      <c r="B346" t="s">
        <v>144</v>
      </c>
      <c r="C346" t="s">
        <v>1078</v>
      </c>
      <c r="D346">
        <v>2040000</v>
      </c>
      <c r="E346" t="s">
        <v>857</v>
      </c>
      <c r="F346" s="23" t="str">
        <f t="shared" ref="F346:F409" si="14">B346</f>
        <v>rtdc.l.rtdc.4038:itc</v>
      </c>
      <c r="G346" s="8">
        <f t="shared" ref="G346:G409" si="15">A346</f>
        <v>42614.624259259261</v>
      </c>
    </row>
    <row r="347" spans="1:7" x14ac:dyDescent="0.25">
      <c r="A347" s="8">
        <v>42614.630833333336</v>
      </c>
      <c r="B347" t="s">
        <v>781</v>
      </c>
      <c r="C347" t="s">
        <v>1079</v>
      </c>
      <c r="D347">
        <v>2270000</v>
      </c>
      <c r="E347" t="s">
        <v>466</v>
      </c>
      <c r="F347" s="23" t="str">
        <f t="shared" si="14"/>
        <v>rtdc.l.rtdc.4007:itc</v>
      </c>
      <c r="G347" s="8">
        <f t="shared" si="15"/>
        <v>42614.630833333336</v>
      </c>
    </row>
    <row r="348" spans="1:7" x14ac:dyDescent="0.25">
      <c r="A348" s="8">
        <v>42614.636087962965</v>
      </c>
      <c r="B348" t="s">
        <v>111</v>
      </c>
      <c r="C348" t="s">
        <v>1073</v>
      </c>
      <c r="D348">
        <v>2280000</v>
      </c>
      <c r="E348" t="s">
        <v>839</v>
      </c>
      <c r="F348" s="23" t="str">
        <f t="shared" si="14"/>
        <v>rtdc.l.rtdc.4014:itc</v>
      </c>
      <c r="G348" s="8">
        <f t="shared" si="15"/>
        <v>42614.636087962965</v>
      </c>
    </row>
    <row r="349" spans="1:7" x14ac:dyDescent="0.25">
      <c r="A349" s="8">
        <v>42614.636840277781</v>
      </c>
      <c r="B349" t="s">
        <v>111</v>
      </c>
      <c r="C349" t="s">
        <v>1073</v>
      </c>
      <c r="D349">
        <v>2280000</v>
      </c>
      <c r="E349" t="s">
        <v>839</v>
      </c>
      <c r="F349" s="23" t="str">
        <f t="shared" si="14"/>
        <v>rtdc.l.rtdc.4014:itc</v>
      </c>
      <c r="G349" s="8">
        <f t="shared" si="15"/>
        <v>42614.636840277781</v>
      </c>
    </row>
    <row r="350" spans="1:7" x14ac:dyDescent="0.25">
      <c r="A350" s="8">
        <v>42614.63753472222</v>
      </c>
      <c r="B350" t="s">
        <v>111</v>
      </c>
      <c r="C350" t="s">
        <v>1080</v>
      </c>
      <c r="D350">
        <v>2280000</v>
      </c>
      <c r="E350" t="s">
        <v>839</v>
      </c>
      <c r="F350" s="23" t="str">
        <f t="shared" si="14"/>
        <v>rtdc.l.rtdc.4014:itc</v>
      </c>
      <c r="G350" s="8">
        <f t="shared" si="15"/>
        <v>42614.63753472222</v>
      </c>
    </row>
    <row r="351" spans="1:7" x14ac:dyDescent="0.25">
      <c r="A351" s="8">
        <v>42614.638449074075</v>
      </c>
      <c r="B351" t="s">
        <v>351</v>
      </c>
      <c r="C351" t="s">
        <v>1081</v>
      </c>
      <c r="D351">
        <v>1230000</v>
      </c>
      <c r="E351" t="s">
        <v>149</v>
      </c>
      <c r="F351" s="23" t="str">
        <f t="shared" si="14"/>
        <v>rtdc.l.rtdc.4010:itc</v>
      </c>
      <c r="G351" s="8">
        <f t="shared" si="15"/>
        <v>42614.638449074075</v>
      </c>
    </row>
    <row r="352" spans="1:7" x14ac:dyDescent="0.25">
      <c r="A352" s="8">
        <v>42614.63863425926</v>
      </c>
      <c r="B352" t="s">
        <v>114</v>
      </c>
      <c r="C352" t="s">
        <v>1082</v>
      </c>
      <c r="D352">
        <v>940000</v>
      </c>
      <c r="E352" t="s">
        <v>1063</v>
      </c>
      <c r="F352" s="23" t="str">
        <f t="shared" si="14"/>
        <v>rtdc.l.rtdc.4032:itc</v>
      </c>
      <c r="G352" s="8">
        <f t="shared" si="15"/>
        <v>42614.63863425926</v>
      </c>
    </row>
    <row r="353" spans="1:7" x14ac:dyDescent="0.25">
      <c r="A353" s="8">
        <v>42614.64403935185</v>
      </c>
      <c r="B353" t="s">
        <v>418</v>
      </c>
      <c r="C353" t="s">
        <v>1083</v>
      </c>
      <c r="D353">
        <v>1140000</v>
      </c>
      <c r="E353" t="s">
        <v>262</v>
      </c>
      <c r="F353" s="23" t="str">
        <f t="shared" si="14"/>
        <v>rtdc.l.rtdc.4042:itc</v>
      </c>
      <c r="G353" s="8">
        <f t="shared" si="15"/>
        <v>42614.64403935185</v>
      </c>
    </row>
    <row r="354" spans="1:7" x14ac:dyDescent="0.25">
      <c r="A354" s="8">
        <v>42614.648414351854</v>
      </c>
      <c r="B354" t="s">
        <v>245</v>
      </c>
      <c r="C354" t="s">
        <v>1084</v>
      </c>
      <c r="D354">
        <v>2020000</v>
      </c>
      <c r="E354" t="s">
        <v>1037</v>
      </c>
      <c r="F354" s="23" t="str">
        <f t="shared" si="14"/>
        <v>rtdc.l.rtdc.4017:itc</v>
      </c>
      <c r="G354" s="8">
        <f t="shared" si="15"/>
        <v>42614.648414351854</v>
      </c>
    </row>
    <row r="355" spans="1:7" x14ac:dyDescent="0.25">
      <c r="A355" s="8">
        <v>42614.651203703703</v>
      </c>
      <c r="B355" t="s">
        <v>90</v>
      </c>
      <c r="C355" t="s">
        <v>1085</v>
      </c>
      <c r="D355">
        <v>2280000</v>
      </c>
      <c r="E355" t="s">
        <v>839</v>
      </c>
      <c r="F355" s="23" t="str">
        <f t="shared" si="14"/>
        <v>rtdc.l.rtdc.4013:itc</v>
      </c>
      <c r="G355" s="8">
        <f t="shared" si="15"/>
        <v>42614.651203703703</v>
      </c>
    </row>
    <row r="356" spans="1:7" x14ac:dyDescent="0.25">
      <c r="A356" s="8">
        <v>42614.652777777781</v>
      </c>
      <c r="B356" t="s">
        <v>228</v>
      </c>
      <c r="C356" t="s">
        <v>1086</v>
      </c>
      <c r="D356">
        <v>2100000</v>
      </c>
      <c r="E356" t="s">
        <v>136</v>
      </c>
      <c r="F356" s="23" t="str">
        <f t="shared" si="14"/>
        <v>rtdc.l.rtdc.4044:itc</v>
      </c>
      <c r="G356" s="8">
        <f t="shared" si="15"/>
        <v>42614.652777777781</v>
      </c>
    </row>
    <row r="357" spans="1:7" x14ac:dyDescent="0.25">
      <c r="A357" s="8">
        <v>42614.656793981485</v>
      </c>
      <c r="B357" t="s">
        <v>151</v>
      </c>
      <c r="C357" t="s">
        <v>1087</v>
      </c>
      <c r="D357">
        <v>1230000</v>
      </c>
      <c r="E357" t="s">
        <v>149</v>
      </c>
      <c r="F357" s="23" t="str">
        <f t="shared" si="14"/>
        <v>rtdc.l.rtdc.4009:itc</v>
      </c>
      <c r="G357" s="8">
        <f t="shared" si="15"/>
        <v>42614.656793981485</v>
      </c>
    </row>
    <row r="358" spans="1:7" x14ac:dyDescent="0.25">
      <c r="A358" s="8">
        <v>42614.660428240742</v>
      </c>
      <c r="B358" t="s">
        <v>139</v>
      </c>
      <c r="C358" t="s">
        <v>1088</v>
      </c>
      <c r="D358">
        <v>2040000</v>
      </c>
      <c r="E358" t="s">
        <v>857</v>
      </c>
      <c r="F358" s="23" t="str">
        <f t="shared" si="14"/>
        <v>rtdc.l.rtdc.4037:itc</v>
      </c>
      <c r="G358" s="8">
        <f t="shared" si="15"/>
        <v>42614.660428240742</v>
      </c>
    </row>
    <row r="359" spans="1:7" x14ac:dyDescent="0.25">
      <c r="A359" s="8">
        <v>42614.66202546296</v>
      </c>
      <c r="B359" t="s">
        <v>201</v>
      </c>
      <c r="C359" t="s">
        <v>1089</v>
      </c>
      <c r="D359">
        <v>910000</v>
      </c>
      <c r="E359" t="s">
        <v>1053</v>
      </c>
      <c r="F359" s="23" t="str">
        <f t="shared" si="14"/>
        <v>rtdc.l.rtdc.4020:itc</v>
      </c>
      <c r="G359" s="8">
        <f t="shared" si="15"/>
        <v>42614.66202546296</v>
      </c>
    </row>
    <row r="360" spans="1:7" x14ac:dyDescent="0.25">
      <c r="A360" s="8">
        <v>42614.662106481483</v>
      </c>
      <c r="B360" t="s">
        <v>720</v>
      </c>
      <c r="C360" t="s">
        <v>1090</v>
      </c>
      <c r="D360">
        <v>2270000</v>
      </c>
      <c r="E360" t="s">
        <v>466</v>
      </c>
      <c r="F360" s="23" t="str">
        <f t="shared" si="14"/>
        <v>rtdc.l.rtdc.4008:itc</v>
      </c>
      <c r="G360" s="8">
        <f t="shared" si="15"/>
        <v>42614.662106481483</v>
      </c>
    </row>
    <row r="361" spans="1:7" x14ac:dyDescent="0.25">
      <c r="A361" s="8">
        <v>42614.671041666668</v>
      </c>
      <c r="B361" t="s">
        <v>351</v>
      </c>
      <c r="C361" t="s">
        <v>1091</v>
      </c>
      <c r="D361">
        <v>1230000</v>
      </c>
      <c r="E361" t="s">
        <v>149</v>
      </c>
      <c r="F361" s="23" t="str">
        <f t="shared" si="14"/>
        <v>rtdc.l.rtdc.4010:itc</v>
      </c>
      <c r="G361" s="8">
        <f t="shared" si="15"/>
        <v>42614.671041666668</v>
      </c>
    </row>
    <row r="362" spans="1:7" x14ac:dyDescent="0.25">
      <c r="A362" s="8">
        <v>42614.678506944445</v>
      </c>
      <c r="B362" t="s">
        <v>111</v>
      </c>
      <c r="C362" t="s">
        <v>1092</v>
      </c>
      <c r="D362">
        <v>2280000</v>
      </c>
      <c r="E362" t="s">
        <v>839</v>
      </c>
      <c r="F362" s="23" t="str">
        <f t="shared" si="14"/>
        <v>rtdc.l.rtdc.4014:itc</v>
      </c>
      <c r="G362" s="8">
        <f t="shared" si="15"/>
        <v>42614.678506944445</v>
      </c>
    </row>
    <row r="363" spans="1:7" x14ac:dyDescent="0.25">
      <c r="A363" s="8">
        <v>42614.680879629632</v>
      </c>
      <c r="B363" t="s">
        <v>349</v>
      </c>
      <c r="C363" t="s">
        <v>1093</v>
      </c>
      <c r="D363">
        <v>1140000</v>
      </c>
      <c r="E363" t="s">
        <v>262</v>
      </c>
      <c r="F363" s="23" t="str">
        <f t="shared" si="14"/>
        <v>rtdc.l.rtdc.4041:itc</v>
      </c>
      <c r="G363" s="8">
        <f t="shared" si="15"/>
        <v>42614.680879629632</v>
      </c>
    </row>
    <row r="364" spans="1:7" x14ac:dyDescent="0.25">
      <c r="A364" s="8">
        <v>42614.692789351851</v>
      </c>
      <c r="B364" t="s">
        <v>90</v>
      </c>
      <c r="C364" t="s">
        <v>1094</v>
      </c>
      <c r="D364">
        <v>2280000</v>
      </c>
      <c r="E364" t="s">
        <v>839</v>
      </c>
      <c r="F364" s="23" t="str">
        <f t="shared" si="14"/>
        <v>rtdc.l.rtdc.4013:itc</v>
      </c>
      <c r="G364" s="8">
        <f t="shared" si="15"/>
        <v>42614.692789351851</v>
      </c>
    </row>
    <row r="365" spans="1:7" x14ac:dyDescent="0.25">
      <c r="A365" s="8">
        <v>42614.696909722225</v>
      </c>
      <c r="B365" t="s">
        <v>113</v>
      </c>
      <c r="C365" t="s">
        <v>1095</v>
      </c>
      <c r="D365">
        <v>2030000</v>
      </c>
      <c r="E365" t="s">
        <v>246</v>
      </c>
      <c r="F365" s="23" t="str">
        <f t="shared" si="14"/>
        <v>rtdc.l.rtdc.4031:itc</v>
      </c>
      <c r="G365" s="8">
        <f t="shared" si="15"/>
        <v>42614.696909722225</v>
      </c>
    </row>
    <row r="366" spans="1:7" x14ac:dyDescent="0.25">
      <c r="A366" s="8">
        <v>42614.698125000003</v>
      </c>
      <c r="B366" t="s">
        <v>113</v>
      </c>
      <c r="C366" t="s">
        <v>1096</v>
      </c>
      <c r="D366">
        <v>2030000</v>
      </c>
      <c r="E366" t="s">
        <v>246</v>
      </c>
      <c r="F366" s="23" t="str">
        <f t="shared" si="14"/>
        <v>rtdc.l.rtdc.4031:itc</v>
      </c>
      <c r="G366" s="8">
        <f t="shared" si="15"/>
        <v>42614.698125000003</v>
      </c>
    </row>
    <row r="367" spans="1:7" x14ac:dyDescent="0.25">
      <c r="A367" s="8">
        <v>42614.699664351851</v>
      </c>
      <c r="B367" t="s">
        <v>151</v>
      </c>
      <c r="C367" t="s">
        <v>1097</v>
      </c>
      <c r="D367">
        <v>1230000</v>
      </c>
      <c r="E367" t="s">
        <v>149</v>
      </c>
      <c r="F367" s="23" t="str">
        <f t="shared" si="14"/>
        <v>rtdc.l.rtdc.4009:itc</v>
      </c>
      <c r="G367" s="8">
        <f t="shared" si="15"/>
        <v>42614.699664351851</v>
      </c>
    </row>
    <row r="368" spans="1:7" x14ac:dyDescent="0.25">
      <c r="A368" s="8">
        <v>42614.699837962966</v>
      </c>
      <c r="B368" t="s">
        <v>113</v>
      </c>
      <c r="C368" t="s">
        <v>1095</v>
      </c>
      <c r="D368">
        <v>2030000</v>
      </c>
      <c r="E368" t="s">
        <v>246</v>
      </c>
      <c r="F368" s="23" t="str">
        <f t="shared" si="14"/>
        <v>rtdc.l.rtdc.4031:itc</v>
      </c>
      <c r="G368" s="8">
        <f t="shared" si="15"/>
        <v>42614.699837962966</v>
      </c>
    </row>
    <row r="369" spans="1:7" x14ac:dyDescent="0.25">
      <c r="A369" s="8">
        <v>42614.700682870367</v>
      </c>
      <c r="B369" t="s">
        <v>113</v>
      </c>
      <c r="C369" t="s">
        <v>1096</v>
      </c>
      <c r="D369">
        <v>2030000</v>
      </c>
      <c r="E369" t="s">
        <v>246</v>
      </c>
      <c r="F369" s="23" t="str">
        <f t="shared" si="14"/>
        <v>rtdc.l.rtdc.4031:itc</v>
      </c>
      <c r="G369" s="8">
        <f t="shared" si="15"/>
        <v>42614.700682870367</v>
      </c>
    </row>
    <row r="370" spans="1:7" x14ac:dyDescent="0.25">
      <c r="A370" s="8">
        <v>42614.702361111114</v>
      </c>
      <c r="B370" t="s">
        <v>113</v>
      </c>
      <c r="C370" t="s">
        <v>1095</v>
      </c>
      <c r="D370">
        <v>2030000</v>
      </c>
      <c r="E370" t="s">
        <v>246</v>
      </c>
      <c r="F370" s="23" t="str">
        <f t="shared" si="14"/>
        <v>rtdc.l.rtdc.4031:itc</v>
      </c>
      <c r="G370" s="8">
        <f t="shared" si="15"/>
        <v>42614.702361111114</v>
      </c>
    </row>
    <row r="371" spans="1:7" x14ac:dyDescent="0.25">
      <c r="A371" s="8">
        <v>42614.703368055554</v>
      </c>
      <c r="B371" t="s">
        <v>113</v>
      </c>
      <c r="C371" t="s">
        <v>1095</v>
      </c>
      <c r="D371">
        <v>2030000</v>
      </c>
      <c r="E371" t="s">
        <v>246</v>
      </c>
      <c r="F371" s="23" t="str">
        <f t="shared" si="14"/>
        <v>rtdc.l.rtdc.4031:itc</v>
      </c>
      <c r="G371" s="8">
        <f t="shared" si="15"/>
        <v>42614.703368055554</v>
      </c>
    </row>
    <row r="372" spans="1:7" x14ac:dyDescent="0.25">
      <c r="A372" s="8">
        <v>42614.70716435185</v>
      </c>
      <c r="B372" t="s">
        <v>226</v>
      </c>
      <c r="C372" t="s">
        <v>1098</v>
      </c>
      <c r="D372">
        <v>2100000</v>
      </c>
      <c r="E372" t="s">
        <v>136</v>
      </c>
      <c r="F372" s="23" t="str">
        <f t="shared" si="14"/>
        <v>rtdc.l.rtdc.4043:itc</v>
      </c>
      <c r="G372" s="8">
        <f t="shared" si="15"/>
        <v>42614.70716435185</v>
      </c>
    </row>
    <row r="373" spans="1:7" x14ac:dyDescent="0.25">
      <c r="A373" s="8">
        <v>42614.712500000001</v>
      </c>
      <c r="B373" t="s">
        <v>351</v>
      </c>
      <c r="C373" t="s">
        <v>1099</v>
      </c>
      <c r="D373">
        <v>1230000</v>
      </c>
      <c r="E373" t="s">
        <v>149</v>
      </c>
      <c r="F373" s="23" t="str">
        <f t="shared" si="14"/>
        <v>rtdc.l.rtdc.4010:itc</v>
      </c>
      <c r="G373" s="8">
        <f t="shared" si="15"/>
        <v>42614.712500000001</v>
      </c>
    </row>
    <row r="374" spans="1:7" x14ac:dyDescent="0.25">
      <c r="A374" s="8">
        <v>42614.717002314814</v>
      </c>
      <c r="B374" t="s">
        <v>247</v>
      </c>
      <c r="C374" t="s">
        <v>1100</v>
      </c>
      <c r="D374">
        <v>2220000</v>
      </c>
      <c r="E374" t="s">
        <v>218</v>
      </c>
      <c r="F374" s="23" t="str">
        <f t="shared" si="14"/>
        <v>rtdc.l.rtdc.4018:itc</v>
      </c>
      <c r="G374" s="8">
        <f t="shared" si="15"/>
        <v>42614.717002314814</v>
      </c>
    </row>
    <row r="375" spans="1:7" x14ac:dyDescent="0.25">
      <c r="A375" s="8">
        <v>42614.718900462962</v>
      </c>
      <c r="B375" t="s">
        <v>111</v>
      </c>
      <c r="C375" t="s">
        <v>1101</v>
      </c>
      <c r="D375">
        <v>2280000</v>
      </c>
      <c r="E375" t="s">
        <v>839</v>
      </c>
      <c r="F375" s="23" t="str">
        <f t="shared" si="14"/>
        <v>rtdc.l.rtdc.4014:itc</v>
      </c>
      <c r="G375" s="8">
        <f t="shared" si="15"/>
        <v>42614.718900462962</v>
      </c>
    </row>
    <row r="376" spans="1:7" x14ac:dyDescent="0.25">
      <c r="A376" s="8">
        <v>42614.722002314818</v>
      </c>
      <c r="B376" t="s">
        <v>247</v>
      </c>
      <c r="C376" t="s">
        <v>1100</v>
      </c>
      <c r="D376">
        <v>2220000</v>
      </c>
      <c r="E376" t="s">
        <v>218</v>
      </c>
      <c r="F376" s="23" t="str">
        <f t="shared" si="14"/>
        <v>rtdc.l.rtdc.4018:itc</v>
      </c>
      <c r="G376" s="8">
        <f t="shared" si="15"/>
        <v>42614.722002314818</v>
      </c>
    </row>
    <row r="377" spans="1:7" x14ac:dyDescent="0.25">
      <c r="A377" s="8">
        <v>42614.729583333334</v>
      </c>
      <c r="B377" t="s">
        <v>144</v>
      </c>
      <c r="C377" t="s">
        <v>1102</v>
      </c>
      <c r="D377">
        <v>2040000</v>
      </c>
      <c r="E377" t="s">
        <v>857</v>
      </c>
      <c r="F377" s="23" t="str">
        <f t="shared" si="14"/>
        <v>rtdc.l.rtdc.4038:itc</v>
      </c>
      <c r="G377" s="8">
        <f t="shared" si="15"/>
        <v>42614.729583333334</v>
      </c>
    </row>
    <row r="378" spans="1:7" x14ac:dyDescent="0.25">
      <c r="A378" s="8">
        <v>42614.731064814812</v>
      </c>
      <c r="B378" t="s">
        <v>200</v>
      </c>
      <c r="C378" t="s">
        <v>711</v>
      </c>
      <c r="D378">
        <v>910000</v>
      </c>
      <c r="E378" t="s">
        <v>1053</v>
      </c>
      <c r="F378" s="23" t="str">
        <f t="shared" si="14"/>
        <v>rtdc.l.rtdc.4019:itc</v>
      </c>
      <c r="G378" s="8">
        <f t="shared" si="15"/>
        <v>42614.731064814812</v>
      </c>
    </row>
    <row r="379" spans="1:7" x14ac:dyDescent="0.25">
      <c r="A379" s="8">
        <v>42614.735034722224</v>
      </c>
      <c r="B379" t="s">
        <v>90</v>
      </c>
      <c r="C379" t="s">
        <v>1103</v>
      </c>
      <c r="D379">
        <v>2280000</v>
      </c>
      <c r="E379" t="s">
        <v>839</v>
      </c>
      <c r="F379" s="23" t="str">
        <f t="shared" si="14"/>
        <v>rtdc.l.rtdc.4013:itc</v>
      </c>
      <c r="G379" s="8">
        <f t="shared" si="15"/>
        <v>42614.735034722224</v>
      </c>
    </row>
    <row r="380" spans="1:7" x14ac:dyDescent="0.25">
      <c r="A380" s="8">
        <v>42614.738634259258</v>
      </c>
      <c r="B380" t="s">
        <v>418</v>
      </c>
      <c r="C380" t="s">
        <v>1104</v>
      </c>
      <c r="D380">
        <v>1290000</v>
      </c>
      <c r="E380" t="s">
        <v>263</v>
      </c>
      <c r="F380" s="23" t="str">
        <f t="shared" si="14"/>
        <v>rtdc.l.rtdc.4042:itc</v>
      </c>
      <c r="G380" s="8">
        <f t="shared" si="15"/>
        <v>42614.738634259258</v>
      </c>
    </row>
    <row r="381" spans="1:7" x14ac:dyDescent="0.25">
      <c r="A381" s="8">
        <v>42614.739629629628</v>
      </c>
      <c r="B381" t="s">
        <v>418</v>
      </c>
      <c r="C381" t="s">
        <v>1104</v>
      </c>
      <c r="D381">
        <v>1290000</v>
      </c>
      <c r="E381" t="s">
        <v>263</v>
      </c>
      <c r="F381" s="23" t="str">
        <f t="shared" si="14"/>
        <v>rtdc.l.rtdc.4042:itc</v>
      </c>
      <c r="G381" s="8">
        <f t="shared" si="15"/>
        <v>42614.739629629628</v>
      </c>
    </row>
    <row r="382" spans="1:7" x14ac:dyDescent="0.25">
      <c r="A382" s="8">
        <v>42614.740833333337</v>
      </c>
      <c r="B382" t="s">
        <v>151</v>
      </c>
      <c r="C382" t="s">
        <v>1105</v>
      </c>
      <c r="D382">
        <v>1230000</v>
      </c>
      <c r="E382" t="s">
        <v>149</v>
      </c>
      <c r="F382" s="23" t="str">
        <f t="shared" si="14"/>
        <v>rtdc.l.rtdc.4009:itc</v>
      </c>
      <c r="G382" s="8">
        <f t="shared" si="15"/>
        <v>42614.740833333337</v>
      </c>
    </row>
    <row r="383" spans="1:7" x14ac:dyDescent="0.25">
      <c r="A383" s="8">
        <v>42614.750914351855</v>
      </c>
      <c r="B383" t="s">
        <v>114</v>
      </c>
      <c r="C383" t="s">
        <v>1106</v>
      </c>
      <c r="D383">
        <v>2030000</v>
      </c>
      <c r="E383" t="s">
        <v>246</v>
      </c>
      <c r="F383" s="23" t="str">
        <f t="shared" si="14"/>
        <v>rtdc.l.rtdc.4032:itc</v>
      </c>
      <c r="G383" s="8">
        <f t="shared" si="15"/>
        <v>42614.750914351855</v>
      </c>
    </row>
    <row r="384" spans="1:7" x14ac:dyDescent="0.25">
      <c r="A384" s="8">
        <v>42614.752071759256</v>
      </c>
      <c r="B384" t="s">
        <v>114</v>
      </c>
      <c r="C384" t="s">
        <v>1106</v>
      </c>
      <c r="D384">
        <v>2030000</v>
      </c>
      <c r="E384" t="s">
        <v>246</v>
      </c>
      <c r="F384" s="23" t="str">
        <f t="shared" si="14"/>
        <v>rtdc.l.rtdc.4032:itc</v>
      </c>
      <c r="G384" s="8">
        <f t="shared" si="15"/>
        <v>42614.752071759256</v>
      </c>
    </row>
    <row r="385" spans="1:7" x14ac:dyDescent="0.25">
      <c r="A385" s="8">
        <v>42614.752708333333</v>
      </c>
      <c r="B385" t="s">
        <v>228</v>
      </c>
      <c r="C385" t="s">
        <v>1107</v>
      </c>
      <c r="D385">
        <v>730000</v>
      </c>
      <c r="E385" t="s">
        <v>1108</v>
      </c>
      <c r="F385" s="23" t="str">
        <f t="shared" si="14"/>
        <v>rtdc.l.rtdc.4044:itc</v>
      </c>
      <c r="G385" s="8">
        <f t="shared" si="15"/>
        <v>42614.752708333333</v>
      </c>
    </row>
    <row r="386" spans="1:7" x14ac:dyDescent="0.25">
      <c r="A386" s="8">
        <v>42614.754374999997</v>
      </c>
      <c r="B386" t="s">
        <v>351</v>
      </c>
      <c r="C386" t="s">
        <v>1109</v>
      </c>
      <c r="D386">
        <v>1230000</v>
      </c>
      <c r="E386" t="s">
        <v>149</v>
      </c>
      <c r="F386" s="23" t="str">
        <f t="shared" si="14"/>
        <v>rtdc.l.rtdc.4010:itc</v>
      </c>
      <c r="G386" s="8">
        <f t="shared" si="15"/>
        <v>42614.754374999997</v>
      </c>
    </row>
    <row r="387" spans="1:7" x14ac:dyDescent="0.25">
      <c r="A387" s="8">
        <v>42614.756388888891</v>
      </c>
      <c r="B387" t="s">
        <v>245</v>
      </c>
      <c r="C387" t="s">
        <v>1110</v>
      </c>
      <c r="D387">
        <v>2220000</v>
      </c>
      <c r="E387" t="s">
        <v>218</v>
      </c>
      <c r="F387" s="23" t="str">
        <f t="shared" si="14"/>
        <v>rtdc.l.rtdc.4017:itc</v>
      </c>
      <c r="G387" s="8">
        <f t="shared" si="15"/>
        <v>42614.756388888891</v>
      </c>
    </row>
    <row r="388" spans="1:7" x14ac:dyDescent="0.25">
      <c r="A388" s="8">
        <v>42614.75744212963</v>
      </c>
      <c r="B388" t="s">
        <v>491</v>
      </c>
      <c r="C388" t="s">
        <v>1111</v>
      </c>
      <c r="D388">
        <v>2100000</v>
      </c>
      <c r="E388" t="s">
        <v>136</v>
      </c>
      <c r="F388" s="23" t="str">
        <f t="shared" si="14"/>
        <v>rtdc.l.rtdc.4022:itc</v>
      </c>
      <c r="G388" s="8">
        <f t="shared" si="15"/>
        <v>42614.75744212963</v>
      </c>
    </row>
    <row r="389" spans="1:7" x14ac:dyDescent="0.25">
      <c r="A389" s="8">
        <v>42614.761574074073</v>
      </c>
      <c r="B389" t="s">
        <v>213</v>
      </c>
      <c r="C389" t="s">
        <v>1112</v>
      </c>
      <c r="D389">
        <v>2000000</v>
      </c>
      <c r="E389" t="s">
        <v>138</v>
      </c>
      <c r="F389" s="23" t="str">
        <f t="shared" si="14"/>
        <v>rtdc.l.rtdc.4011:itc</v>
      </c>
      <c r="G389" s="8">
        <f t="shared" si="15"/>
        <v>42614.761574074073</v>
      </c>
    </row>
    <row r="390" spans="1:7" x14ac:dyDescent="0.25">
      <c r="A390" s="8">
        <v>42614.763495370367</v>
      </c>
      <c r="B390" t="s">
        <v>111</v>
      </c>
      <c r="C390" t="s">
        <v>1113</v>
      </c>
      <c r="D390">
        <v>2280000</v>
      </c>
      <c r="E390" t="s">
        <v>839</v>
      </c>
      <c r="F390" s="23" t="str">
        <f t="shared" si="14"/>
        <v>rtdc.l.rtdc.4014:itc</v>
      </c>
      <c r="G390" s="8">
        <f t="shared" si="15"/>
        <v>42614.763495370367</v>
      </c>
    </row>
    <row r="391" spans="1:7" x14ac:dyDescent="0.25">
      <c r="A391" s="8">
        <v>42614.763599537036</v>
      </c>
      <c r="B391" t="s">
        <v>213</v>
      </c>
      <c r="C391" t="s">
        <v>1112</v>
      </c>
      <c r="D391">
        <v>2000000</v>
      </c>
      <c r="E391" t="s">
        <v>138</v>
      </c>
      <c r="F391" s="23" t="str">
        <f t="shared" si="14"/>
        <v>rtdc.l.rtdc.4011:itc</v>
      </c>
      <c r="G391" s="8">
        <f t="shared" si="15"/>
        <v>42614.763599537036</v>
      </c>
    </row>
    <row r="392" spans="1:7" x14ac:dyDescent="0.25">
      <c r="A392" s="8">
        <v>42614.771608796298</v>
      </c>
      <c r="B392" t="s">
        <v>139</v>
      </c>
      <c r="C392" t="s">
        <v>1114</v>
      </c>
      <c r="D392">
        <v>2040000</v>
      </c>
      <c r="E392" t="s">
        <v>857</v>
      </c>
      <c r="F392" s="23" t="str">
        <f t="shared" si="14"/>
        <v>rtdc.l.rtdc.4037:itc</v>
      </c>
      <c r="G392" s="8">
        <f t="shared" si="15"/>
        <v>42614.771608796298</v>
      </c>
    </row>
    <row r="393" spans="1:7" x14ac:dyDescent="0.25">
      <c r="A393" s="8">
        <v>42614.771620370368</v>
      </c>
      <c r="B393" t="s">
        <v>781</v>
      </c>
      <c r="C393" t="s">
        <v>1115</v>
      </c>
      <c r="D393">
        <v>1810000</v>
      </c>
      <c r="E393" t="s">
        <v>249</v>
      </c>
      <c r="F393" s="23" t="str">
        <f t="shared" si="14"/>
        <v>rtdc.l.rtdc.4007:itc</v>
      </c>
      <c r="G393" s="8">
        <f t="shared" si="15"/>
        <v>42614.771620370368</v>
      </c>
    </row>
    <row r="394" spans="1:7" x14ac:dyDescent="0.25">
      <c r="A394" s="8">
        <v>42614.772511574076</v>
      </c>
      <c r="B394" t="s">
        <v>201</v>
      </c>
      <c r="C394" t="s">
        <v>1116</v>
      </c>
      <c r="D394">
        <v>2110000</v>
      </c>
      <c r="E394" t="s">
        <v>1117</v>
      </c>
      <c r="F394" s="23" t="str">
        <f t="shared" si="14"/>
        <v>rtdc.l.rtdc.4020:itc</v>
      </c>
      <c r="G394" s="8">
        <f t="shared" si="15"/>
        <v>42614.772511574076</v>
      </c>
    </row>
    <row r="395" spans="1:7" x14ac:dyDescent="0.25">
      <c r="A395" s="8">
        <v>42614.776724537034</v>
      </c>
      <c r="B395" t="s">
        <v>90</v>
      </c>
      <c r="C395" t="s">
        <v>1118</v>
      </c>
      <c r="D395">
        <v>2280000</v>
      </c>
      <c r="E395" t="s">
        <v>839</v>
      </c>
      <c r="F395" s="23" t="str">
        <f t="shared" si="14"/>
        <v>rtdc.l.rtdc.4013:itc</v>
      </c>
      <c r="G395" s="8">
        <f t="shared" si="15"/>
        <v>42614.776724537034</v>
      </c>
    </row>
    <row r="396" spans="1:7" x14ac:dyDescent="0.25">
      <c r="A396" s="8">
        <v>42614.777418981481</v>
      </c>
      <c r="B396" t="s">
        <v>349</v>
      </c>
      <c r="C396" t="s">
        <v>1119</v>
      </c>
      <c r="D396">
        <v>1290000</v>
      </c>
      <c r="E396" t="s">
        <v>263</v>
      </c>
      <c r="F396" s="23" t="str">
        <f t="shared" si="14"/>
        <v>rtdc.l.rtdc.4041:itc</v>
      </c>
      <c r="G396" s="8">
        <f t="shared" si="15"/>
        <v>42614.777418981481</v>
      </c>
    </row>
    <row r="397" spans="1:7" x14ac:dyDescent="0.25">
      <c r="A397" s="8">
        <v>42614.781076388892</v>
      </c>
      <c r="B397" t="s">
        <v>204</v>
      </c>
      <c r="C397" t="s">
        <v>1120</v>
      </c>
      <c r="D397">
        <v>1170000</v>
      </c>
      <c r="E397" t="s">
        <v>1121</v>
      </c>
      <c r="F397" s="23" t="str">
        <f t="shared" si="14"/>
        <v>rtdc.l.rtdc.4028:itc</v>
      </c>
      <c r="G397" s="8">
        <f t="shared" si="15"/>
        <v>42614.781076388892</v>
      </c>
    </row>
    <row r="398" spans="1:7" x14ac:dyDescent="0.25">
      <c r="A398" s="8">
        <v>42614.782465277778</v>
      </c>
      <c r="B398" t="s">
        <v>226</v>
      </c>
      <c r="C398" t="s">
        <v>1122</v>
      </c>
      <c r="D398">
        <v>730000</v>
      </c>
      <c r="E398" t="s">
        <v>1108</v>
      </c>
      <c r="F398" s="23" t="str">
        <f t="shared" si="14"/>
        <v>rtdc.l.rtdc.4043:itc</v>
      </c>
      <c r="G398" s="8">
        <f t="shared" si="15"/>
        <v>42614.782465277778</v>
      </c>
    </row>
    <row r="399" spans="1:7" x14ac:dyDescent="0.25">
      <c r="A399" s="8">
        <v>42614.782754629632</v>
      </c>
      <c r="B399" t="s">
        <v>151</v>
      </c>
      <c r="C399" t="s">
        <v>1123</v>
      </c>
      <c r="D399">
        <v>1230000</v>
      </c>
      <c r="E399" t="s">
        <v>149</v>
      </c>
      <c r="F399" s="23" t="str">
        <f t="shared" si="14"/>
        <v>rtdc.l.rtdc.4009:itc</v>
      </c>
      <c r="G399" s="8">
        <f t="shared" si="15"/>
        <v>42614.782754629632</v>
      </c>
    </row>
    <row r="400" spans="1:7" x14ac:dyDescent="0.25">
      <c r="A400" s="8">
        <v>42614.791805555556</v>
      </c>
      <c r="B400" t="s">
        <v>247</v>
      </c>
      <c r="C400" t="s">
        <v>1124</v>
      </c>
      <c r="D400">
        <v>2220000</v>
      </c>
      <c r="E400" t="s">
        <v>218</v>
      </c>
      <c r="F400" s="23" t="str">
        <f t="shared" si="14"/>
        <v>rtdc.l.rtdc.4018:itc</v>
      </c>
      <c r="G400" s="8">
        <f t="shared" si="15"/>
        <v>42614.791805555556</v>
      </c>
    </row>
    <row r="401" spans="1:7" x14ac:dyDescent="0.25">
      <c r="A401" s="8">
        <v>42614.795243055552</v>
      </c>
      <c r="B401" t="s">
        <v>113</v>
      </c>
      <c r="C401" t="s">
        <v>1125</v>
      </c>
      <c r="D401">
        <v>2030000</v>
      </c>
      <c r="E401" t="s">
        <v>246</v>
      </c>
      <c r="F401" s="23" t="str">
        <f t="shared" si="14"/>
        <v>rtdc.l.rtdc.4031:itc</v>
      </c>
      <c r="G401" s="8">
        <f t="shared" si="15"/>
        <v>42614.795243055552</v>
      </c>
    </row>
    <row r="402" spans="1:7" x14ac:dyDescent="0.25">
      <c r="A402" s="8">
        <v>42614.796076388891</v>
      </c>
      <c r="B402" t="s">
        <v>351</v>
      </c>
      <c r="C402" t="s">
        <v>1126</v>
      </c>
      <c r="D402">
        <v>1230000</v>
      </c>
      <c r="E402" t="s">
        <v>149</v>
      </c>
      <c r="F402" s="23" t="str">
        <f t="shared" si="14"/>
        <v>rtdc.l.rtdc.4010:itc</v>
      </c>
      <c r="G402" s="8">
        <f t="shared" si="15"/>
        <v>42614.796076388891</v>
      </c>
    </row>
    <row r="403" spans="1:7" x14ac:dyDescent="0.25">
      <c r="A403" s="8">
        <v>42614.803576388891</v>
      </c>
      <c r="B403" t="s">
        <v>325</v>
      </c>
      <c r="C403" t="s">
        <v>1127</v>
      </c>
      <c r="D403">
        <v>2000000</v>
      </c>
      <c r="E403" t="s">
        <v>138</v>
      </c>
      <c r="F403" s="23" t="str">
        <f t="shared" si="14"/>
        <v>rtdc.l.rtdc.4012:itc</v>
      </c>
      <c r="G403" s="8">
        <f t="shared" si="15"/>
        <v>42614.803576388891</v>
      </c>
    </row>
    <row r="404" spans="1:7" x14ac:dyDescent="0.25">
      <c r="A404" s="8">
        <v>42614.803877314815</v>
      </c>
      <c r="B404" t="s">
        <v>111</v>
      </c>
      <c r="C404" t="s">
        <v>1128</v>
      </c>
      <c r="D404">
        <v>2280000</v>
      </c>
      <c r="E404" t="s">
        <v>839</v>
      </c>
      <c r="F404" s="23" t="str">
        <f t="shared" si="14"/>
        <v>rtdc.l.rtdc.4014:itc</v>
      </c>
      <c r="G404" s="8">
        <f t="shared" si="15"/>
        <v>42614.803877314815</v>
      </c>
    </row>
    <row r="405" spans="1:7" x14ac:dyDescent="0.25">
      <c r="A405" s="8">
        <v>42614.808159722219</v>
      </c>
      <c r="B405" t="s">
        <v>200</v>
      </c>
      <c r="C405" t="s">
        <v>1129</v>
      </c>
      <c r="D405">
        <v>2110000</v>
      </c>
      <c r="E405" t="s">
        <v>1117</v>
      </c>
      <c r="F405" s="23" t="str">
        <f t="shared" si="14"/>
        <v>rtdc.l.rtdc.4019:itc</v>
      </c>
      <c r="G405" s="8">
        <f t="shared" si="15"/>
        <v>42614.808159722219</v>
      </c>
    </row>
    <row r="406" spans="1:7" x14ac:dyDescent="0.25">
      <c r="A406" s="8">
        <v>42614.809328703705</v>
      </c>
      <c r="B406" t="s">
        <v>418</v>
      </c>
      <c r="C406" t="s">
        <v>1130</v>
      </c>
      <c r="D406">
        <v>1290000</v>
      </c>
      <c r="E406" t="s">
        <v>263</v>
      </c>
      <c r="F406" s="23" t="str">
        <f t="shared" si="14"/>
        <v>rtdc.l.rtdc.4042:itc</v>
      </c>
      <c r="G406" s="8">
        <f t="shared" si="15"/>
        <v>42614.809328703705</v>
      </c>
    </row>
    <row r="407" spans="1:7" x14ac:dyDescent="0.25">
      <c r="A407" s="8">
        <v>42614.818194444444</v>
      </c>
      <c r="B407" t="s">
        <v>90</v>
      </c>
      <c r="C407" t="s">
        <v>1131</v>
      </c>
      <c r="D407">
        <v>2280000</v>
      </c>
      <c r="E407" t="s">
        <v>839</v>
      </c>
      <c r="F407" s="23" t="str">
        <f t="shared" si="14"/>
        <v>rtdc.l.rtdc.4013:itc</v>
      </c>
      <c r="G407" s="8">
        <f t="shared" si="15"/>
        <v>42614.818194444444</v>
      </c>
    </row>
    <row r="408" spans="1:7" x14ac:dyDescent="0.25">
      <c r="A408" s="8">
        <v>42614.82236111111</v>
      </c>
      <c r="B408" t="s">
        <v>228</v>
      </c>
      <c r="C408" t="s">
        <v>1132</v>
      </c>
      <c r="D408">
        <v>730000</v>
      </c>
      <c r="E408" t="s">
        <v>1108</v>
      </c>
      <c r="F408" s="23" t="str">
        <f t="shared" si="14"/>
        <v>rtdc.l.rtdc.4044:itc</v>
      </c>
      <c r="G408" s="8">
        <f t="shared" si="15"/>
        <v>42614.82236111111</v>
      </c>
    </row>
    <row r="409" spans="1:7" x14ac:dyDescent="0.25">
      <c r="A409" s="8">
        <v>42614.826238425929</v>
      </c>
      <c r="B409" t="s">
        <v>245</v>
      </c>
      <c r="C409" t="s">
        <v>1133</v>
      </c>
      <c r="D409">
        <v>2220000</v>
      </c>
      <c r="E409" t="s">
        <v>218</v>
      </c>
      <c r="F409" s="23" t="str">
        <f t="shared" si="14"/>
        <v>rtdc.l.rtdc.4017:itc</v>
      </c>
      <c r="G409" s="8">
        <f t="shared" si="15"/>
        <v>42614.826238425929</v>
      </c>
    </row>
    <row r="410" spans="1:7" x14ac:dyDescent="0.25">
      <c r="A410" s="8">
        <v>42614.832465277781</v>
      </c>
      <c r="B410" t="s">
        <v>213</v>
      </c>
      <c r="C410" t="s">
        <v>1134</v>
      </c>
      <c r="D410">
        <v>2000000</v>
      </c>
      <c r="E410" t="s">
        <v>138</v>
      </c>
      <c r="F410" s="23" t="str">
        <f t="shared" ref="F410:F473" si="16">B410</f>
        <v>rtdc.l.rtdc.4011:itc</v>
      </c>
      <c r="G410" s="8">
        <f t="shared" ref="G410:G473" si="17">A410</f>
        <v>42614.832465277781</v>
      </c>
    </row>
    <row r="411" spans="1:7" x14ac:dyDescent="0.25">
      <c r="A411" s="8">
        <v>42614.842743055553</v>
      </c>
      <c r="B411" t="s">
        <v>111</v>
      </c>
      <c r="C411" t="s">
        <v>1135</v>
      </c>
      <c r="D411">
        <v>2280000</v>
      </c>
      <c r="E411" t="s">
        <v>839</v>
      </c>
      <c r="F411" s="23" t="str">
        <f t="shared" si="16"/>
        <v>rtdc.l.rtdc.4014:itc</v>
      </c>
      <c r="G411" s="8">
        <f t="shared" si="17"/>
        <v>42614.842743055553</v>
      </c>
    </row>
    <row r="412" spans="1:7" x14ac:dyDescent="0.25">
      <c r="A412" s="8">
        <v>42614.84815972222</v>
      </c>
      <c r="B412" t="s">
        <v>349</v>
      </c>
      <c r="C412" t="s">
        <v>1136</v>
      </c>
      <c r="D412">
        <v>1290000</v>
      </c>
      <c r="E412" t="s">
        <v>263</v>
      </c>
      <c r="F412" s="23" t="str">
        <f t="shared" si="16"/>
        <v>rtdc.l.rtdc.4041:itc</v>
      </c>
      <c r="G412" s="8">
        <f t="shared" si="17"/>
        <v>42614.84815972222</v>
      </c>
    </row>
    <row r="413" spans="1:7" x14ac:dyDescent="0.25">
      <c r="A413" s="8">
        <v>42614.849710648145</v>
      </c>
      <c r="B413" t="s">
        <v>201</v>
      </c>
      <c r="C413" t="s">
        <v>1137</v>
      </c>
      <c r="D413">
        <v>2110000</v>
      </c>
      <c r="E413" t="s">
        <v>1117</v>
      </c>
      <c r="F413" s="23" t="str">
        <f t="shared" si="16"/>
        <v>rtdc.l.rtdc.4020:itc</v>
      </c>
      <c r="G413" s="8">
        <f t="shared" si="17"/>
        <v>42614.849710648145</v>
      </c>
    </row>
    <row r="414" spans="1:7" x14ac:dyDescent="0.25">
      <c r="A414" s="8">
        <v>42614.859884259262</v>
      </c>
      <c r="B414" t="s">
        <v>90</v>
      </c>
      <c r="C414" t="s">
        <v>1138</v>
      </c>
      <c r="D414">
        <v>2280000</v>
      </c>
      <c r="E414" t="s">
        <v>839</v>
      </c>
      <c r="F414" s="23" t="str">
        <f t="shared" si="16"/>
        <v>rtdc.l.rtdc.4013:itc</v>
      </c>
      <c r="G414" s="8">
        <f t="shared" si="17"/>
        <v>42614.859884259262</v>
      </c>
    </row>
    <row r="415" spans="1:7" x14ac:dyDescent="0.25">
      <c r="A415" s="8">
        <v>42614.869884259257</v>
      </c>
      <c r="B415" t="s">
        <v>325</v>
      </c>
      <c r="C415" t="s">
        <v>1139</v>
      </c>
      <c r="D415">
        <v>2000000</v>
      </c>
      <c r="E415" t="s">
        <v>138</v>
      </c>
      <c r="F415" s="23" t="str">
        <f t="shared" si="16"/>
        <v>rtdc.l.rtdc.4012:itc</v>
      </c>
      <c r="G415" s="8">
        <f t="shared" si="17"/>
        <v>42614.869884259257</v>
      </c>
    </row>
    <row r="416" spans="1:7" x14ac:dyDescent="0.25">
      <c r="A416" s="8">
        <v>42614.871192129627</v>
      </c>
      <c r="B416" t="s">
        <v>247</v>
      </c>
      <c r="C416" t="s">
        <v>1140</v>
      </c>
      <c r="D416">
        <v>2220000</v>
      </c>
      <c r="E416" t="s">
        <v>218</v>
      </c>
      <c r="F416" s="23" t="str">
        <f t="shared" si="16"/>
        <v>rtdc.l.rtdc.4018:itc</v>
      </c>
      <c r="G416" s="8">
        <f t="shared" si="17"/>
        <v>42614.871192129627</v>
      </c>
    </row>
    <row r="417" spans="1:7" x14ac:dyDescent="0.25">
      <c r="A417" s="8">
        <v>42614.887650462966</v>
      </c>
      <c r="B417" t="s">
        <v>111</v>
      </c>
      <c r="C417" t="s">
        <v>1141</v>
      </c>
      <c r="D417">
        <v>1230000</v>
      </c>
      <c r="E417" t="s">
        <v>149</v>
      </c>
      <c r="F417" s="23" t="str">
        <f t="shared" si="16"/>
        <v>rtdc.l.rtdc.4014:itc</v>
      </c>
      <c r="G417" s="8">
        <f t="shared" si="17"/>
        <v>42614.887650462966</v>
      </c>
    </row>
    <row r="418" spans="1:7" x14ac:dyDescent="0.25">
      <c r="A418" s="8">
        <v>42614.889606481483</v>
      </c>
      <c r="B418" t="s">
        <v>200</v>
      </c>
      <c r="C418" t="s">
        <v>1142</v>
      </c>
      <c r="D418">
        <v>2110000</v>
      </c>
      <c r="E418" t="s">
        <v>1117</v>
      </c>
      <c r="F418" s="23" t="str">
        <f t="shared" si="16"/>
        <v>rtdc.l.rtdc.4019:itc</v>
      </c>
      <c r="G418" s="8">
        <f t="shared" si="17"/>
        <v>42614.889606481483</v>
      </c>
    </row>
    <row r="419" spans="1:7" x14ac:dyDescent="0.25">
      <c r="A419" s="8">
        <v>42614.889780092592</v>
      </c>
      <c r="B419" t="s">
        <v>111</v>
      </c>
      <c r="C419" t="s">
        <v>1141</v>
      </c>
      <c r="D419">
        <v>1230000</v>
      </c>
      <c r="E419" t="s">
        <v>149</v>
      </c>
      <c r="F419" s="23" t="str">
        <f t="shared" si="16"/>
        <v>rtdc.l.rtdc.4014:itc</v>
      </c>
      <c r="G419" s="8">
        <f t="shared" si="17"/>
        <v>42614.889780092592</v>
      </c>
    </row>
    <row r="420" spans="1:7" x14ac:dyDescent="0.25">
      <c r="A420" s="8">
        <v>42614.892743055556</v>
      </c>
      <c r="B420" t="s">
        <v>418</v>
      </c>
      <c r="C420" t="s">
        <v>1143</v>
      </c>
      <c r="D420">
        <v>1290000</v>
      </c>
      <c r="E420" t="s">
        <v>263</v>
      </c>
      <c r="F420" s="23" t="str">
        <f t="shared" si="16"/>
        <v>rtdc.l.rtdc.4042:itc</v>
      </c>
      <c r="G420" s="8">
        <f t="shared" si="17"/>
        <v>42614.892743055556</v>
      </c>
    </row>
    <row r="421" spans="1:7" x14ac:dyDescent="0.25">
      <c r="A421" s="8">
        <v>42614.901030092595</v>
      </c>
      <c r="B421" t="s">
        <v>90</v>
      </c>
      <c r="C421" t="s">
        <v>1144</v>
      </c>
      <c r="D421">
        <v>1230000</v>
      </c>
      <c r="E421" t="s">
        <v>149</v>
      </c>
      <c r="F421" s="23" t="str">
        <f t="shared" si="16"/>
        <v>rtdc.l.rtdc.4013:itc</v>
      </c>
      <c r="G421" s="8">
        <f t="shared" si="17"/>
        <v>42614.901030092595</v>
      </c>
    </row>
    <row r="422" spans="1:7" x14ac:dyDescent="0.25">
      <c r="A422" s="8">
        <v>42614.908310185187</v>
      </c>
      <c r="B422" t="s">
        <v>245</v>
      </c>
      <c r="C422" t="s">
        <v>1145</v>
      </c>
      <c r="D422">
        <v>2220000</v>
      </c>
      <c r="E422" t="s">
        <v>218</v>
      </c>
      <c r="F422" s="23" t="str">
        <f t="shared" si="16"/>
        <v>rtdc.l.rtdc.4017:itc</v>
      </c>
      <c r="G422" s="8">
        <f t="shared" si="17"/>
        <v>42614.908310185187</v>
      </c>
    </row>
    <row r="423" spans="1:7" x14ac:dyDescent="0.25">
      <c r="A423" s="8">
        <v>42614.910555555558</v>
      </c>
      <c r="B423" t="s">
        <v>213</v>
      </c>
      <c r="C423" t="s">
        <v>1146</v>
      </c>
      <c r="D423">
        <v>2000000</v>
      </c>
      <c r="E423" t="s">
        <v>138</v>
      </c>
      <c r="F423" s="23" t="str">
        <f t="shared" si="16"/>
        <v>rtdc.l.rtdc.4011:itc</v>
      </c>
      <c r="G423" s="8">
        <f t="shared" si="17"/>
        <v>42614.910555555558</v>
      </c>
    </row>
    <row r="424" spans="1:7" x14ac:dyDescent="0.25">
      <c r="A424" s="8">
        <v>42614.928912037038</v>
      </c>
      <c r="B424" t="s">
        <v>111</v>
      </c>
      <c r="C424" t="s">
        <v>1147</v>
      </c>
      <c r="D424">
        <v>1230000</v>
      </c>
      <c r="E424" t="s">
        <v>149</v>
      </c>
      <c r="F424" s="23" t="str">
        <f t="shared" si="16"/>
        <v>rtdc.l.rtdc.4014:itc</v>
      </c>
      <c r="G424" s="8">
        <f t="shared" si="17"/>
        <v>42614.928912037038</v>
      </c>
    </row>
    <row r="425" spans="1:7" x14ac:dyDescent="0.25">
      <c r="A425" s="8">
        <v>42614.930509259262</v>
      </c>
      <c r="B425" t="s">
        <v>349</v>
      </c>
      <c r="C425" t="s">
        <v>1148</v>
      </c>
      <c r="D425">
        <v>1290000</v>
      </c>
      <c r="E425" t="s">
        <v>263</v>
      </c>
      <c r="F425" s="23" t="str">
        <f t="shared" si="16"/>
        <v>rtdc.l.rtdc.4041:itc</v>
      </c>
      <c r="G425" s="8">
        <f t="shared" si="17"/>
        <v>42614.930509259262</v>
      </c>
    </row>
    <row r="426" spans="1:7" x14ac:dyDescent="0.25">
      <c r="A426" s="8">
        <v>42614.932280092595</v>
      </c>
      <c r="B426" t="s">
        <v>201</v>
      </c>
      <c r="C426" t="s">
        <v>1149</v>
      </c>
      <c r="D426">
        <v>2110000</v>
      </c>
      <c r="E426" t="s">
        <v>1117</v>
      </c>
      <c r="F426" s="23" t="str">
        <f t="shared" si="16"/>
        <v>rtdc.l.rtdc.4020:itc</v>
      </c>
      <c r="G426" s="8">
        <f t="shared" si="17"/>
        <v>42614.932280092595</v>
      </c>
    </row>
    <row r="427" spans="1:7" x14ac:dyDescent="0.25">
      <c r="A427" s="8">
        <v>42614.942835648151</v>
      </c>
      <c r="B427" t="s">
        <v>90</v>
      </c>
      <c r="C427" t="s">
        <v>1150</v>
      </c>
      <c r="D427">
        <v>1230000</v>
      </c>
      <c r="E427" t="s">
        <v>149</v>
      </c>
      <c r="F427" s="23" t="str">
        <f t="shared" si="16"/>
        <v>rtdc.l.rtdc.4013:itc</v>
      </c>
      <c r="G427" s="8">
        <f t="shared" si="17"/>
        <v>42614.942835648151</v>
      </c>
    </row>
    <row r="428" spans="1:7" x14ac:dyDescent="0.25">
      <c r="A428" s="8">
        <v>42614.952546296299</v>
      </c>
      <c r="B428" t="s">
        <v>325</v>
      </c>
      <c r="C428" t="s">
        <v>1151</v>
      </c>
      <c r="D428">
        <v>2000000</v>
      </c>
      <c r="E428" t="s">
        <v>138</v>
      </c>
      <c r="F428" s="23" t="str">
        <f t="shared" si="16"/>
        <v>rtdc.l.rtdc.4012:itc</v>
      </c>
      <c r="G428" s="8">
        <f t="shared" si="17"/>
        <v>42614.952546296299</v>
      </c>
    </row>
    <row r="429" spans="1:7" x14ac:dyDescent="0.25">
      <c r="A429" s="8">
        <v>42614.954062500001</v>
      </c>
      <c r="B429" t="s">
        <v>247</v>
      </c>
      <c r="C429" t="s">
        <v>1152</v>
      </c>
      <c r="D429">
        <v>2220000</v>
      </c>
      <c r="E429" t="s">
        <v>218</v>
      </c>
      <c r="F429" s="23" t="str">
        <f t="shared" si="16"/>
        <v>rtdc.l.rtdc.4018:itc</v>
      </c>
      <c r="G429" s="8">
        <f t="shared" si="17"/>
        <v>42614.954062500001</v>
      </c>
    </row>
    <row r="430" spans="1:7" x14ac:dyDescent="0.25">
      <c r="A430" s="8">
        <v>42614.970324074071</v>
      </c>
      <c r="B430" t="s">
        <v>200</v>
      </c>
      <c r="C430" t="s">
        <v>1153</v>
      </c>
      <c r="D430">
        <v>2110000</v>
      </c>
      <c r="E430" t="s">
        <v>1117</v>
      </c>
      <c r="F430" s="23" t="str">
        <f t="shared" si="16"/>
        <v>rtdc.l.rtdc.4019:itc</v>
      </c>
      <c r="G430" s="8">
        <f t="shared" si="17"/>
        <v>42614.970324074071</v>
      </c>
    </row>
    <row r="431" spans="1:7" x14ac:dyDescent="0.25">
      <c r="A431" s="8">
        <v>42614.976643518516</v>
      </c>
      <c r="B431" t="s">
        <v>418</v>
      </c>
      <c r="C431" t="s">
        <v>1154</v>
      </c>
      <c r="D431">
        <v>1290000</v>
      </c>
      <c r="E431" t="s">
        <v>263</v>
      </c>
      <c r="F431" s="23" t="str">
        <f t="shared" si="16"/>
        <v>rtdc.l.rtdc.4042:itc</v>
      </c>
      <c r="G431" s="8">
        <f t="shared" si="17"/>
        <v>42614.976643518516</v>
      </c>
    </row>
    <row r="432" spans="1:7" x14ac:dyDescent="0.25">
      <c r="A432" s="8">
        <v>42614.984837962962</v>
      </c>
      <c r="B432" t="s">
        <v>213</v>
      </c>
      <c r="C432" t="s">
        <v>1155</v>
      </c>
      <c r="D432">
        <v>2000000</v>
      </c>
      <c r="E432" t="s">
        <v>138</v>
      </c>
      <c r="F432" s="23" t="str">
        <f t="shared" si="16"/>
        <v>rtdc.l.rtdc.4011:itc</v>
      </c>
      <c r="G432" s="8">
        <f t="shared" si="17"/>
        <v>42614.984837962962</v>
      </c>
    </row>
    <row r="433" spans="1:7" x14ac:dyDescent="0.25">
      <c r="A433" s="8">
        <v>42614.990833333337</v>
      </c>
      <c r="B433" t="s">
        <v>245</v>
      </c>
      <c r="C433" t="s">
        <v>748</v>
      </c>
      <c r="D433">
        <v>2220000</v>
      </c>
      <c r="E433" t="s">
        <v>218</v>
      </c>
      <c r="F433" s="23" t="str">
        <f t="shared" si="16"/>
        <v>rtdc.l.rtdc.4017:itc</v>
      </c>
      <c r="G433" s="8">
        <f t="shared" si="17"/>
        <v>42614.990833333337</v>
      </c>
    </row>
    <row r="434" spans="1:7" x14ac:dyDescent="0.25">
      <c r="A434" s="8">
        <v>42615.015486111108</v>
      </c>
      <c r="B434" t="s">
        <v>349</v>
      </c>
      <c r="C434" t="s">
        <v>1156</v>
      </c>
      <c r="D434">
        <v>1290000</v>
      </c>
      <c r="E434" t="s">
        <v>263</v>
      </c>
      <c r="F434" s="23" t="str">
        <f t="shared" si="16"/>
        <v>rtdc.l.rtdc.4041:itc</v>
      </c>
      <c r="G434" s="8">
        <f t="shared" si="17"/>
        <v>42615.015486111108</v>
      </c>
    </row>
    <row r="435" spans="1:7" x14ac:dyDescent="0.25">
      <c r="A435" s="8">
        <v>42615.015625</v>
      </c>
      <c r="B435" t="s">
        <v>201</v>
      </c>
      <c r="C435" t="s">
        <v>1157</v>
      </c>
      <c r="D435">
        <v>2110000</v>
      </c>
      <c r="E435" t="s">
        <v>1117</v>
      </c>
      <c r="F435" s="23" t="str">
        <f t="shared" si="16"/>
        <v>rtdc.l.rtdc.4020:itc</v>
      </c>
      <c r="G435" s="8">
        <f t="shared" si="17"/>
        <v>42615.015625</v>
      </c>
    </row>
    <row r="436" spans="1:7" x14ac:dyDescent="0.25">
      <c r="A436" s="8">
        <v>42615.025381944448</v>
      </c>
      <c r="B436" t="s">
        <v>327</v>
      </c>
      <c r="C436" t="s">
        <v>1158</v>
      </c>
      <c r="D436">
        <v>1410000</v>
      </c>
      <c r="E436" t="s">
        <v>1159</v>
      </c>
      <c r="F436" s="23" t="str">
        <f t="shared" si="16"/>
        <v>rtdc.l.rtdc.4051:itc</v>
      </c>
      <c r="G436" s="8">
        <f t="shared" si="17"/>
        <v>42615.025381944448</v>
      </c>
    </row>
    <row r="437" spans="1:7" x14ac:dyDescent="0.25">
      <c r="A437" s="8">
        <v>42615.030995370369</v>
      </c>
      <c r="B437" t="s">
        <v>247</v>
      </c>
      <c r="C437" t="s">
        <v>1160</v>
      </c>
      <c r="D437">
        <v>2220000</v>
      </c>
      <c r="E437" t="s">
        <v>218</v>
      </c>
      <c r="F437" s="23" t="str">
        <f t="shared" si="16"/>
        <v>rtdc.l.rtdc.4018:itc</v>
      </c>
      <c r="G437" s="8">
        <f t="shared" si="17"/>
        <v>42615.030995370369</v>
      </c>
    </row>
    <row r="438" spans="1:7" x14ac:dyDescent="0.25">
      <c r="A438" s="8">
        <v>42615.03534722222</v>
      </c>
      <c r="B438" t="s">
        <v>325</v>
      </c>
      <c r="C438" t="s">
        <v>1161</v>
      </c>
      <c r="D438">
        <v>2000000</v>
      </c>
      <c r="E438" t="s">
        <v>138</v>
      </c>
      <c r="F438" s="23" t="str">
        <f t="shared" si="16"/>
        <v>rtdc.l.rtdc.4012:itc</v>
      </c>
      <c r="G438" s="8">
        <f t="shared" si="17"/>
        <v>42615.03534722222</v>
      </c>
    </row>
    <row r="439" spans="1:7" x14ac:dyDescent="0.25">
      <c r="A439" s="8">
        <v>42615.047013888892</v>
      </c>
      <c r="B439" t="s">
        <v>418</v>
      </c>
      <c r="C439" t="s">
        <v>1162</v>
      </c>
      <c r="D439">
        <v>1290000</v>
      </c>
      <c r="E439" t="s">
        <v>263</v>
      </c>
      <c r="F439" s="23" t="str">
        <f t="shared" si="16"/>
        <v>rtdc.l.rtdc.4042:itc</v>
      </c>
      <c r="G439" s="8">
        <f t="shared" si="17"/>
        <v>42615.047013888892</v>
      </c>
    </row>
    <row r="440" spans="1:7" x14ac:dyDescent="0.25">
      <c r="A440" s="8">
        <v>42615.054201388892</v>
      </c>
      <c r="B440" t="s">
        <v>200</v>
      </c>
      <c r="C440" t="s">
        <v>1163</v>
      </c>
      <c r="D440">
        <v>2110000</v>
      </c>
      <c r="E440" t="s">
        <v>1117</v>
      </c>
      <c r="F440" s="23" t="str">
        <f t="shared" si="16"/>
        <v>rtdc.l.rtdc.4019:itc</v>
      </c>
      <c r="G440" s="8">
        <f t="shared" si="17"/>
        <v>42615.054201388892</v>
      </c>
    </row>
    <row r="441" spans="1:7" x14ac:dyDescent="0.25">
      <c r="A441" s="8">
        <v>42615.055636574078</v>
      </c>
      <c r="B441" t="s">
        <v>327</v>
      </c>
      <c r="C441" t="s">
        <v>1158</v>
      </c>
      <c r="D441">
        <v>1410000</v>
      </c>
      <c r="E441" t="s">
        <v>1159</v>
      </c>
      <c r="F441" s="23" t="str">
        <f t="shared" si="16"/>
        <v>rtdc.l.rtdc.4051:itc</v>
      </c>
      <c r="G441" s="8">
        <f t="shared" si="17"/>
        <v>42615.055636574078</v>
      </c>
    </row>
    <row r="442" spans="1:7" x14ac:dyDescent="0.25">
      <c r="A442" s="8">
        <v>42615.067175925928</v>
      </c>
      <c r="B442" t="s">
        <v>213</v>
      </c>
      <c r="C442" t="s">
        <v>1164</v>
      </c>
      <c r="D442">
        <v>2000000</v>
      </c>
      <c r="E442" t="s">
        <v>138</v>
      </c>
      <c r="F442" s="23" t="str">
        <f t="shared" si="16"/>
        <v>rtdc.l.rtdc.4011:itc</v>
      </c>
      <c r="G442" s="8">
        <f t="shared" si="17"/>
        <v>42615.067175925928</v>
      </c>
    </row>
    <row r="443" spans="1:7" x14ac:dyDescent="0.25">
      <c r="A443" s="8">
        <v>42615.080740740741</v>
      </c>
      <c r="B443" t="s">
        <v>331</v>
      </c>
      <c r="C443" t="s">
        <v>1158</v>
      </c>
      <c r="D443">
        <v>1410000</v>
      </c>
      <c r="E443" t="s">
        <v>1159</v>
      </c>
      <c r="F443" s="23" t="str">
        <f t="shared" si="16"/>
        <v>rtdc.l.rtdc.4052:itc</v>
      </c>
      <c r="G443" s="8">
        <f t="shared" si="17"/>
        <v>42615.080740740741</v>
      </c>
    </row>
    <row r="444" spans="1:7" x14ac:dyDescent="0.25">
      <c r="A444" s="8">
        <v>42615.083506944444</v>
      </c>
      <c r="B444" t="s">
        <v>331</v>
      </c>
      <c r="C444" t="s">
        <v>1165</v>
      </c>
      <c r="D444">
        <v>1410000</v>
      </c>
      <c r="E444" t="s">
        <v>1159</v>
      </c>
      <c r="F444" s="23" t="str">
        <f t="shared" si="16"/>
        <v>rtdc.l.rtdc.4052:itc</v>
      </c>
      <c r="G444" s="8">
        <f t="shared" si="17"/>
        <v>42615.083506944444</v>
      </c>
    </row>
    <row r="445" spans="1:7" x14ac:dyDescent="0.25">
      <c r="A445" s="8">
        <v>42615.089606481481</v>
      </c>
      <c r="B445" t="s">
        <v>201</v>
      </c>
      <c r="C445" t="s">
        <v>1166</v>
      </c>
      <c r="D445">
        <v>2110000</v>
      </c>
      <c r="E445" t="s">
        <v>1117</v>
      </c>
      <c r="F445" s="23" t="str">
        <f t="shared" si="16"/>
        <v>rtdc.l.rtdc.4020:itc</v>
      </c>
      <c r="G445" s="8">
        <f t="shared" si="17"/>
        <v>42615.089606481481</v>
      </c>
    </row>
    <row r="446" spans="1:7" x14ac:dyDescent="0.25">
      <c r="A446" s="8">
        <v>42615.104004629633</v>
      </c>
      <c r="B446" t="s">
        <v>327</v>
      </c>
      <c r="C446" t="s">
        <v>1158</v>
      </c>
      <c r="D446">
        <v>1410000</v>
      </c>
      <c r="E446" t="s">
        <v>1159</v>
      </c>
      <c r="F446" s="23" t="str">
        <f t="shared" si="16"/>
        <v>rtdc.l.rtdc.4051:itc</v>
      </c>
      <c r="G446" s="8">
        <f t="shared" si="17"/>
        <v>42615.104004629633</v>
      </c>
    </row>
    <row r="447" spans="1:7" x14ac:dyDescent="0.25">
      <c r="A447" s="8">
        <v>42615.125636574077</v>
      </c>
      <c r="B447" t="s">
        <v>331</v>
      </c>
      <c r="C447" t="s">
        <v>1165</v>
      </c>
      <c r="D447">
        <v>1410000</v>
      </c>
      <c r="E447" t="s">
        <v>1159</v>
      </c>
      <c r="F447" s="23" t="str">
        <f t="shared" si="16"/>
        <v>rtdc.l.rtdc.4052:itc</v>
      </c>
      <c r="G447" s="8">
        <f t="shared" si="17"/>
        <v>42615.125636574077</v>
      </c>
    </row>
    <row r="448" spans="1:7" x14ac:dyDescent="0.25">
      <c r="A448" s="8">
        <v>42615.127812500003</v>
      </c>
      <c r="B448" t="s">
        <v>1167</v>
      </c>
      <c r="C448" t="s">
        <v>1168</v>
      </c>
      <c r="D448">
        <v>2010000</v>
      </c>
      <c r="E448" t="s">
        <v>760</v>
      </c>
      <c r="F448" s="23" t="str">
        <f t="shared" si="16"/>
        <v>rtdc.l.rtdc.4053:itc</v>
      </c>
      <c r="G448" s="8">
        <f t="shared" si="17"/>
        <v>42615.127812500003</v>
      </c>
    </row>
    <row r="449" spans="1:7" x14ac:dyDescent="0.25">
      <c r="A449" s="8">
        <v>42615.129074074073</v>
      </c>
      <c r="B449" t="s">
        <v>1167</v>
      </c>
      <c r="C449" t="s">
        <v>1168</v>
      </c>
      <c r="D449">
        <v>2010000</v>
      </c>
      <c r="E449" t="s">
        <v>760</v>
      </c>
      <c r="F449" s="23" t="str">
        <f t="shared" si="16"/>
        <v>rtdc.l.rtdc.4053:itc</v>
      </c>
      <c r="G449" s="8">
        <f t="shared" si="17"/>
        <v>42615.129074074073</v>
      </c>
    </row>
    <row r="450" spans="1:7" x14ac:dyDescent="0.25">
      <c r="A450" s="8">
        <v>42615.153645833336</v>
      </c>
      <c r="B450" t="s">
        <v>1169</v>
      </c>
      <c r="C450" t="s">
        <v>1170</v>
      </c>
      <c r="D450">
        <v>1990000</v>
      </c>
      <c r="E450" t="s">
        <v>258</v>
      </c>
      <c r="F450" s="23" t="str">
        <f t="shared" si="16"/>
        <v>rtdc.l.rtdc.4046:itc</v>
      </c>
      <c r="G450" s="8">
        <f t="shared" si="17"/>
        <v>42615.153645833336</v>
      </c>
    </row>
    <row r="451" spans="1:7" x14ac:dyDescent="0.25">
      <c r="A451" s="8">
        <v>42615.170787037037</v>
      </c>
      <c r="B451" t="s">
        <v>92</v>
      </c>
      <c r="C451" t="s">
        <v>1171</v>
      </c>
      <c r="D451">
        <v>2010000</v>
      </c>
      <c r="E451" t="s">
        <v>760</v>
      </c>
      <c r="F451" s="23" t="str">
        <f t="shared" si="16"/>
        <v>rtdc.l.rtdc.4030:itc</v>
      </c>
      <c r="G451" s="8">
        <f t="shared" si="17"/>
        <v>42615.170787037037</v>
      </c>
    </row>
    <row r="452" spans="1:7" x14ac:dyDescent="0.25">
      <c r="A452" s="8">
        <v>42615.184548611112</v>
      </c>
      <c r="B452" t="s">
        <v>228</v>
      </c>
      <c r="C452" t="s">
        <v>1172</v>
      </c>
      <c r="D452">
        <v>2230000</v>
      </c>
      <c r="E452" t="s">
        <v>503</v>
      </c>
      <c r="F452" s="23" t="str">
        <f t="shared" si="16"/>
        <v>rtdc.l.rtdc.4044:itc</v>
      </c>
      <c r="G452" s="8">
        <f t="shared" si="17"/>
        <v>42615.184548611112</v>
      </c>
    </row>
    <row r="453" spans="1:7" x14ac:dyDescent="0.25">
      <c r="A453" s="8">
        <v>42615.191284722219</v>
      </c>
      <c r="B453" t="s">
        <v>113</v>
      </c>
      <c r="C453" t="s">
        <v>1173</v>
      </c>
      <c r="D453">
        <v>1100000</v>
      </c>
      <c r="E453" t="s">
        <v>347</v>
      </c>
      <c r="F453" s="23" t="str">
        <f t="shared" si="16"/>
        <v>rtdc.l.rtdc.4031:itc</v>
      </c>
      <c r="G453" s="8">
        <f t="shared" si="17"/>
        <v>42615.191284722219</v>
      </c>
    </row>
    <row r="454" spans="1:7" x14ac:dyDescent="0.25">
      <c r="A454" s="8">
        <v>42615.191608796296</v>
      </c>
      <c r="B454" t="s">
        <v>746</v>
      </c>
      <c r="C454" t="s">
        <v>1174</v>
      </c>
      <c r="D454">
        <v>1990000</v>
      </c>
      <c r="E454" t="s">
        <v>258</v>
      </c>
      <c r="F454" s="23" t="str">
        <f t="shared" si="16"/>
        <v>rtdc.l.rtdc.4015:itc</v>
      </c>
      <c r="G454" s="8">
        <f t="shared" si="17"/>
        <v>42615.191608796296</v>
      </c>
    </row>
    <row r="455" spans="1:7" x14ac:dyDescent="0.25">
      <c r="A455" s="8">
        <v>42615.204201388886</v>
      </c>
      <c r="B455" t="s">
        <v>720</v>
      </c>
      <c r="C455" t="s">
        <v>1175</v>
      </c>
      <c r="D455">
        <v>1760000</v>
      </c>
      <c r="E455" t="s">
        <v>762</v>
      </c>
      <c r="F455" s="23" t="str">
        <f t="shared" si="16"/>
        <v>rtdc.l.rtdc.4008:itc</v>
      </c>
      <c r="G455" s="8">
        <f t="shared" si="17"/>
        <v>42615.204201388886</v>
      </c>
    </row>
    <row r="456" spans="1:7" x14ac:dyDescent="0.25">
      <c r="A456" s="8">
        <v>42615.207997685182</v>
      </c>
      <c r="B456" t="s">
        <v>1167</v>
      </c>
      <c r="C456" t="s">
        <v>1176</v>
      </c>
      <c r="D456">
        <v>1090000</v>
      </c>
      <c r="E456" t="s">
        <v>329</v>
      </c>
      <c r="F456" s="23" t="str">
        <f t="shared" si="16"/>
        <v>rtdc.l.rtdc.4053:itc</v>
      </c>
      <c r="G456" s="8">
        <f t="shared" si="17"/>
        <v>42615.207997685182</v>
      </c>
    </row>
    <row r="457" spans="1:7" x14ac:dyDescent="0.25">
      <c r="A457" s="8">
        <v>42615.214687500003</v>
      </c>
      <c r="B457" t="s">
        <v>227</v>
      </c>
      <c r="C457" t="s">
        <v>1177</v>
      </c>
      <c r="D457">
        <v>1310000</v>
      </c>
      <c r="E457" t="s">
        <v>967</v>
      </c>
      <c r="F457" s="23" t="str">
        <f t="shared" si="16"/>
        <v>rtdc.l.rtdc.4001:itc</v>
      </c>
      <c r="G457" s="8">
        <f t="shared" si="17"/>
        <v>42615.214687500003</v>
      </c>
    </row>
    <row r="458" spans="1:7" x14ac:dyDescent="0.25">
      <c r="A458" s="8">
        <v>42615.215775462966</v>
      </c>
      <c r="B458" t="s">
        <v>227</v>
      </c>
      <c r="C458" t="s">
        <v>1177</v>
      </c>
      <c r="D458">
        <v>1310000</v>
      </c>
      <c r="E458" t="s">
        <v>967</v>
      </c>
      <c r="F458" s="23" t="str">
        <f t="shared" si="16"/>
        <v>rtdc.l.rtdc.4001:itc</v>
      </c>
      <c r="G458" s="8">
        <f t="shared" si="17"/>
        <v>42615.215775462966</v>
      </c>
    </row>
    <row r="459" spans="1:7" x14ac:dyDescent="0.25">
      <c r="A459" s="8">
        <v>42615.216145833336</v>
      </c>
      <c r="B459" t="s">
        <v>91</v>
      </c>
      <c r="C459" t="s">
        <v>1178</v>
      </c>
      <c r="D459">
        <v>2010000</v>
      </c>
      <c r="E459" t="s">
        <v>760</v>
      </c>
      <c r="F459" s="23" t="str">
        <f t="shared" si="16"/>
        <v>rtdc.l.rtdc.4029:itc</v>
      </c>
      <c r="G459" s="8">
        <f t="shared" si="17"/>
        <v>42615.216145833336</v>
      </c>
    </row>
    <row r="460" spans="1:7" x14ac:dyDescent="0.25">
      <c r="A460" s="8">
        <v>42615.217094907406</v>
      </c>
      <c r="B460" t="s">
        <v>91</v>
      </c>
      <c r="C460" t="s">
        <v>1178</v>
      </c>
      <c r="D460">
        <v>2010000</v>
      </c>
      <c r="E460" t="s">
        <v>760</v>
      </c>
      <c r="F460" s="23" t="str">
        <f t="shared" si="16"/>
        <v>rtdc.l.rtdc.4029:itc</v>
      </c>
      <c r="G460" s="8">
        <f t="shared" si="17"/>
        <v>42615.217094907406</v>
      </c>
    </row>
    <row r="461" spans="1:7" x14ac:dyDescent="0.25">
      <c r="A461" s="8">
        <v>42615.218425925923</v>
      </c>
      <c r="B461" t="s">
        <v>226</v>
      </c>
      <c r="C461" t="s">
        <v>1179</v>
      </c>
      <c r="D461">
        <v>2230000</v>
      </c>
      <c r="E461" t="s">
        <v>503</v>
      </c>
      <c r="F461" s="23" t="str">
        <f t="shared" si="16"/>
        <v>rtdc.l.rtdc.4043:itc</v>
      </c>
      <c r="G461" s="8">
        <f t="shared" si="17"/>
        <v>42615.218425925923</v>
      </c>
    </row>
    <row r="462" spans="1:7" x14ac:dyDescent="0.25">
      <c r="A462" s="8">
        <v>42615.228750000002</v>
      </c>
      <c r="B462" t="s">
        <v>1169</v>
      </c>
      <c r="C462" t="s">
        <v>1180</v>
      </c>
      <c r="D462">
        <v>2260000</v>
      </c>
      <c r="E462" t="s">
        <v>162</v>
      </c>
      <c r="F462" s="23" t="str">
        <f t="shared" si="16"/>
        <v>rtdc.l.rtdc.4046:itc</v>
      </c>
      <c r="G462" s="8">
        <f t="shared" si="17"/>
        <v>42615.228750000002</v>
      </c>
    </row>
    <row r="463" spans="1:7" x14ac:dyDescent="0.25">
      <c r="A463" s="8">
        <v>42615.232453703706</v>
      </c>
      <c r="B463" t="s">
        <v>724</v>
      </c>
      <c r="C463" t="s">
        <v>1181</v>
      </c>
      <c r="D463">
        <v>1990000</v>
      </c>
      <c r="E463" t="s">
        <v>258</v>
      </c>
      <c r="F463" s="23" t="str">
        <f t="shared" si="16"/>
        <v>rtdc.l.rtdc.4016:itc</v>
      </c>
      <c r="G463" s="8">
        <f t="shared" si="17"/>
        <v>42615.232453703706</v>
      </c>
    </row>
    <row r="464" spans="1:7" x14ac:dyDescent="0.25">
      <c r="A464" s="8">
        <v>42615.234629629631</v>
      </c>
      <c r="B464" t="s">
        <v>114</v>
      </c>
      <c r="C464" t="s">
        <v>1182</v>
      </c>
      <c r="D464">
        <v>1100000</v>
      </c>
      <c r="E464" t="s">
        <v>347</v>
      </c>
      <c r="F464" s="23" t="str">
        <f t="shared" si="16"/>
        <v>rtdc.l.rtdc.4032:itc</v>
      </c>
      <c r="G464" s="8">
        <f t="shared" si="17"/>
        <v>42615.234629629631</v>
      </c>
    </row>
    <row r="465" spans="1:7" x14ac:dyDescent="0.25">
      <c r="A465" s="8">
        <v>42615.239722222221</v>
      </c>
      <c r="B465" t="s">
        <v>781</v>
      </c>
      <c r="C465" t="s">
        <v>1183</v>
      </c>
      <c r="D465">
        <v>1760000</v>
      </c>
      <c r="E465" t="s">
        <v>762</v>
      </c>
      <c r="F465" s="23" t="str">
        <f t="shared" si="16"/>
        <v>rtdc.l.rtdc.4007:itc</v>
      </c>
      <c r="G465" s="8">
        <f t="shared" si="17"/>
        <v>42615.239722222221</v>
      </c>
    </row>
    <row r="466" spans="1:7" x14ac:dyDescent="0.25">
      <c r="A466" s="8">
        <v>42615.242708333331</v>
      </c>
      <c r="B466" t="s">
        <v>712</v>
      </c>
      <c r="C466" t="s">
        <v>1184</v>
      </c>
      <c r="D466">
        <v>1090000</v>
      </c>
      <c r="E466" t="s">
        <v>329</v>
      </c>
      <c r="F466" s="23" t="str">
        <f t="shared" si="16"/>
        <v>rtdc.l.rtdc.4054:itc</v>
      </c>
      <c r="G466" s="8">
        <f t="shared" si="17"/>
        <v>42615.242708333331</v>
      </c>
    </row>
    <row r="467" spans="1:7" x14ac:dyDescent="0.25">
      <c r="A467" s="8">
        <v>42615.249710648146</v>
      </c>
      <c r="B467" t="s">
        <v>151</v>
      </c>
      <c r="C467" t="s">
        <v>1185</v>
      </c>
      <c r="D467">
        <v>1310000</v>
      </c>
      <c r="E467" t="s">
        <v>967</v>
      </c>
      <c r="F467" s="23" t="str">
        <f t="shared" si="16"/>
        <v>rtdc.l.rtdc.4009:itc</v>
      </c>
      <c r="G467" s="8">
        <f t="shared" si="17"/>
        <v>42615.249710648146</v>
      </c>
    </row>
    <row r="468" spans="1:7" x14ac:dyDescent="0.25">
      <c r="A468" s="8">
        <v>42615.250706018516</v>
      </c>
      <c r="B468" t="s">
        <v>92</v>
      </c>
      <c r="C468" t="s">
        <v>1186</v>
      </c>
      <c r="D468">
        <v>2010000</v>
      </c>
      <c r="E468" t="s">
        <v>760</v>
      </c>
      <c r="F468" s="23" t="str">
        <f t="shared" si="16"/>
        <v>rtdc.l.rtdc.4030:itc</v>
      </c>
      <c r="G468" s="8">
        <f t="shared" si="17"/>
        <v>42615.250706018516</v>
      </c>
    </row>
    <row r="469" spans="1:7" x14ac:dyDescent="0.25">
      <c r="A469" s="8">
        <v>42615.254861111112</v>
      </c>
      <c r="B469" t="s">
        <v>257</v>
      </c>
      <c r="C469" t="s">
        <v>1187</v>
      </c>
      <c r="D469">
        <v>1830000</v>
      </c>
      <c r="E469" t="s">
        <v>972</v>
      </c>
      <c r="F469" s="23" t="str">
        <f t="shared" si="16"/>
        <v>rtdc.l.rtdc.4025:itc</v>
      </c>
      <c r="G469" s="8">
        <f t="shared" si="17"/>
        <v>42615.254861111112</v>
      </c>
    </row>
    <row r="470" spans="1:7" x14ac:dyDescent="0.25">
      <c r="A470" s="8">
        <v>42615.256412037037</v>
      </c>
      <c r="B470" t="s">
        <v>720</v>
      </c>
      <c r="C470" t="s">
        <v>1188</v>
      </c>
      <c r="D470">
        <v>1760000</v>
      </c>
      <c r="E470" t="s">
        <v>762</v>
      </c>
      <c r="F470" s="23" t="str">
        <f t="shared" si="16"/>
        <v>rtdc.l.rtdc.4008:itc</v>
      </c>
      <c r="G470" s="8">
        <f t="shared" si="17"/>
        <v>42615.256412037037</v>
      </c>
    </row>
    <row r="471" spans="1:7" x14ac:dyDescent="0.25">
      <c r="A471" s="8">
        <v>42615.259039351855</v>
      </c>
      <c r="B471" t="s">
        <v>228</v>
      </c>
      <c r="C471" t="s">
        <v>1189</v>
      </c>
      <c r="D471">
        <v>2230000</v>
      </c>
      <c r="E471" t="s">
        <v>503</v>
      </c>
      <c r="F471" s="23" t="str">
        <f t="shared" si="16"/>
        <v>rtdc.l.rtdc.4044:itc</v>
      </c>
      <c r="G471" s="8">
        <f t="shared" si="17"/>
        <v>42615.259039351855</v>
      </c>
    </row>
    <row r="472" spans="1:7" x14ac:dyDescent="0.25">
      <c r="A472" s="8">
        <v>42615.263553240744</v>
      </c>
      <c r="B472" t="s">
        <v>741</v>
      </c>
      <c r="C472" t="s">
        <v>1190</v>
      </c>
      <c r="D472">
        <v>2260000</v>
      </c>
      <c r="E472" t="s">
        <v>162</v>
      </c>
      <c r="F472" s="23" t="str">
        <f t="shared" si="16"/>
        <v>rtdc.l.rtdc.4045:itc</v>
      </c>
      <c r="G472" s="8">
        <f t="shared" si="17"/>
        <v>42615.263553240744</v>
      </c>
    </row>
    <row r="473" spans="1:7" x14ac:dyDescent="0.25">
      <c r="A473" s="8">
        <v>42615.268761574072</v>
      </c>
      <c r="B473" t="s">
        <v>113</v>
      </c>
      <c r="C473" t="s">
        <v>730</v>
      </c>
      <c r="D473">
        <v>1100000</v>
      </c>
      <c r="E473" t="s">
        <v>347</v>
      </c>
      <c r="F473" s="23" t="str">
        <f t="shared" si="16"/>
        <v>rtdc.l.rtdc.4031:itc</v>
      </c>
      <c r="G473" s="8">
        <f t="shared" si="17"/>
        <v>42615.268761574072</v>
      </c>
    </row>
    <row r="474" spans="1:7" x14ac:dyDescent="0.25">
      <c r="A474" s="8">
        <v>42615.273831018516</v>
      </c>
      <c r="B474" t="s">
        <v>746</v>
      </c>
      <c r="C474" t="s">
        <v>1191</v>
      </c>
      <c r="D474">
        <v>1990000</v>
      </c>
      <c r="E474" t="s">
        <v>258</v>
      </c>
      <c r="F474" s="23" t="str">
        <f t="shared" ref="F474:F537" si="18">B474</f>
        <v>rtdc.l.rtdc.4015:itc</v>
      </c>
      <c r="G474" s="8">
        <f t="shared" ref="G474:G537" si="19">A474</f>
        <v>42615.273831018516</v>
      </c>
    </row>
    <row r="475" spans="1:7" x14ac:dyDescent="0.25">
      <c r="A475" s="8">
        <v>42615.275393518517</v>
      </c>
      <c r="B475" t="s">
        <v>260</v>
      </c>
      <c r="C475" t="s">
        <v>1192</v>
      </c>
      <c r="D475">
        <v>1830000</v>
      </c>
      <c r="E475" t="s">
        <v>972</v>
      </c>
      <c r="F475" s="23" t="str">
        <f t="shared" si="18"/>
        <v>rtdc.l.rtdc.4026:itc</v>
      </c>
      <c r="G475" s="8">
        <f t="shared" si="19"/>
        <v>42615.275393518517</v>
      </c>
    </row>
    <row r="476" spans="1:7" x14ac:dyDescent="0.25">
      <c r="A476" s="8">
        <v>42615.277858796297</v>
      </c>
      <c r="B476" t="s">
        <v>1167</v>
      </c>
      <c r="C476" t="s">
        <v>1193</v>
      </c>
      <c r="D476">
        <v>1090000</v>
      </c>
      <c r="E476" t="s">
        <v>329</v>
      </c>
      <c r="F476" s="23" t="str">
        <f t="shared" si="18"/>
        <v>rtdc.l.rtdc.4053:itc</v>
      </c>
      <c r="G476" s="8">
        <f t="shared" si="19"/>
        <v>42615.277858796297</v>
      </c>
    </row>
    <row r="477" spans="1:7" x14ac:dyDescent="0.25">
      <c r="A477" s="8">
        <v>42615.279687499999</v>
      </c>
      <c r="B477" t="s">
        <v>781</v>
      </c>
      <c r="C477" t="s">
        <v>1194</v>
      </c>
      <c r="D477">
        <v>1760000</v>
      </c>
      <c r="E477" t="s">
        <v>762</v>
      </c>
      <c r="F477" s="23" t="str">
        <f t="shared" si="18"/>
        <v>rtdc.l.rtdc.4007:itc</v>
      </c>
      <c r="G477" s="8">
        <f t="shared" si="19"/>
        <v>42615.279687499999</v>
      </c>
    </row>
    <row r="478" spans="1:7" x14ac:dyDescent="0.25">
      <c r="A478" s="8">
        <v>42615.287905092591</v>
      </c>
      <c r="B478" t="s">
        <v>91</v>
      </c>
      <c r="C478" t="s">
        <v>1195</v>
      </c>
      <c r="D478">
        <v>2010000</v>
      </c>
      <c r="E478" t="s">
        <v>760</v>
      </c>
      <c r="F478" s="23" t="str">
        <f t="shared" si="18"/>
        <v>rtdc.l.rtdc.4029:itc</v>
      </c>
      <c r="G478" s="8">
        <f t="shared" si="19"/>
        <v>42615.287905092591</v>
      </c>
    </row>
    <row r="479" spans="1:7" x14ac:dyDescent="0.25">
      <c r="A479" s="8">
        <v>42615.297303240739</v>
      </c>
      <c r="B479" t="s">
        <v>720</v>
      </c>
      <c r="C479" t="s">
        <v>1196</v>
      </c>
      <c r="D479">
        <v>1760000</v>
      </c>
      <c r="E479" t="s">
        <v>762</v>
      </c>
      <c r="F479" s="23" t="str">
        <f t="shared" si="18"/>
        <v>rtdc.l.rtdc.4008:itc</v>
      </c>
      <c r="G479" s="8">
        <f t="shared" si="19"/>
        <v>42615.297303240739</v>
      </c>
    </row>
    <row r="480" spans="1:7" x14ac:dyDescent="0.25">
      <c r="A480" s="8">
        <v>42615.297384259262</v>
      </c>
      <c r="B480" t="s">
        <v>226</v>
      </c>
      <c r="C480" t="s">
        <v>1197</v>
      </c>
      <c r="D480">
        <v>2230000</v>
      </c>
      <c r="E480" t="s">
        <v>503</v>
      </c>
      <c r="F480" s="23" t="str">
        <f t="shared" si="18"/>
        <v>rtdc.l.rtdc.4043:itc</v>
      </c>
      <c r="G480" s="8">
        <f t="shared" si="19"/>
        <v>42615.297384259262</v>
      </c>
    </row>
    <row r="481" spans="1:7" x14ac:dyDescent="0.25">
      <c r="A481" s="8">
        <v>42615.298356481479</v>
      </c>
      <c r="B481" t="s">
        <v>1169</v>
      </c>
      <c r="C481" t="s">
        <v>1198</v>
      </c>
      <c r="D481">
        <v>2260000</v>
      </c>
      <c r="E481" t="s">
        <v>162</v>
      </c>
      <c r="F481" s="23" t="str">
        <f t="shared" si="18"/>
        <v>rtdc.l.rtdc.4046:itc</v>
      </c>
      <c r="G481" s="8">
        <f t="shared" si="19"/>
        <v>42615.298356481479</v>
      </c>
    </row>
    <row r="482" spans="1:7" x14ac:dyDescent="0.25">
      <c r="A482" s="8">
        <v>42615.304236111115</v>
      </c>
      <c r="B482" t="s">
        <v>257</v>
      </c>
      <c r="C482" t="s">
        <v>1199</v>
      </c>
      <c r="D482">
        <v>1830000</v>
      </c>
      <c r="E482" t="s">
        <v>972</v>
      </c>
      <c r="F482" s="23" t="str">
        <f t="shared" si="18"/>
        <v>rtdc.l.rtdc.4025:itc</v>
      </c>
      <c r="G482" s="8">
        <f t="shared" si="19"/>
        <v>42615.304236111115</v>
      </c>
    </row>
    <row r="483" spans="1:7" x14ac:dyDescent="0.25">
      <c r="A483" s="8">
        <v>42615.306458333333</v>
      </c>
      <c r="B483" t="s">
        <v>114</v>
      </c>
      <c r="C483" t="s">
        <v>1200</v>
      </c>
      <c r="D483">
        <v>1100000</v>
      </c>
      <c r="E483" t="s">
        <v>347</v>
      </c>
      <c r="F483" s="23" t="str">
        <f t="shared" si="18"/>
        <v>rtdc.l.rtdc.4032:itc</v>
      </c>
      <c r="G483" s="8">
        <f t="shared" si="19"/>
        <v>42615.306458333333</v>
      </c>
    </row>
    <row r="484" spans="1:7" x14ac:dyDescent="0.25">
      <c r="A484" s="8">
        <v>42615.308206018519</v>
      </c>
      <c r="B484" t="s">
        <v>724</v>
      </c>
      <c r="C484" t="s">
        <v>1201</v>
      </c>
      <c r="D484">
        <v>1990000</v>
      </c>
      <c r="E484" t="s">
        <v>258</v>
      </c>
      <c r="F484" s="23" t="str">
        <f t="shared" si="18"/>
        <v>rtdc.l.rtdc.4016:itc</v>
      </c>
      <c r="G484" s="8">
        <f t="shared" si="19"/>
        <v>42615.308206018519</v>
      </c>
    </row>
    <row r="485" spans="1:7" x14ac:dyDescent="0.25">
      <c r="A485" s="8">
        <v>42615.312662037039</v>
      </c>
      <c r="B485" t="s">
        <v>712</v>
      </c>
      <c r="C485" t="s">
        <v>713</v>
      </c>
      <c r="D485">
        <v>1090000</v>
      </c>
      <c r="E485" t="s">
        <v>329</v>
      </c>
      <c r="F485" s="23" t="str">
        <f t="shared" si="18"/>
        <v>rtdc.l.rtdc.4054:itc</v>
      </c>
      <c r="G485" s="8">
        <f t="shared" si="19"/>
        <v>42615.312662037039</v>
      </c>
    </row>
    <row r="486" spans="1:7" x14ac:dyDescent="0.25">
      <c r="A486" s="8">
        <v>42615.316921296297</v>
      </c>
      <c r="B486" t="s">
        <v>260</v>
      </c>
      <c r="C486" t="s">
        <v>1202</v>
      </c>
      <c r="D486">
        <v>1830000</v>
      </c>
      <c r="E486" t="s">
        <v>972</v>
      </c>
      <c r="F486" s="23" t="str">
        <f t="shared" si="18"/>
        <v>rtdc.l.rtdc.4026:itc</v>
      </c>
      <c r="G486" s="8">
        <f t="shared" si="19"/>
        <v>42615.316921296297</v>
      </c>
    </row>
    <row r="487" spans="1:7" x14ac:dyDescent="0.25">
      <c r="A487" s="8">
        <v>42615.321342592593</v>
      </c>
      <c r="B487" t="s">
        <v>151</v>
      </c>
      <c r="C487" t="s">
        <v>1203</v>
      </c>
      <c r="D487">
        <v>1310000</v>
      </c>
      <c r="E487" t="s">
        <v>967</v>
      </c>
      <c r="F487" s="23" t="str">
        <f t="shared" si="18"/>
        <v>rtdc.l.rtdc.4009:itc</v>
      </c>
      <c r="G487" s="8">
        <f t="shared" si="19"/>
        <v>42615.321342592593</v>
      </c>
    </row>
    <row r="488" spans="1:7" x14ac:dyDescent="0.25">
      <c r="A488" s="8">
        <v>42615.322893518518</v>
      </c>
      <c r="B488" t="s">
        <v>781</v>
      </c>
      <c r="C488" t="s">
        <v>1204</v>
      </c>
      <c r="D488">
        <v>1760000</v>
      </c>
      <c r="E488" t="s">
        <v>762</v>
      </c>
      <c r="F488" s="23" t="str">
        <f t="shared" si="18"/>
        <v>rtdc.l.rtdc.4007:itc</v>
      </c>
      <c r="G488" s="8">
        <f t="shared" si="19"/>
        <v>42615.322893518518</v>
      </c>
    </row>
    <row r="489" spans="1:7" x14ac:dyDescent="0.25">
      <c r="A489" s="8">
        <v>42615.323182870372</v>
      </c>
      <c r="B489" t="s">
        <v>92</v>
      </c>
      <c r="C489" t="s">
        <v>1205</v>
      </c>
      <c r="D489">
        <v>2010000</v>
      </c>
      <c r="E489" t="s">
        <v>760</v>
      </c>
      <c r="F489" s="23" t="str">
        <f t="shared" si="18"/>
        <v>rtdc.l.rtdc.4030:itc</v>
      </c>
      <c r="G489" s="8">
        <f t="shared" si="19"/>
        <v>42615.323182870372</v>
      </c>
    </row>
    <row r="490" spans="1:7" x14ac:dyDescent="0.25">
      <c r="A490" s="8">
        <v>42615.330127314817</v>
      </c>
      <c r="B490" t="s">
        <v>228</v>
      </c>
      <c r="C490" t="s">
        <v>1206</v>
      </c>
      <c r="D490">
        <v>2230000</v>
      </c>
      <c r="E490" t="s">
        <v>503</v>
      </c>
      <c r="F490" s="23" t="str">
        <f t="shared" si="18"/>
        <v>rtdc.l.rtdc.4044:itc</v>
      </c>
      <c r="G490" s="8">
        <f t="shared" si="19"/>
        <v>42615.330127314817</v>
      </c>
    </row>
    <row r="491" spans="1:7" x14ac:dyDescent="0.25">
      <c r="A491" s="8">
        <v>42615.331631944442</v>
      </c>
      <c r="B491" t="s">
        <v>257</v>
      </c>
      <c r="C491" t="s">
        <v>1207</v>
      </c>
      <c r="D491">
        <v>1830000</v>
      </c>
      <c r="E491" t="s">
        <v>972</v>
      </c>
      <c r="F491" s="23" t="str">
        <f t="shared" si="18"/>
        <v>rtdc.l.rtdc.4025:itc</v>
      </c>
      <c r="G491" s="8">
        <f t="shared" si="19"/>
        <v>42615.331631944442</v>
      </c>
    </row>
    <row r="492" spans="1:7" x14ac:dyDescent="0.25">
      <c r="A492" s="8">
        <v>42615.339456018519</v>
      </c>
      <c r="B492" t="s">
        <v>741</v>
      </c>
      <c r="C492" t="s">
        <v>1208</v>
      </c>
      <c r="D492">
        <v>2260000</v>
      </c>
      <c r="E492" t="s">
        <v>162</v>
      </c>
      <c r="F492" s="23" t="str">
        <f t="shared" si="18"/>
        <v>rtdc.l.rtdc.4045:itc</v>
      </c>
      <c r="G492" s="8">
        <f t="shared" si="19"/>
        <v>42615.339456018519</v>
      </c>
    </row>
    <row r="493" spans="1:7" x14ac:dyDescent="0.25">
      <c r="A493" s="8">
        <v>42615.34070601852</v>
      </c>
      <c r="B493" t="s">
        <v>720</v>
      </c>
      <c r="C493" t="s">
        <v>1209</v>
      </c>
      <c r="D493">
        <v>1760000</v>
      </c>
      <c r="E493" t="s">
        <v>762</v>
      </c>
      <c r="F493" s="23" t="str">
        <f t="shared" si="18"/>
        <v>rtdc.l.rtdc.4008:itc</v>
      </c>
      <c r="G493" s="8">
        <f t="shared" si="19"/>
        <v>42615.34070601852</v>
      </c>
    </row>
    <row r="494" spans="1:7" x14ac:dyDescent="0.25">
      <c r="A494" s="8">
        <v>42615.340937499997</v>
      </c>
      <c r="B494" t="s">
        <v>113</v>
      </c>
      <c r="C494" t="s">
        <v>1210</v>
      </c>
      <c r="D494">
        <v>1100000</v>
      </c>
      <c r="E494" t="s">
        <v>347</v>
      </c>
      <c r="F494" s="23" t="str">
        <f t="shared" si="18"/>
        <v>rtdc.l.rtdc.4031:itc</v>
      </c>
      <c r="G494" s="8">
        <f t="shared" si="19"/>
        <v>42615.340937499997</v>
      </c>
    </row>
    <row r="495" spans="1:7" x14ac:dyDescent="0.25">
      <c r="A495" s="8">
        <v>42615.34878472222</v>
      </c>
      <c r="B495" t="s">
        <v>746</v>
      </c>
      <c r="C495" t="s">
        <v>1211</v>
      </c>
      <c r="D495">
        <v>1990000</v>
      </c>
      <c r="E495" t="s">
        <v>258</v>
      </c>
      <c r="F495" s="23" t="str">
        <f t="shared" si="18"/>
        <v>rtdc.l.rtdc.4015:itc</v>
      </c>
      <c r="G495" s="8">
        <f t="shared" si="19"/>
        <v>42615.34878472222</v>
      </c>
    </row>
    <row r="496" spans="1:7" x14ac:dyDescent="0.25">
      <c r="A496" s="8">
        <v>42615.351423611108</v>
      </c>
      <c r="B496" t="s">
        <v>1167</v>
      </c>
      <c r="C496" t="s">
        <v>1212</v>
      </c>
      <c r="D496">
        <v>1090000</v>
      </c>
      <c r="E496" t="s">
        <v>329</v>
      </c>
      <c r="F496" s="23" t="str">
        <f t="shared" si="18"/>
        <v>rtdc.l.rtdc.4053:itc</v>
      </c>
      <c r="G496" s="8">
        <f t="shared" si="19"/>
        <v>42615.351423611108</v>
      </c>
    </row>
    <row r="497" spans="1:7" x14ac:dyDescent="0.25">
      <c r="A497" s="8">
        <v>42615.353912037041</v>
      </c>
      <c r="B497" t="s">
        <v>781</v>
      </c>
      <c r="C497" t="s">
        <v>1213</v>
      </c>
      <c r="D497">
        <v>1760000</v>
      </c>
      <c r="E497" t="s">
        <v>762</v>
      </c>
      <c r="F497" s="23" t="str">
        <f t="shared" si="18"/>
        <v>rtdc.l.rtdc.4007:itc</v>
      </c>
      <c r="G497" s="8">
        <f t="shared" si="19"/>
        <v>42615.353912037041</v>
      </c>
    </row>
    <row r="498" spans="1:7" x14ac:dyDescent="0.25">
      <c r="A498" s="8">
        <v>42615.359085648146</v>
      </c>
      <c r="B498" t="s">
        <v>260</v>
      </c>
      <c r="C498" t="s">
        <v>1214</v>
      </c>
      <c r="D498">
        <v>1830000</v>
      </c>
      <c r="E498" t="s">
        <v>972</v>
      </c>
      <c r="F498" s="23" t="str">
        <f t="shared" si="18"/>
        <v>rtdc.l.rtdc.4026:itc</v>
      </c>
      <c r="G498" s="8">
        <f t="shared" si="19"/>
        <v>42615.359085648146</v>
      </c>
    </row>
    <row r="499" spans="1:7" x14ac:dyDescent="0.25">
      <c r="A499" s="8">
        <v>42615.36041666667</v>
      </c>
      <c r="B499" t="s">
        <v>351</v>
      </c>
      <c r="C499" t="s">
        <v>1215</v>
      </c>
      <c r="D499">
        <v>1310000</v>
      </c>
      <c r="E499" t="s">
        <v>967</v>
      </c>
      <c r="F499" s="23" t="str">
        <f t="shared" si="18"/>
        <v>rtdc.l.rtdc.4010:itc</v>
      </c>
      <c r="G499" s="8">
        <f t="shared" si="19"/>
        <v>42615.36041666667</v>
      </c>
    </row>
    <row r="500" spans="1:7" x14ac:dyDescent="0.25">
      <c r="A500" s="8">
        <v>42615.360879629632</v>
      </c>
      <c r="B500" t="s">
        <v>260</v>
      </c>
      <c r="C500" t="s">
        <v>1214</v>
      </c>
      <c r="D500">
        <v>1830000</v>
      </c>
      <c r="E500" t="s">
        <v>1216</v>
      </c>
      <c r="F500" s="23" t="str">
        <f t="shared" si="18"/>
        <v>rtdc.l.rtdc.4026:itc</v>
      </c>
      <c r="G500" s="8">
        <f t="shared" si="19"/>
        <v>42615.360879629632</v>
      </c>
    </row>
    <row r="501" spans="1:7" x14ac:dyDescent="0.25">
      <c r="A501" s="8">
        <v>42615.03534722222</v>
      </c>
      <c r="B501" t="s">
        <v>325</v>
      </c>
      <c r="C501" t="s">
        <v>1161</v>
      </c>
      <c r="D501">
        <v>2000000</v>
      </c>
      <c r="E501" t="s">
        <v>138</v>
      </c>
      <c r="F501" s="23" t="str">
        <f t="shared" si="18"/>
        <v>rtdc.l.rtdc.4012:itc</v>
      </c>
      <c r="G501" s="8">
        <f t="shared" si="19"/>
        <v>42615.03534722222</v>
      </c>
    </row>
    <row r="502" spans="1:7" x14ac:dyDescent="0.25">
      <c r="A502" s="8">
        <v>42615.047013888892</v>
      </c>
      <c r="B502" t="s">
        <v>418</v>
      </c>
      <c r="C502" t="s">
        <v>1162</v>
      </c>
      <c r="D502">
        <v>1290000</v>
      </c>
      <c r="E502" t="s">
        <v>263</v>
      </c>
      <c r="F502" s="23" t="str">
        <f t="shared" si="18"/>
        <v>rtdc.l.rtdc.4042:itc</v>
      </c>
      <c r="G502" s="8">
        <f t="shared" si="19"/>
        <v>42615.047013888892</v>
      </c>
    </row>
    <row r="503" spans="1:7" x14ac:dyDescent="0.25">
      <c r="A503" s="8">
        <v>42615.054201388892</v>
      </c>
      <c r="B503" t="s">
        <v>200</v>
      </c>
      <c r="C503" t="s">
        <v>1163</v>
      </c>
      <c r="D503">
        <v>2110000</v>
      </c>
      <c r="E503" t="s">
        <v>1117</v>
      </c>
      <c r="F503" s="23" t="str">
        <f t="shared" si="18"/>
        <v>rtdc.l.rtdc.4019:itc</v>
      </c>
      <c r="G503" s="8">
        <f t="shared" si="19"/>
        <v>42615.054201388892</v>
      </c>
    </row>
    <row r="504" spans="1:7" x14ac:dyDescent="0.25">
      <c r="A504" s="8">
        <v>42615.055636574078</v>
      </c>
      <c r="B504" t="s">
        <v>327</v>
      </c>
      <c r="C504" t="s">
        <v>1158</v>
      </c>
      <c r="D504">
        <v>1410000</v>
      </c>
      <c r="E504" t="s">
        <v>1159</v>
      </c>
      <c r="F504" s="23" t="str">
        <f t="shared" si="18"/>
        <v>rtdc.l.rtdc.4051:itc</v>
      </c>
      <c r="G504" s="8">
        <f t="shared" si="19"/>
        <v>42615.055636574078</v>
      </c>
    </row>
    <row r="505" spans="1:7" x14ac:dyDescent="0.25">
      <c r="A505" s="8">
        <v>42615.067175925928</v>
      </c>
      <c r="B505" t="s">
        <v>213</v>
      </c>
      <c r="C505" t="s">
        <v>1164</v>
      </c>
      <c r="D505">
        <v>2000000</v>
      </c>
      <c r="E505" t="s">
        <v>138</v>
      </c>
      <c r="F505" s="23" t="str">
        <f t="shared" si="18"/>
        <v>rtdc.l.rtdc.4011:itc</v>
      </c>
      <c r="G505" s="8">
        <f t="shared" si="19"/>
        <v>42615.067175925928</v>
      </c>
    </row>
    <row r="506" spans="1:7" x14ac:dyDescent="0.25">
      <c r="A506" s="8">
        <v>42615.080740740741</v>
      </c>
      <c r="B506" t="s">
        <v>331</v>
      </c>
      <c r="C506" t="s">
        <v>1158</v>
      </c>
      <c r="D506">
        <v>1410000</v>
      </c>
      <c r="E506" t="s">
        <v>1159</v>
      </c>
      <c r="F506" s="23" t="str">
        <f t="shared" si="18"/>
        <v>rtdc.l.rtdc.4052:itc</v>
      </c>
      <c r="G506" s="8">
        <f t="shared" si="19"/>
        <v>42615.080740740741</v>
      </c>
    </row>
    <row r="507" spans="1:7" x14ac:dyDescent="0.25">
      <c r="A507" s="8">
        <v>42615.083506944444</v>
      </c>
      <c r="B507" t="s">
        <v>331</v>
      </c>
      <c r="C507" t="s">
        <v>1165</v>
      </c>
      <c r="D507">
        <v>1410000</v>
      </c>
      <c r="E507" t="s">
        <v>1159</v>
      </c>
      <c r="F507" s="23" t="str">
        <f t="shared" si="18"/>
        <v>rtdc.l.rtdc.4052:itc</v>
      </c>
      <c r="G507" s="8">
        <f t="shared" si="19"/>
        <v>42615.083506944444</v>
      </c>
    </row>
    <row r="508" spans="1:7" x14ac:dyDescent="0.25">
      <c r="A508" s="8">
        <v>42615.089606481481</v>
      </c>
      <c r="B508" t="s">
        <v>201</v>
      </c>
      <c r="C508" t="s">
        <v>1166</v>
      </c>
      <c r="D508">
        <v>2110000</v>
      </c>
      <c r="E508" t="s">
        <v>1117</v>
      </c>
      <c r="F508" s="23" t="str">
        <f t="shared" si="18"/>
        <v>rtdc.l.rtdc.4020:itc</v>
      </c>
      <c r="G508" s="8">
        <f t="shared" si="19"/>
        <v>42615.089606481481</v>
      </c>
    </row>
    <row r="509" spans="1:7" x14ac:dyDescent="0.25">
      <c r="A509" s="8">
        <v>42615.104004629633</v>
      </c>
      <c r="B509" t="s">
        <v>327</v>
      </c>
      <c r="C509" t="s">
        <v>1158</v>
      </c>
      <c r="D509">
        <v>1410000</v>
      </c>
      <c r="E509" t="s">
        <v>1159</v>
      </c>
      <c r="F509" s="23" t="str">
        <f t="shared" si="18"/>
        <v>rtdc.l.rtdc.4051:itc</v>
      </c>
      <c r="G509" s="8">
        <f t="shared" si="19"/>
        <v>42615.104004629633</v>
      </c>
    </row>
    <row r="510" spans="1:7" x14ac:dyDescent="0.25">
      <c r="A510" s="8">
        <v>42615.125636574077</v>
      </c>
      <c r="B510" t="s">
        <v>331</v>
      </c>
      <c r="C510" t="s">
        <v>1165</v>
      </c>
      <c r="D510">
        <v>1410000</v>
      </c>
      <c r="E510" t="s">
        <v>1159</v>
      </c>
      <c r="F510" s="23" t="str">
        <f t="shared" si="18"/>
        <v>rtdc.l.rtdc.4052:itc</v>
      </c>
      <c r="G510" s="8">
        <f t="shared" si="19"/>
        <v>42615.125636574077</v>
      </c>
    </row>
    <row r="511" spans="1:7" x14ac:dyDescent="0.25">
      <c r="A511" s="8">
        <v>42615.127812500003</v>
      </c>
      <c r="B511" t="s">
        <v>1167</v>
      </c>
      <c r="C511" t="s">
        <v>1168</v>
      </c>
      <c r="D511">
        <v>2010000</v>
      </c>
      <c r="E511" t="s">
        <v>760</v>
      </c>
      <c r="F511" s="23" t="str">
        <f t="shared" si="18"/>
        <v>rtdc.l.rtdc.4053:itc</v>
      </c>
      <c r="G511" s="8">
        <f t="shared" si="19"/>
        <v>42615.127812500003</v>
      </c>
    </row>
    <row r="512" spans="1:7" x14ac:dyDescent="0.25">
      <c r="A512" s="8">
        <v>42615.129074074073</v>
      </c>
      <c r="B512" t="s">
        <v>1167</v>
      </c>
      <c r="C512" t="s">
        <v>1168</v>
      </c>
      <c r="D512">
        <v>2010000</v>
      </c>
      <c r="E512" t="s">
        <v>760</v>
      </c>
      <c r="F512" s="23" t="str">
        <f t="shared" si="18"/>
        <v>rtdc.l.rtdc.4053:itc</v>
      </c>
      <c r="G512" s="8">
        <f t="shared" si="19"/>
        <v>42615.129074074073</v>
      </c>
    </row>
    <row r="513" spans="1:7" x14ac:dyDescent="0.25">
      <c r="A513" s="8">
        <v>42615.153645833336</v>
      </c>
      <c r="B513" t="s">
        <v>1169</v>
      </c>
      <c r="C513" t="s">
        <v>1170</v>
      </c>
      <c r="D513">
        <v>1990000</v>
      </c>
      <c r="E513" t="s">
        <v>258</v>
      </c>
      <c r="F513" s="23" t="str">
        <f t="shared" si="18"/>
        <v>rtdc.l.rtdc.4046:itc</v>
      </c>
      <c r="G513" s="8">
        <f t="shared" si="19"/>
        <v>42615.153645833336</v>
      </c>
    </row>
    <row r="514" spans="1:7" x14ac:dyDescent="0.25">
      <c r="A514" s="8">
        <v>42615.170787037037</v>
      </c>
      <c r="B514" t="s">
        <v>92</v>
      </c>
      <c r="C514" t="s">
        <v>1171</v>
      </c>
      <c r="D514">
        <v>2010000</v>
      </c>
      <c r="E514" t="s">
        <v>760</v>
      </c>
      <c r="F514" s="23" t="str">
        <f t="shared" si="18"/>
        <v>rtdc.l.rtdc.4030:itc</v>
      </c>
      <c r="G514" s="8">
        <f t="shared" si="19"/>
        <v>42615.170787037037</v>
      </c>
    </row>
    <row r="515" spans="1:7" x14ac:dyDescent="0.25">
      <c r="A515" s="8">
        <v>42615.184548611112</v>
      </c>
      <c r="B515" t="s">
        <v>228</v>
      </c>
      <c r="C515" t="s">
        <v>1172</v>
      </c>
      <c r="D515">
        <v>2230000</v>
      </c>
      <c r="E515" t="s">
        <v>503</v>
      </c>
      <c r="F515" s="23" t="str">
        <f t="shared" si="18"/>
        <v>rtdc.l.rtdc.4044:itc</v>
      </c>
      <c r="G515" s="8">
        <f t="shared" si="19"/>
        <v>42615.184548611112</v>
      </c>
    </row>
    <row r="516" spans="1:7" x14ac:dyDescent="0.25">
      <c r="A516" s="8">
        <v>42615.191284722219</v>
      </c>
      <c r="B516" t="s">
        <v>113</v>
      </c>
      <c r="C516" t="s">
        <v>1173</v>
      </c>
      <c r="D516">
        <v>1100000</v>
      </c>
      <c r="E516" t="s">
        <v>347</v>
      </c>
      <c r="F516" s="23" t="str">
        <f t="shared" si="18"/>
        <v>rtdc.l.rtdc.4031:itc</v>
      </c>
      <c r="G516" s="8">
        <f t="shared" si="19"/>
        <v>42615.191284722219</v>
      </c>
    </row>
    <row r="517" spans="1:7" x14ac:dyDescent="0.25">
      <c r="A517" s="8">
        <v>42615.191608796296</v>
      </c>
      <c r="B517" t="s">
        <v>746</v>
      </c>
      <c r="C517" t="s">
        <v>1174</v>
      </c>
      <c r="D517">
        <v>1990000</v>
      </c>
      <c r="E517" t="s">
        <v>258</v>
      </c>
      <c r="F517" s="23" t="str">
        <f t="shared" si="18"/>
        <v>rtdc.l.rtdc.4015:itc</v>
      </c>
      <c r="G517" s="8">
        <f t="shared" si="19"/>
        <v>42615.191608796296</v>
      </c>
    </row>
    <row r="518" spans="1:7" x14ac:dyDescent="0.25">
      <c r="A518" s="8">
        <v>42615.204201388886</v>
      </c>
      <c r="B518" t="s">
        <v>720</v>
      </c>
      <c r="C518" t="s">
        <v>1175</v>
      </c>
      <c r="D518">
        <v>1760000</v>
      </c>
      <c r="E518" t="s">
        <v>762</v>
      </c>
      <c r="F518" s="23" t="str">
        <f t="shared" si="18"/>
        <v>rtdc.l.rtdc.4008:itc</v>
      </c>
      <c r="G518" s="8">
        <f t="shared" si="19"/>
        <v>42615.204201388886</v>
      </c>
    </row>
    <row r="519" spans="1:7" x14ac:dyDescent="0.25">
      <c r="A519" s="8">
        <v>42615.207997685182</v>
      </c>
      <c r="B519" t="s">
        <v>1167</v>
      </c>
      <c r="C519" t="s">
        <v>1176</v>
      </c>
      <c r="D519">
        <v>1090000</v>
      </c>
      <c r="E519" t="s">
        <v>329</v>
      </c>
      <c r="F519" s="23" t="str">
        <f t="shared" si="18"/>
        <v>rtdc.l.rtdc.4053:itc</v>
      </c>
      <c r="G519" s="8">
        <f t="shared" si="19"/>
        <v>42615.207997685182</v>
      </c>
    </row>
    <row r="520" spans="1:7" x14ac:dyDescent="0.25">
      <c r="A520" s="8">
        <v>42615.214687500003</v>
      </c>
      <c r="B520" t="s">
        <v>227</v>
      </c>
      <c r="C520" t="s">
        <v>1177</v>
      </c>
      <c r="D520">
        <v>1310000</v>
      </c>
      <c r="E520" t="s">
        <v>967</v>
      </c>
      <c r="F520" s="23" t="str">
        <f t="shared" si="18"/>
        <v>rtdc.l.rtdc.4001:itc</v>
      </c>
      <c r="G520" s="8">
        <f t="shared" si="19"/>
        <v>42615.214687500003</v>
      </c>
    </row>
    <row r="521" spans="1:7" x14ac:dyDescent="0.25">
      <c r="A521" s="8">
        <v>42615.215775462966</v>
      </c>
      <c r="B521" t="s">
        <v>227</v>
      </c>
      <c r="C521" t="s">
        <v>1177</v>
      </c>
      <c r="D521">
        <v>1310000</v>
      </c>
      <c r="E521" t="s">
        <v>967</v>
      </c>
      <c r="F521" s="23" t="str">
        <f t="shared" si="18"/>
        <v>rtdc.l.rtdc.4001:itc</v>
      </c>
      <c r="G521" s="8">
        <f t="shared" si="19"/>
        <v>42615.215775462966</v>
      </c>
    </row>
    <row r="522" spans="1:7" x14ac:dyDescent="0.25">
      <c r="A522" s="8">
        <v>42615.216145833336</v>
      </c>
      <c r="B522" t="s">
        <v>91</v>
      </c>
      <c r="C522" t="s">
        <v>1178</v>
      </c>
      <c r="D522">
        <v>2010000</v>
      </c>
      <c r="E522" t="s">
        <v>760</v>
      </c>
      <c r="F522" s="23" t="str">
        <f t="shared" si="18"/>
        <v>rtdc.l.rtdc.4029:itc</v>
      </c>
      <c r="G522" s="8">
        <f t="shared" si="19"/>
        <v>42615.216145833336</v>
      </c>
    </row>
    <row r="523" spans="1:7" x14ac:dyDescent="0.25">
      <c r="A523" s="8">
        <v>42615.217094907406</v>
      </c>
      <c r="B523" t="s">
        <v>91</v>
      </c>
      <c r="C523" t="s">
        <v>1178</v>
      </c>
      <c r="D523">
        <v>2010000</v>
      </c>
      <c r="E523" t="s">
        <v>760</v>
      </c>
      <c r="F523" s="23" t="str">
        <f t="shared" si="18"/>
        <v>rtdc.l.rtdc.4029:itc</v>
      </c>
      <c r="G523" s="8">
        <f t="shared" si="19"/>
        <v>42615.217094907406</v>
      </c>
    </row>
    <row r="524" spans="1:7" x14ac:dyDescent="0.25">
      <c r="A524" s="8">
        <v>42615.218425925923</v>
      </c>
      <c r="B524" t="s">
        <v>226</v>
      </c>
      <c r="C524" t="s">
        <v>1179</v>
      </c>
      <c r="D524">
        <v>2230000</v>
      </c>
      <c r="E524" t="s">
        <v>503</v>
      </c>
      <c r="F524" s="23" t="str">
        <f t="shared" si="18"/>
        <v>rtdc.l.rtdc.4043:itc</v>
      </c>
      <c r="G524" s="8">
        <f t="shared" si="19"/>
        <v>42615.218425925923</v>
      </c>
    </row>
    <row r="525" spans="1:7" x14ac:dyDescent="0.25">
      <c r="A525" s="8">
        <v>42615.228750000002</v>
      </c>
      <c r="B525" t="s">
        <v>1169</v>
      </c>
      <c r="C525" t="s">
        <v>1180</v>
      </c>
      <c r="D525">
        <v>2260000</v>
      </c>
      <c r="E525" t="s">
        <v>162</v>
      </c>
      <c r="F525" s="23" t="str">
        <f t="shared" si="18"/>
        <v>rtdc.l.rtdc.4046:itc</v>
      </c>
      <c r="G525" s="8">
        <f t="shared" si="19"/>
        <v>42615.228750000002</v>
      </c>
    </row>
    <row r="526" spans="1:7" x14ac:dyDescent="0.25">
      <c r="A526" s="8">
        <v>42615.232453703706</v>
      </c>
      <c r="B526" t="s">
        <v>724</v>
      </c>
      <c r="C526" t="s">
        <v>1181</v>
      </c>
      <c r="D526">
        <v>1990000</v>
      </c>
      <c r="E526" t="s">
        <v>258</v>
      </c>
      <c r="F526" s="23" t="str">
        <f t="shared" si="18"/>
        <v>rtdc.l.rtdc.4016:itc</v>
      </c>
      <c r="G526" s="8">
        <f t="shared" si="19"/>
        <v>42615.232453703706</v>
      </c>
    </row>
    <row r="527" spans="1:7" x14ac:dyDescent="0.25">
      <c r="A527" s="8">
        <v>42615.234629629631</v>
      </c>
      <c r="B527" t="s">
        <v>114</v>
      </c>
      <c r="C527" t="s">
        <v>1182</v>
      </c>
      <c r="D527">
        <v>1100000</v>
      </c>
      <c r="E527" t="s">
        <v>347</v>
      </c>
      <c r="F527" s="23" t="str">
        <f t="shared" si="18"/>
        <v>rtdc.l.rtdc.4032:itc</v>
      </c>
      <c r="G527" s="8">
        <f t="shared" si="19"/>
        <v>42615.234629629631</v>
      </c>
    </row>
    <row r="528" spans="1:7" x14ac:dyDescent="0.25">
      <c r="A528" s="8">
        <v>42615.239722222221</v>
      </c>
      <c r="B528" t="s">
        <v>781</v>
      </c>
      <c r="C528" t="s">
        <v>1183</v>
      </c>
      <c r="D528">
        <v>1760000</v>
      </c>
      <c r="E528" t="s">
        <v>762</v>
      </c>
      <c r="F528" s="23" t="str">
        <f t="shared" si="18"/>
        <v>rtdc.l.rtdc.4007:itc</v>
      </c>
      <c r="G528" s="8">
        <f t="shared" si="19"/>
        <v>42615.239722222221</v>
      </c>
    </row>
    <row r="529" spans="1:7" x14ac:dyDescent="0.25">
      <c r="A529" s="8">
        <v>42615.242708333331</v>
      </c>
      <c r="B529" t="s">
        <v>712</v>
      </c>
      <c r="C529" t="s">
        <v>1184</v>
      </c>
      <c r="D529">
        <v>1090000</v>
      </c>
      <c r="E529" t="s">
        <v>329</v>
      </c>
      <c r="F529" s="23" t="str">
        <f t="shared" si="18"/>
        <v>rtdc.l.rtdc.4054:itc</v>
      </c>
      <c r="G529" s="8">
        <f t="shared" si="19"/>
        <v>42615.242708333331</v>
      </c>
    </row>
    <row r="530" spans="1:7" x14ac:dyDescent="0.25">
      <c r="A530" s="8">
        <v>42615.249710648146</v>
      </c>
      <c r="B530" t="s">
        <v>151</v>
      </c>
      <c r="C530" t="s">
        <v>1185</v>
      </c>
      <c r="D530">
        <v>1310000</v>
      </c>
      <c r="E530" t="s">
        <v>967</v>
      </c>
      <c r="F530" s="23" t="str">
        <f t="shared" si="18"/>
        <v>rtdc.l.rtdc.4009:itc</v>
      </c>
      <c r="G530" s="8">
        <f t="shared" si="19"/>
        <v>42615.249710648146</v>
      </c>
    </row>
    <row r="531" spans="1:7" x14ac:dyDescent="0.25">
      <c r="A531" s="8">
        <v>42615.250706018516</v>
      </c>
      <c r="B531" t="s">
        <v>92</v>
      </c>
      <c r="C531" t="s">
        <v>1186</v>
      </c>
      <c r="D531">
        <v>2010000</v>
      </c>
      <c r="E531" t="s">
        <v>760</v>
      </c>
      <c r="F531" s="23" t="str">
        <f t="shared" si="18"/>
        <v>rtdc.l.rtdc.4030:itc</v>
      </c>
      <c r="G531" s="8">
        <f t="shared" si="19"/>
        <v>42615.250706018516</v>
      </c>
    </row>
    <row r="532" spans="1:7" x14ac:dyDescent="0.25">
      <c r="A532" s="8">
        <v>42615.254861111112</v>
      </c>
      <c r="B532" t="s">
        <v>257</v>
      </c>
      <c r="C532" t="s">
        <v>1187</v>
      </c>
      <c r="D532">
        <v>1830000</v>
      </c>
      <c r="E532" t="s">
        <v>972</v>
      </c>
      <c r="F532" s="23" t="str">
        <f t="shared" si="18"/>
        <v>rtdc.l.rtdc.4025:itc</v>
      </c>
      <c r="G532" s="8">
        <f t="shared" si="19"/>
        <v>42615.254861111112</v>
      </c>
    </row>
    <row r="533" spans="1:7" x14ac:dyDescent="0.25">
      <c r="A533" s="8">
        <v>42615.256412037037</v>
      </c>
      <c r="B533" t="s">
        <v>720</v>
      </c>
      <c r="C533" t="s">
        <v>1188</v>
      </c>
      <c r="D533">
        <v>1760000</v>
      </c>
      <c r="E533" t="s">
        <v>762</v>
      </c>
      <c r="F533" s="23" t="str">
        <f t="shared" si="18"/>
        <v>rtdc.l.rtdc.4008:itc</v>
      </c>
      <c r="G533" s="8">
        <f t="shared" si="19"/>
        <v>42615.256412037037</v>
      </c>
    </row>
    <row r="534" spans="1:7" x14ac:dyDescent="0.25">
      <c r="A534" s="8">
        <v>42615.259039351855</v>
      </c>
      <c r="B534" t="s">
        <v>228</v>
      </c>
      <c r="C534" t="s">
        <v>1189</v>
      </c>
      <c r="D534">
        <v>2230000</v>
      </c>
      <c r="E534" t="s">
        <v>503</v>
      </c>
      <c r="F534" s="23" t="str">
        <f t="shared" si="18"/>
        <v>rtdc.l.rtdc.4044:itc</v>
      </c>
      <c r="G534" s="8">
        <f t="shared" si="19"/>
        <v>42615.259039351855</v>
      </c>
    </row>
    <row r="535" spans="1:7" x14ac:dyDescent="0.25">
      <c r="A535" s="8">
        <v>42615.263553240744</v>
      </c>
      <c r="B535" t="s">
        <v>741</v>
      </c>
      <c r="C535" t="s">
        <v>1190</v>
      </c>
      <c r="D535">
        <v>2260000</v>
      </c>
      <c r="E535" t="s">
        <v>162</v>
      </c>
      <c r="F535" s="23" t="str">
        <f t="shared" si="18"/>
        <v>rtdc.l.rtdc.4045:itc</v>
      </c>
      <c r="G535" s="8">
        <f t="shared" si="19"/>
        <v>42615.263553240744</v>
      </c>
    </row>
    <row r="536" spans="1:7" x14ac:dyDescent="0.25">
      <c r="A536" s="8">
        <v>42615.268761574072</v>
      </c>
      <c r="B536" t="s">
        <v>113</v>
      </c>
      <c r="C536" t="s">
        <v>730</v>
      </c>
      <c r="D536">
        <v>1100000</v>
      </c>
      <c r="E536" t="s">
        <v>347</v>
      </c>
      <c r="F536" s="23" t="str">
        <f t="shared" si="18"/>
        <v>rtdc.l.rtdc.4031:itc</v>
      </c>
      <c r="G536" s="8">
        <f t="shared" si="19"/>
        <v>42615.268761574072</v>
      </c>
    </row>
    <row r="537" spans="1:7" x14ac:dyDescent="0.25">
      <c r="A537" s="8">
        <v>42615.273831018516</v>
      </c>
      <c r="B537" t="s">
        <v>746</v>
      </c>
      <c r="C537" t="s">
        <v>1191</v>
      </c>
      <c r="D537">
        <v>1990000</v>
      </c>
      <c r="E537" t="s">
        <v>258</v>
      </c>
      <c r="F537" s="23" t="str">
        <f t="shared" si="18"/>
        <v>rtdc.l.rtdc.4015:itc</v>
      </c>
      <c r="G537" s="8">
        <f t="shared" si="19"/>
        <v>42615.273831018516</v>
      </c>
    </row>
    <row r="538" spans="1:7" x14ac:dyDescent="0.25">
      <c r="A538" s="8">
        <v>42615.275393518517</v>
      </c>
      <c r="B538" t="s">
        <v>260</v>
      </c>
      <c r="C538" t="s">
        <v>1192</v>
      </c>
      <c r="D538">
        <v>1830000</v>
      </c>
      <c r="E538" t="s">
        <v>972</v>
      </c>
      <c r="F538" s="23" t="str">
        <f t="shared" ref="F538:F543" si="20">B538</f>
        <v>rtdc.l.rtdc.4026:itc</v>
      </c>
      <c r="G538" s="8">
        <f t="shared" ref="G538:G543" si="21">A538</f>
        <v>42615.275393518517</v>
      </c>
    </row>
    <row r="539" spans="1:7" x14ac:dyDescent="0.25">
      <c r="A539" s="8">
        <v>42615.277858796297</v>
      </c>
      <c r="B539" t="s">
        <v>1167</v>
      </c>
      <c r="C539" t="s">
        <v>1193</v>
      </c>
      <c r="D539">
        <v>1090000</v>
      </c>
      <c r="E539" t="s">
        <v>329</v>
      </c>
      <c r="F539" s="23" t="str">
        <f t="shared" si="20"/>
        <v>rtdc.l.rtdc.4053:itc</v>
      </c>
      <c r="G539" s="8">
        <f t="shared" si="21"/>
        <v>42615.277858796297</v>
      </c>
    </row>
    <row r="540" spans="1:7" x14ac:dyDescent="0.25">
      <c r="A540" s="8">
        <v>42615.279687499999</v>
      </c>
      <c r="B540" t="s">
        <v>781</v>
      </c>
      <c r="C540" t="s">
        <v>1194</v>
      </c>
      <c r="D540">
        <v>1760000</v>
      </c>
      <c r="E540" t="s">
        <v>762</v>
      </c>
      <c r="F540" s="23" t="str">
        <f t="shared" si="20"/>
        <v>rtdc.l.rtdc.4007:itc</v>
      </c>
      <c r="G540" s="8">
        <f t="shared" si="21"/>
        <v>42615.279687499999</v>
      </c>
    </row>
    <row r="541" spans="1:7" x14ac:dyDescent="0.25">
      <c r="A541" s="8">
        <v>42615.287905092591</v>
      </c>
      <c r="B541" t="s">
        <v>91</v>
      </c>
      <c r="C541" t="s">
        <v>1195</v>
      </c>
      <c r="D541">
        <v>2010000</v>
      </c>
      <c r="E541" t="s">
        <v>760</v>
      </c>
      <c r="F541" s="23" t="str">
        <f t="shared" si="20"/>
        <v>rtdc.l.rtdc.4029:itc</v>
      </c>
      <c r="G541" s="8">
        <f t="shared" si="21"/>
        <v>42615.287905092591</v>
      </c>
    </row>
    <row r="542" spans="1:7" x14ac:dyDescent="0.25">
      <c r="A542" s="8">
        <v>42615.297303240739</v>
      </c>
      <c r="B542" t="s">
        <v>720</v>
      </c>
      <c r="C542" t="s">
        <v>1196</v>
      </c>
      <c r="D542">
        <v>1760000</v>
      </c>
      <c r="E542" t="s">
        <v>762</v>
      </c>
      <c r="F542" s="23" t="str">
        <f t="shared" si="20"/>
        <v>rtdc.l.rtdc.4008:itc</v>
      </c>
      <c r="G542" s="8">
        <f t="shared" si="21"/>
        <v>42615.297303240739</v>
      </c>
    </row>
    <row r="543" spans="1:7" x14ac:dyDescent="0.25">
      <c r="A543" s="8">
        <v>42615.297384259262</v>
      </c>
      <c r="B543" t="s">
        <v>226</v>
      </c>
      <c r="C543" t="s">
        <v>1197</v>
      </c>
      <c r="D543">
        <v>2230000</v>
      </c>
      <c r="E543" t="s">
        <v>503</v>
      </c>
      <c r="F543" s="23" t="str">
        <f t="shared" si="20"/>
        <v>rtdc.l.rtdc.4043:itc</v>
      </c>
      <c r="G543" s="8">
        <f t="shared" si="21"/>
        <v>42615.297384259262</v>
      </c>
    </row>
    <row r="544" spans="1:7" x14ac:dyDescent="0.25">
      <c r="A544" s="8">
        <v>42615.298356481479</v>
      </c>
      <c r="B544" t="s">
        <v>1169</v>
      </c>
      <c r="C544" t="s">
        <v>1198</v>
      </c>
      <c r="D544">
        <v>2260000</v>
      </c>
      <c r="E544" t="s">
        <v>162</v>
      </c>
    </row>
    <row r="545" spans="1:5" x14ac:dyDescent="0.25">
      <c r="A545" s="8">
        <v>42615.304236111115</v>
      </c>
      <c r="B545" t="s">
        <v>257</v>
      </c>
      <c r="C545" t="s">
        <v>1199</v>
      </c>
      <c r="D545">
        <v>1830000</v>
      </c>
      <c r="E545" t="s">
        <v>972</v>
      </c>
    </row>
    <row r="546" spans="1:5" x14ac:dyDescent="0.25">
      <c r="A546" s="8">
        <v>42615.306458333333</v>
      </c>
      <c r="B546" t="s">
        <v>114</v>
      </c>
      <c r="C546" t="s">
        <v>1200</v>
      </c>
      <c r="D546">
        <v>1100000</v>
      </c>
      <c r="E546" t="s">
        <v>347</v>
      </c>
    </row>
    <row r="547" spans="1:5" x14ac:dyDescent="0.25">
      <c r="A547" s="8">
        <v>42615.308206018519</v>
      </c>
      <c r="B547" t="s">
        <v>724</v>
      </c>
      <c r="C547" t="s">
        <v>1201</v>
      </c>
      <c r="D547">
        <v>1990000</v>
      </c>
      <c r="E547" t="s">
        <v>258</v>
      </c>
    </row>
    <row r="548" spans="1:5" x14ac:dyDescent="0.25">
      <c r="A548" s="8">
        <v>42615.312662037039</v>
      </c>
      <c r="B548" t="s">
        <v>712</v>
      </c>
      <c r="C548" t="s">
        <v>713</v>
      </c>
      <c r="D548">
        <v>1090000</v>
      </c>
      <c r="E548" t="s">
        <v>329</v>
      </c>
    </row>
    <row r="549" spans="1:5" x14ac:dyDescent="0.25">
      <c r="A549" s="8">
        <v>42615.316921296297</v>
      </c>
      <c r="B549" t="s">
        <v>260</v>
      </c>
      <c r="C549" t="s">
        <v>1202</v>
      </c>
      <c r="D549">
        <v>1830000</v>
      </c>
      <c r="E549" t="s">
        <v>972</v>
      </c>
    </row>
    <row r="550" spans="1:5" x14ac:dyDescent="0.25">
      <c r="A550" s="8">
        <v>42615.321342592593</v>
      </c>
      <c r="B550" t="s">
        <v>151</v>
      </c>
      <c r="C550" t="s">
        <v>1203</v>
      </c>
      <c r="D550">
        <v>1310000</v>
      </c>
      <c r="E550" t="s">
        <v>967</v>
      </c>
    </row>
    <row r="551" spans="1:5" x14ac:dyDescent="0.25">
      <c r="A551" s="8">
        <v>42615.322893518518</v>
      </c>
      <c r="B551" t="s">
        <v>781</v>
      </c>
      <c r="C551" t="s">
        <v>1204</v>
      </c>
      <c r="D551">
        <v>1760000</v>
      </c>
      <c r="E551" t="s">
        <v>762</v>
      </c>
    </row>
    <row r="552" spans="1:5" x14ac:dyDescent="0.25">
      <c r="A552" s="8">
        <v>42615.323182870372</v>
      </c>
      <c r="B552" t="s">
        <v>92</v>
      </c>
      <c r="C552" t="s">
        <v>1205</v>
      </c>
      <c r="D552">
        <v>2010000</v>
      </c>
      <c r="E552" t="s">
        <v>760</v>
      </c>
    </row>
    <row r="553" spans="1:5" x14ac:dyDescent="0.25">
      <c r="A553" s="8">
        <v>42615.330127314817</v>
      </c>
      <c r="B553" t="s">
        <v>228</v>
      </c>
      <c r="C553" t="s">
        <v>1206</v>
      </c>
      <c r="D553">
        <v>2230000</v>
      </c>
      <c r="E553" t="s">
        <v>503</v>
      </c>
    </row>
    <row r="554" spans="1:5" x14ac:dyDescent="0.25">
      <c r="A554" s="8">
        <v>42615.331631944442</v>
      </c>
      <c r="B554" t="s">
        <v>257</v>
      </c>
      <c r="C554" t="s">
        <v>1207</v>
      </c>
      <c r="D554">
        <v>1830000</v>
      </c>
      <c r="E554" t="s">
        <v>972</v>
      </c>
    </row>
    <row r="555" spans="1:5" x14ac:dyDescent="0.25">
      <c r="A555" s="8">
        <v>42615.339456018519</v>
      </c>
      <c r="B555" t="s">
        <v>741</v>
      </c>
      <c r="C555" t="s">
        <v>1208</v>
      </c>
      <c r="D555">
        <v>2260000</v>
      </c>
      <c r="E555" t="s">
        <v>162</v>
      </c>
    </row>
    <row r="556" spans="1:5" x14ac:dyDescent="0.25">
      <c r="A556" s="8">
        <v>42615.34070601852</v>
      </c>
      <c r="B556" t="s">
        <v>720</v>
      </c>
      <c r="C556" t="s">
        <v>1209</v>
      </c>
      <c r="D556">
        <v>1760000</v>
      </c>
      <c r="E556" t="s">
        <v>762</v>
      </c>
    </row>
    <row r="557" spans="1:5" x14ac:dyDescent="0.25">
      <c r="A557" s="8">
        <v>42615.340937499997</v>
      </c>
      <c r="B557" t="s">
        <v>113</v>
      </c>
      <c r="C557" t="s">
        <v>1210</v>
      </c>
      <c r="D557">
        <v>1100000</v>
      </c>
      <c r="E557" t="s">
        <v>347</v>
      </c>
    </row>
    <row r="558" spans="1:5" x14ac:dyDescent="0.25">
      <c r="A558" s="8">
        <v>42615.34878472222</v>
      </c>
      <c r="B558" t="s">
        <v>746</v>
      </c>
      <c r="C558" t="s">
        <v>1211</v>
      </c>
      <c r="D558">
        <v>1990000</v>
      </c>
      <c r="E558" t="s">
        <v>258</v>
      </c>
    </row>
    <row r="559" spans="1:5" x14ac:dyDescent="0.25">
      <c r="A559" s="8">
        <v>42615.351423611108</v>
      </c>
      <c r="B559" t="s">
        <v>1167</v>
      </c>
      <c r="C559" t="s">
        <v>1212</v>
      </c>
      <c r="D559">
        <v>1090000</v>
      </c>
      <c r="E559" t="s">
        <v>329</v>
      </c>
    </row>
    <row r="560" spans="1:5" x14ac:dyDescent="0.25">
      <c r="A560" s="8">
        <v>42615.353912037041</v>
      </c>
      <c r="B560" t="s">
        <v>781</v>
      </c>
      <c r="C560" t="s">
        <v>1213</v>
      </c>
      <c r="D560">
        <v>1760000</v>
      </c>
      <c r="E560" t="s">
        <v>762</v>
      </c>
    </row>
    <row r="561" spans="1:5" x14ac:dyDescent="0.25">
      <c r="A561" s="8">
        <v>42615.359085648146</v>
      </c>
      <c r="B561" t="s">
        <v>260</v>
      </c>
      <c r="C561" t="s">
        <v>1214</v>
      </c>
      <c r="D561">
        <v>1830000</v>
      </c>
      <c r="E561" t="s">
        <v>972</v>
      </c>
    </row>
    <row r="562" spans="1:5" x14ac:dyDescent="0.25">
      <c r="A562" s="8">
        <v>42615.36041666667</v>
      </c>
      <c r="B562" t="s">
        <v>351</v>
      </c>
      <c r="C562" t="s">
        <v>1215</v>
      </c>
      <c r="D562">
        <v>1310000</v>
      </c>
      <c r="E562" t="s">
        <v>967</v>
      </c>
    </row>
    <row r="563" spans="1:5" x14ac:dyDescent="0.25">
      <c r="A563" s="8">
        <v>42615.360879629632</v>
      </c>
      <c r="B563" t="s">
        <v>260</v>
      </c>
      <c r="C563" t="s">
        <v>1214</v>
      </c>
      <c r="D563">
        <v>1830000</v>
      </c>
      <c r="E563" t="s">
        <v>972</v>
      </c>
    </row>
    <row r="564" spans="1:5" x14ac:dyDescent="0.25">
      <c r="A564" s="8">
        <v>42615.361087962963</v>
      </c>
      <c r="B564" t="s">
        <v>91</v>
      </c>
      <c r="C564" t="s">
        <v>1217</v>
      </c>
      <c r="D564">
        <v>2010000</v>
      </c>
      <c r="E564" t="s">
        <v>760</v>
      </c>
    </row>
    <row r="565" spans="1:5" x14ac:dyDescent="0.25">
      <c r="A565" s="8">
        <v>42615.369189814817</v>
      </c>
      <c r="B565" t="s">
        <v>226</v>
      </c>
      <c r="C565" t="s">
        <v>1218</v>
      </c>
      <c r="D565">
        <v>2230000</v>
      </c>
      <c r="E565" t="s">
        <v>503</v>
      </c>
    </row>
    <row r="566" spans="1:5" x14ac:dyDescent="0.25">
      <c r="A566" s="8">
        <v>42615.371898148151</v>
      </c>
      <c r="B566" t="s">
        <v>1169</v>
      </c>
      <c r="C566" t="s">
        <v>1219</v>
      </c>
      <c r="D566">
        <v>2260000</v>
      </c>
      <c r="E566" t="s">
        <v>162</v>
      </c>
    </row>
    <row r="567" spans="1:5" x14ac:dyDescent="0.25">
      <c r="A567" s="8">
        <v>42615.373530092591</v>
      </c>
      <c r="B567" t="s">
        <v>257</v>
      </c>
      <c r="C567" t="s">
        <v>1220</v>
      </c>
      <c r="D567">
        <v>1830000</v>
      </c>
      <c r="E567" t="s">
        <v>972</v>
      </c>
    </row>
    <row r="568" spans="1:5" x14ac:dyDescent="0.25">
      <c r="A568" s="8">
        <v>42615.379027777781</v>
      </c>
      <c r="B568" t="s">
        <v>114</v>
      </c>
      <c r="C568" t="s">
        <v>1221</v>
      </c>
      <c r="D568">
        <v>1100000</v>
      </c>
      <c r="E568" t="s">
        <v>347</v>
      </c>
    </row>
    <row r="569" spans="1:5" x14ac:dyDescent="0.25">
      <c r="A569" s="8">
        <v>42615.382013888891</v>
      </c>
      <c r="B569" t="s">
        <v>724</v>
      </c>
      <c r="C569" t="s">
        <v>1222</v>
      </c>
      <c r="D569">
        <v>1990000</v>
      </c>
      <c r="E569" t="s">
        <v>258</v>
      </c>
    </row>
    <row r="570" spans="1:5" x14ac:dyDescent="0.25">
      <c r="A570" s="8">
        <v>42615.387187499997</v>
      </c>
      <c r="B570" t="s">
        <v>712</v>
      </c>
      <c r="C570" t="s">
        <v>1223</v>
      </c>
      <c r="D570">
        <v>1090000</v>
      </c>
      <c r="E570" t="s">
        <v>329</v>
      </c>
    </row>
    <row r="571" spans="1:5" x14ac:dyDescent="0.25">
      <c r="A571" s="8">
        <v>42615.394224537034</v>
      </c>
      <c r="B571" t="s">
        <v>151</v>
      </c>
      <c r="C571" t="s">
        <v>1224</v>
      </c>
      <c r="D571">
        <v>1310000</v>
      </c>
      <c r="E571" t="s">
        <v>967</v>
      </c>
    </row>
    <row r="572" spans="1:5" x14ac:dyDescent="0.25">
      <c r="A572" s="8">
        <v>42615.395092592589</v>
      </c>
      <c r="B572" t="s">
        <v>151</v>
      </c>
      <c r="C572" t="s">
        <v>1224</v>
      </c>
      <c r="D572">
        <v>1310000</v>
      </c>
      <c r="E572" t="s">
        <v>967</v>
      </c>
    </row>
    <row r="573" spans="1:5" x14ac:dyDescent="0.25">
      <c r="A573" s="8">
        <v>42615.396678240744</v>
      </c>
      <c r="B573" t="s">
        <v>92</v>
      </c>
      <c r="C573" t="s">
        <v>1225</v>
      </c>
      <c r="D573">
        <v>2010000</v>
      </c>
      <c r="E573" t="s">
        <v>760</v>
      </c>
    </row>
    <row r="574" spans="1:5" x14ac:dyDescent="0.25">
      <c r="A574" s="8">
        <v>42615.400509259256</v>
      </c>
      <c r="B574" t="s">
        <v>260</v>
      </c>
      <c r="C574" t="s">
        <v>1226</v>
      </c>
      <c r="D574">
        <v>1830000</v>
      </c>
      <c r="E574" t="s">
        <v>972</v>
      </c>
    </row>
    <row r="575" spans="1:5" x14ac:dyDescent="0.25">
      <c r="A575" s="8">
        <v>42615.401747685188</v>
      </c>
      <c r="B575" t="s">
        <v>228</v>
      </c>
      <c r="C575" t="s">
        <v>1227</v>
      </c>
      <c r="D575">
        <v>2230000</v>
      </c>
      <c r="E575" t="s">
        <v>503</v>
      </c>
    </row>
    <row r="576" spans="1:5" x14ac:dyDescent="0.25">
      <c r="A576" s="8">
        <v>42615.408738425926</v>
      </c>
      <c r="B576" t="s">
        <v>741</v>
      </c>
      <c r="C576" t="s">
        <v>1228</v>
      </c>
      <c r="D576">
        <v>2260000</v>
      </c>
      <c r="E576" t="s">
        <v>162</v>
      </c>
    </row>
    <row r="577" spans="1:5" x14ac:dyDescent="0.25">
      <c r="A577" s="8">
        <v>42615.413611111115</v>
      </c>
      <c r="B577" t="s">
        <v>113</v>
      </c>
      <c r="C577" t="s">
        <v>1229</v>
      </c>
      <c r="D577">
        <v>1100000</v>
      </c>
      <c r="E577" t="s">
        <v>347</v>
      </c>
    </row>
    <row r="578" spans="1:5" x14ac:dyDescent="0.25">
      <c r="A578" s="8">
        <v>42615.418680555558</v>
      </c>
      <c r="B578" t="s">
        <v>746</v>
      </c>
      <c r="C578" t="s">
        <v>1230</v>
      </c>
      <c r="D578">
        <v>1990000</v>
      </c>
      <c r="E578" t="s">
        <v>258</v>
      </c>
    </row>
    <row r="579" spans="1:5" x14ac:dyDescent="0.25">
      <c r="A579" s="8">
        <v>42615.420937499999</v>
      </c>
      <c r="B579" t="s">
        <v>257</v>
      </c>
      <c r="C579" t="s">
        <v>1231</v>
      </c>
      <c r="D579">
        <v>1830000</v>
      </c>
      <c r="E579" t="s">
        <v>972</v>
      </c>
    </row>
    <row r="580" spans="1:5" x14ac:dyDescent="0.25">
      <c r="A580" s="8">
        <v>42615.42564814815</v>
      </c>
      <c r="B580" t="s">
        <v>1167</v>
      </c>
      <c r="C580" t="s">
        <v>1232</v>
      </c>
      <c r="D580">
        <v>1090000</v>
      </c>
      <c r="E580" t="s">
        <v>329</v>
      </c>
    </row>
    <row r="581" spans="1:5" x14ac:dyDescent="0.25">
      <c r="A581" s="8">
        <v>42615.43277777778</v>
      </c>
      <c r="B581" t="s">
        <v>91</v>
      </c>
      <c r="C581" t="s">
        <v>1233</v>
      </c>
      <c r="D581">
        <v>1760000</v>
      </c>
      <c r="E581" t="s">
        <v>762</v>
      </c>
    </row>
    <row r="582" spans="1:5" x14ac:dyDescent="0.25">
      <c r="A582" s="8">
        <v>42615.434016203704</v>
      </c>
      <c r="B582" t="s">
        <v>351</v>
      </c>
      <c r="C582" t="s">
        <v>1234</v>
      </c>
      <c r="D582">
        <v>1310000</v>
      </c>
      <c r="E582" t="s">
        <v>967</v>
      </c>
    </row>
    <row r="583" spans="1:5" x14ac:dyDescent="0.25">
      <c r="A583" s="8">
        <v>42615.436793981484</v>
      </c>
      <c r="B583" t="s">
        <v>1031</v>
      </c>
      <c r="C583" t="s">
        <v>1235</v>
      </c>
      <c r="D583">
        <v>880000</v>
      </c>
      <c r="E583" t="s">
        <v>1236</v>
      </c>
    </row>
    <row r="584" spans="1:5" x14ac:dyDescent="0.25">
      <c r="A584" s="8">
        <v>42615.438425925924</v>
      </c>
      <c r="B584" t="s">
        <v>1031</v>
      </c>
      <c r="C584" t="s">
        <v>1237</v>
      </c>
      <c r="D584">
        <v>880000</v>
      </c>
      <c r="E584" t="s">
        <v>1236</v>
      </c>
    </row>
    <row r="585" spans="1:5" x14ac:dyDescent="0.25">
      <c r="A585" s="8">
        <v>42615.441261574073</v>
      </c>
      <c r="B585" t="s">
        <v>226</v>
      </c>
      <c r="C585" t="s">
        <v>1238</v>
      </c>
      <c r="D585">
        <v>2230000</v>
      </c>
      <c r="E585" t="s">
        <v>503</v>
      </c>
    </row>
    <row r="586" spans="1:5" x14ac:dyDescent="0.25">
      <c r="A586" s="8">
        <v>42615.441851851851</v>
      </c>
      <c r="B586" t="s">
        <v>260</v>
      </c>
      <c r="C586" t="s">
        <v>1239</v>
      </c>
      <c r="D586">
        <v>1830000</v>
      </c>
      <c r="E586" t="s">
        <v>972</v>
      </c>
    </row>
    <row r="587" spans="1:5" x14ac:dyDescent="0.25">
      <c r="A587" s="8">
        <v>42615.445925925924</v>
      </c>
      <c r="B587" t="s">
        <v>1169</v>
      </c>
      <c r="C587" t="s">
        <v>1240</v>
      </c>
      <c r="D587">
        <v>2260000</v>
      </c>
      <c r="E587" t="s">
        <v>162</v>
      </c>
    </row>
    <row r="588" spans="1:5" x14ac:dyDescent="0.25">
      <c r="A588" s="8">
        <v>42615.451064814813</v>
      </c>
      <c r="B588" t="s">
        <v>114</v>
      </c>
      <c r="C588" t="s">
        <v>1241</v>
      </c>
      <c r="D588">
        <v>1100000</v>
      </c>
      <c r="E588" t="s">
        <v>347</v>
      </c>
    </row>
    <row r="589" spans="1:5" x14ac:dyDescent="0.25">
      <c r="A589" s="8">
        <v>42615.456886574073</v>
      </c>
      <c r="B589" t="s">
        <v>724</v>
      </c>
      <c r="C589" t="s">
        <v>1235</v>
      </c>
      <c r="D589">
        <v>880000</v>
      </c>
      <c r="E589" t="s">
        <v>1236</v>
      </c>
    </row>
    <row r="590" spans="1:5" x14ac:dyDescent="0.25">
      <c r="A590" s="8">
        <v>42615.459351851852</v>
      </c>
      <c r="B590" t="s">
        <v>909</v>
      </c>
      <c r="C590" t="s">
        <v>1242</v>
      </c>
      <c r="D590">
        <v>2040000</v>
      </c>
      <c r="E590" t="s">
        <v>857</v>
      </c>
    </row>
    <row r="591" spans="1:5" x14ac:dyDescent="0.25">
      <c r="A591" s="8">
        <v>42615.460370370369</v>
      </c>
      <c r="B591" t="s">
        <v>712</v>
      </c>
      <c r="C591" t="s">
        <v>1243</v>
      </c>
      <c r="D591">
        <v>1090000</v>
      </c>
      <c r="E591" t="s">
        <v>329</v>
      </c>
    </row>
    <row r="592" spans="1:5" x14ac:dyDescent="0.25">
      <c r="A592" s="8">
        <v>42615.464768518519</v>
      </c>
      <c r="B592" t="s">
        <v>151</v>
      </c>
      <c r="C592" t="s">
        <v>1244</v>
      </c>
      <c r="D592">
        <v>930000</v>
      </c>
      <c r="E592" t="s">
        <v>244</v>
      </c>
    </row>
    <row r="593" spans="1:5" x14ac:dyDescent="0.25">
      <c r="A593" s="8">
        <v>42615.465752314813</v>
      </c>
      <c r="B593" t="s">
        <v>491</v>
      </c>
      <c r="C593" t="s">
        <v>1245</v>
      </c>
      <c r="D593">
        <v>1990000</v>
      </c>
      <c r="E593" t="s">
        <v>258</v>
      </c>
    </row>
    <row r="594" spans="1:5" x14ac:dyDescent="0.25">
      <c r="A594" s="8">
        <v>42615.473067129627</v>
      </c>
      <c r="B594" t="s">
        <v>92</v>
      </c>
      <c r="C594" t="s">
        <v>1246</v>
      </c>
      <c r="D594">
        <v>1760000</v>
      </c>
      <c r="E594" t="s">
        <v>762</v>
      </c>
    </row>
    <row r="595" spans="1:5" x14ac:dyDescent="0.25">
      <c r="A595" s="8">
        <v>42615.47320601852</v>
      </c>
      <c r="B595" t="s">
        <v>257</v>
      </c>
      <c r="C595" t="s">
        <v>1247</v>
      </c>
      <c r="D595">
        <v>2140000</v>
      </c>
      <c r="E595" t="s">
        <v>497</v>
      </c>
    </row>
    <row r="596" spans="1:5" x14ac:dyDescent="0.25">
      <c r="A596" s="8">
        <v>42615.474930555552</v>
      </c>
      <c r="B596" t="s">
        <v>228</v>
      </c>
      <c r="C596" t="s">
        <v>1248</v>
      </c>
      <c r="D596">
        <v>940000</v>
      </c>
      <c r="E596" t="s">
        <v>1063</v>
      </c>
    </row>
    <row r="597" spans="1:5" x14ac:dyDescent="0.25">
      <c r="A597" s="8">
        <v>42615.478460648148</v>
      </c>
      <c r="B597" t="s">
        <v>741</v>
      </c>
      <c r="C597" t="s">
        <v>1249</v>
      </c>
      <c r="D597">
        <v>2260000</v>
      </c>
      <c r="E597" t="s">
        <v>162</v>
      </c>
    </row>
    <row r="598" spans="1:5" x14ac:dyDescent="0.25">
      <c r="A598" s="8">
        <v>42615.485868055555</v>
      </c>
      <c r="B598" t="s">
        <v>260</v>
      </c>
      <c r="C598" t="s">
        <v>1250</v>
      </c>
      <c r="D598">
        <v>1830000</v>
      </c>
      <c r="E598" t="s">
        <v>972</v>
      </c>
    </row>
    <row r="599" spans="1:5" x14ac:dyDescent="0.25">
      <c r="A599" s="8">
        <v>42615.488587962966</v>
      </c>
      <c r="B599" t="s">
        <v>113</v>
      </c>
      <c r="C599" t="s">
        <v>1251</v>
      </c>
      <c r="D599">
        <v>2040000</v>
      </c>
      <c r="E599" t="s">
        <v>857</v>
      </c>
    </row>
    <row r="600" spans="1:5" x14ac:dyDescent="0.25">
      <c r="A600" s="8">
        <v>42615.496249999997</v>
      </c>
      <c r="B600" t="s">
        <v>1167</v>
      </c>
      <c r="C600" t="s">
        <v>1252</v>
      </c>
      <c r="D600">
        <v>2100000</v>
      </c>
      <c r="E600" t="s">
        <v>136</v>
      </c>
    </row>
    <row r="601" spans="1:5" x14ac:dyDescent="0.25">
      <c r="A601" s="8">
        <v>42615.496400462966</v>
      </c>
      <c r="B601" t="s">
        <v>746</v>
      </c>
      <c r="C601" t="s">
        <v>1253</v>
      </c>
      <c r="D601">
        <v>880000</v>
      </c>
      <c r="E601" t="s">
        <v>1236</v>
      </c>
    </row>
    <row r="602" spans="1:5" x14ac:dyDescent="0.25">
      <c r="A602" s="8">
        <v>42615.497696759259</v>
      </c>
      <c r="B602" t="s">
        <v>919</v>
      </c>
      <c r="C602" t="s">
        <v>1254</v>
      </c>
      <c r="D602">
        <v>2230000</v>
      </c>
      <c r="E602" t="s">
        <v>503</v>
      </c>
    </row>
    <row r="603" spans="1:5" x14ac:dyDescent="0.25">
      <c r="A603" s="8">
        <v>42615.501226851855</v>
      </c>
      <c r="B603" t="s">
        <v>257</v>
      </c>
      <c r="C603" t="s">
        <v>1255</v>
      </c>
      <c r="D603">
        <v>1830000</v>
      </c>
      <c r="E603" t="s">
        <v>972</v>
      </c>
    </row>
    <row r="604" spans="1:5" x14ac:dyDescent="0.25">
      <c r="A604" s="8">
        <v>42615.502662037034</v>
      </c>
      <c r="B604" t="s">
        <v>351</v>
      </c>
      <c r="C604" t="s">
        <v>1256</v>
      </c>
      <c r="D604">
        <v>930000</v>
      </c>
      <c r="E604" t="s">
        <v>244</v>
      </c>
    </row>
    <row r="605" spans="1:5" x14ac:dyDescent="0.25">
      <c r="A605" s="8">
        <v>42615.508692129632</v>
      </c>
      <c r="B605" t="s">
        <v>91</v>
      </c>
      <c r="C605" t="s">
        <v>1257</v>
      </c>
      <c r="D605">
        <v>2020000</v>
      </c>
      <c r="E605" t="s">
        <v>1037</v>
      </c>
    </row>
    <row r="606" spans="1:5" x14ac:dyDescent="0.25">
      <c r="A606" s="8">
        <v>42615.513773148145</v>
      </c>
      <c r="B606" t="s">
        <v>226</v>
      </c>
      <c r="C606" t="s">
        <v>1258</v>
      </c>
      <c r="D606">
        <v>940000</v>
      </c>
      <c r="E606" t="s">
        <v>1063</v>
      </c>
    </row>
    <row r="607" spans="1:5" x14ac:dyDescent="0.25">
      <c r="A607" s="8">
        <v>42615.519004629627</v>
      </c>
      <c r="B607" t="s">
        <v>1169</v>
      </c>
      <c r="C607" t="s">
        <v>1259</v>
      </c>
      <c r="D607">
        <v>950000</v>
      </c>
      <c r="E607" t="s">
        <v>1260</v>
      </c>
    </row>
    <row r="608" spans="1:5" x14ac:dyDescent="0.25">
      <c r="A608" s="8">
        <v>42615.524467592593</v>
      </c>
      <c r="B608" t="s">
        <v>114</v>
      </c>
      <c r="C608" t="s">
        <v>1261</v>
      </c>
      <c r="D608">
        <v>2040000</v>
      </c>
      <c r="E608" t="s">
        <v>857</v>
      </c>
    </row>
    <row r="609" spans="1:5" x14ac:dyDescent="0.25">
      <c r="A609" s="8">
        <v>42615.524745370371</v>
      </c>
      <c r="B609" t="s">
        <v>260</v>
      </c>
      <c r="C609" t="s">
        <v>1262</v>
      </c>
      <c r="D609">
        <v>1830000</v>
      </c>
      <c r="E609" t="s">
        <v>972</v>
      </c>
    </row>
    <row r="610" spans="1:5" x14ac:dyDescent="0.25">
      <c r="A610" s="8">
        <v>42615.529189814813</v>
      </c>
      <c r="B610" t="s">
        <v>724</v>
      </c>
      <c r="C610" t="s">
        <v>1263</v>
      </c>
      <c r="D610">
        <v>880000</v>
      </c>
      <c r="E610" t="s">
        <v>1236</v>
      </c>
    </row>
    <row r="611" spans="1:5" x14ac:dyDescent="0.25">
      <c r="A611" s="8">
        <v>42615.532523148147</v>
      </c>
      <c r="B611" t="s">
        <v>712</v>
      </c>
      <c r="C611" t="s">
        <v>1264</v>
      </c>
      <c r="D611">
        <v>2100000</v>
      </c>
      <c r="E611" t="s">
        <v>136</v>
      </c>
    </row>
    <row r="612" spans="1:5" x14ac:dyDescent="0.25">
      <c r="A612" s="8">
        <v>42615.539027777777</v>
      </c>
      <c r="B612" t="s">
        <v>151</v>
      </c>
      <c r="C612" t="s">
        <v>1265</v>
      </c>
      <c r="D612">
        <v>930000</v>
      </c>
      <c r="E612" t="s">
        <v>244</v>
      </c>
    </row>
    <row r="613" spans="1:5" x14ac:dyDescent="0.25">
      <c r="A613" s="8">
        <v>42615.544270833336</v>
      </c>
      <c r="B613" t="s">
        <v>92</v>
      </c>
      <c r="C613" t="s">
        <v>1266</v>
      </c>
      <c r="D613">
        <v>2020000</v>
      </c>
      <c r="E613" t="s">
        <v>1037</v>
      </c>
    </row>
    <row r="614" spans="1:5" x14ac:dyDescent="0.25">
      <c r="A614" s="8">
        <v>42615.546689814815</v>
      </c>
      <c r="B614" t="s">
        <v>228</v>
      </c>
      <c r="C614" t="s">
        <v>1267</v>
      </c>
      <c r="D614">
        <v>940000</v>
      </c>
      <c r="E614" t="s">
        <v>1063</v>
      </c>
    </row>
    <row r="615" spans="1:5" x14ac:dyDescent="0.25">
      <c r="A615" s="8">
        <v>42615.552407407406</v>
      </c>
      <c r="B615" t="s">
        <v>257</v>
      </c>
      <c r="C615" t="s">
        <v>1268</v>
      </c>
      <c r="D615">
        <v>2280000</v>
      </c>
      <c r="E615" t="s">
        <v>839</v>
      </c>
    </row>
    <row r="616" spans="1:5" x14ac:dyDescent="0.25">
      <c r="A616" s="8">
        <v>42615.553854166668</v>
      </c>
      <c r="B616" t="s">
        <v>257</v>
      </c>
      <c r="C616" t="s">
        <v>1268</v>
      </c>
      <c r="D616">
        <v>2280000</v>
      </c>
      <c r="E616" t="s">
        <v>839</v>
      </c>
    </row>
    <row r="617" spans="1:5" x14ac:dyDescent="0.25">
      <c r="A617" s="8">
        <v>42615.55678240741</v>
      </c>
      <c r="B617" t="s">
        <v>741</v>
      </c>
      <c r="C617" t="s">
        <v>1269</v>
      </c>
      <c r="D617">
        <v>950000</v>
      </c>
      <c r="E617" t="s">
        <v>1260</v>
      </c>
    </row>
    <row r="618" spans="1:5" x14ac:dyDescent="0.25">
      <c r="A618" s="8">
        <v>42615.55976851852</v>
      </c>
      <c r="B618" t="s">
        <v>113</v>
      </c>
      <c r="C618" t="s">
        <v>1270</v>
      </c>
      <c r="D618">
        <v>2040000</v>
      </c>
      <c r="E618" t="s">
        <v>857</v>
      </c>
    </row>
    <row r="619" spans="1:5" x14ac:dyDescent="0.25">
      <c r="A619" s="8">
        <v>42615.56795138889</v>
      </c>
      <c r="B619" t="s">
        <v>746</v>
      </c>
      <c r="C619" t="s">
        <v>1271</v>
      </c>
      <c r="D619">
        <v>880000</v>
      </c>
      <c r="E619" t="s">
        <v>1236</v>
      </c>
    </row>
    <row r="620" spans="1:5" x14ac:dyDescent="0.25">
      <c r="A620" s="8">
        <v>42615.569328703707</v>
      </c>
      <c r="B620" t="s">
        <v>1167</v>
      </c>
      <c r="C620" t="s">
        <v>1272</v>
      </c>
      <c r="D620">
        <v>2100000</v>
      </c>
      <c r="E620" t="s">
        <v>136</v>
      </c>
    </row>
    <row r="621" spans="1:5" x14ac:dyDescent="0.25">
      <c r="A621" s="8">
        <v>42615.569398148145</v>
      </c>
      <c r="B621" t="s">
        <v>260</v>
      </c>
      <c r="C621" t="s">
        <v>1273</v>
      </c>
      <c r="D621">
        <v>2280000</v>
      </c>
      <c r="E621" t="s">
        <v>839</v>
      </c>
    </row>
    <row r="622" spans="1:5" x14ac:dyDescent="0.25">
      <c r="A622" s="8">
        <v>42615.576585648145</v>
      </c>
      <c r="B622" t="s">
        <v>351</v>
      </c>
      <c r="C622" t="s">
        <v>1274</v>
      </c>
      <c r="D622">
        <v>930000</v>
      </c>
      <c r="E622" t="s">
        <v>244</v>
      </c>
    </row>
    <row r="623" spans="1:5" x14ac:dyDescent="0.25">
      <c r="A623" s="8">
        <v>42615.578946759262</v>
      </c>
      <c r="B623" t="s">
        <v>91</v>
      </c>
      <c r="C623" t="s">
        <v>1275</v>
      </c>
      <c r="D623">
        <v>2020000</v>
      </c>
      <c r="E623" t="s">
        <v>1037</v>
      </c>
    </row>
    <row r="624" spans="1:5" x14ac:dyDescent="0.25">
      <c r="A624" s="8">
        <v>42615.585659722223</v>
      </c>
      <c r="B624" t="s">
        <v>226</v>
      </c>
      <c r="C624" t="s">
        <v>1276</v>
      </c>
      <c r="D624">
        <v>940000</v>
      </c>
      <c r="E624" t="s">
        <v>1063</v>
      </c>
    </row>
    <row r="625" spans="1:5" x14ac:dyDescent="0.25">
      <c r="A625" s="8">
        <v>42615.59039351852</v>
      </c>
      <c r="B625" t="s">
        <v>1169</v>
      </c>
      <c r="C625" t="s">
        <v>1277</v>
      </c>
      <c r="D625">
        <v>950000</v>
      </c>
      <c r="E625" t="s">
        <v>1260</v>
      </c>
    </row>
    <row r="626" spans="1:5" x14ac:dyDescent="0.25">
      <c r="A626" s="8">
        <v>42615.595335648148</v>
      </c>
      <c r="B626" t="s">
        <v>257</v>
      </c>
      <c r="C626" t="s">
        <v>1278</v>
      </c>
      <c r="D626">
        <v>2280000</v>
      </c>
      <c r="E626" t="s">
        <v>839</v>
      </c>
    </row>
    <row r="627" spans="1:5" x14ac:dyDescent="0.25">
      <c r="A627" s="8">
        <v>42615.59820601852</v>
      </c>
      <c r="B627" t="s">
        <v>114</v>
      </c>
      <c r="C627" t="s">
        <v>1279</v>
      </c>
      <c r="D627">
        <v>2040000</v>
      </c>
      <c r="E627" t="s">
        <v>857</v>
      </c>
    </row>
    <row r="628" spans="1:5" x14ac:dyDescent="0.25">
      <c r="A628" s="8">
        <v>42615.60229166667</v>
      </c>
      <c r="B628" t="s">
        <v>724</v>
      </c>
      <c r="C628" t="s">
        <v>1280</v>
      </c>
      <c r="D628">
        <v>880000</v>
      </c>
      <c r="E628" t="s">
        <v>1236</v>
      </c>
    </row>
    <row r="629" spans="1:5" x14ac:dyDescent="0.25">
      <c r="A629" s="8">
        <v>42615.606851851851</v>
      </c>
      <c r="B629" t="s">
        <v>712</v>
      </c>
      <c r="C629" t="s">
        <v>1281</v>
      </c>
      <c r="D629">
        <v>2100000</v>
      </c>
      <c r="E629" t="s">
        <v>136</v>
      </c>
    </row>
    <row r="630" spans="1:5" x14ac:dyDescent="0.25">
      <c r="A630" s="8">
        <v>42615.610393518517</v>
      </c>
      <c r="B630" t="s">
        <v>260</v>
      </c>
      <c r="C630" t="s">
        <v>1282</v>
      </c>
      <c r="D630">
        <v>2280000</v>
      </c>
      <c r="E630" t="s">
        <v>839</v>
      </c>
    </row>
    <row r="631" spans="1:5" x14ac:dyDescent="0.25">
      <c r="A631" s="8">
        <v>42615.612118055556</v>
      </c>
      <c r="B631" t="s">
        <v>151</v>
      </c>
      <c r="C631" t="s">
        <v>1283</v>
      </c>
      <c r="D631">
        <v>930000</v>
      </c>
      <c r="E631" t="s">
        <v>244</v>
      </c>
    </row>
    <row r="632" spans="1:5" x14ac:dyDescent="0.25">
      <c r="A632" s="8">
        <v>42615.618356481478</v>
      </c>
      <c r="B632" t="s">
        <v>92</v>
      </c>
      <c r="C632" t="s">
        <v>1284</v>
      </c>
      <c r="D632">
        <v>2020000</v>
      </c>
      <c r="E632" t="s">
        <v>1037</v>
      </c>
    </row>
    <row r="633" spans="1:5" x14ac:dyDescent="0.25">
      <c r="A633" s="8">
        <v>42615.620081018518</v>
      </c>
      <c r="B633" t="s">
        <v>228</v>
      </c>
      <c r="C633" t="s">
        <v>1285</v>
      </c>
      <c r="D633">
        <v>940000</v>
      </c>
      <c r="E633" t="s">
        <v>1063</v>
      </c>
    </row>
    <row r="634" spans="1:5" x14ac:dyDescent="0.25">
      <c r="A634" s="8">
        <v>42615.628981481481</v>
      </c>
      <c r="B634" t="s">
        <v>741</v>
      </c>
      <c r="C634" t="s">
        <v>1286</v>
      </c>
      <c r="D634">
        <v>950000</v>
      </c>
      <c r="E634" t="s">
        <v>1260</v>
      </c>
    </row>
    <row r="635" spans="1:5" x14ac:dyDescent="0.25">
      <c r="A635" s="8">
        <v>42615.633483796293</v>
      </c>
      <c r="B635" t="s">
        <v>113</v>
      </c>
      <c r="C635" t="s">
        <v>1287</v>
      </c>
      <c r="D635">
        <v>2040000</v>
      </c>
      <c r="E635" t="s">
        <v>857</v>
      </c>
    </row>
    <row r="636" spans="1:5" x14ac:dyDescent="0.25">
      <c r="A636" s="8">
        <v>42615.636053240742</v>
      </c>
      <c r="B636" t="s">
        <v>257</v>
      </c>
      <c r="C636" t="s">
        <v>1288</v>
      </c>
      <c r="D636">
        <v>2280000</v>
      </c>
      <c r="E636" t="s">
        <v>839</v>
      </c>
    </row>
    <row r="637" spans="1:5" x14ac:dyDescent="0.25">
      <c r="A637" s="8">
        <v>42615.639907407407</v>
      </c>
      <c r="B637" t="s">
        <v>746</v>
      </c>
      <c r="C637" t="s">
        <v>1289</v>
      </c>
      <c r="D637">
        <v>880000</v>
      </c>
      <c r="E637" t="s">
        <v>1236</v>
      </c>
    </row>
    <row r="638" spans="1:5" x14ac:dyDescent="0.25">
      <c r="A638" s="8">
        <v>42615.643090277779</v>
      </c>
      <c r="B638" t="s">
        <v>1167</v>
      </c>
      <c r="C638" t="s">
        <v>1290</v>
      </c>
      <c r="D638">
        <v>2100000</v>
      </c>
      <c r="E638" t="s">
        <v>136</v>
      </c>
    </row>
    <row r="639" spans="1:5" x14ac:dyDescent="0.25">
      <c r="A639" s="8">
        <v>42615.647928240738</v>
      </c>
      <c r="B639" t="s">
        <v>351</v>
      </c>
      <c r="C639" t="s">
        <v>1291</v>
      </c>
      <c r="D639">
        <v>930000</v>
      </c>
      <c r="E639" t="s">
        <v>244</v>
      </c>
    </row>
    <row r="640" spans="1:5" x14ac:dyDescent="0.25">
      <c r="A640" s="8">
        <v>42615.651053240741</v>
      </c>
      <c r="B640" t="s">
        <v>260</v>
      </c>
      <c r="C640" t="s">
        <v>1292</v>
      </c>
      <c r="D640">
        <v>2280000</v>
      </c>
      <c r="E640" t="s">
        <v>839</v>
      </c>
    </row>
    <row r="641" spans="1:5" x14ac:dyDescent="0.25">
      <c r="A641" s="8">
        <v>42615.652824074074</v>
      </c>
      <c r="B641" t="s">
        <v>91</v>
      </c>
      <c r="C641" t="s">
        <v>1293</v>
      </c>
      <c r="D641">
        <v>2020000</v>
      </c>
      <c r="E641" t="s">
        <v>1037</v>
      </c>
    </row>
    <row r="642" spans="1:5" x14ac:dyDescent="0.25">
      <c r="A642" s="8">
        <v>42615.653495370374</v>
      </c>
      <c r="B642" t="s">
        <v>226</v>
      </c>
      <c r="C642" t="s">
        <v>1294</v>
      </c>
      <c r="D642">
        <v>940000</v>
      </c>
      <c r="E642" t="s">
        <v>1063</v>
      </c>
    </row>
    <row r="643" spans="1:5" x14ac:dyDescent="0.25">
      <c r="A643" s="8">
        <v>42615.657812500001</v>
      </c>
      <c r="B643" t="s">
        <v>781</v>
      </c>
      <c r="C643" t="s">
        <v>1295</v>
      </c>
      <c r="D643">
        <v>2270000</v>
      </c>
      <c r="E643" t="s">
        <v>466</v>
      </c>
    </row>
    <row r="644" spans="1:5" x14ac:dyDescent="0.25">
      <c r="A644" s="8">
        <v>42615.663055555553</v>
      </c>
      <c r="B644" t="s">
        <v>1169</v>
      </c>
      <c r="C644" t="s">
        <v>1296</v>
      </c>
      <c r="D644">
        <v>950000</v>
      </c>
      <c r="E644" t="s">
        <v>1260</v>
      </c>
    </row>
    <row r="645" spans="1:5" x14ac:dyDescent="0.25">
      <c r="A645" s="8">
        <v>42615.671956018516</v>
      </c>
      <c r="B645" t="s">
        <v>114</v>
      </c>
      <c r="C645" t="s">
        <v>1297</v>
      </c>
      <c r="D645">
        <v>2040000</v>
      </c>
      <c r="E645" t="s">
        <v>857</v>
      </c>
    </row>
    <row r="646" spans="1:5" x14ac:dyDescent="0.25">
      <c r="A646" s="8">
        <v>42615.672361111108</v>
      </c>
      <c r="B646" t="s">
        <v>720</v>
      </c>
      <c r="C646" t="s">
        <v>1298</v>
      </c>
      <c r="D646">
        <v>2270000</v>
      </c>
      <c r="E646" t="s">
        <v>466</v>
      </c>
    </row>
    <row r="647" spans="1:5" x14ac:dyDescent="0.25">
      <c r="A647" s="8">
        <v>42615.675023148149</v>
      </c>
      <c r="B647" t="s">
        <v>724</v>
      </c>
      <c r="C647" t="s">
        <v>1299</v>
      </c>
      <c r="D647">
        <v>880000</v>
      </c>
      <c r="E647" t="s">
        <v>1236</v>
      </c>
    </row>
    <row r="648" spans="1:5" x14ac:dyDescent="0.25">
      <c r="A648" s="8">
        <v>42615.67863425926</v>
      </c>
      <c r="B648" t="s">
        <v>257</v>
      </c>
      <c r="C648" t="s">
        <v>1300</v>
      </c>
      <c r="D648">
        <v>2280000</v>
      </c>
      <c r="E648" t="s">
        <v>839</v>
      </c>
    </row>
    <row r="649" spans="1:5" x14ac:dyDescent="0.25">
      <c r="A649" s="8">
        <v>42615.679201388892</v>
      </c>
      <c r="B649" t="s">
        <v>712</v>
      </c>
      <c r="C649" t="s">
        <v>1301</v>
      </c>
      <c r="D649">
        <v>2100000</v>
      </c>
      <c r="E649" t="s">
        <v>136</v>
      </c>
    </row>
    <row r="650" spans="1:5" x14ac:dyDescent="0.25">
      <c r="A650" s="8">
        <v>42615.686678240738</v>
      </c>
      <c r="B650" t="s">
        <v>151</v>
      </c>
      <c r="C650" t="s">
        <v>1302</v>
      </c>
      <c r="D650">
        <v>930000</v>
      </c>
      <c r="E650" t="s">
        <v>244</v>
      </c>
    </row>
    <row r="651" spans="1:5" x14ac:dyDescent="0.25">
      <c r="A651" s="8">
        <v>42615.686678240738</v>
      </c>
      <c r="B651" t="s">
        <v>781</v>
      </c>
      <c r="C651" t="s">
        <v>1303</v>
      </c>
      <c r="D651">
        <v>2270000</v>
      </c>
      <c r="E651" t="s">
        <v>466</v>
      </c>
    </row>
    <row r="652" spans="1:5" x14ac:dyDescent="0.25">
      <c r="A652" s="8">
        <v>42615.689108796294</v>
      </c>
      <c r="B652" t="s">
        <v>92</v>
      </c>
      <c r="C652" t="s">
        <v>1304</v>
      </c>
      <c r="D652">
        <v>2020000</v>
      </c>
      <c r="E652" t="s">
        <v>1037</v>
      </c>
    </row>
    <row r="653" spans="1:5" x14ac:dyDescent="0.25">
      <c r="A653" s="8">
        <v>42615.692164351851</v>
      </c>
      <c r="B653" t="s">
        <v>260</v>
      </c>
      <c r="C653" t="s">
        <v>1305</v>
      </c>
      <c r="D653">
        <v>2280000</v>
      </c>
      <c r="E653" t="s">
        <v>839</v>
      </c>
    </row>
    <row r="654" spans="1:5" x14ac:dyDescent="0.25">
      <c r="A654" s="8">
        <v>42615.694085648145</v>
      </c>
      <c r="B654" t="s">
        <v>228</v>
      </c>
      <c r="C654" t="s">
        <v>1306</v>
      </c>
      <c r="D654">
        <v>940000</v>
      </c>
      <c r="E654" t="s">
        <v>1063</v>
      </c>
    </row>
    <row r="655" spans="1:5" x14ac:dyDescent="0.25">
      <c r="A655" s="8">
        <v>42615.702986111108</v>
      </c>
      <c r="B655" t="s">
        <v>741</v>
      </c>
      <c r="C655" t="s">
        <v>1307</v>
      </c>
      <c r="D655">
        <v>950000</v>
      </c>
      <c r="E655" t="s">
        <v>1260</v>
      </c>
    </row>
    <row r="656" spans="1:5" x14ac:dyDescent="0.25">
      <c r="A656" s="8">
        <v>42615.705439814818</v>
      </c>
      <c r="B656" t="s">
        <v>113</v>
      </c>
      <c r="C656" t="s">
        <v>1308</v>
      </c>
      <c r="D656">
        <v>2040000</v>
      </c>
      <c r="E656" t="s">
        <v>857</v>
      </c>
    </row>
    <row r="657" spans="1:5" x14ac:dyDescent="0.25">
      <c r="A657" s="8">
        <v>42615.71371527778</v>
      </c>
      <c r="B657" t="s">
        <v>720</v>
      </c>
      <c r="C657" t="s">
        <v>1309</v>
      </c>
      <c r="D657">
        <v>2270000</v>
      </c>
      <c r="E657" t="s">
        <v>466</v>
      </c>
    </row>
    <row r="658" spans="1:5" x14ac:dyDescent="0.25">
      <c r="A658" s="8">
        <v>42615.714004629626</v>
      </c>
      <c r="B658" t="s">
        <v>746</v>
      </c>
      <c r="C658" t="s">
        <v>1310</v>
      </c>
      <c r="D658">
        <v>880000</v>
      </c>
      <c r="E658" t="s">
        <v>1236</v>
      </c>
    </row>
    <row r="659" spans="1:5" x14ac:dyDescent="0.25">
      <c r="A659" s="8">
        <v>42615.715775462966</v>
      </c>
      <c r="B659" t="s">
        <v>1167</v>
      </c>
      <c r="C659" t="s">
        <v>1311</v>
      </c>
      <c r="D659">
        <v>2100000</v>
      </c>
      <c r="E659" t="s">
        <v>136</v>
      </c>
    </row>
    <row r="660" spans="1:5" x14ac:dyDescent="0.25">
      <c r="A660" s="8">
        <v>42615.720196759263</v>
      </c>
      <c r="B660" t="s">
        <v>257</v>
      </c>
      <c r="C660" t="s">
        <v>1312</v>
      </c>
      <c r="D660">
        <v>2280000</v>
      </c>
      <c r="E660" t="s">
        <v>839</v>
      </c>
    </row>
    <row r="661" spans="1:5" x14ac:dyDescent="0.25">
      <c r="A661" s="8">
        <v>42615.722280092596</v>
      </c>
      <c r="B661" t="s">
        <v>351</v>
      </c>
      <c r="C661" t="s">
        <v>736</v>
      </c>
      <c r="D661">
        <v>930000</v>
      </c>
      <c r="E661" t="s">
        <v>244</v>
      </c>
    </row>
    <row r="662" spans="1:5" x14ac:dyDescent="0.25">
      <c r="A662" s="8">
        <v>42615.724374999998</v>
      </c>
      <c r="B662" t="s">
        <v>91</v>
      </c>
      <c r="C662" t="s">
        <v>1313</v>
      </c>
      <c r="D662">
        <v>2020000</v>
      </c>
      <c r="E662" t="s">
        <v>1037</v>
      </c>
    </row>
    <row r="663" spans="1:5" x14ac:dyDescent="0.25">
      <c r="A663" s="8">
        <v>42615.726157407407</v>
      </c>
      <c r="B663" t="s">
        <v>226</v>
      </c>
      <c r="C663" t="s">
        <v>1314</v>
      </c>
      <c r="D663">
        <v>940000</v>
      </c>
      <c r="E663" t="s">
        <v>1063</v>
      </c>
    </row>
    <row r="664" spans="1:5" x14ac:dyDescent="0.25">
      <c r="A664" s="8">
        <v>42615.728842592594</v>
      </c>
      <c r="B664" t="s">
        <v>781</v>
      </c>
      <c r="C664" t="s">
        <v>1315</v>
      </c>
      <c r="D664">
        <v>2270000</v>
      </c>
      <c r="E664" t="s">
        <v>466</v>
      </c>
    </row>
    <row r="665" spans="1:5" x14ac:dyDescent="0.25">
      <c r="A665" s="8">
        <v>42615.735208333332</v>
      </c>
      <c r="B665" t="s">
        <v>260</v>
      </c>
      <c r="C665" t="s">
        <v>1316</v>
      </c>
      <c r="D665">
        <v>2280000</v>
      </c>
      <c r="E665" t="s">
        <v>839</v>
      </c>
    </row>
    <row r="666" spans="1:5" x14ac:dyDescent="0.25">
      <c r="A666" s="8">
        <v>42615.735995370371</v>
      </c>
      <c r="B666" t="s">
        <v>1169</v>
      </c>
      <c r="C666" t="s">
        <v>1317</v>
      </c>
      <c r="D666">
        <v>1230000</v>
      </c>
      <c r="E666" t="s">
        <v>149</v>
      </c>
    </row>
    <row r="667" spans="1:5" x14ac:dyDescent="0.25">
      <c r="A667" s="8">
        <v>42615.746747685182</v>
      </c>
      <c r="B667" t="s">
        <v>114</v>
      </c>
      <c r="C667" t="s">
        <v>1318</v>
      </c>
      <c r="D667">
        <v>2040000</v>
      </c>
      <c r="E667" t="s">
        <v>857</v>
      </c>
    </row>
    <row r="668" spans="1:5" x14ac:dyDescent="0.25">
      <c r="A668" s="8">
        <v>42615.747604166667</v>
      </c>
      <c r="B668" t="s">
        <v>724</v>
      </c>
      <c r="C668" t="s">
        <v>1319</v>
      </c>
      <c r="D668">
        <v>950000</v>
      </c>
      <c r="E668" t="s">
        <v>1260</v>
      </c>
    </row>
    <row r="669" spans="1:5" x14ac:dyDescent="0.25">
      <c r="A669" s="8">
        <v>42615.750810185185</v>
      </c>
      <c r="B669" t="s">
        <v>139</v>
      </c>
      <c r="C669" t="s">
        <v>1320</v>
      </c>
      <c r="D669">
        <v>1480000</v>
      </c>
      <c r="E669" t="s">
        <v>459</v>
      </c>
    </row>
    <row r="670" spans="1:5" x14ac:dyDescent="0.25">
      <c r="A670" s="8">
        <v>42615.752476851849</v>
      </c>
      <c r="B670" t="s">
        <v>712</v>
      </c>
      <c r="C670" t="s">
        <v>1321</v>
      </c>
      <c r="D670">
        <v>2100000</v>
      </c>
      <c r="E670" t="s">
        <v>136</v>
      </c>
    </row>
    <row r="671" spans="1:5" x14ac:dyDescent="0.25">
      <c r="A671" s="8">
        <v>42615.75540509259</v>
      </c>
      <c r="B671" t="s">
        <v>720</v>
      </c>
      <c r="C671" t="s">
        <v>1322</v>
      </c>
      <c r="D671">
        <v>2270000</v>
      </c>
      <c r="E671" t="s">
        <v>466</v>
      </c>
    </row>
    <row r="672" spans="1:5" x14ac:dyDescent="0.25">
      <c r="A672" s="8">
        <v>42615.761874999997</v>
      </c>
      <c r="B672" t="s">
        <v>257</v>
      </c>
      <c r="C672" t="s">
        <v>1323</v>
      </c>
      <c r="D672">
        <v>2280000</v>
      </c>
      <c r="E672" t="s">
        <v>839</v>
      </c>
    </row>
    <row r="673" spans="1:5" x14ac:dyDescent="0.25">
      <c r="A673" s="8">
        <v>42615.765173611115</v>
      </c>
      <c r="B673" t="s">
        <v>151</v>
      </c>
      <c r="C673" t="s">
        <v>1324</v>
      </c>
      <c r="D673">
        <v>1800000</v>
      </c>
      <c r="E673" t="s">
        <v>152</v>
      </c>
    </row>
    <row r="674" spans="1:5" x14ac:dyDescent="0.25">
      <c r="A674" s="8">
        <v>42615.765474537038</v>
      </c>
      <c r="B674" t="s">
        <v>92</v>
      </c>
      <c r="C674" t="s">
        <v>1325</v>
      </c>
      <c r="D674">
        <v>2020000</v>
      </c>
      <c r="E674" t="s">
        <v>1037</v>
      </c>
    </row>
    <row r="675" spans="1:5" x14ac:dyDescent="0.25">
      <c r="A675" s="8">
        <v>42615.767430555556</v>
      </c>
      <c r="B675" t="s">
        <v>909</v>
      </c>
      <c r="C675" t="s">
        <v>1326</v>
      </c>
      <c r="D675">
        <v>2090000</v>
      </c>
      <c r="E675" t="s">
        <v>161</v>
      </c>
    </row>
    <row r="676" spans="1:5" x14ac:dyDescent="0.25">
      <c r="A676" s="8">
        <v>42615.771168981482</v>
      </c>
      <c r="B676" t="s">
        <v>781</v>
      </c>
      <c r="C676" t="s">
        <v>1327</v>
      </c>
      <c r="D676">
        <v>2270000</v>
      </c>
      <c r="E676" t="s">
        <v>466</v>
      </c>
    </row>
    <row r="677" spans="1:5" x14ac:dyDescent="0.25">
      <c r="A677" s="8">
        <v>42615.774664351855</v>
      </c>
      <c r="B677" t="s">
        <v>741</v>
      </c>
      <c r="C677" t="s">
        <v>1328</v>
      </c>
      <c r="D677">
        <v>1230000</v>
      </c>
      <c r="E677" t="s">
        <v>149</v>
      </c>
    </row>
    <row r="678" spans="1:5" x14ac:dyDescent="0.25">
      <c r="A678" s="8">
        <v>42615.776423611111</v>
      </c>
      <c r="B678" t="s">
        <v>260</v>
      </c>
      <c r="C678" t="s">
        <v>1329</v>
      </c>
      <c r="D678">
        <v>2280000</v>
      </c>
      <c r="E678" t="s">
        <v>839</v>
      </c>
    </row>
    <row r="679" spans="1:5" x14ac:dyDescent="0.25">
      <c r="A679" s="8">
        <v>42615.777395833335</v>
      </c>
      <c r="B679" t="s">
        <v>260</v>
      </c>
      <c r="C679" t="s">
        <v>1329</v>
      </c>
      <c r="D679">
        <v>2280000</v>
      </c>
      <c r="E679" t="s">
        <v>839</v>
      </c>
    </row>
    <row r="680" spans="1:5" x14ac:dyDescent="0.25">
      <c r="A680" s="8">
        <v>42615.779004629629</v>
      </c>
      <c r="B680" t="s">
        <v>228</v>
      </c>
      <c r="C680" t="s">
        <v>1330</v>
      </c>
      <c r="D680">
        <v>2220000</v>
      </c>
      <c r="E680" t="s">
        <v>218</v>
      </c>
    </row>
    <row r="681" spans="1:5" x14ac:dyDescent="0.25">
      <c r="A681" s="8">
        <v>42615.784074074072</v>
      </c>
      <c r="B681" t="s">
        <v>113</v>
      </c>
      <c r="C681" t="s">
        <v>1331</v>
      </c>
      <c r="D681">
        <v>2090000</v>
      </c>
      <c r="E681" t="s">
        <v>161</v>
      </c>
    </row>
    <row r="682" spans="1:5" x14ac:dyDescent="0.25">
      <c r="A682" s="8">
        <v>42615.787199074075</v>
      </c>
      <c r="B682" t="s">
        <v>746</v>
      </c>
      <c r="C682" t="s">
        <v>1332</v>
      </c>
      <c r="D682">
        <v>950000</v>
      </c>
      <c r="E682" t="s">
        <v>1260</v>
      </c>
    </row>
    <row r="683" spans="1:5" x14ac:dyDescent="0.25">
      <c r="A683" s="8">
        <v>42615.787569444445</v>
      </c>
      <c r="B683" t="s">
        <v>113</v>
      </c>
      <c r="C683" t="s">
        <v>1331</v>
      </c>
      <c r="D683">
        <v>2090000</v>
      </c>
      <c r="E683" t="s">
        <v>161</v>
      </c>
    </row>
    <row r="684" spans="1:5" x14ac:dyDescent="0.25">
      <c r="A684" s="8">
        <v>42615.788460648146</v>
      </c>
      <c r="B684" t="s">
        <v>154</v>
      </c>
      <c r="C684" t="s">
        <v>1333</v>
      </c>
      <c r="D684">
        <v>2040000</v>
      </c>
      <c r="E684" t="s">
        <v>857</v>
      </c>
    </row>
    <row r="685" spans="1:5" x14ac:dyDescent="0.25">
      <c r="A685" s="8">
        <v>42615.78943287037</v>
      </c>
      <c r="B685" t="s">
        <v>154</v>
      </c>
      <c r="C685" t="s">
        <v>1333</v>
      </c>
      <c r="D685">
        <v>2040000</v>
      </c>
      <c r="E685" t="s">
        <v>857</v>
      </c>
    </row>
    <row r="686" spans="1:5" x14ac:dyDescent="0.25">
      <c r="A686" s="8">
        <v>42615.796909722223</v>
      </c>
      <c r="B686" t="s">
        <v>720</v>
      </c>
      <c r="C686" t="s">
        <v>1334</v>
      </c>
      <c r="D686">
        <v>2270000</v>
      </c>
      <c r="E686" t="s">
        <v>466</v>
      </c>
    </row>
    <row r="687" spans="1:5" x14ac:dyDescent="0.25">
      <c r="A687" s="8">
        <v>42615.799201388887</v>
      </c>
      <c r="B687" t="s">
        <v>351</v>
      </c>
      <c r="C687" t="s">
        <v>1335</v>
      </c>
      <c r="D687">
        <v>1800000</v>
      </c>
      <c r="E687" t="s">
        <v>152</v>
      </c>
    </row>
    <row r="688" spans="1:5" x14ac:dyDescent="0.25">
      <c r="A688" s="8">
        <v>42615.801076388889</v>
      </c>
      <c r="B688" t="s">
        <v>919</v>
      </c>
      <c r="C688" t="s">
        <v>1336</v>
      </c>
      <c r="D688">
        <v>2100000</v>
      </c>
      <c r="E688" t="s">
        <v>136</v>
      </c>
    </row>
    <row r="689" spans="1:5" x14ac:dyDescent="0.25">
      <c r="A689" s="8">
        <v>42615.802812499998</v>
      </c>
      <c r="B689" t="s">
        <v>92</v>
      </c>
      <c r="C689" t="s">
        <v>1325</v>
      </c>
      <c r="D689">
        <v>0</v>
      </c>
      <c r="E689" t="s">
        <v>1075</v>
      </c>
    </row>
    <row r="690" spans="1:5" x14ac:dyDescent="0.25">
      <c r="A690" s="8">
        <v>42615.804143518515</v>
      </c>
      <c r="B690" t="s">
        <v>257</v>
      </c>
      <c r="C690" t="s">
        <v>1337</v>
      </c>
      <c r="D690">
        <v>2280000</v>
      </c>
      <c r="E690" t="s">
        <v>839</v>
      </c>
    </row>
    <row r="691" spans="1:5" x14ac:dyDescent="0.25">
      <c r="A691" s="8">
        <v>42615.805833333332</v>
      </c>
      <c r="B691" t="s">
        <v>257</v>
      </c>
      <c r="C691" t="s">
        <v>1337</v>
      </c>
      <c r="D691">
        <v>2280000</v>
      </c>
      <c r="E691" t="s">
        <v>839</v>
      </c>
    </row>
    <row r="692" spans="1:5" x14ac:dyDescent="0.25">
      <c r="A692" s="8">
        <v>42615.806944444441</v>
      </c>
      <c r="B692" t="s">
        <v>91</v>
      </c>
      <c r="C692" t="s">
        <v>1338</v>
      </c>
      <c r="D692">
        <v>2020000</v>
      </c>
      <c r="E692" t="s">
        <v>1037</v>
      </c>
    </row>
    <row r="693" spans="1:5" x14ac:dyDescent="0.25">
      <c r="A693" s="8">
        <v>42615.809895833336</v>
      </c>
      <c r="B693" t="s">
        <v>1169</v>
      </c>
      <c r="C693" t="s">
        <v>1339</v>
      </c>
      <c r="D693">
        <v>1230000</v>
      </c>
      <c r="E693" t="s">
        <v>149</v>
      </c>
    </row>
    <row r="694" spans="1:5" x14ac:dyDescent="0.25">
      <c r="A694" s="8">
        <v>42615.811539351853</v>
      </c>
      <c r="B694" t="s">
        <v>226</v>
      </c>
      <c r="C694" t="s">
        <v>1340</v>
      </c>
      <c r="D694">
        <v>2220000</v>
      </c>
      <c r="E694" t="s">
        <v>218</v>
      </c>
    </row>
    <row r="695" spans="1:5" x14ac:dyDescent="0.25">
      <c r="A695" s="8">
        <v>42615.818113425928</v>
      </c>
      <c r="B695" t="s">
        <v>260</v>
      </c>
      <c r="C695" t="s">
        <v>1341</v>
      </c>
      <c r="D695">
        <v>2280000</v>
      </c>
      <c r="E695" t="s">
        <v>839</v>
      </c>
    </row>
    <row r="696" spans="1:5" x14ac:dyDescent="0.25">
      <c r="A696" s="8">
        <v>42615.8203587963</v>
      </c>
      <c r="B696" t="s">
        <v>724</v>
      </c>
      <c r="C696" t="s">
        <v>1342</v>
      </c>
      <c r="D696">
        <v>950000</v>
      </c>
      <c r="E696" t="s">
        <v>1260</v>
      </c>
    </row>
    <row r="697" spans="1:5" x14ac:dyDescent="0.25">
      <c r="A697" s="8">
        <v>42615.824629629627</v>
      </c>
      <c r="B697" t="s">
        <v>144</v>
      </c>
      <c r="C697" t="s">
        <v>1343</v>
      </c>
      <c r="D697">
        <v>2110000</v>
      </c>
      <c r="E697" t="s">
        <v>1117</v>
      </c>
    </row>
    <row r="698" spans="1:5" x14ac:dyDescent="0.25">
      <c r="A698" s="8">
        <v>42615.828900462962</v>
      </c>
      <c r="B698" t="s">
        <v>114</v>
      </c>
      <c r="C698" t="s">
        <v>1344</v>
      </c>
      <c r="D698">
        <v>2090000</v>
      </c>
      <c r="E698" t="s">
        <v>161</v>
      </c>
    </row>
    <row r="699" spans="1:5" x14ac:dyDescent="0.25">
      <c r="A699" s="8">
        <v>42615.847268518519</v>
      </c>
      <c r="B699" t="s">
        <v>257</v>
      </c>
      <c r="C699" t="s">
        <v>1345</v>
      </c>
      <c r="D699">
        <v>2280000</v>
      </c>
      <c r="E699" t="s">
        <v>839</v>
      </c>
    </row>
    <row r="700" spans="1:5" x14ac:dyDescent="0.25">
      <c r="A700" s="8">
        <v>42615.849259259259</v>
      </c>
      <c r="B700" t="s">
        <v>741</v>
      </c>
      <c r="C700" t="s">
        <v>1346</v>
      </c>
      <c r="D700">
        <v>1230000</v>
      </c>
      <c r="E700" t="s">
        <v>149</v>
      </c>
    </row>
    <row r="701" spans="1:5" x14ac:dyDescent="0.25">
      <c r="A701" s="8">
        <v>42615.850787037038</v>
      </c>
      <c r="B701" t="s">
        <v>228</v>
      </c>
      <c r="C701" t="s">
        <v>1347</v>
      </c>
      <c r="D701">
        <v>2220000</v>
      </c>
      <c r="E701" t="s">
        <v>218</v>
      </c>
    </row>
    <row r="702" spans="1:5" x14ac:dyDescent="0.25">
      <c r="A702" s="8">
        <v>42615.859965277778</v>
      </c>
      <c r="B702" t="s">
        <v>260</v>
      </c>
      <c r="C702" t="s">
        <v>1348</v>
      </c>
      <c r="D702">
        <v>2280000</v>
      </c>
      <c r="E702" t="s">
        <v>839</v>
      </c>
    </row>
    <row r="703" spans="1:5" x14ac:dyDescent="0.25">
      <c r="A703" s="8">
        <v>42615.867812500001</v>
      </c>
      <c r="B703" t="s">
        <v>139</v>
      </c>
      <c r="C703" t="s">
        <v>1349</v>
      </c>
      <c r="D703">
        <v>2110000</v>
      </c>
      <c r="E703" t="s">
        <v>1117</v>
      </c>
    </row>
    <row r="704" spans="1:5" x14ac:dyDescent="0.25">
      <c r="A704" s="8">
        <v>42615.870937500003</v>
      </c>
      <c r="B704" t="s">
        <v>113</v>
      </c>
      <c r="C704" t="s">
        <v>1350</v>
      </c>
      <c r="D704">
        <v>2090000</v>
      </c>
      <c r="E704" t="s">
        <v>161</v>
      </c>
    </row>
    <row r="705" spans="1:5" x14ac:dyDescent="0.25">
      <c r="A705" s="8">
        <v>42615.883611111109</v>
      </c>
      <c r="B705" t="s">
        <v>257</v>
      </c>
      <c r="C705" t="s">
        <v>1351</v>
      </c>
      <c r="D705">
        <v>2270000</v>
      </c>
      <c r="E705" t="s">
        <v>466</v>
      </c>
    </row>
    <row r="706" spans="1:5" x14ac:dyDescent="0.25">
      <c r="A706" s="8">
        <v>42615.888958333337</v>
      </c>
      <c r="B706" t="s">
        <v>226</v>
      </c>
      <c r="C706" t="s">
        <v>1352</v>
      </c>
      <c r="D706">
        <v>2220000</v>
      </c>
      <c r="E706" t="s">
        <v>218</v>
      </c>
    </row>
    <row r="707" spans="1:5" x14ac:dyDescent="0.25">
      <c r="A707" s="8">
        <v>42615.891053240739</v>
      </c>
      <c r="B707" t="s">
        <v>351</v>
      </c>
      <c r="C707" t="s">
        <v>1353</v>
      </c>
      <c r="D707">
        <v>1800000</v>
      </c>
      <c r="E707" t="s">
        <v>152</v>
      </c>
    </row>
    <row r="708" spans="1:5" x14ac:dyDescent="0.25">
      <c r="A708" s="8">
        <v>42615.893460648149</v>
      </c>
      <c r="B708" t="s">
        <v>1169</v>
      </c>
      <c r="C708" t="s">
        <v>1354</v>
      </c>
      <c r="D708">
        <v>1230000</v>
      </c>
      <c r="E708" t="s">
        <v>149</v>
      </c>
    </row>
    <row r="709" spans="1:5" x14ac:dyDescent="0.25">
      <c r="A709" s="8">
        <v>42615.901122685187</v>
      </c>
      <c r="B709" t="s">
        <v>260</v>
      </c>
      <c r="C709" t="s">
        <v>1355</v>
      </c>
      <c r="D709">
        <v>2270000</v>
      </c>
      <c r="E709" t="s">
        <v>466</v>
      </c>
    </row>
    <row r="710" spans="1:5" x14ac:dyDescent="0.25">
      <c r="A710" s="8">
        <v>42615.910266203704</v>
      </c>
      <c r="B710" t="s">
        <v>114</v>
      </c>
      <c r="C710" t="s">
        <v>1356</v>
      </c>
      <c r="D710">
        <v>2090000</v>
      </c>
      <c r="E710" t="s">
        <v>161</v>
      </c>
    </row>
    <row r="711" spans="1:5" x14ac:dyDescent="0.25">
      <c r="A711" s="8">
        <v>42615.912557870368</v>
      </c>
      <c r="B711" t="s">
        <v>151</v>
      </c>
      <c r="C711" t="s">
        <v>1353</v>
      </c>
      <c r="D711">
        <v>1800000</v>
      </c>
      <c r="E711" t="s">
        <v>152</v>
      </c>
    </row>
    <row r="712" spans="1:5" x14ac:dyDescent="0.25">
      <c r="A712" s="8">
        <v>42615.919004629628</v>
      </c>
      <c r="B712" t="s">
        <v>257</v>
      </c>
      <c r="C712" t="s">
        <v>1357</v>
      </c>
      <c r="D712">
        <v>2270000</v>
      </c>
      <c r="E712" t="s">
        <v>466</v>
      </c>
    </row>
    <row r="713" spans="1:5" x14ac:dyDescent="0.25">
      <c r="A713" s="8">
        <v>42615.931562500002</v>
      </c>
      <c r="B713" t="s">
        <v>228</v>
      </c>
      <c r="C713" t="s">
        <v>1358</v>
      </c>
      <c r="D713">
        <v>2220000</v>
      </c>
      <c r="E713" t="s">
        <v>218</v>
      </c>
    </row>
    <row r="714" spans="1:5" x14ac:dyDescent="0.25">
      <c r="A714" s="8">
        <v>42615.931666666664</v>
      </c>
      <c r="B714" t="s">
        <v>741</v>
      </c>
      <c r="C714" t="s">
        <v>1359</v>
      </c>
      <c r="D714">
        <v>1230000</v>
      </c>
      <c r="E714" t="s">
        <v>149</v>
      </c>
    </row>
    <row r="715" spans="1:5" x14ac:dyDescent="0.25">
      <c r="A715" s="8">
        <v>42615.944050925929</v>
      </c>
      <c r="B715" t="s">
        <v>260</v>
      </c>
      <c r="C715" t="s">
        <v>1360</v>
      </c>
      <c r="D715">
        <v>2270000</v>
      </c>
      <c r="E715" t="s">
        <v>466</v>
      </c>
    </row>
    <row r="716" spans="1:5" x14ac:dyDescent="0.25">
      <c r="A716" s="8">
        <v>42615.955520833333</v>
      </c>
      <c r="B716" t="s">
        <v>351</v>
      </c>
      <c r="C716" t="s">
        <v>1361</v>
      </c>
      <c r="D716">
        <v>1800000</v>
      </c>
      <c r="E716" t="s">
        <v>152</v>
      </c>
    </row>
    <row r="717" spans="1:5" x14ac:dyDescent="0.25">
      <c r="A717" s="8">
        <v>42615.956238425926</v>
      </c>
      <c r="B717" t="s">
        <v>113</v>
      </c>
      <c r="C717" t="s">
        <v>1362</v>
      </c>
      <c r="D717">
        <v>2090000</v>
      </c>
      <c r="E717" t="s">
        <v>161</v>
      </c>
    </row>
    <row r="718" spans="1:5" x14ac:dyDescent="0.25">
      <c r="A718" s="8">
        <v>42615.972222222219</v>
      </c>
      <c r="B718" t="s">
        <v>226</v>
      </c>
      <c r="C718" t="s">
        <v>1363</v>
      </c>
      <c r="D718">
        <v>2220000</v>
      </c>
      <c r="E718" t="s">
        <v>218</v>
      </c>
    </row>
    <row r="719" spans="1:5" x14ac:dyDescent="0.25">
      <c r="A719" s="8">
        <v>42615.974328703705</v>
      </c>
      <c r="B719" t="s">
        <v>1169</v>
      </c>
      <c r="C719" t="s">
        <v>1364</v>
      </c>
      <c r="D719">
        <v>1230000</v>
      </c>
      <c r="E719" t="s">
        <v>149</v>
      </c>
    </row>
    <row r="720" spans="1:5" x14ac:dyDescent="0.25">
      <c r="A720" s="8">
        <v>42615.994062500002</v>
      </c>
      <c r="B720" t="s">
        <v>114</v>
      </c>
      <c r="C720" t="s">
        <v>1365</v>
      </c>
      <c r="D720">
        <v>2090000</v>
      </c>
      <c r="E720" t="s">
        <v>161</v>
      </c>
    </row>
    <row r="721" spans="1:5" x14ac:dyDescent="0.25">
      <c r="A721" s="8">
        <v>42615.998356481483</v>
      </c>
      <c r="B721" t="s">
        <v>151</v>
      </c>
      <c r="C721" t="s">
        <v>1366</v>
      </c>
      <c r="D721">
        <v>1800000</v>
      </c>
      <c r="E721" t="s">
        <v>152</v>
      </c>
    </row>
    <row r="722" spans="1:5" x14ac:dyDescent="0.25">
      <c r="A722" s="8">
        <v>42616.015023148146</v>
      </c>
      <c r="B722" t="s">
        <v>741</v>
      </c>
      <c r="C722" t="s">
        <v>1367</v>
      </c>
      <c r="D722">
        <v>1230000</v>
      </c>
      <c r="E722" t="s">
        <v>149</v>
      </c>
    </row>
    <row r="723" spans="1:5" x14ac:dyDescent="0.25">
      <c r="A723" s="8">
        <v>42616.015219907407</v>
      </c>
      <c r="B723" t="s">
        <v>228</v>
      </c>
      <c r="C723" t="s">
        <v>1368</v>
      </c>
      <c r="D723">
        <v>2220000</v>
      </c>
      <c r="E723" t="s">
        <v>218</v>
      </c>
    </row>
    <row r="724" spans="1:5" x14ac:dyDescent="0.25">
      <c r="A724" s="8">
        <v>42616.037974537037</v>
      </c>
      <c r="B724" t="s">
        <v>351</v>
      </c>
      <c r="C724" t="s">
        <v>1369</v>
      </c>
      <c r="D724">
        <v>1800000</v>
      </c>
      <c r="E724" t="s">
        <v>152</v>
      </c>
    </row>
    <row r="725" spans="1:5" x14ac:dyDescent="0.25">
      <c r="A725" s="8">
        <v>42616.038726851853</v>
      </c>
      <c r="B725" t="s">
        <v>113</v>
      </c>
      <c r="C725" t="s">
        <v>1370</v>
      </c>
      <c r="D725">
        <v>2090000</v>
      </c>
      <c r="E725" t="s">
        <v>161</v>
      </c>
    </row>
    <row r="726" spans="1:5" x14ac:dyDescent="0.25">
      <c r="A726" s="8">
        <v>42616.046296296299</v>
      </c>
      <c r="B726" t="s">
        <v>1169</v>
      </c>
      <c r="C726" t="s">
        <v>1371</v>
      </c>
      <c r="D726">
        <v>1230000</v>
      </c>
      <c r="E726" t="s">
        <v>149</v>
      </c>
    </row>
    <row r="727" spans="1:5" x14ac:dyDescent="0.25">
      <c r="A727" s="8">
        <v>42616.054826388892</v>
      </c>
      <c r="B727" t="s">
        <v>226</v>
      </c>
      <c r="C727" t="s">
        <v>1372</v>
      </c>
      <c r="D727">
        <v>2220000</v>
      </c>
      <c r="E727" t="s">
        <v>218</v>
      </c>
    </row>
    <row r="728" spans="1:5" x14ac:dyDescent="0.25">
      <c r="A728" s="8">
        <v>42616.070509259262</v>
      </c>
      <c r="B728" t="s">
        <v>151</v>
      </c>
      <c r="C728" t="s">
        <v>1373</v>
      </c>
      <c r="D728">
        <v>1800000</v>
      </c>
      <c r="E728" t="s">
        <v>152</v>
      </c>
    </row>
    <row r="729" spans="1:5" x14ac:dyDescent="0.25">
      <c r="A729" s="8">
        <v>42616.076701388891</v>
      </c>
      <c r="B729" t="s">
        <v>114</v>
      </c>
      <c r="C729" t="s">
        <v>708</v>
      </c>
      <c r="D729">
        <v>2090000</v>
      </c>
      <c r="E729" t="s">
        <v>161</v>
      </c>
    </row>
    <row r="730" spans="1:5" x14ac:dyDescent="0.25">
      <c r="A730" s="8">
        <v>42616.093425925923</v>
      </c>
      <c r="B730" t="s">
        <v>228</v>
      </c>
      <c r="C730" t="s">
        <v>1374</v>
      </c>
      <c r="D730">
        <v>2220000</v>
      </c>
      <c r="E730" t="s">
        <v>218</v>
      </c>
    </row>
    <row r="731" spans="1:5" x14ac:dyDescent="0.25">
      <c r="A731" s="8">
        <v>42616.11277777778</v>
      </c>
      <c r="B731" t="s">
        <v>113</v>
      </c>
      <c r="C731" t="s">
        <v>1375</v>
      </c>
      <c r="D731">
        <v>2090000</v>
      </c>
      <c r="E731" t="s">
        <v>161</v>
      </c>
    </row>
    <row r="732" spans="1:5" x14ac:dyDescent="0.25">
      <c r="A732" s="8">
        <v>42616.132696759261</v>
      </c>
      <c r="B732" t="s">
        <v>201</v>
      </c>
      <c r="C732" t="s">
        <v>1376</v>
      </c>
      <c r="D732">
        <v>2010000</v>
      </c>
      <c r="E732" t="s">
        <v>760</v>
      </c>
    </row>
    <row r="733" spans="1:5" x14ac:dyDescent="0.25">
      <c r="A733" s="8">
        <v>42616.155717592592</v>
      </c>
      <c r="B733" t="s">
        <v>111</v>
      </c>
      <c r="C733" t="s">
        <v>1377</v>
      </c>
      <c r="D733">
        <v>1310000</v>
      </c>
      <c r="E733" t="s">
        <v>967</v>
      </c>
    </row>
    <row r="734" spans="1:5" x14ac:dyDescent="0.25">
      <c r="A734" s="8">
        <v>42616.168217592596</v>
      </c>
      <c r="B734" t="s">
        <v>245</v>
      </c>
      <c r="C734" t="s">
        <v>1378</v>
      </c>
      <c r="D734">
        <v>2010000</v>
      </c>
      <c r="E734" t="s">
        <v>760</v>
      </c>
    </row>
    <row r="735" spans="1:5" x14ac:dyDescent="0.25">
      <c r="A735" s="8">
        <v>42616.172627314816</v>
      </c>
      <c r="B735" t="s">
        <v>726</v>
      </c>
      <c r="C735" t="s">
        <v>1379</v>
      </c>
      <c r="D735">
        <v>1260000</v>
      </c>
      <c r="E735" t="s">
        <v>1380</v>
      </c>
    </row>
    <row r="736" spans="1:5" x14ac:dyDescent="0.25">
      <c r="A736" s="8">
        <v>42616.177372685182</v>
      </c>
      <c r="B736" t="s">
        <v>93</v>
      </c>
      <c r="C736" t="s">
        <v>1381</v>
      </c>
      <c r="D736">
        <v>1360000</v>
      </c>
      <c r="E736" t="s">
        <v>416</v>
      </c>
    </row>
    <row r="737" spans="1:5" x14ac:dyDescent="0.25">
      <c r="A737" s="8">
        <v>42616.186562499999</v>
      </c>
      <c r="B737" t="s">
        <v>91</v>
      </c>
      <c r="C737" t="s">
        <v>1382</v>
      </c>
      <c r="D737">
        <v>2030000</v>
      </c>
      <c r="E737" t="s">
        <v>246</v>
      </c>
    </row>
    <row r="738" spans="1:5" x14ac:dyDescent="0.25">
      <c r="A738" s="8">
        <v>42616.188101851854</v>
      </c>
      <c r="B738" t="s">
        <v>91</v>
      </c>
      <c r="C738" t="s">
        <v>1382</v>
      </c>
      <c r="D738">
        <v>2030000</v>
      </c>
      <c r="E738" t="s">
        <v>246</v>
      </c>
    </row>
    <row r="739" spans="1:5" x14ac:dyDescent="0.25">
      <c r="A739" s="8">
        <v>42616.191828703704</v>
      </c>
      <c r="B739" t="s">
        <v>93</v>
      </c>
      <c r="C739" t="s">
        <v>1381</v>
      </c>
      <c r="D739">
        <v>1360000</v>
      </c>
      <c r="E739" t="s">
        <v>416</v>
      </c>
    </row>
    <row r="740" spans="1:5" x14ac:dyDescent="0.25">
      <c r="A740" s="8">
        <v>42616.193981481483</v>
      </c>
      <c r="B740" t="s">
        <v>227</v>
      </c>
      <c r="C740" t="s">
        <v>718</v>
      </c>
      <c r="D740">
        <v>1310000</v>
      </c>
      <c r="E740" t="s">
        <v>967</v>
      </c>
    </row>
    <row r="741" spans="1:5" x14ac:dyDescent="0.25">
      <c r="A741" s="8">
        <v>42616.206655092596</v>
      </c>
      <c r="B741" t="s">
        <v>201</v>
      </c>
      <c r="C741" t="s">
        <v>1383</v>
      </c>
      <c r="D741">
        <v>2230000</v>
      </c>
      <c r="E741" t="s">
        <v>503</v>
      </c>
    </row>
    <row r="742" spans="1:5" x14ac:dyDescent="0.25">
      <c r="A742" s="8">
        <v>42616.206724537034</v>
      </c>
      <c r="B742" t="s">
        <v>247</v>
      </c>
      <c r="C742" t="s">
        <v>1384</v>
      </c>
      <c r="D742">
        <v>2010000</v>
      </c>
      <c r="E742" t="s">
        <v>760</v>
      </c>
    </row>
    <row r="743" spans="1:5" x14ac:dyDescent="0.25">
      <c r="A743" s="8">
        <v>42616.211087962962</v>
      </c>
      <c r="B743" t="s">
        <v>349</v>
      </c>
      <c r="C743" t="s">
        <v>1385</v>
      </c>
      <c r="D743">
        <v>1260000</v>
      </c>
      <c r="E743" t="s">
        <v>1380</v>
      </c>
    </row>
    <row r="744" spans="1:5" x14ac:dyDescent="0.25">
      <c r="A744" s="8">
        <v>42616.211909722224</v>
      </c>
      <c r="B744" t="s">
        <v>349</v>
      </c>
      <c r="C744" t="s">
        <v>1385</v>
      </c>
      <c r="D744">
        <v>1260000</v>
      </c>
      <c r="E744" t="s">
        <v>1380</v>
      </c>
    </row>
    <row r="745" spans="1:5" x14ac:dyDescent="0.25">
      <c r="A745" s="8">
        <v>42616.213148148148</v>
      </c>
      <c r="B745" t="s">
        <v>349</v>
      </c>
      <c r="C745" t="s">
        <v>1385</v>
      </c>
      <c r="D745">
        <v>1260000</v>
      </c>
      <c r="E745" t="s">
        <v>1380</v>
      </c>
    </row>
    <row r="746" spans="1:5" x14ac:dyDescent="0.25">
      <c r="A746" s="8">
        <v>42616.217048611114</v>
      </c>
      <c r="B746" t="s">
        <v>204</v>
      </c>
      <c r="C746" t="s">
        <v>1386</v>
      </c>
      <c r="D746">
        <v>1360000</v>
      </c>
      <c r="E746" t="s">
        <v>416</v>
      </c>
    </row>
    <row r="747" spans="1:5" x14ac:dyDescent="0.25">
      <c r="A747" s="8">
        <v>42616.226053240738</v>
      </c>
      <c r="B747" t="s">
        <v>111</v>
      </c>
      <c r="C747" t="s">
        <v>1387</v>
      </c>
      <c r="D747">
        <v>1760000</v>
      </c>
      <c r="E747" t="s">
        <v>762</v>
      </c>
    </row>
    <row r="748" spans="1:5" x14ac:dyDescent="0.25">
      <c r="A748" s="8">
        <v>42616.229456018518</v>
      </c>
      <c r="B748" t="s">
        <v>92</v>
      </c>
      <c r="C748" t="s">
        <v>1388</v>
      </c>
      <c r="D748">
        <v>2030000</v>
      </c>
      <c r="E748" t="s">
        <v>246</v>
      </c>
    </row>
    <row r="749" spans="1:5" x14ac:dyDescent="0.25">
      <c r="A749" s="8">
        <v>42616.229594907411</v>
      </c>
      <c r="B749" t="s">
        <v>111</v>
      </c>
      <c r="C749" t="s">
        <v>1387</v>
      </c>
      <c r="D749">
        <v>1760000</v>
      </c>
      <c r="E749" t="s">
        <v>762</v>
      </c>
    </row>
    <row r="750" spans="1:5" x14ac:dyDescent="0.25">
      <c r="A750" s="8">
        <v>42616.233460648145</v>
      </c>
      <c r="B750" t="s">
        <v>325</v>
      </c>
      <c r="C750" t="s">
        <v>1389</v>
      </c>
      <c r="D750">
        <v>1830000</v>
      </c>
      <c r="E750" t="s">
        <v>972</v>
      </c>
    </row>
    <row r="751" spans="1:5" x14ac:dyDescent="0.25">
      <c r="A751" s="8">
        <v>42616.239490740743</v>
      </c>
      <c r="B751" t="s">
        <v>154</v>
      </c>
      <c r="C751" t="s">
        <v>1390</v>
      </c>
      <c r="D751">
        <v>1310000</v>
      </c>
      <c r="E751" t="s">
        <v>967</v>
      </c>
    </row>
    <row r="752" spans="1:5" x14ac:dyDescent="0.25">
      <c r="A752" s="8">
        <v>42616.240439814814</v>
      </c>
      <c r="B752" t="s">
        <v>154</v>
      </c>
      <c r="C752" t="s">
        <v>1390</v>
      </c>
      <c r="D752">
        <v>1310000</v>
      </c>
      <c r="E752" t="s">
        <v>967</v>
      </c>
    </row>
    <row r="753" spans="1:5" x14ac:dyDescent="0.25">
      <c r="A753" s="8">
        <v>42616.241122685184</v>
      </c>
      <c r="B753" t="s">
        <v>200</v>
      </c>
      <c r="C753" t="s">
        <v>1391</v>
      </c>
      <c r="D753">
        <v>2230000</v>
      </c>
      <c r="E753" t="s">
        <v>503</v>
      </c>
    </row>
    <row r="754" spans="1:5" x14ac:dyDescent="0.25">
      <c r="A754" s="8">
        <v>42616.24664351852</v>
      </c>
      <c r="B754" t="s">
        <v>726</v>
      </c>
      <c r="C754" t="s">
        <v>1392</v>
      </c>
      <c r="D754">
        <v>1260000</v>
      </c>
      <c r="E754" t="s">
        <v>1380</v>
      </c>
    </row>
    <row r="755" spans="1:5" x14ac:dyDescent="0.25">
      <c r="A755" s="8">
        <v>42616.247627314813</v>
      </c>
      <c r="B755" t="s">
        <v>213</v>
      </c>
      <c r="C755" t="s">
        <v>1393</v>
      </c>
      <c r="D755">
        <v>1830000</v>
      </c>
      <c r="E755" t="s">
        <v>972</v>
      </c>
    </row>
    <row r="756" spans="1:5" x14ac:dyDescent="0.25">
      <c r="A756" s="8">
        <v>42616.25508101852</v>
      </c>
      <c r="B756" t="s">
        <v>245</v>
      </c>
      <c r="C756" t="s">
        <v>1394</v>
      </c>
      <c r="D756">
        <v>2010000</v>
      </c>
      <c r="E756" t="s">
        <v>760</v>
      </c>
    </row>
    <row r="757" spans="1:5" x14ac:dyDescent="0.25">
      <c r="A757" s="8">
        <v>42616.258240740739</v>
      </c>
      <c r="B757" t="s">
        <v>93</v>
      </c>
      <c r="C757" t="s">
        <v>1395</v>
      </c>
      <c r="D757">
        <v>1360000</v>
      </c>
      <c r="E757" t="s">
        <v>416</v>
      </c>
    </row>
    <row r="758" spans="1:5" x14ac:dyDescent="0.25">
      <c r="A758" s="8">
        <v>42616.26730324074</v>
      </c>
      <c r="B758" t="s">
        <v>90</v>
      </c>
      <c r="C758" t="s">
        <v>1396</v>
      </c>
      <c r="D758">
        <v>1760000</v>
      </c>
      <c r="E758" t="s">
        <v>762</v>
      </c>
    </row>
    <row r="759" spans="1:5" x14ac:dyDescent="0.25">
      <c r="A759" s="8">
        <v>42616.267627314817</v>
      </c>
      <c r="B759" t="s">
        <v>91</v>
      </c>
      <c r="C759" t="s">
        <v>1397</v>
      </c>
      <c r="D759">
        <v>2030000</v>
      </c>
      <c r="E759" t="s">
        <v>246</v>
      </c>
    </row>
    <row r="760" spans="1:5" x14ac:dyDescent="0.25">
      <c r="A760" s="8">
        <v>42616.275208333333</v>
      </c>
      <c r="B760" t="s">
        <v>227</v>
      </c>
      <c r="C760" t="s">
        <v>1398</v>
      </c>
      <c r="D760">
        <v>1310000</v>
      </c>
      <c r="E760" t="s">
        <v>967</v>
      </c>
    </row>
    <row r="761" spans="1:5" x14ac:dyDescent="0.25">
      <c r="A761" s="8">
        <v>42616.276203703703</v>
      </c>
      <c r="B761" t="s">
        <v>325</v>
      </c>
      <c r="C761" t="s">
        <v>1399</v>
      </c>
      <c r="D761">
        <v>1830000</v>
      </c>
      <c r="E761" t="s">
        <v>972</v>
      </c>
    </row>
    <row r="762" spans="1:5" x14ac:dyDescent="0.25">
      <c r="A762" s="8">
        <v>42616.278819444444</v>
      </c>
      <c r="B762" t="s">
        <v>201</v>
      </c>
      <c r="C762" t="s">
        <v>1400</v>
      </c>
      <c r="D762">
        <v>2230000</v>
      </c>
      <c r="E762" t="s">
        <v>503</v>
      </c>
    </row>
    <row r="763" spans="1:5" x14ac:dyDescent="0.25">
      <c r="A763" s="8">
        <v>42616.28396990741</v>
      </c>
      <c r="B763" t="s">
        <v>706</v>
      </c>
      <c r="C763" t="s">
        <v>1401</v>
      </c>
      <c r="D763">
        <v>1260000</v>
      </c>
      <c r="E763" t="s">
        <v>1380</v>
      </c>
    </row>
    <row r="764" spans="1:5" x14ac:dyDescent="0.25">
      <c r="A764" s="8">
        <v>42616.288159722222</v>
      </c>
      <c r="B764" t="s">
        <v>204</v>
      </c>
      <c r="C764" t="s">
        <v>1402</v>
      </c>
      <c r="D764">
        <v>1360000</v>
      </c>
      <c r="E764" t="s">
        <v>416</v>
      </c>
    </row>
    <row r="765" spans="1:5" x14ac:dyDescent="0.25">
      <c r="A765" s="8">
        <v>42616.288495370369</v>
      </c>
      <c r="B765" t="s">
        <v>247</v>
      </c>
      <c r="C765" t="s">
        <v>1403</v>
      </c>
      <c r="D765">
        <v>2010000</v>
      </c>
      <c r="E765" t="s">
        <v>760</v>
      </c>
    </row>
    <row r="766" spans="1:5" x14ac:dyDescent="0.25">
      <c r="A766" s="8">
        <v>42616.288842592592</v>
      </c>
      <c r="B766" t="s">
        <v>213</v>
      </c>
      <c r="C766" t="s">
        <v>1404</v>
      </c>
      <c r="D766">
        <v>1830000</v>
      </c>
      <c r="E766" t="s">
        <v>972</v>
      </c>
    </row>
    <row r="767" spans="1:5" x14ac:dyDescent="0.25">
      <c r="A767" s="8">
        <v>42616.298263888886</v>
      </c>
      <c r="B767" t="s">
        <v>111</v>
      </c>
      <c r="C767" t="s">
        <v>1405</v>
      </c>
      <c r="D767">
        <v>1760000</v>
      </c>
      <c r="E767" t="s">
        <v>762</v>
      </c>
    </row>
    <row r="768" spans="1:5" x14ac:dyDescent="0.25">
      <c r="A768" s="8">
        <v>42616.304664351854</v>
      </c>
      <c r="B768" t="s">
        <v>92</v>
      </c>
      <c r="C768" t="s">
        <v>1406</v>
      </c>
      <c r="D768">
        <v>2030000</v>
      </c>
      <c r="E768" t="s">
        <v>246</v>
      </c>
    </row>
    <row r="769" spans="1:5" x14ac:dyDescent="0.25">
      <c r="A769" s="8">
        <v>42616.309328703705</v>
      </c>
      <c r="B769" t="s">
        <v>200</v>
      </c>
      <c r="C769" t="s">
        <v>1407</v>
      </c>
      <c r="D769">
        <v>2230000</v>
      </c>
      <c r="E769" t="s">
        <v>503</v>
      </c>
    </row>
    <row r="770" spans="1:5" x14ac:dyDescent="0.25">
      <c r="A770" s="8">
        <v>42616.312060185184</v>
      </c>
      <c r="B770" t="s">
        <v>154</v>
      </c>
      <c r="C770" t="s">
        <v>1408</v>
      </c>
      <c r="D770">
        <v>1310000</v>
      </c>
      <c r="E770" t="s">
        <v>967</v>
      </c>
    </row>
    <row r="771" spans="1:5" x14ac:dyDescent="0.25">
      <c r="A771" s="8">
        <v>42616.317719907405</v>
      </c>
      <c r="B771" t="s">
        <v>325</v>
      </c>
      <c r="C771" t="s">
        <v>1409</v>
      </c>
      <c r="D771">
        <v>1830000</v>
      </c>
      <c r="E771" t="s">
        <v>972</v>
      </c>
    </row>
    <row r="772" spans="1:5" x14ac:dyDescent="0.25">
      <c r="A772" s="8">
        <v>42616.318877314814</v>
      </c>
      <c r="B772" t="s">
        <v>325</v>
      </c>
      <c r="C772" t="s">
        <v>1409</v>
      </c>
      <c r="D772">
        <v>1830000</v>
      </c>
      <c r="E772" t="s">
        <v>972</v>
      </c>
    </row>
    <row r="773" spans="1:5" x14ac:dyDescent="0.25">
      <c r="A773" s="8">
        <v>42616.319351851853</v>
      </c>
      <c r="B773" t="s">
        <v>726</v>
      </c>
      <c r="C773" t="s">
        <v>1410</v>
      </c>
      <c r="D773">
        <v>1260000</v>
      </c>
      <c r="E773" t="s">
        <v>1380</v>
      </c>
    </row>
    <row r="774" spans="1:5" x14ac:dyDescent="0.25">
      <c r="A774" s="8">
        <v>42616.320937500001</v>
      </c>
      <c r="B774" t="s">
        <v>325</v>
      </c>
      <c r="C774" t="s">
        <v>1409</v>
      </c>
      <c r="D774">
        <v>1830000</v>
      </c>
      <c r="E774" t="s">
        <v>972</v>
      </c>
    </row>
    <row r="775" spans="1:5" x14ac:dyDescent="0.25">
      <c r="A775" s="8">
        <v>42616.324918981481</v>
      </c>
      <c r="B775" t="s">
        <v>245</v>
      </c>
      <c r="C775" t="s">
        <v>1411</v>
      </c>
      <c r="D775">
        <v>2010000</v>
      </c>
      <c r="E775" t="s">
        <v>760</v>
      </c>
    </row>
    <row r="776" spans="1:5" x14ac:dyDescent="0.25">
      <c r="A776" s="8">
        <v>42616.326377314814</v>
      </c>
      <c r="B776" t="s">
        <v>93</v>
      </c>
      <c r="C776" t="s">
        <v>1412</v>
      </c>
      <c r="D776">
        <v>1360000</v>
      </c>
      <c r="E776" t="s">
        <v>416</v>
      </c>
    </row>
    <row r="777" spans="1:5" x14ac:dyDescent="0.25">
      <c r="A777" s="8">
        <v>42616.336793981478</v>
      </c>
      <c r="B777" t="s">
        <v>90</v>
      </c>
      <c r="C777" t="s">
        <v>1413</v>
      </c>
      <c r="D777">
        <v>1760000</v>
      </c>
      <c r="E777" t="s">
        <v>762</v>
      </c>
    </row>
    <row r="778" spans="1:5" x14ac:dyDescent="0.25">
      <c r="A778" s="8">
        <v>42616.340324074074</v>
      </c>
      <c r="B778" t="s">
        <v>91</v>
      </c>
      <c r="C778" t="s">
        <v>1414</v>
      </c>
      <c r="D778">
        <v>2030000</v>
      </c>
      <c r="E778" t="s">
        <v>246</v>
      </c>
    </row>
    <row r="779" spans="1:5" x14ac:dyDescent="0.25">
      <c r="A779" s="8">
        <v>42616.346770833334</v>
      </c>
      <c r="B779" t="s">
        <v>418</v>
      </c>
      <c r="C779" t="s">
        <v>1415</v>
      </c>
      <c r="D779">
        <v>1830000</v>
      </c>
      <c r="E779" t="s">
        <v>972</v>
      </c>
    </row>
    <row r="780" spans="1:5" x14ac:dyDescent="0.25">
      <c r="A780" s="8">
        <v>42616.348680555559</v>
      </c>
      <c r="B780" t="s">
        <v>227</v>
      </c>
      <c r="C780" t="s">
        <v>1416</v>
      </c>
      <c r="D780">
        <v>1310000</v>
      </c>
      <c r="E780" t="s">
        <v>967</v>
      </c>
    </row>
    <row r="781" spans="1:5" x14ac:dyDescent="0.25">
      <c r="A781" s="8">
        <v>42616.350370370368</v>
      </c>
      <c r="B781" t="s">
        <v>201</v>
      </c>
      <c r="C781" t="s">
        <v>1417</v>
      </c>
      <c r="D781">
        <v>2230000</v>
      </c>
      <c r="E781" t="s">
        <v>503</v>
      </c>
    </row>
    <row r="782" spans="1:5" x14ac:dyDescent="0.25">
      <c r="A782" s="8">
        <v>42616.35083333333</v>
      </c>
      <c r="B782" t="s">
        <v>227</v>
      </c>
      <c r="C782" t="s">
        <v>1416</v>
      </c>
      <c r="D782">
        <v>1310000</v>
      </c>
      <c r="E782" t="s">
        <v>967</v>
      </c>
    </row>
    <row r="783" spans="1:5" x14ac:dyDescent="0.25">
      <c r="A783" s="8">
        <v>42616.356562499997</v>
      </c>
      <c r="B783" t="s">
        <v>706</v>
      </c>
      <c r="C783" t="s">
        <v>1418</v>
      </c>
      <c r="D783">
        <v>1260000</v>
      </c>
      <c r="E783" t="s">
        <v>1380</v>
      </c>
    </row>
    <row r="784" spans="1:5" x14ac:dyDescent="0.25">
      <c r="A784" s="8">
        <v>42616.358993055554</v>
      </c>
      <c r="B784" t="s">
        <v>349</v>
      </c>
      <c r="C784" t="s">
        <v>1419</v>
      </c>
      <c r="D784">
        <v>1830000</v>
      </c>
      <c r="E784" t="s">
        <v>972</v>
      </c>
    </row>
    <row r="785" spans="1:5" x14ac:dyDescent="0.25">
      <c r="A785" s="8">
        <v>42616.359872685185</v>
      </c>
      <c r="B785" t="s">
        <v>204</v>
      </c>
      <c r="C785" t="s">
        <v>1420</v>
      </c>
      <c r="D785">
        <v>1360000</v>
      </c>
      <c r="E785" t="s">
        <v>416</v>
      </c>
    </row>
    <row r="786" spans="1:5" x14ac:dyDescent="0.25">
      <c r="A786" s="8">
        <v>42616.360960648148</v>
      </c>
      <c r="B786" t="s">
        <v>247</v>
      </c>
      <c r="C786" t="s">
        <v>1421</v>
      </c>
      <c r="D786">
        <v>2010000</v>
      </c>
      <c r="E786" t="s">
        <v>760</v>
      </c>
    </row>
    <row r="787" spans="1:5" x14ac:dyDescent="0.25">
      <c r="A787" s="8">
        <v>42616.371377314812</v>
      </c>
      <c r="B787" t="s">
        <v>111</v>
      </c>
      <c r="C787" t="s">
        <v>744</v>
      </c>
      <c r="D787">
        <v>1760000</v>
      </c>
      <c r="E787" t="s">
        <v>762</v>
      </c>
    </row>
    <row r="788" spans="1:5" x14ac:dyDescent="0.25">
      <c r="A788" s="8">
        <v>42616.371863425928</v>
      </c>
      <c r="B788" t="s">
        <v>418</v>
      </c>
      <c r="C788" t="s">
        <v>1422</v>
      </c>
      <c r="D788">
        <v>1830000</v>
      </c>
      <c r="E788" t="s">
        <v>972</v>
      </c>
    </row>
    <row r="789" spans="1:5" x14ac:dyDescent="0.25">
      <c r="A789" s="8">
        <v>42616.374942129631</v>
      </c>
      <c r="B789" t="s">
        <v>92</v>
      </c>
      <c r="C789" t="s">
        <v>1423</v>
      </c>
      <c r="D789">
        <v>2030000</v>
      </c>
      <c r="E789" t="s">
        <v>246</v>
      </c>
    </row>
    <row r="790" spans="1:5" x14ac:dyDescent="0.25">
      <c r="A790" s="8">
        <v>42616.3827662037</v>
      </c>
      <c r="B790" t="s">
        <v>200</v>
      </c>
      <c r="C790" t="s">
        <v>1424</v>
      </c>
      <c r="D790">
        <v>2230000</v>
      </c>
      <c r="E790" t="s">
        <v>503</v>
      </c>
    </row>
    <row r="791" spans="1:5" x14ac:dyDescent="0.25">
      <c r="A791" s="8">
        <v>42616.384328703702</v>
      </c>
      <c r="B791" t="s">
        <v>154</v>
      </c>
      <c r="C791" t="s">
        <v>1425</v>
      </c>
      <c r="D791">
        <v>1310000</v>
      </c>
      <c r="E791" t="s">
        <v>967</v>
      </c>
    </row>
    <row r="792" spans="1:5" x14ac:dyDescent="0.25">
      <c r="A792" s="8">
        <v>42616.390810185185</v>
      </c>
      <c r="B792" t="s">
        <v>418</v>
      </c>
      <c r="C792" t="s">
        <v>1422</v>
      </c>
      <c r="D792">
        <v>1830000</v>
      </c>
      <c r="E792" t="s">
        <v>972</v>
      </c>
    </row>
    <row r="793" spans="1:5" x14ac:dyDescent="0.25">
      <c r="A793" s="8">
        <v>42616.390925925924</v>
      </c>
      <c r="B793" t="s">
        <v>726</v>
      </c>
      <c r="C793" t="s">
        <v>1426</v>
      </c>
      <c r="D793">
        <v>1260000</v>
      </c>
      <c r="E793" t="s">
        <v>1380</v>
      </c>
    </row>
    <row r="794" spans="1:5" x14ac:dyDescent="0.25">
      <c r="A794" s="8">
        <v>42616.397997685184</v>
      </c>
      <c r="B794" t="s">
        <v>245</v>
      </c>
      <c r="C794" t="s">
        <v>1427</v>
      </c>
      <c r="D794">
        <v>2010000</v>
      </c>
      <c r="E794" t="s">
        <v>760</v>
      </c>
    </row>
    <row r="795" spans="1:5" x14ac:dyDescent="0.25">
      <c r="A795" s="8">
        <v>42616.399976851855</v>
      </c>
      <c r="B795" t="s">
        <v>93</v>
      </c>
      <c r="C795" t="s">
        <v>1428</v>
      </c>
      <c r="D795">
        <v>1360000</v>
      </c>
      <c r="E795" t="s">
        <v>416</v>
      </c>
    </row>
    <row r="796" spans="1:5" x14ac:dyDescent="0.25">
      <c r="A796" s="8">
        <v>42616.401319444441</v>
      </c>
      <c r="B796" t="s">
        <v>349</v>
      </c>
      <c r="C796" t="s">
        <v>1429</v>
      </c>
      <c r="D796">
        <v>1830000</v>
      </c>
      <c r="E796" t="s">
        <v>972</v>
      </c>
    </row>
    <row r="797" spans="1:5" x14ac:dyDescent="0.25">
      <c r="A797" s="8">
        <v>42616.41165509259</v>
      </c>
      <c r="B797" t="s">
        <v>90</v>
      </c>
      <c r="C797" t="s">
        <v>1430</v>
      </c>
      <c r="D797">
        <v>1760000</v>
      </c>
      <c r="E797" t="s">
        <v>762</v>
      </c>
    </row>
    <row r="798" spans="1:5" x14ac:dyDescent="0.25">
      <c r="A798" s="8">
        <v>42616.411828703705</v>
      </c>
      <c r="B798" t="s">
        <v>91</v>
      </c>
      <c r="C798" t="s">
        <v>1431</v>
      </c>
      <c r="D798">
        <v>2030000</v>
      </c>
      <c r="E798" t="s">
        <v>246</v>
      </c>
    </row>
    <row r="799" spans="1:5" x14ac:dyDescent="0.25">
      <c r="A799" s="8">
        <v>42616.413599537038</v>
      </c>
      <c r="B799" t="s">
        <v>418</v>
      </c>
      <c r="C799" t="s">
        <v>1432</v>
      </c>
      <c r="D799">
        <v>1830000</v>
      </c>
      <c r="E799" t="s">
        <v>972</v>
      </c>
    </row>
    <row r="800" spans="1:5" x14ac:dyDescent="0.25">
      <c r="A800" s="8">
        <v>42616.42287037037</v>
      </c>
      <c r="B800" t="s">
        <v>227</v>
      </c>
      <c r="C800" t="s">
        <v>1433</v>
      </c>
      <c r="D800">
        <v>1310000</v>
      </c>
      <c r="E800" t="s">
        <v>967</v>
      </c>
    </row>
    <row r="801" spans="1:5" x14ac:dyDescent="0.25">
      <c r="A801" s="8">
        <v>42616.42454861111</v>
      </c>
      <c r="B801" t="s">
        <v>201</v>
      </c>
      <c r="C801" t="s">
        <v>1434</v>
      </c>
      <c r="D801">
        <v>2230000</v>
      </c>
      <c r="E801" t="s">
        <v>503</v>
      </c>
    </row>
    <row r="802" spans="1:5" x14ac:dyDescent="0.25">
      <c r="A802" s="8">
        <v>42616.427928240744</v>
      </c>
      <c r="B802" t="s">
        <v>706</v>
      </c>
      <c r="C802" t="s">
        <v>1435</v>
      </c>
      <c r="D802">
        <v>1260000</v>
      </c>
      <c r="E802" t="s">
        <v>1380</v>
      </c>
    </row>
    <row r="803" spans="1:5" x14ac:dyDescent="0.25">
      <c r="A803" s="8">
        <v>42616.432638888888</v>
      </c>
      <c r="B803" t="s">
        <v>204</v>
      </c>
      <c r="C803" t="s">
        <v>1436</v>
      </c>
      <c r="D803">
        <v>1360000</v>
      </c>
      <c r="E803" t="s">
        <v>416</v>
      </c>
    </row>
    <row r="804" spans="1:5" x14ac:dyDescent="0.25">
      <c r="A804" s="8">
        <v>42616.433969907404</v>
      </c>
      <c r="B804" t="s">
        <v>909</v>
      </c>
      <c r="C804" t="s">
        <v>1437</v>
      </c>
      <c r="D804">
        <v>880000</v>
      </c>
      <c r="E804" t="s">
        <v>1236</v>
      </c>
    </row>
    <row r="805" spans="1:5" x14ac:dyDescent="0.25">
      <c r="A805" s="8">
        <v>42616.435162037036</v>
      </c>
      <c r="B805" t="s">
        <v>247</v>
      </c>
      <c r="C805" t="s">
        <v>1438</v>
      </c>
      <c r="D805">
        <v>930000</v>
      </c>
      <c r="E805" t="s">
        <v>244</v>
      </c>
    </row>
    <row r="806" spans="1:5" x14ac:dyDescent="0.25">
      <c r="A806" s="8">
        <v>42616.442233796297</v>
      </c>
      <c r="B806" t="s">
        <v>349</v>
      </c>
      <c r="C806" t="s">
        <v>1439</v>
      </c>
      <c r="D806">
        <v>1830000</v>
      </c>
      <c r="E806" t="s">
        <v>972</v>
      </c>
    </row>
    <row r="807" spans="1:5" x14ac:dyDescent="0.25">
      <c r="A807" s="8">
        <v>42616.444826388892</v>
      </c>
      <c r="B807" t="s">
        <v>111</v>
      </c>
      <c r="C807" t="s">
        <v>1440</v>
      </c>
      <c r="D807">
        <v>1760000</v>
      </c>
      <c r="E807" t="s">
        <v>762</v>
      </c>
    </row>
    <row r="808" spans="1:5" x14ac:dyDescent="0.25">
      <c r="A808" s="8">
        <v>42616.449687499997</v>
      </c>
      <c r="B808" t="s">
        <v>92</v>
      </c>
      <c r="C808" t="s">
        <v>1441</v>
      </c>
      <c r="D808">
        <v>2030000</v>
      </c>
      <c r="E808" t="s">
        <v>246</v>
      </c>
    </row>
    <row r="809" spans="1:5" x14ac:dyDescent="0.25">
      <c r="A809" s="8">
        <v>42616.454201388886</v>
      </c>
      <c r="B809" t="s">
        <v>200</v>
      </c>
      <c r="C809" t="s">
        <v>1442</v>
      </c>
      <c r="D809">
        <v>2230000</v>
      </c>
      <c r="E809" t="s">
        <v>503</v>
      </c>
    </row>
    <row r="810" spans="1:5" x14ac:dyDescent="0.25">
      <c r="A810" s="8">
        <v>42616.45548611111</v>
      </c>
      <c r="B810" t="s">
        <v>154</v>
      </c>
      <c r="C810" t="s">
        <v>1443</v>
      </c>
      <c r="D810">
        <v>880000</v>
      </c>
      <c r="E810" t="s">
        <v>1236</v>
      </c>
    </row>
    <row r="811" spans="1:5" x14ac:dyDescent="0.25">
      <c r="A811" s="8">
        <v>42616.460659722223</v>
      </c>
      <c r="B811" t="s">
        <v>418</v>
      </c>
      <c r="C811" t="s">
        <v>1444</v>
      </c>
      <c r="D811">
        <v>1830000</v>
      </c>
      <c r="E811" t="s">
        <v>972</v>
      </c>
    </row>
    <row r="812" spans="1:5" x14ac:dyDescent="0.25">
      <c r="A812" s="8">
        <v>42616.467766203707</v>
      </c>
      <c r="B812" t="s">
        <v>726</v>
      </c>
      <c r="C812" t="s">
        <v>1445</v>
      </c>
      <c r="D812">
        <v>2000000</v>
      </c>
      <c r="E812" t="s">
        <v>138</v>
      </c>
    </row>
    <row r="813" spans="1:5" x14ac:dyDescent="0.25">
      <c r="A813" s="8">
        <v>42616.473807870374</v>
      </c>
      <c r="B813" t="s">
        <v>245</v>
      </c>
      <c r="C813" t="s">
        <v>1446</v>
      </c>
      <c r="D813">
        <v>930000</v>
      </c>
      <c r="E813" t="s">
        <v>244</v>
      </c>
    </row>
    <row r="814" spans="1:5" x14ac:dyDescent="0.25">
      <c r="A814" s="8">
        <v>42616.475185185183</v>
      </c>
      <c r="B814" t="s">
        <v>93</v>
      </c>
      <c r="C814" t="s">
        <v>1447</v>
      </c>
      <c r="D814">
        <v>2040000</v>
      </c>
      <c r="E814" t="s">
        <v>857</v>
      </c>
    </row>
    <row r="815" spans="1:5" x14ac:dyDescent="0.25">
      <c r="A815" s="8">
        <v>42616.482916666668</v>
      </c>
      <c r="B815" t="s">
        <v>349</v>
      </c>
      <c r="C815" t="s">
        <v>1448</v>
      </c>
      <c r="D815">
        <v>1830000</v>
      </c>
      <c r="E815" t="s">
        <v>972</v>
      </c>
    </row>
    <row r="816" spans="1:5" x14ac:dyDescent="0.25">
      <c r="A816" s="8">
        <v>42616.484618055554</v>
      </c>
      <c r="B816" t="s">
        <v>90</v>
      </c>
      <c r="C816" t="s">
        <v>1449</v>
      </c>
      <c r="D816">
        <v>1760000</v>
      </c>
      <c r="E816" t="s">
        <v>762</v>
      </c>
    </row>
    <row r="817" spans="1:5" x14ac:dyDescent="0.25">
      <c r="A817" s="8">
        <v>42616.485879629632</v>
      </c>
      <c r="B817" t="s">
        <v>91</v>
      </c>
      <c r="C817" t="s">
        <v>1450</v>
      </c>
      <c r="D817">
        <v>2020000</v>
      </c>
      <c r="E817" t="s">
        <v>1037</v>
      </c>
    </row>
    <row r="818" spans="1:5" x14ac:dyDescent="0.25">
      <c r="A818" s="8">
        <v>42616.495162037034</v>
      </c>
      <c r="B818" t="s">
        <v>227</v>
      </c>
      <c r="C818" t="s">
        <v>1451</v>
      </c>
      <c r="D818">
        <v>880000</v>
      </c>
      <c r="E818" t="s">
        <v>1236</v>
      </c>
    </row>
    <row r="819" spans="1:5" x14ac:dyDescent="0.25">
      <c r="A819" s="8">
        <v>42616.497083333335</v>
      </c>
      <c r="B819" t="s">
        <v>418</v>
      </c>
      <c r="C819" t="s">
        <v>1452</v>
      </c>
      <c r="D819">
        <v>1830000</v>
      </c>
      <c r="E819" t="s">
        <v>972</v>
      </c>
    </row>
    <row r="820" spans="1:5" x14ac:dyDescent="0.25">
      <c r="A820" s="8">
        <v>42616.498055555552</v>
      </c>
      <c r="B820" t="s">
        <v>201</v>
      </c>
      <c r="C820" t="s">
        <v>1453</v>
      </c>
      <c r="D820">
        <v>1770000</v>
      </c>
      <c r="E820" t="s">
        <v>248</v>
      </c>
    </row>
    <row r="821" spans="1:5" x14ac:dyDescent="0.25">
      <c r="A821" s="8">
        <v>42616.502650462964</v>
      </c>
      <c r="B821" t="s">
        <v>706</v>
      </c>
      <c r="C821" t="s">
        <v>1454</v>
      </c>
      <c r="D821">
        <v>2000000</v>
      </c>
      <c r="E821" t="s">
        <v>138</v>
      </c>
    </row>
    <row r="822" spans="1:5" x14ac:dyDescent="0.25">
      <c r="A822" s="8">
        <v>42616.507071759261</v>
      </c>
      <c r="B822" t="s">
        <v>247</v>
      </c>
      <c r="C822" t="s">
        <v>1455</v>
      </c>
      <c r="D822">
        <v>930000</v>
      </c>
      <c r="E822" t="s">
        <v>244</v>
      </c>
    </row>
    <row r="823" spans="1:5" x14ac:dyDescent="0.25">
      <c r="A823" s="8">
        <v>42616.515659722223</v>
      </c>
      <c r="B823" t="s">
        <v>204</v>
      </c>
      <c r="C823" t="s">
        <v>1456</v>
      </c>
      <c r="D823">
        <v>2040000</v>
      </c>
      <c r="E823" t="s">
        <v>857</v>
      </c>
    </row>
    <row r="824" spans="1:5" x14ac:dyDescent="0.25">
      <c r="A824" s="8">
        <v>42616.51835648148</v>
      </c>
      <c r="B824" t="s">
        <v>111</v>
      </c>
      <c r="C824" t="s">
        <v>1457</v>
      </c>
      <c r="D824">
        <v>950000</v>
      </c>
      <c r="E824" t="s">
        <v>1260</v>
      </c>
    </row>
    <row r="825" spans="1:5" x14ac:dyDescent="0.25">
      <c r="A825" s="8">
        <v>42616.522615740738</v>
      </c>
      <c r="B825" t="s">
        <v>92</v>
      </c>
      <c r="C825" t="s">
        <v>1458</v>
      </c>
      <c r="D825">
        <v>2020000</v>
      </c>
      <c r="E825" t="s">
        <v>1037</v>
      </c>
    </row>
    <row r="826" spans="1:5" x14ac:dyDescent="0.25">
      <c r="A826" s="8">
        <v>42616.52615740741</v>
      </c>
      <c r="B826" t="s">
        <v>349</v>
      </c>
      <c r="C826" t="s">
        <v>1459</v>
      </c>
      <c r="D826">
        <v>1830000</v>
      </c>
      <c r="E826" t="s">
        <v>972</v>
      </c>
    </row>
    <row r="827" spans="1:5" x14ac:dyDescent="0.25">
      <c r="A827" s="8">
        <v>42616.526284722226</v>
      </c>
      <c r="B827" t="s">
        <v>213</v>
      </c>
      <c r="C827" t="s">
        <v>1457</v>
      </c>
      <c r="D827">
        <v>950000</v>
      </c>
      <c r="E827" t="s">
        <v>1260</v>
      </c>
    </row>
    <row r="828" spans="1:5" x14ac:dyDescent="0.25">
      <c r="A828" s="8">
        <v>42616.527858796297</v>
      </c>
      <c r="B828" t="s">
        <v>154</v>
      </c>
      <c r="C828" t="s">
        <v>1460</v>
      </c>
      <c r="D828">
        <v>880000</v>
      </c>
      <c r="E828" t="s">
        <v>1236</v>
      </c>
    </row>
    <row r="829" spans="1:5" x14ac:dyDescent="0.25">
      <c r="A829" s="8">
        <v>42616.533668981479</v>
      </c>
      <c r="B829" t="s">
        <v>200</v>
      </c>
      <c r="C829" t="s">
        <v>1461</v>
      </c>
      <c r="D829">
        <v>1770000</v>
      </c>
      <c r="E829" t="s">
        <v>248</v>
      </c>
    </row>
    <row r="830" spans="1:5" x14ac:dyDescent="0.25">
      <c r="A830" s="8">
        <v>42616.537673611114</v>
      </c>
      <c r="B830" t="s">
        <v>726</v>
      </c>
      <c r="C830" t="s">
        <v>1462</v>
      </c>
      <c r="D830">
        <v>2000000</v>
      </c>
      <c r="E830" t="s">
        <v>138</v>
      </c>
    </row>
    <row r="831" spans="1:5" x14ac:dyDescent="0.25">
      <c r="A831" s="8">
        <v>42616.538738425923</v>
      </c>
      <c r="B831" t="s">
        <v>418</v>
      </c>
      <c r="C831" t="s">
        <v>1463</v>
      </c>
      <c r="D831">
        <v>1830000</v>
      </c>
      <c r="E831" t="s">
        <v>972</v>
      </c>
    </row>
    <row r="832" spans="1:5" x14ac:dyDescent="0.25">
      <c r="A832" s="8">
        <v>42616.543124999997</v>
      </c>
      <c r="B832" t="s">
        <v>245</v>
      </c>
      <c r="C832" t="s">
        <v>1464</v>
      </c>
      <c r="D832">
        <v>930000</v>
      </c>
      <c r="E832" t="s">
        <v>244</v>
      </c>
    </row>
    <row r="833" spans="1:5" x14ac:dyDescent="0.25">
      <c r="A833" s="8">
        <v>42616.551365740743</v>
      </c>
      <c r="B833" t="s">
        <v>93</v>
      </c>
      <c r="C833" t="s">
        <v>1465</v>
      </c>
      <c r="D833">
        <v>2040000</v>
      </c>
      <c r="E833" t="s">
        <v>857</v>
      </c>
    </row>
    <row r="834" spans="1:5" x14ac:dyDescent="0.25">
      <c r="A834" s="8">
        <v>42616.557916666665</v>
      </c>
      <c r="B834" t="s">
        <v>325</v>
      </c>
      <c r="C834" t="s">
        <v>1466</v>
      </c>
      <c r="D834">
        <v>950000</v>
      </c>
      <c r="E834" t="s">
        <v>1260</v>
      </c>
    </row>
    <row r="835" spans="1:5" x14ac:dyDescent="0.25">
      <c r="A835" s="8">
        <v>42616.558761574073</v>
      </c>
      <c r="B835" t="s">
        <v>91</v>
      </c>
      <c r="C835" t="s">
        <v>1467</v>
      </c>
      <c r="D835">
        <v>2020000</v>
      </c>
      <c r="E835" t="s">
        <v>1037</v>
      </c>
    </row>
    <row r="836" spans="1:5" x14ac:dyDescent="0.25">
      <c r="A836" s="8">
        <v>42616.566388888888</v>
      </c>
      <c r="B836" t="s">
        <v>349</v>
      </c>
      <c r="C836" t="s">
        <v>1468</v>
      </c>
      <c r="D836">
        <v>1830000</v>
      </c>
      <c r="E836" t="s">
        <v>972</v>
      </c>
    </row>
    <row r="837" spans="1:5" x14ac:dyDescent="0.25">
      <c r="A837" s="8">
        <v>42616.568078703705</v>
      </c>
      <c r="B837" t="s">
        <v>201</v>
      </c>
      <c r="C837" t="s">
        <v>1469</v>
      </c>
      <c r="D837">
        <v>1770000</v>
      </c>
      <c r="E837" t="s">
        <v>248</v>
      </c>
    </row>
    <row r="838" spans="1:5" x14ac:dyDescent="0.25">
      <c r="A838" s="8">
        <v>42616.569722222222</v>
      </c>
      <c r="B838" t="s">
        <v>227</v>
      </c>
      <c r="C838" t="s">
        <v>1470</v>
      </c>
      <c r="D838">
        <v>880000</v>
      </c>
      <c r="E838" t="s">
        <v>1236</v>
      </c>
    </row>
    <row r="839" spans="1:5" x14ac:dyDescent="0.25">
      <c r="A839" s="8">
        <v>42616.577662037038</v>
      </c>
      <c r="B839" t="s">
        <v>706</v>
      </c>
      <c r="C839" t="s">
        <v>1471</v>
      </c>
      <c r="D839">
        <v>2000000</v>
      </c>
      <c r="E839" t="s">
        <v>138</v>
      </c>
    </row>
    <row r="840" spans="1:5" x14ac:dyDescent="0.25">
      <c r="A840" s="8">
        <v>42616.57980324074</v>
      </c>
      <c r="B840" t="s">
        <v>247</v>
      </c>
      <c r="C840" t="s">
        <v>1472</v>
      </c>
      <c r="D840">
        <v>930000</v>
      </c>
      <c r="E840" t="s">
        <v>244</v>
      </c>
    </row>
    <row r="841" spans="1:5" x14ac:dyDescent="0.25">
      <c r="A841" s="8">
        <v>42616.584409722222</v>
      </c>
      <c r="B841" t="s">
        <v>418</v>
      </c>
      <c r="C841" t="s">
        <v>1473</v>
      </c>
      <c r="D841">
        <v>2100000</v>
      </c>
      <c r="E841" t="s">
        <v>136</v>
      </c>
    </row>
    <row r="842" spans="1:5" x14ac:dyDescent="0.25">
      <c r="A842" s="8">
        <v>42616.590185185189</v>
      </c>
      <c r="B842" t="s">
        <v>204</v>
      </c>
      <c r="C842" t="s">
        <v>1474</v>
      </c>
      <c r="D842">
        <v>2040000</v>
      </c>
      <c r="E842" t="s">
        <v>857</v>
      </c>
    </row>
    <row r="843" spans="1:5" x14ac:dyDescent="0.25">
      <c r="A843" s="8">
        <v>42616.591666666667</v>
      </c>
      <c r="B843" t="s">
        <v>213</v>
      </c>
      <c r="C843" t="s">
        <v>1475</v>
      </c>
      <c r="D843">
        <v>950000</v>
      </c>
      <c r="E843" t="s">
        <v>1260</v>
      </c>
    </row>
    <row r="844" spans="1:5" x14ac:dyDescent="0.25">
      <c r="A844" s="8">
        <v>42616.597048611111</v>
      </c>
      <c r="B844" t="s">
        <v>92</v>
      </c>
      <c r="C844" t="s">
        <v>1476</v>
      </c>
      <c r="D844">
        <v>2020000</v>
      </c>
      <c r="E844" t="s">
        <v>1037</v>
      </c>
    </row>
    <row r="845" spans="1:5" x14ac:dyDescent="0.25">
      <c r="A845" s="8">
        <v>42616.601666666669</v>
      </c>
      <c r="B845" t="s">
        <v>154</v>
      </c>
      <c r="C845" t="s">
        <v>1477</v>
      </c>
      <c r="D845">
        <v>880000</v>
      </c>
      <c r="E845" t="s">
        <v>1236</v>
      </c>
    </row>
    <row r="846" spans="1:5" x14ac:dyDescent="0.25">
      <c r="A846" s="8">
        <v>42616.60601851852</v>
      </c>
      <c r="B846" t="s">
        <v>200</v>
      </c>
      <c r="C846" t="s">
        <v>1478</v>
      </c>
      <c r="D846">
        <v>1770000</v>
      </c>
      <c r="E846" t="s">
        <v>248</v>
      </c>
    </row>
    <row r="847" spans="1:5" x14ac:dyDescent="0.25">
      <c r="A847" s="8">
        <v>42616.608506944445</v>
      </c>
      <c r="B847" t="s">
        <v>726</v>
      </c>
      <c r="C847" t="s">
        <v>733</v>
      </c>
      <c r="D847">
        <v>2000000</v>
      </c>
      <c r="E847" t="s">
        <v>138</v>
      </c>
    </row>
    <row r="848" spans="1:5" x14ac:dyDescent="0.25">
      <c r="A848" s="8">
        <v>42616.609375</v>
      </c>
      <c r="B848" t="s">
        <v>349</v>
      </c>
      <c r="C848" t="s">
        <v>1479</v>
      </c>
      <c r="D848">
        <v>2100000</v>
      </c>
      <c r="E848" t="s">
        <v>136</v>
      </c>
    </row>
    <row r="849" spans="1:5" x14ac:dyDescent="0.25">
      <c r="A849" s="8">
        <v>42616.6169212963</v>
      </c>
      <c r="B849" t="s">
        <v>245</v>
      </c>
      <c r="C849" t="s">
        <v>1480</v>
      </c>
      <c r="D849">
        <v>930000</v>
      </c>
      <c r="E849" t="s">
        <v>244</v>
      </c>
    </row>
    <row r="850" spans="1:5" x14ac:dyDescent="0.25">
      <c r="A850" s="8">
        <v>42616.621898148151</v>
      </c>
      <c r="B850" t="s">
        <v>111</v>
      </c>
      <c r="C850" t="s">
        <v>1481</v>
      </c>
      <c r="D850">
        <v>2000000</v>
      </c>
      <c r="E850" t="s">
        <v>138</v>
      </c>
    </row>
    <row r="851" spans="1:5" x14ac:dyDescent="0.25">
      <c r="A851" s="8">
        <v>42616.630706018521</v>
      </c>
      <c r="B851" t="s">
        <v>418</v>
      </c>
      <c r="C851" t="s">
        <v>1482</v>
      </c>
      <c r="D851">
        <v>2100000</v>
      </c>
      <c r="E851" t="s">
        <v>136</v>
      </c>
    </row>
    <row r="852" spans="1:5" x14ac:dyDescent="0.25">
      <c r="A852" s="8">
        <v>42616.630833333336</v>
      </c>
      <c r="B852" t="s">
        <v>325</v>
      </c>
      <c r="C852" t="s">
        <v>1483</v>
      </c>
      <c r="D852">
        <v>950000</v>
      </c>
      <c r="E852" t="s">
        <v>1260</v>
      </c>
    </row>
    <row r="853" spans="1:5" x14ac:dyDescent="0.25">
      <c r="A853" s="8">
        <v>42616.632465277777</v>
      </c>
      <c r="B853" t="s">
        <v>91</v>
      </c>
      <c r="C853" t="s">
        <v>1484</v>
      </c>
      <c r="D853">
        <v>2020000</v>
      </c>
      <c r="E853" t="s">
        <v>1037</v>
      </c>
    </row>
    <row r="854" spans="1:5" x14ac:dyDescent="0.25">
      <c r="A854" s="8">
        <v>42616.640636574077</v>
      </c>
      <c r="B854" t="s">
        <v>227</v>
      </c>
      <c r="C854" t="s">
        <v>1485</v>
      </c>
      <c r="D854">
        <v>880000</v>
      </c>
      <c r="E854" t="s">
        <v>1236</v>
      </c>
    </row>
    <row r="855" spans="1:5" x14ac:dyDescent="0.25">
      <c r="A855" s="8">
        <v>42616.641921296294</v>
      </c>
      <c r="B855" t="s">
        <v>201</v>
      </c>
      <c r="C855" t="s">
        <v>1486</v>
      </c>
      <c r="D855">
        <v>1770000</v>
      </c>
      <c r="E855" t="s">
        <v>248</v>
      </c>
    </row>
    <row r="856" spans="1:5" x14ac:dyDescent="0.25">
      <c r="A856" s="8">
        <v>42616.651076388887</v>
      </c>
      <c r="B856" t="s">
        <v>706</v>
      </c>
      <c r="C856" t="s">
        <v>1487</v>
      </c>
      <c r="D856">
        <v>2000000</v>
      </c>
      <c r="E856" t="s">
        <v>138</v>
      </c>
    </row>
    <row r="857" spans="1:5" x14ac:dyDescent="0.25">
      <c r="A857" s="8">
        <v>42616.651585648149</v>
      </c>
      <c r="B857" t="s">
        <v>349</v>
      </c>
      <c r="C857" t="s">
        <v>1488</v>
      </c>
      <c r="D857">
        <v>2100000</v>
      </c>
      <c r="E857" t="s">
        <v>136</v>
      </c>
    </row>
    <row r="858" spans="1:5" x14ac:dyDescent="0.25">
      <c r="A858" s="8">
        <v>42616.652719907404</v>
      </c>
      <c r="B858" t="s">
        <v>247</v>
      </c>
      <c r="C858" t="s">
        <v>1489</v>
      </c>
      <c r="D858">
        <v>930000</v>
      </c>
      <c r="E858" t="s">
        <v>244</v>
      </c>
    </row>
    <row r="859" spans="1:5" x14ac:dyDescent="0.25">
      <c r="A859" s="8">
        <v>42616.661493055559</v>
      </c>
      <c r="B859" t="s">
        <v>90</v>
      </c>
      <c r="C859" t="s">
        <v>1490</v>
      </c>
      <c r="D859">
        <v>2040000</v>
      </c>
      <c r="E859" t="s">
        <v>857</v>
      </c>
    </row>
    <row r="860" spans="1:5" x14ac:dyDescent="0.25">
      <c r="A860" s="8">
        <v>42616.665972222225</v>
      </c>
      <c r="B860" t="s">
        <v>213</v>
      </c>
      <c r="C860" t="s">
        <v>1491</v>
      </c>
      <c r="D860">
        <v>950000</v>
      </c>
      <c r="E860" t="s">
        <v>1260</v>
      </c>
    </row>
    <row r="861" spans="1:5" x14ac:dyDescent="0.25">
      <c r="A861" s="8">
        <v>42616.668657407405</v>
      </c>
      <c r="B861" t="s">
        <v>92</v>
      </c>
      <c r="C861" t="s">
        <v>1492</v>
      </c>
      <c r="D861">
        <v>2020000</v>
      </c>
      <c r="E861" t="s">
        <v>1037</v>
      </c>
    </row>
    <row r="862" spans="1:5" x14ac:dyDescent="0.25">
      <c r="A862" s="8">
        <v>42616.670115740744</v>
      </c>
      <c r="B862" t="s">
        <v>418</v>
      </c>
      <c r="C862" t="s">
        <v>1493</v>
      </c>
      <c r="D862">
        <v>2100000</v>
      </c>
      <c r="E862" t="s">
        <v>136</v>
      </c>
    </row>
    <row r="863" spans="1:5" x14ac:dyDescent="0.25">
      <c r="A863" s="8">
        <v>42616.675682870373</v>
      </c>
      <c r="B863" t="s">
        <v>154</v>
      </c>
      <c r="C863" t="s">
        <v>1494</v>
      </c>
      <c r="D863">
        <v>880000</v>
      </c>
      <c r="E863" t="s">
        <v>1236</v>
      </c>
    </row>
    <row r="864" spans="1:5" x14ac:dyDescent="0.25">
      <c r="A864" s="8">
        <v>42616.679814814815</v>
      </c>
      <c r="B864" t="s">
        <v>200</v>
      </c>
      <c r="C864" t="s">
        <v>1495</v>
      </c>
      <c r="D864">
        <v>1770000</v>
      </c>
      <c r="E864" t="s">
        <v>248</v>
      </c>
    </row>
    <row r="865" spans="1:5" x14ac:dyDescent="0.25">
      <c r="A865" s="8">
        <v>42616.682997685188</v>
      </c>
      <c r="B865" t="s">
        <v>726</v>
      </c>
      <c r="C865" t="s">
        <v>1496</v>
      </c>
      <c r="D865">
        <v>2000000</v>
      </c>
      <c r="E865" t="s">
        <v>138</v>
      </c>
    </row>
    <row r="866" spans="1:5" x14ac:dyDescent="0.25">
      <c r="A866" s="8">
        <v>42616.691377314812</v>
      </c>
      <c r="B866" t="s">
        <v>245</v>
      </c>
      <c r="C866" t="s">
        <v>1497</v>
      </c>
      <c r="D866">
        <v>930000</v>
      </c>
      <c r="E866" t="s">
        <v>244</v>
      </c>
    </row>
    <row r="867" spans="1:5" x14ac:dyDescent="0.25">
      <c r="A867" s="8">
        <v>42616.692754629628</v>
      </c>
      <c r="B867" t="s">
        <v>349</v>
      </c>
      <c r="C867" t="s">
        <v>1498</v>
      </c>
      <c r="D867">
        <v>2100000</v>
      </c>
      <c r="E867" t="s">
        <v>136</v>
      </c>
    </row>
    <row r="868" spans="1:5" x14ac:dyDescent="0.25">
      <c r="A868" s="8">
        <v>42616.697534722225</v>
      </c>
      <c r="B868" t="s">
        <v>111</v>
      </c>
      <c r="C868" t="s">
        <v>1499</v>
      </c>
      <c r="D868">
        <v>2040000</v>
      </c>
      <c r="E868" t="s">
        <v>857</v>
      </c>
    </row>
    <row r="869" spans="1:5" x14ac:dyDescent="0.25">
      <c r="A869" s="8">
        <v>42616.704722222225</v>
      </c>
      <c r="B869" t="s">
        <v>325</v>
      </c>
      <c r="C869" t="s">
        <v>1500</v>
      </c>
      <c r="D869">
        <v>950000</v>
      </c>
      <c r="E869" t="s">
        <v>1260</v>
      </c>
    </row>
    <row r="870" spans="1:5" x14ac:dyDescent="0.25">
      <c r="A870" s="8">
        <v>42616.712083333332</v>
      </c>
      <c r="B870" t="s">
        <v>93</v>
      </c>
      <c r="C870" t="s">
        <v>1501</v>
      </c>
      <c r="D870">
        <v>2020000</v>
      </c>
      <c r="E870" t="s">
        <v>1037</v>
      </c>
    </row>
    <row r="871" spans="1:5" x14ac:dyDescent="0.25">
      <c r="A871" s="8">
        <v>42616.713599537034</v>
      </c>
      <c r="B871" t="s">
        <v>227</v>
      </c>
      <c r="C871" t="s">
        <v>1502</v>
      </c>
      <c r="D871">
        <v>880000</v>
      </c>
      <c r="E871" t="s">
        <v>1236</v>
      </c>
    </row>
    <row r="872" spans="1:5" x14ac:dyDescent="0.25">
      <c r="A872" s="8">
        <v>42616.714467592596</v>
      </c>
      <c r="B872" t="s">
        <v>418</v>
      </c>
      <c r="C872" t="s">
        <v>1503</v>
      </c>
      <c r="D872">
        <v>2100000</v>
      </c>
      <c r="E872" t="s">
        <v>136</v>
      </c>
    </row>
    <row r="873" spans="1:5" x14ac:dyDescent="0.25">
      <c r="A873" s="8">
        <v>42616.717893518522</v>
      </c>
      <c r="B873" t="s">
        <v>201</v>
      </c>
      <c r="C873" t="s">
        <v>1504</v>
      </c>
      <c r="D873">
        <v>1770000</v>
      </c>
      <c r="E873" t="s">
        <v>248</v>
      </c>
    </row>
    <row r="874" spans="1:5" x14ac:dyDescent="0.25">
      <c r="A874" s="8">
        <v>42616.722870370373</v>
      </c>
      <c r="B874" t="s">
        <v>706</v>
      </c>
      <c r="C874" t="s">
        <v>1505</v>
      </c>
      <c r="D874">
        <v>2000000</v>
      </c>
      <c r="E874" t="s">
        <v>138</v>
      </c>
    </row>
    <row r="875" spans="1:5" x14ac:dyDescent="0.25">
      <c r="A875" s="8">
        <v>42616.728877314818</v>
      </c>
      <c r="B875" t="s">
        <v>247</v>
      </c>
      <c r="C875" t="s">
        <v>1506</v>
      </c>
      <c r="D875">
        <v>930000</v>
      </c>
      <c r="E875" t="s">
        <v>244</v>
      </c>
    </row>
    <row r="876" spans="1:5" x14ac:dyDescent="0.25">
      <c r="A876" s="8">
        <v>42616.733877314815</v>
      </c>
      <c r="B876" t="s">
        <v>349</v>
      </c>
      <c r="C876" t="s">
        <v>1507</v>
      </c>
      <c r="D876">
        <v>2100000</v>
      </c>
      <c r="E876" t="s">
        <v>136</v>
      </c>
    </row>
    <row r="877" spans="1:5" x14ac:dyDescent="0.25">
      <c r="A877" s="8">
        <v>42616.734467592592</v>
      </c>
      <c r="B877" t="s">
        <v>741</v>
      </c>
      <c r="C877" t="s">
        <v>1508</v>
      </c>
      <c r="D877">
        <v>2150000</v>
      </c>
      <c r="E877" t="s">
        <v>1509</v>
      </c>
    </row>
    <row r="878" spans="1:5" x14ac:dyDescent="0.25">
      <c r="A878" s="8">
        <v>42616.735821759263</v>
      </c>
      <c r="B878" t="s">
        <v>741</v>
      </c>
      <c r="C878" t="s">
        <v>1508</v>
      </c>
      <c r="D878">
        <v>2150000</v>
      </c>
      <c r="E878" t="s">
        <v>1509</v>
      </c>
    </row>
    <row r="879" spans="1:5" x14ac:dyDescent="0.25">
      <c r="A879" s="8">
        <v>42616.735949074071</v>
      </c>
      <c r="B879" t="s">
        <v>90</v>
      </c>
      <c r="C879" t="s">
        <v>1510</v>
      </c>
      <c r="D879">
        <v>2040000</v>
      </c>
      <c r="E879" t="s">
        <v>857</v>
      </c>
    </row>
    <row r="880" spans="1:5" x14ac:dyDescent="0.25">
      <c r="A880" s="8">
        <v>42616.737673611111</v>
      </c>
      <c r="B880" t="s">
        <v>213</v>
      </c>
      <c r="C880" t="s">
        <v>1511</v>
      </c>
      <c r="D880">
        <v>1810000</v>
      </c>
      <c r="E880" t="s">
        <v>249</v>
      </c>
    </row>
    <row r="881" spans="1:5" x14ac:dyDescent="0.25">
      <c r="A881" s="8">
        <v>42616.745115740741</v>
      </c>
      <c r="B881" t="s">
        <v>204</v>
      </c>
      <c r="C881" t="s">
        <v>1512</v>
      </c>
      <c r="D881">
        <v>2020000</v>
      </c>
      <c r="E881" t="s">
        <v>1037</v>
      </c>
    </row>
    <row r="882" spans="1:5" x14ac:dyDescent="0.25">
      <c r="A882" s="8">
        <v>42616.746180555558</v>
      </c>
      <c r="B882" t="s">
        <v>204</v>
      </c>
      <c r="C882" t="s">
        <v>1512</v>
      </c>
      <c r="D882">
        <v>2020000</v>
      </c>
      <c r="E882" t="s">
        <v>1037</v>
      </c>
    </row>
    <row r="883" spans="1:5" x14ac:dyDescent="0.25">
      <c r="A883" s="8">
        <v>42616.74832175926</v>
      </c>
      <c r="B883" t="s">
        <v>154</v>
      </c>
      <c r="C883" t="s">
        <v>1513</v>
      </c>
      <c r="D883">
        <v>950000</v>
      </c>
      <c r="E883" t="s">
        <v>1260</v>
      </c>
    </row>
    <row r="884" spans="1:5" x14ac:dyDescent="0.25">
      <c r="A884" s="8">
        <v>42616.749675925923</v>
      </c>
      <c r="B884" t="s">
        <v>909</v>
      </c>
      <c r="C884" t="s">
        <v>1514</v>
      </c>
      <c r="D884">
        <v>1480000</v>
      </c>
      <c r="E884" t="s">
        <v>459</v>
      </c>
    </row>
    <row r="885" spans="1:5" x14ac:dyDescent="0.25">
      <c r="A885" s="8">
        <v>42616.75203703704</v>
      </c>
      <c r="B885" t="s">
        <v>200</v>
      </c>
      <c r="C885" t="s">
        <v>1515</v>
      </c>
      <c r="D885">
        <v>1770000</v>
      </c>
      <c r="E885" t="s">
        <v>248</v>
      </c>
    </row>
    <row r="886" spans="1:5" x14ac:dyDescent="0.25">
      <c r="A886" s="8">
        <v>42616.757951388892</v>
      </c>
      <c r="B886" t="s">
        <v>726</v>
      </c>
      <c r="C886" t="s">
        <v>1516</v>
      </c>
      <c r="D886">
        <v>1800000</v>
      </c>
      <c r="E886" t="s">
        <v>152</v>
      </c>
    </row>
    <row r="887" spans="1:5" x14ac:dyDescent="0.25">
      <c r="A887" s="8">
        <v>42616.76085648148</v>
      </c>
      <c r="B887" t="s">
        <v>418</v>
      </c>
      <c r="C887" t="s">
        <v>1517</v>
      </c>
      <c r="D887">
        <v>730000</v>
      </c>
      <c r="E887" t="s">
        <v>1108</v>
      </c>
    </row>
    <row r="888" spans="1:5" x14ac:dyDescent="0.25">
      <c r="A888" s="8">
        <v>42616.761076388888</v>
      </c>
      <c r="B888" t="s">
        <v>1031</v>
      </c>
      <c r="C888" t="s">
        <v>1518</v>
      </c>
      <c r="D888">
        <v>2090000</v>
      </c>
      <c r="E888" t="s">
        <v>161</v>
      </c>
    </row>
    <row r="889" spans="1:5" x14ac:dyDescent="0.25">
      <c r="A889" s="8">
        <v>42616.765520833331</v>
      </c>
      <c r="B889" t="s">
        <v>245</v>
      </c>
      <c r="C889" t="s">
        <v>1519</v>
      </c>
      <c r="D889">
        <v>930000</v>
      </c>
      <c r="E889" t="s">
        <v>244</v>
      </c>
    </row>
    <row r="890" spans="1:5" x14ac:dyDescent="0.25">
      <c r="A890" s="8">
        <v>42616.770694444444</v>
      </c>
      <c r="B890" t="s">
        <v>111</v>
      </c>
      <c r="C890" t="s">
        <v>1520</v>
      </c>
      <c r="D890">
        <v>1480000</v>
      </c>
      <c r="E890" t="s">
        <v>459</v>
      </c>
    </row>
    <row r="891" spans="1:5" x14ac:dyDescent="0.25">
      <c r="A891" s="8">
        <v>42616.770972222221</v>
      </c>
      <c r="B891" t="s">
        <v>325</v>
      </c>
      <c r="C891" t="s">
        <v>1521</v>
      </c>
      <c r="D891">
        <v>1810000</v>
      </c>
      <c r="E891" t="s">
        <v>249</v>
      </c>
    </row>
    <row r="892" spans="1:5" x14ac:dyDescent="0.25">
      <c r="A892" s="8">
        <v>42616.77175925926</v>
      </c>
      <c r="B892" t="s">
        <v>245</v>
      </c>
      <c r="C892" t="s">
        <v>1519</v>
      </c>
      <c r="D892">
        <v>930000</v>
      </c>
      <c r="E892" t="s">
        <v>244</v>
      </c>
    </row>
    <row r="893" spans="1:5" x14ac:dyDescent="0.25">
      <c r="A893" s="8">
        <v>42616.773125</v>
      </c>
      <c r="B893" t="s">
        <v>245</v>
      </c>
      <c r="C893" t="s">
        <v>1519</v>
      </c>
      <c r="D893">
        <v>930000</v>
      </c>
      <c r="E893" t="s">
        <v>244</v>
      </c>
    </row>
    <row r="894" spans="1:5" x14ac:dyDescent="0.25">
      <c r="A894" s="8">
        <v>42616.773368055554</v>
      </c>
      <c r="B894" t="s">
        <v>325</v>
      </c>
      <c r="C894" t="s">
        <v>1521</v>
      </c>
      <c r="D894">
        <v>1810000</v>
      </c>
      <c r="E894" t="s">
        <v>249</v>
      </c>
    </row>
    <row r="895" spans="1:5" x14ac:dyDescent="0.25">
      <c r="A895" s="8">
        <v>42616.776041666664</v>
      </c>
      <c r="B895" t="s">
        <v>491</v>
      </c>
      <c r="C895" t="s">
        <v>1522</v>
      </c>
      <c r="D895">
        <v>2040000</v>
      </c>
      <c r="E895" t="s">
        <v>857</v>
      </c>
    </row>
    <row r="896" spans="1:5" x14ac:dyDescent="0.25">
      <c r="A896" s="8">
        <v>42616.778587962966</v>
      </c>
      <c r="B896" t="s">
        <v>349</v>
      </c>
      <c r="C896" t="s">
        <v>1523</v>
      </c>
      <c r="D896">
        <v>730000</v>
      </c>
      <c r="E896" t="s">
        <v>1108</v>
      </c>
    </row>
    <row r="897" spans="1:5" x14ac:dyDescent="0.25">
      <c r="A897" s="8">
        <v>42616.78266203704</v>
      </c>
      <c r="B897" t="s">
        <v>91</v>
      </c>
      <c r="C897" t="s">
        <v>1524</v>
      </c>
      <c r="D897">
        <v>2020000</v>
      </c>
      <c r="E897" t="s">
        <v>1037</v>
      </c>
    </row>
    <row r="898" spans="1:5" x14ac:dyDescent="0.25">
      <c r="A898" s="8">
        <v>42616.788298611114</v>
      </c>
      <c r="B898" t="s">
        <v>227</v>
      </c>
      <c r="C898" t="s">
        <v>1525</v>
      </c>
      <c r="D898">
        <v>950000</v>
      </c>
      <c r="E898" t="s">
        <v>1260</v>
      </c>
    </row>
    <row r="899" spans="1:5" x14ac:dyDescent="0.25">
      <c r="A899" s="8">
        <v>42616.790150462963</v>
      </c>
      <c r="B899" t="s">
        <v>201</v>
      </c>
      <c r="C899" t="s">
        <v>1526</v>
      </c>
      <c r="D899">
        <v>2090000</v>
      </c>
      <c r="E899" t="s">
        <v>161</v>
      </c>
    </row>
    <row r="900" spans="1:5" x14ac:dyDescent="0.25">
      <c r="A900" s="8">
        <v>42616.793425925927</v>
      </c>
      <c r="B900" t="s">
        <v>919</v>
      </c>
      <c r="C900" t="s">
        <v>1527</v>
      </c>
      <c r="D900">
        <v>1770000</v>
      </c>
      <c r="E900" t="s">
        <v>248</v>
      </c>
    </row>
    <row r="901" spans="1:5" x14ac:dyDescent="0.25">
      <c r="A901" s="8">
        <v>42616.797233796293</v>
      </c>
      <c r="B901" t="s">
        <v>706</v>
      </c>
      <c r="C901" t="s">
        <v>1528</v>
      </c>
      <c r="D901">
        <v>1800000</v>
      </c>
      <c r="E901" t="s">
        <v>152</v>
      </c>
    </row>
    <row r="902" spans="1:5" x14ac:dyDescent="0.25">
      <c r="A902" s="8">
        <v>42616.79896990741</v>
      </c>
      <c r="B902" t="s">
        <v>418</v>
      </c>
      <c r="C902" t="s">
        <v>1529</v>
      </c>
      <c r="D902">
        <v>2100000</v>
      </c>
      <c r="E902" t="s">
        <v>136</v>
      </c>
    </row>
    <row r="903" spans="1:5" x14ac:dyDescent="0.25">
      <c r="A903" s="8">
        <v>42616.805659722224</v>
      </c>
      <c r="B903" t="s">
        <v>90</v>
      </c>
      <c r="C903" t="s">
        <v>1530</v>
      </c>
      <c r="D903">
        <v>1480000</v>
      </c>
      <c r="E903" t="s">
        <v>459</v>
      </c>
    </row>
    <row r="904" spans="1:5" x14ac:dyDescent="0.25">
      <c r="A904" s="8">
        <v>42616.812013888892</v>
      </c>
      <c r="B904" t="s">
        <v>213</v>
      </c>
      <c r="C904" t="s">
        <v>1531</v>
      </c>
      <c r="D904">
        <v>1810000</v>
      </c>
      <c r="E904" t="s">
        <v>249</v>
      </c>
    </row>
    <row r="905" spans="1:5" x14ac:dyDescent="0.25">
      <c r="A905" s="8">
        <v>42616.817488425928</v>
      </c>
      <c r="B905" t="s">
        <v>349</v>
      </c>
      <c r="C905" t="s">
        <v>1532</v>
      </c>
      <c r="D905">
        <v>730000</v>
      </c>
      <c r="E905" t="s">
        <v>1108</v>
      </c>
    </row>
    <row r="906" spans="1:5" x14ac:dyDescent="0.25">
      <c r="A906" s="8">
        <v>42616.823368055557</v>
      </c>
      <c r="B906" t="s">
        <v>154</v>
      </c>
      <c r="C906" t="s">
        <v>1533</v>
      </c>
      <c r="D906">
        <v>950000</v>
      </c>
      <c r="E906" t="s">
        <v>1260</v>
      </c>
    </row>
    <row r="907" spans="1:5" x14ac:dyDescent="0.25">
      <c r="A907" s="8">
        <v>42616.823634259257</v>
      </c>
      <c r="B907" t="s">
        <v>247</v>
      </c>
      <c r="C907" t="s">
        <v>1534</v>
      </c>
      <c r="D907">
        <v>930000</v>
      </c>
      <c r="E907" t="s">
        <v>244</v>
      </c>
    </row>
    <row r="908" spans="1:5" x14ac:dyDescent="0.25">
      <c r="A908" s="8">
        <v>42616.829039351855</v>
      </c>
      <c r="B908" t="s">
        <v>200</v>
      </c>
      <c r="C908" t="s">
        <v>1535</v>
      </c>
      <c r="D908">
        <v>2090000</v>
      </c>
      <c r="E908" t="s">
        <v>161</v>
      </c>
    </row>
    <row r="909" spans="1:5" x14ac:dyDescent="0.25">
      <c r="A909" s="8">
        <v>42616.837152777778</v>
      </c>
      <c r="B909" t="s">
        <v>726</v>
      </c>
      <c r="C909" t="s">
        <v>1536</v>
      </c>
      <c r="D909">
        <v>1800000</v>
      </c>
      <c r="E909" t="s">
        <v>152</v>
      </c>
    </row>
    <row r="910" spans="1:5" x14ac:dyDescent="0.25">
      <c r="A910" s="8">
        <v>42616.842199074075</v>
      </c>
      <c r="B910" t="s">
        <v>325</v>
      </c>
      <c r="C910" t="s">
        <v>1537</v>
      </c>
      <c r="D910">
        <v>1810000</v>
      </c>
      <c r="E910" t="s">
        <v>249</v>
      </c>
    </row>
    <row r="911" spans="1:5" x14ac:dyDescent="0.25">
      <c r="A911" s="8">
        <v>42616.843993055554</v>
      </c>
      <c r="B911" t="s">
        <v>418</v>
      </c>
      <c r="C911" t="s">
        <v>1538</v>
      </c>
      <c r="D911">
        <v>2100000</v>
      </c>
      <c r="E911" t="s">
        <v>136</v>
      </c>
    </row>
    <row r="912" spans="1:5" x14ac:dyDescent="0.25">
      <c r="A912" s="8">
        <v>42616.850057870368</v>
      </c>
      <c r="B912" t="s">
        <v>111</v>
      </c>
      <c r="C912" t="s">
        <v>1539</v>
      </c>
      <c r="D912">
        <v>1480000</v>
      </c>
      <c r="E912" t="s">
        <v>459</v>
      </c>
    </row>
    <row r="913" spans="1:5" x14ac:dyDescent="0.25">
      <c r="A913" s="8">
        <v>42616.859791666669</v>
      </c>
      <c r="B913" t="s">
        <v>349</v>
      </c>
      <c r="C913" t="s">
        <v>1540</v>
      </c>
      <c r="D913">
        <v>2100000</v>
      </c>
      <c r="E913" t="s">
        <v>136</v>
      </c>
    </row>
    <row r="914" spans="1:5" x14ac:dyDescent="0.25">
      <c r="A914" s="8">
        <v>42616.870370370372</v>
      </c>
      <c r="B914" t="s">
        <v>706</v>
      </c>
      <c r="C914" t="s">
        <v>1541</v>
      </c>
      <c r="D914">
        <v>1800000</v>
      </c>
      <c r="E914" t="s">
        <v>152</v>
      </c>
    </row>
    <row r="915" spans="1:5" x14ac:dyDescent="0.25">
      <c r="A915" s="8">
        <v>42616.872303240743</v>
      </c>
      <c r="B915" t="s">
        <v>201</v>
      </c>
      <c r="C915" t="s">
        <v>1542</v>
      </c>
      <c r="D915">
        <v>2090000</v>
      </c>
      <c r="E915" t="s">
        <v>161</v>
      </c>
    </row>
    <row r="916" spans="1:5" x14ac:dyDescent="0.25">
      <c r="A916" s="8">
        <v>42616.880439814813</v>
      </c>
      <c r="B916" t="s">
        <v>418</v>
      </c>
      <c r="C916" t="s">
        <v>1543</v>
      </c>
      <c r="D916">
        <v>2100000</v>
      </c>
      <c r="E916" t="s">
        <v>136</v>
      </c>
    </row>
    <row r="917" spans="1:5" x14ac:dyDescent="0.25">
      <c r="A917" s="8">
        <v>42616.883310185185</v>
      </c>
      <c r="B917" t="s">
        <v>213</v>
      </c>
      <c r="C917" t="s">
        <v>1544</v>
      </c>
      <c r="D917">
        <v>1810000</v>
      </c>
      <c r="E917" t="s">
        <v>249</v>
      </c>
    </row>
    <row r="918" spans="1:5" x14ac:dyDescent="0.25">
      <c r="A918" s="8">
        <v>42616.889351851853</v>
      </c>
      <c r="B918" t="s">
        <v>90</v>
      </c>
      <c r="C918" t="s">
        <v>1545</v>
      </c>
      <c r="D918">
        <v>1480000</v>
      </c>
      <c r="E918" t="s">
        <v>459</v>
      </c>
    </row>
    <row r="919" spans="1:5" x14ac:dyDescent="0.25">
      <c r="A919" s="8">
        <v>42616.901643518519</v>
      </c>
      <c r="B919" t="s">
        <v>349</v>
      </c>
      <c r="C919" t="s">
        <v>1546</v>
      </c>
      <c r="D919">
        <v>2100000</v>
      </c>
      <c r="E919" t="s">
        <v>136</v>
      </c>
    </row>
    <row r="920" spans="1:5" x14ac:dyDescent="0.25">
      <c r="A920" s="8">
        <v>42616.910902777781</v>
      </c>
      <c r="B920" t="s">
        <v>200</v>
      </c>
      <c r="C920" t="s">
        <v>1547</v>
      </c>
      <c r="D920">
        <v>2090000</v>
      </c>
      <c r="E920" t="s">
        <v>161</v>
      </c>
    </row>
    <row r="921" spans="1:5" x14ac:dyDescent="0.25">
      <c r="A921" s="8">
        <v>42616.913738425923</v>
      </c>
      <c r="B921" t="s">
        <v>726</v>
      </c>
      <c r="C921" t="s">
        <v>1548</v>
      </c>
      <c r="D921">
        <v>1800000</v>
      </c>
      <c r="E921" t="s">
        <v>152</v>
      </c>
    </row>
    <row r="922" spans="1:5" x14ac:dyDescent="0.25">
      <c r="A922" s="8">
        <v>42616.915601851855</v>
      </c>
      <c r="B922" t="s">
        <v>418</v>
      </c>
      <c r="C922" t="s">
        <v>1549</v>
      </c>
      <c r="D922">
        <v>2100000</v>
      </c>
      <c r="E922" t="s">
        <v>136</v>
      </c>
    </row>
    <row r="923" spans="1:5" x14ac:dyDescent="0.25">
      <c r="A923" s="8">
        <v>42616.926759259259</v>
      </c>
      <c r="B923" t="s">
        <v>325</v>
      </c>
      <c r="C923" t="s">
        <v>1550</v>
      </c>
      <c r="D923">
        <v>1810000</v>
      </c>
      <c r="E923" t="s">
        <v>249</v>
      </c>
    </row>
    <row r="924" spans="1:5" x14ac:dyDescent="0.25">
      <c r="A924" s="8">
        <v>42616.93277777778</v>
      </c>
      <c r="B924" t="s">
        <v>111</v>
      </c>
      <c r="C924" t="s">
        <v>1551</v>
      </c>
      <c r="D924">
        <v>1480000</v>
      </c>
      <c r="E924" t="s">
        <v>459</v>
      </c>
    </row>
    <row r="925" spans="1:5" x14ac:dyDescent="0.25">
      <c r="A925" s="8">
        <v>42616.933634259258</v>
      </c>
      <c r="B925" t="s">
        <v>325</v>
      </c>
      <c r="C925" t="s">
        <v>1550</v>
      </c>
      <c r="D925">
        <v>1810000</v>
      </c>
      <c r="E925" t="s">
        <v>249</v>
      </c>
    </row>
    <row r="926" spans="1:5" x14ac:dyDescent="0.25">
      <c r="A926" s="8">
        <v>42616.934502314813</v>
      </c>
      <c r="B926" t="s">
        <v>325</v>
      </c>
      <c r="C926" t="s">
        <v>1550</v>
      </c>
      <c r="D926">
        <v>1810000</v>
      </c>
      <c r="E926" t="s">
        <v>249</v>
      </c>
    </row>
    <row r="927" spans="1:5" x14ac:dyDescent="0.25">
      <c r="A927" s="8">
        <v>42616.943171296298</v>
      </c>
      <c r="B927" t="s">
        <v>349</v>
      </c>
      <c r="C927" t="s">
        <v>1552</v>
      </c>
      <c r="D927">
        <v>2100000</v>
      </c>
      <c r="E927" t="s">
        <v>136</v>
      </c>
    </row>
    <row r="928" spans="1:5" x14ac:dyDescent="0.25">
      <c r="A928" s="8">
        <v>42616.952268518522</v>
      </c>
      <c r="B928" t="s">
        <v>418</v>
      </c>
      <c r="C928" t="s">
        <v>1552</v>
      </c>
      <c r="D928">
        <v>2100000</v>
      </c>
      <c r="E928" t="s">
        <v>136</v>
      </c>
    </row>
    <row r="929" spans="1:5" x14ac:dyDescent="0.25">
      <c r="A929" s="8">
        <v>42616.953009259261</v>
      </c>
      <c r="B929" t="s">
        <v>418</v>
      </c>
      <c r="C929" t="s">
        <v>1552</v>
      </c>
      <c r="D929">
        <v>2100000</v>
      </c>
      <c r="E929" t="s">
        <v>136</v>
      </c>
    </row>
    <row r="930" spans="1:5" x14ac:dyDescent="0.25">
      <c r="A930" s="8">
        <v>42616.9531712963</v>
      </c>
      <c r="B930" t="s">
        <v>706</v>
      </c>
      <c r="C930" t="s">
        <v>1553</v>
      </c>
      <c r="D930">
        <v>1800000</v>
      </c>
      <c r="E930" t="s">
        <v>152</v>
      </c>
    </row>
    <row r="931" spans="1:5" x14ac:dyDescent="0.25">
      <c r="A931" s="8">
        <v>42616.956469907411</v>
      </c>
      <c r="B931" t="s">
        <v>201</v>
      </c>
      <c r="C931" t="s">
        <v>1554</v>
      </c>
      <c r="D931">
        <v>2090000</v>
      </c>
      <c r="E931" t="s">
        <v>161</v>
      </c>
    </row>
    <row r="932" spans="1:5" x14ac:dyDescent="0.25">
      <c r="A932" s="8">
        <v>42616.96366898148</v>
      </c>
      <c r="B932" t="s">
        <v>213</v>
      </c>
      <c r="C932" t="s">
        <v>1555</v>
      </c>
      <c r="D932">
        <v>1810000</v>
      </c>
      <c r="E932" t="s">
        <v>249</v>
      </c>
    </row>
    <row r="933" spans="1:5" x14ac:dyDescent="0.25">
      <c r="A933" s="8">
        <v>42616.974212962959</v>
      </c>
      <c r="B933" t="s">
        <v>90</v>
      </c>
      <c r="C933" t="s">
        <v>1556</v>
      </c>
      <c r="D933">
        <v>1480000</v>
      </c>
      <c r="E933" t="s">
        <v>459</v>
      </c>
    </row>
    <row r="934" spans="1:5" x14ac:dyDescent="0.25">
      <c r="A934" s="8">
        <v>42616.994837962964</v>
      </c>
      <c r="B934" t="s">
        <v>200</v>
      </c>
      <c r="C934" t="s">
        <v>1557</v>
      </c>
      <c r="D934">
        <v>2090000</v>
      </c>
      <c r="E934" t="s">
        <v>161</v>
      </c>
    </row>
    <row r="935" spans="1:5" x14ac:dyDescent="0.25">
      <c r="A935" s="8">
        <v>42616.998206018521</v>
      </c>
      <c r="B935" t="s">
        <v>726</v>
      </c>
      <c r="C935" t="s">
        <v>1558</v>
      </c>
      <c r="D935">
        <v>1800000</v>
      </c>
      <c r="E935" t="s">
        <v>152</v>
      </c>
    </row>
    <row r="936" spans="1:5" x14ac:dyDescent="0.25">
      <c r="A936" s="8">
        <v>42617.006840277776</v>
      </c>
      <c r="B936" t="s">
        <v>325</v>
      </c>
      <c r="C936" t="s">
        <v>1559</v>
      </c>
      <c r="D936">
        <v>1810000</v>
      </c>
      <c r="E936" t="s">
        <v>249</v>
      </c>
    </row>
    <row r="937" spans="1:5" x14ac:dyDescent="0.25">
      <c r="A937" s="8">
        <v>42617.013993055552</v>
      </c>
      <c r="B937" t="s">
        <v>111</v>
      </c>
      <c r="C937" t="s">
        <v>1560</v>
      </c>
      <c r="D937">
        <v>1480000</v>
      </c>
      <c r="E937" t="s">
        <v>459</v>
      </c>
    </row>
    <row r="938" spans="1:5" x14ac:dyDescent="0.25">
      <c r="A938" s="8">
        <v>42617.028217592589</v>
      </c>
      <c r="B938" t="s">
        <v>325</v>
      </c>
      <c r="C938" t="s">
        <v>1559</v>
      </c>
      <c r="D938">
        <v>1810000</v>
      </c>
      <c r="E938" t="s">
        <v>249</v>
      </c>
    </row>
    <row r="939" spans="1:5" x14ac:dyDescent="0.25">
      <c r="A939" s="8">
        <v>42617.034618055557</v>
      </c>
      <c r="B939" t="s">
        <v>201</v>
      </c>
      <c r="C939" t="s">
        <v>1561</v>
      </c>
      <c r="D939">
        <v>2090000</v>
      </c>
      <c r="E939" t="s">
        <v>161</v>
      </c>
    </row>
    <row r="940" spans="1:5" x14ac:dyDescent="0.25">
      <c r="A940" s="8">
        <v>42617.038784722223</v>
      </c>
      <c r="B940" t="s">
        <v>706</v>
      </c>
      <c r="C940" t="s">
        <v>1562</v>
      </c>
      <c r="D940">
        <v>1800000</v>
      </c>
      <c r="E940" t="s">
        <v>152</v>
      </c>
    </row>
    <row r="941" spans="1:5" x14ac:dyDescent="0.25">
      <c r="A941" s="8">
        <v>42617.048344907409</v>
      </c>
      <c r="B941" t="s">
        <v>213</v>
      </c>
      <c r="C941" t="s">
        <v>1563</v>
      </c>
      <c r="D941">
        <v>1810000</v>
      </c>
      <c r="E941" t="s">
        <v>249</v>
      </c>
    </row>
    <row r="942" spans="1:5" x14ac:dyDescent="0.25">
      <c r="A942" s="8">
        <v>42617.053298611114</v>
      </c>
      <c r="B942" t="s">
        <v>90</v>
      </c>
      <c r="C942" t="s">
        <v>1564</v>
      </c>
      <c r="D942">
        <v>1480000</v>
      </c>
      <c r="E942" t="s">
        <v>459</v>
      </c>
    </row>
    <row r="943" spans="1:5" x14ac:dyDescent="0.25">
      <c r="A943" s="8">
        <v>42617.071203703701</v>
      </c>
      <c r="B943" t="s">
        <v>726</v>
      </c>
      <c r="C943" t="s">
        <v>1565</v>
      </c>
      <c r="D943">
        <v>1800000</v>
      </c>
      <c r="E943" t="s">
        <v>152</v>
      </c>
    </row>
    <row r="944" spans="1:5" x14ac:dyDescent="0.25">
      <c r="A944" s="8">
        <v>42617.077418981484</v>
      </c>
      <c r="B944" t="s">
        <v>200</v>
      </c>
      <c r="C944" t="s">
        <v>1566</v>
      </c>
      <c r="D944">
        <v>2090000</v>
      </c>
      <c r="E944" t="s">
        <v>161</v>
      </c>
    </row>
    <row r="945" spans="1:5" x14ac:dyDescent="0.25">
      <c r="A945" s="8">
        <v>42617.090844907405</v>
      </c>
      <c r="B945" t="s">
        <v>111</v>
      </c>
      <c r="C945" t="s">
        <v>1567</v>
      </c>
      <c r="D945">
        <v>1480000</v>
      </c>
      <c r="E945" t="s">
        <v>459</v>
      </c>
    </row>
    <row r="946" spans="1:5" x14ac:dyDescent="0.25">
      <c r="A946" s="8">
        <v>42617.110081018516</v>
      </c>
      <c r="B946" t="s">
        <v>201</v>
      </c>
      <c r="C946" t="s">
        <v>1568</v>
      </c>
      <c r="D946">
        <v>2090000</v>
      </c>
      <c r="E946" t="s">
        <v>161</v>
      </c>
    </row>
    <row r="947" spans="1:5" x14ac:dyDescent="0.25">
      <c r="A947" s="8">
        <v>42617.129363425927</v>
      </c>
      <c r="B947" t="s">
        <v>257</v>
      </c>
      <c r="C947" t="s">
        <v>1569</v>
      </c>
      <c r="D947">
        <v>2030000</v>
      </c>
      <c r="E947" t="s">
        <v>246</v>
      </c>
    </row>
    <row r="948" spans="1:5" x14ac:dyDescent="0.25">
      <c r="A948" s="8">
        <v>42617.136747685188</v>
      </c>
      <c r="B948" t="s">
        <v>257</v>
      </c>
      <c r="C948" t="s">
        <v>1569</v>
      </c>
      <c r="D948">
        <v>2030000</v>
      </c>
      <c r="E948" t="s">
        <v>246</v>
      </c>
    </row>
    <row r="949" spans="1:5" x14ac:dyDescent="0.25">
      <c r="A949" s="8">
        <v>42617.151365740741</v>
      </c>
      <c r="B949" t="s">
        <v>724</v>
      </c>
      <c r="C949" t="s">
        <v>1570</v>
      </c>
      <c r="D949">
        <v>1260000</v>
      </c>
      <c r="E949" t="s">
        <v>1380</v>
      </c>
    </row>
    <row r="950" spans="1:5" x14ac:dyDescent="0.25">
      <c r="A950" s="8">
        <v>42617.167800925927</v>
      </c>
      <c r="B950" t="s">
        <v>351</v>
      </c>
      <c r="C950" t="s">
        <v>1571</v>
      </c>
      <c r="D950">
        <v>2030000</v>
      </c>
      <c r="E950" t="s">
        <v>246</v>
      </c>
    </row>
    <row r="951" spans="1:5" x14ac:dyDescent="0.25">
      <c r="A951" s="8">
        <v>42617.170057870368</v>
      </c>
      <c r="B951" t="s">
        <v>247</v>
      </c>
      <c r="C951" t="s">
        <v>1572</v>
      </c>
      <c r="D951">
        <v>2010000</v>
      </c>
      <c r="E951" t="s">
        <v>760</v>
      </c>
    </row>
    <row r="952" spans="1:5" x14ac:dyDescent="0.25">
      <c r="A952" s="8">
        <v>42617.183136574073</v>
      </c>
      <c r="B952" t="s">
        <v>144</v>
      </c>
      <c r="C952" t="s">
        <v>1573</v>
      </c>
      <c r="D952">
        <v>1990000</v>
      </c>
      <c r="E952" t="s">
        <v>258</v>
      </c>
    </row>
    <row r="953" spans="1:5" x14ac:dyDescent="0.25">
      <c r="A953" s="8">
        <v>42617.190312500003</v>
      </c>
      <c r="B953" t="s">
        <v>114</v>
      </c>
      <c r="C953" t="s">
        <v>1574</v>
      </c>
      <c r="D953">
        <v>1260000</v>
      </c>
      <c r="E953" t="s">
        <v>1380</v>
      </c>
    </row>
    <row r="954" spans="1:5" x14ac:dyDescent="0.25">
      <c r="A954" s="8">
        <v>42617.196620370371</v>
      </c>
      <c r="B954" t="s">
        <v>154</v>
      </c>
      <c r="C954" t="s">
        <v>728</v>
      </c>
      <c r="D954">
        <v>1310000</v>
      </c>
      <c r="E954" t="s">
        <v>967</v>
      </c>
    </row>
    <row r="955" spans="1:5" x14ac:dyDescent="0.25">
      <c r="A955" s="8">
        <v>42617.204560185186</v>
      </c>
      <c r="B955" t="s">
        <v>257</v>
      </c>
      <c r="C955" t="s">
        <v>1575</v>
      </c>
      <c r="D955">
        <v>1760000</v>
      </c>
      <c r="E955" t="s">
        <v>762</v>
      </c>
    </row>
    <row r="956" spans="1:5" x14ac:dyDescent="0.25">
      <c r="A956" s="8">
        <v>42617.205254629633</v>
      </c>
      <c r="B956" t="s">
        <v>151</v>
      </c>
      <c r="C956" t="s">
        <v>1576</v>
      </c>
      <c r="D956">
        <v>2030000</v>
      </c>
      <c r="E956" t="s">
        <v>246</v>
      </c>
    </row>
    <row r="957" spans="1:5" x14ac:dyDescent="0.25">
      <c r="A957" s="8">
        <v>42617.212291666663</v>
      </c>
      <c r="B957" t="s">
        <v>226</v>
      </c>
      <c r="C957" t="s">
        <v>1577</v>
      </c>
      <c r="D957">
        <v>2010000</v>
      </c>
      <c r="E957" t="s">
        <v>760</v>
      </c>
    </row>
    <row r="958" spans="1:5" x14ac:dyDescent="0.25">
      <c r="A958" s="8">
        <v>42617.220775462964</v>
      </c>
      <c r="B958" t="s">
        <v>139</v>
      </c>
      <c r="C958" t="s">
        <v>1578</v>
      </c>
      <c r="D958">
        <v>1990000</v>
      </c>
      <c r="E958" t="s">
        <v>258</v>
      </c>
    </row>
    <row r="959" spans="1:5" x14ac:dyDescent="0.25">
      <c r="A959" s="8">
        <v>42617.225405092591</v>
      </c>
      <c r="B959" t="s">
        <v>724</v>
      </c>
      <c r="C959" t="s">
        <v>1579</v>
      </c>
      <c r="D959">
        <v>1830000</v>
      </c>
      <c r="E959" t="s">
        <v>972</v>
      </c>
    </row>
    <row r="960" spans="1:5" x14ac:dyDescent="0.25">
      <c r="A960" s="8">
        <v>42617.233831018515</v>
      </c>
      <c r="B960" t="s">
        <v>113</v>
      </c>
      <c r="C960" t="s">
        <v>1580</v>
      </c>
      <c r="D960">
        <v>1260000</v>
      </c>
      <c r="E960" t="s">
        <v>1380</v>
      </c>
    </row>
    <row r="961" spans="1:5" x14ac:dyDescent="0.25">
      <c r="A961" s="8">
        <v>42617.235243055555</v>
      </c>
      <c r="B961" t="s">
        <v>92</v>
      </c>
      <c r="C961" t="s">
        <v>1581</v>
      </c>
      <c r="D961">
        <v>1110000</v>
      </c>
      <c r="E961" t="s">
        <v>259</v>
      </c>
    </row>
    <row r="962" spans="1:5" x14ac:dyDescent="0.25">
      <c r="A962" s="8">
        <v>42617.235995370371</v>
      </c>
      <c r="B962" t="s">
        <v>92</v>
      </c>
      <c r="C962" t="s">
        <v>1581</v>
      </c>
      <c r="D962">
        <v>1110000</v>
      </c>
      <c r="E962" t="s">
        <v>259</v>
      </c>
    </row>
    <row r="963" spans="1:5" x14ac:dyDescent="0.25">
      <c r="A963" s="8">
        <v>42617.236388888887</v>
      </c>
      <c r="B963" t="s">
        <v>227</v>
      </c>
      <c r="C963" t="s">
        <v>709</v>
      </c>
      <c r="D963">
        <v>1310000</v>
      </c>
      <c r="E963" t="s">
        <v>967</v>
      </c>
    </row>
    <row r="964" spans="1:5" x14ac:dyDescent="0.25">
      <c r="A964" s="8">
        <v>42617.238043981481</v>
      </c>
      <c r="B964" t="s">
        <v>92</v>
      </c>
      <c r="C964" t="s">
        <v>1581</v>
      </c>
      <c r="D964">
        <v>1110000</v>
      </c>
      <c r="E964" t="s">
        <v>259</v>
      </c>
    </row>
    <row r="965" spans="1:5" x14ac:dyDescent="0.25">
      <c r="A965" s="8">
        <v>42617.245023148149</v>
      </c>
      <c r="B965" t="s">
        <v>260</v>
      </c>
      <c r="C965" t="s">
        <v>719</v>
      </c>
      <c r="D965">
        <v>1760000</v>
      </c>
      <c r="E965" t="s">
        <v>762</v>
      </c>
    </row>
    <row r="966" spans="1:5" x14ac:dyDescent="0.25">
      <c r="A966" s="8">
        <v>42617.248692129629</v>
      </c>
      <c r="B966" t="s">
        <v>247</v>
      </c>
      <c r="C966" t="s">
        <v>1582</v>
      </c>
      <c r="D966">
        <v>2010000</v>
      </c>
      <c r="E966" t="s">
        <v>760</v>
      </c>
    </row>
    <row r="967" spans="1:5" x14ac:dyDescent="0.25">
      <c r="A967" s="8">
        <v>42617.251620370371</v>
      </c>
      <c r="B967" t="s">
        <v>351</v>
      </c>
      <c r="C967" t="s">
        <v>1583</v>
      </c>
      <c r="D967">
        <v>2030000</v>
      </c>
      <c r="E967" t="s">
        <v>246</v>
      </c>
    </row>
    <row r="968" spans="1:5" x14ac:dyDescent="0.25">
      <c r="A968" s="8">
        <v>42617.255613425928</v>
      </c>
      <c r="B968" t="s">
        <v>746</v>
      </c>
      <c r="C968" t="s">
        <v>1584</v>
      </c>
      <c r="D968">
        <v>1830000</v>
      </c>
      <c r="E968" t="s">
        <v>972</v>
      </c>
    </row>
    <row r="969" spans="1:5" x14ac:dyDescent="0.25">
      <c r="A969" s="8">
        <v>42617.257384259261</v>
      </c>
      <c r="B969" t="s">
        <v>144</v>
      </c>
      <c r="C969" t="s">
        <v>1585</v>
      </c>
      <c r="D969">
        <v>1990000</v>
      </c>
      <c r="E969" t="s">
        <v>258</v>
      </c>
    </row>
    <row r="970" spans="1:5" x14ac:dyDescent="0.25">
      <c r="A970" s="8">
        <v>42617.26253472222</v>
      </c>
      <c r="B970" t="s">
        <v>91</v>
      </c>
      <c r="C970" t="s">
        <v>1586</v>
      </c>
      <c r="D970">
        <v>1110000</v>
      </c>
      <c r="E970" t="s">
        <v>259</v>
      </c>
    </row>
    <row r="971" spans="1:5" x14ac:dyDescent="0.25">
      <c r="A971" s="8">
        <v>42617.269363425927</v>
      </c>
      <c r="B971" t="s">
        <v>154</v>
      </c>
      <c r="C971" t="s">
        <v>1587</v>
      </c>
      <c r="D971">
        <v>1310000</v>
      </c>
      <c r="E971" t="s">
        <v>967</v>
      </c>
    </row>
    <row r="972" spans="1:5" x14ac:dyDescent="0.25">
      <c r="A972" s="8">
        <v>42617.272743055553</v>
      </c>
      <c r="B972" t="s">
        <v>114</v>
      </c>
      <c r="C972" t="s">
        <v>1588</v>
      </c>
      <c r="D972">
        <v>1260000</v>
      </c>
      <c r="E972" t="s">
        <v>1380</v>
      </c>
    </row>
    <row r="973" spans="1:5" x14ac:dyDescent="0.25">
      <c r="A973" s="8">
        <v>42617.276307870372</v>
      </c>
      <c r="B973" t="s">
        <v>92</v>
      </c>
      <c r="C973" t="s">
        <v>1589</v>
      </c>
      <c r="D973">
        <v>1110000</v>
      </c>
      <c r="E973" t="s">
        <v>259</v>
      </c>
    </row>
    <row r="974" spans="1:5" x14ac:dyDescent="0.25">
      <c r="A974" s="8">
        <v>42617.278749999998</v>
      </c>
      <c r="B974" t="s">
        <v>257</v>
      </c>
      <c r="C974" t="s">
        <v>1590</v>
      </c>
      <c r="D974">
        <v>1760000</v>
      </c>
      <c r="E974" t="s">
        <v>762</v>
      </c>
    </row>
    <row r="975" spans="1:5" x14ac:dyDescent="0.25">
      <c r="A975" s="8">
        <v>42617.282083333332</v>
      </c>
      <c r="B975" t="s">
        <v>245</v>
      </c>
      <c r="C975" t="s">
        <v>1591</v>
      </c>
      <c r="D975">
        <v>2010000</v>
      </c>
      <c r="E975" t="s">
        <v>760</v>
      </c>
    </row>
    <row r="976" spans="1:5" x14ac:dyDescent="0.25">
      <c r="A976" s="8">
        <v>42617.286412037036</v>
      </c>
      <c r="B976" t="s">
        <v>151</v>
      </c>
      <c r="C976" t="s">
        <v>1592</v>
      </c>
      <c r="D976">
        <v>2030000</v>
      </c>
      <c r="E976" t="s">
        <v>246</v>
      </c>
    </row>
    <row r="977" spans="1:5" x14ac:dyDescent="0.25">
      <c r="A977" s="8">
        <v>42617.289618055554</v>
      </c>
      <c r="B977" t="s">
        <v>257</v>
      </c>
      <c r="C977" t="s">
        <v>1590</v>
      </c>
      <c r="D977">
        <v>1760000</v>
      </c>
      <c r="E977" t="s">
        <v>762</v>
      </c>
    </row>
    <row r="978" spans="1:5" x14ac:dyDescent="0.25">
      <c r="A978" s="8">
        <v>42617.293819444443</v>
      </c>
      <c r="B978" t="s">
        <v>139</v>
      </c>
      <c r="C978" t="s">
        <v>1593</v>
      </c>
      <c r="D978">
        <v>1990000</v>
      </c>
      <c r="E978" t="s">
        <v>258</v>
      </c>
    </row>
    <row r="979" spans="1:5" x14ac:dyDescent="0.25">
      <c r="A979" s="8">
        <v>42617.294745370367</v>
      </c>
      <c r="B979" t="s">
        <v>724</v>
      </c>
      <c r="C979" t="s">
        <v>1594</v>
      </c>
      <c r="D979">
        <v>1830000</v>
      </c>
      <c r="E979" t="s">
        <v>972</v>
      </c>
    </row>
    <row r="980" spans="1:5" x14ac:dyDescent="0.25">
      <c r="A980" s="8">
        <v>42617.304490740738</v>
      </c>
      <c r="B980" t="s">
        <v>91</v>
      </c>
      <c r="C980" t="s">
        <v>1595</v>
      </c>
      <c r="D980">
        <v>1110000</v>
      </c>
      <c r="E980" t="s">
        <v>259</v>
      </c>
    </row>
    <row r="981" spans="1:5" x14ac:dyDescent="0.25">
      <c r="A981" s="8">
        <v>42617.305833333332</v>
      </c>
      <c r="B981" t="s">
        <v>227</v>
      </c>
      <c r="C981" t="s">
        <v>1596</v>
      </c>
      <c r="D981">
        <v>1310000</v>
      </c>
      <c r="E981" t="s">
        <v>967</v>
      </c>
    </row>
    <row r="982" spans="1:5" x14ac:dyDescent="0.25">
      <c r="A982" s="8">
        <v>42617.308391203704</v>
      </c>
      <c r="B982" t="s">
        <v>113</v>
      </c>
      <c r="C982" t="s">
        <v>1597</v>
      </c>
      <c r="D982">
        <v>1260000</v>
      </c>
      <c r="E982" t="s">
        <v>1380</v>
      </c>
    </row>
    <row r="983" spans="1:5" x14ac:dyDescent="0.25">
      <c r="A983" s="8">
        <v>42617.317719907405</v>
      </c>
      <c r="B983" t="s">
        <v>92</v>
      </c>
      <c r="C983" t="s">
        <v>1598</v>
      </c>
      <c r="D983">
        <v>1110000</v>
      </c>
      <c r="E983" t="s">
        <v>259</v>
      </c>
    </row>
    <row r="984" spans="1:5" x14ac:dyDescent="0.25">
      <c r="A984" s="8">
        <v>42617.318599537037</v>
      </c>
      <c r="B984" t="s">
        <v>247</v>
      </c>
      <c r="C984" t="s">
        <v>1599</v>
      </c>
      <c r="D984">
        <v>2010000</v>
      </c>
      <c r="E984" t="s">
        <v>760</v>
      </c>
    </row>
    <row r="985" spans="1:5" x14ac:dyDescent="0.25">
      <c r="A985" s="8">
        <v>42617.326226851852</v>
      </c>
      <c r="B985" t="s">
        <v>351</v>
      </c>
      <c r="C985" t="s">
        <v>1600</v>
      </c>
      <c r="D985">
        <v>2030000</v>
      </c>
      <c r="E985" t="s">
        <v>246</v>
      </c>
    </row>
    <row r="986" spans="1:5" x14ac:dyDescent="0.25">
      <c r="A986" s="8">
        <v>42617.330324074072</v>
      </c>
      <c r="B986" t="s">
        <v>746</v>
      </c>
      <c r="C986" t="s">
        <v>1601</v>
      </c>
      <c r="D986">
        <v>1830000</v>
      </c>
      <c r="E986" t="s">
        <v>972</v>
      </c>
    </row>
    <row r="987" spans="1:5" x14ac:dyDescent="0.25">
      <c r="A987" s="8">
        <v>42617.336296296293</v>
      </c>
      <c r="B987" t="s">
        <v>144</v>
      </c>
      <c r="C987" t="s">
        <v>1602</v>
      </c>
      <c r="D987">
        <v>1990000</v>
      </c>
      <c r="E987" t="s">
        <v>258</v>
      </c>
    </row>
    <row r="988" spans="1:5" x14ac:dyDescent="0.25">
      <c r="A988" s="8">
        <v>42617.343726851854</v>
      </c>
      <c r="B988" t="s">
        <v>154</v>
      </c>
      <c r="C988" t="s">
        <v>1603</v>
      </c>
      <c r="D988">
        <v>1310000</v>
      </c>
      <c r="E988" t="s">
        <v>967</v>
      </c>
    </row>
    <row r="989" spans="1:5" x14ac:dyDescent="0.25">
      <c r="A989" s="8">
        <v>42617.345081018517</v>
      </c>
      <c r="B989" t="s">
        <v>91</v>
      </c>
      <c r="C989" t="s">
        <v>1604</v>
      </c>
      <c r="D989">
        <v>1110000</v>
      </c>
      <c r="E989" t="s">
        <v>259</v>
      </c>
    </row>
    <row r="990" spans="1:5" x14ac:dyDescent="0.25">
      <c r="A990" s="8">
        <v>42617.346122685187</v>
      </c>
      <c r="B990" t="s">
        <v>114</v>
      </c>
      <c r="C990" t="s">
        <v>1605</v>
      </c>
      <c r="D990">
        <v>1260000</v>
      </c>
      <c r="E990" t="s">
        <v>1380</v>
      </c>
    </row>
    <row r="991" spans="1:5" x14ac:dyDescent="0.25">
      <c r="A991" s="8">
        <v>42617.349212962959</v>
      </c>
      <c r="B991" t="s">
        <v>1169</v>
      </c>
      <c r="C991" t="s">
        <v>1606</v>
      </c>
      <c r="D991">
        <v>2110000</v>
      </c>
      <c r="E991" t="s">
        <v>1117</v>
      </c>
    </row>
    <row r="992" spans="1:5" x14ac:dyDescent="0.25">
      <c r="A992" s="8">
        <v>42617.349791666667</v>
      </c>
      <c r="B992" t="s">
        <v>1169</v>
      </c>
      <c r="C992" t="s">
        <v>1606</v>
      </c>
      <c r="D992">
        <v>2110000</v>
      </c>
      <c r="E992" t="s">
        <v>1117</v>
      </c>
    </row>
    <row r="993" spans="1:5" x14ac:dyDescent="0.25">
      <c r="A993" s="8">
        <v>42617.350752314815</v>
      </c>
      <c r="B993" t="s">
        <v>1169</v>
      </c>
      <c r="C993" t="s">
        <v>1606</v>
      </c>
      <c r="D993">
        <v>2110000</v>
      </c>
      <c r="E993" t="s">
        <v>1117</v>
      </c>
    </row>
    <row r="994" spans="1:5" x14ac:dyDescent="0.25">
      <c r="A994" s="8">
        <v>42617.359351851854</v>
      </c>
      <c r="B994" t="s">
        <v>245</v>
      </c>
      <c r="C994" t="s">
        <v>1607</v>
      </c>
      <c r="D994">
        <v>2010000</v>
      </c>
      <c r="E994" t="s">
        <v>760</v>
      </c>
    </row>
    <row r="995" spans="1:5" x14ac:dyDescent="0.25">
      <c r="A995" s="8">
        <v>42617.359675925924</v>
      </c>
      <c r="B995" t="s">
        <v>92</v>
      </c>
      <c r="C995" t="s">
        <v>1608</v>
      </c>
      <c r="D995">
        <v>1110000</v>
      </c>
      <c r="E995" t="s">
        <v>259</v>
      </c>
    </row>
    <row r="996" spans="1:5" x14ac:dyDescent="0.25">
      <c r="A996" s="8">
        <v>42617.36178240741</v>
      </c>
      <c r="B996" t="s">
        <v>151</v>
      </c>
      <c r="C996" t="s">
        <v>1609</v>
      </c>
      <c r="D996">
        <v>2030000</v>
      </c>
      <c r="E996" t="s">
        <v>246</v>
      </c>
    </row>
    <row r="997" spans="1:5" x14ac:dyDescent="0.25">
      <c r="A997" s="8">
        <v>42617.367650462962</v>
      </c>
      <c r="B997" t="s">
        <v>139</v>
      </c>
      <c r="C997" t="s">
        <v>707</v>
      </c>
      <c r="D997">
        <v>1990000</v>
      </c>
      <c r="E997" t="s">
        <v>258</v>
      </c>
    </row>
    <row r="998" spans="1:5" x14ac:dyDescent="0.25">
      <c r="A998" s="8">
        <v>42617.368344907409</v>
      </c>
      <c r="B998" t="s">
        <v>724</v>
      </c>
      <c r="C998" t="s">
        <v>1610</v>
      </c>
      <c r="D998">
        <v>1830000</v>
      </c>
      <c r="E998" t="s">
        <v>972</v>
      </c>
    </row>
    <row r="999" spans="1:5" x14ac:dyDescent="0.25">
      <c r="A999" s="8">
        <v>42617.380868055552</v>
      </c>
      <c r="B999" t="s">
        <v>227</v>
      </c>
      <c r="C999" t="s">
        <v>1611</v>
      </c>
      <c r="D999">
        <v>1310000</v>
      </c>
      <c r="E999" t="s">
        <v>967</v>
      </c>
    </row>
    <row r="1000" spans="1:5" x14ac:dyDescent="0.25">
      <c r="A1000" s="8">
        <v>42617.382384259261</v>
      </c>
      <c r="B1000" t="s">
        <v>113</v>
      </c>
      <c r="C1000" t="s">
        <v>1612</v>
      </c>
      <c r="D1000">
        <v>1260000</v>
      </c>
      <c r="E1000" t="s">
        <v>1613</v>
      </c>
    </row>
    <row r="1001" spans="1:5" x14ac:dyDescent="0.25">
      <c r="A1001" s="8">
        <v>42617.034618055557</v>
      </c>
      <c r="B1001" t="s">
        <v>201</v>
      </c>
      <c r="C1001" t="s">
        <v>1561</v>
      </c>
      <c r="D1001">
        <v>2090000</v>
      </c>
      <c r="E1001" t="s">
        <v>161</v>
      </c>
    </row>
    <row r="1002" spans="1:5" x14ac:dyDescent="0.25">
      <c r="A1002" s="8">
        <v>42617.038784722223</v>
      </c>
      <c r="B1002" t="s">
        <v>706</v>
      </c>
      <c r="C1002" t="s">
        <v>1562</v>
      </c>
      <c r="D1002">
        <v>1800000</v>
      </c>
      <c r="E1002" t="s">
        <v>152</v>
      </c>
    </row>
    <row r="1003" spans="1:5" x14ac:dyDescent="0.25">
      <c r="A1003" s="8">
        <v>42617.048344907409</v>
      </c>
      <c r="B1003" t="s">
        <v>213</v>
      </c>
      <c r="C1003" t="s">
        <v>1563</v>
      </c>
      <c r="D1003">
        <v>1810000</v>
      </c>
      <c r="E1003" t="s">
        <v>249</v>
      </c>
    </row>
    <row r="1004" spans="1:5" x14ac:dyDescent="0.25">
      <c r="A1004" s="8">
        <v>42617.053298611114</v>
      </c>
      <c r="B1004" t="s">
        <v>90</v>
      </c>
      <c r="C1004" t="s">
        <v>1564</v>
      </c>
      <c r="D1004">
        <v>1480000</v>
      </c>
      <c r="E1004" t="s">
        <v>459</v>
      </c>
    </row>
    <row r="1005" spans="1:5" x14ac:dyDescent="0.25">
      <c r="A1005" s="8">
        <v>42617.071203703701</v>
      </c>
      <c r="B1005" t="s">
        <v>726</v>
      </c>
      <c r="C1005" t="s">
        <v>1565</v>
      </c>
      <c r="D1005">
        <v>1800000</v>
      </c>
      <c r="E1005" t="s">
        <v>152</v>
      </c>
    </row>
    <row r="1006" spans="1:5" x14ac:dyDescent="0.25">
      <c r="A1006" s="8">
        <v>42617.077418981484</v>
      </c>
      <c r="B1006" t="s">
        <v>200</v>
      </c>
      <c r="C1006" t="s">
        <v>1566</v>
      </c>
      <c r="D1006">
        <v>2090000</v>
      </c>
      <c r="E1006" t="s">
        <v>161</v>
      </c>
    </row>
    <row r="1007" spans="1:5" x14ac:dyDescent="0.25">
      <c r="A1007" s="8">
        <v>42617.090844907405</v>
      </c>
      <c r="B1007" t="s">
        <v>111</v>
      </c>
      <c r="C1007" t="s">
        <v>1567</v>
      </c>
      <c r="D1007">
        <v>1480000</v>
      </c>
      <c r="E1007" t="s">
        <v>459</v>
      </c>
    </row>
    <row r="1008" spans="1:5" x14ac:dyDescent="0.25">
      <c r="A1008" s="8">
        <v>42617.110081018516</v>
      </c>
      <c r="B1008" t="s">
        <v>201</v>
      </c>
      <c r="C1008" t="s">
        <v>1568</v>
      </c>
      <c r="D1008">
        <v>2090000</v>
      </c>
      <c r="E1008" t="s">
        <v>161</v>
      </c>
    </row>
    <row r="1009" spans="1:5" x14ac:dyDescent="0.25">
      <c r="A1009" s="8">
        <v>42617.129363425927</v>
      </c>
      <c r="B1009" t="s">
        <v>257</v>
      </c>
      <c r="C1009" t="s">
        <v>1569</v>
      </c>
      <c r="D1009">
        <v>2030000</v>
      </c>
      <c r="E1009" t="s">
        <v>246</v>
      </c>
    </row>
    <row r="1010" spans="1:5" x14ac:dyDescent="0.25">
      <c r="A1010" s="8">
        <v>42617.136747685188</v>
      </c>
      <c r="B1010" t="s">
        <v>257</v>
      </c>
      <c r="C1010" t="s">
        <v>1569</v>
      </c>
      <c r="D1010">
        <v>2030000</v>
      </c>
      <c r="E1010" t="s">
        <v>246</v>
      </c>
    </row>
    <row r="1011" spans="1:5" x14ac:dyDescent="0.25">
      <c r="A1011" s="8">
        <v>42617.151365740741</v>
      </c>
      <c r="B1011" t="s">
        <v>724</v>
      </c>
      <c r="C1011" t="s">
        <v>1570</v>
      </c>
      <c r="D1011">
        <v>1260000</v>
      </c>
      <c r="E1011" t="s">
        <v>1380</v>
      </c>
    </row>
    <row r="1012" spans="1:5" x14ac:dyDescent="0.25">
      <c r="A1012" s="8">
        <v>42617.167800925927</v>
      </c>
      <c r="B1012" t="s">
        <v>351</v>
      </c>
      <c r="C1012" t="s">
        <v>1571</v>
      </c>
      <c r="D1012">
        <v>2030000</v>
      </c>
      <c r="E1012" t="s">
        <v>246</v>
      </c>
    </row>
    <row r="1013" spans="1:5" x14ac:dyDescent="0.25">
      <c r="A1013" s="8">
        <v>42617.170057870368</v>
      </c>
      <c r="B1013" t="s">
        <v>247</v>
      </c>
      <c r="C1013" t="s">
        <v>1572</v>
      </c>
      <c r="D1013">
        <v>2010000</v>
      </c>
      <c r="E1013" t="s">
        <v>760</v>
      </c>
    </row>
    <row r="1014" spans="1:5" x14ac:dyDescent="0.25">
      <c r="A1014" s="8">
        <v>42617.183136574073</v>
      </c>
      <c r="B1014" t="s">
        <v>144</v>
      </c>
      <c r="C1014" t="s">
        <v>1573</v>
      </c>
      <c r="D1014">
        <v>1990000</v>
      </c>
      <c r="E1014" t="s">
        <v>258</v>
      </c>
    </row>
    <row r="1015" spans="1:5" x14ac:dyDescent="0.25">
      <c r="A1015" s="8">
        <v>42617.190312500003</v>
      </c>
      <c r="B1015" t="s">
        <v>114</v>
      </c>
      <c r="C1015" t="s">
        <v>1574</v>
      </c>
      <c r="D1015">
        <v>1260000</v>
      </c>
      <c r="E1015" t="s">
        <v>1380</v>
      </c>
    </row>
    <row r="1016" spans="1:5" x14ac:dyDescent="0.25">
      <c r="A1016" s="8">
        <v>42617.196620370371</v>
      </c>
      <c r="B1016" t="s">
        <v>154</v>
      </c>
      <c r="C1016" t="s">
        <v>728</v>
      </c>
      <c r="D1016">
        <v>1310000</v>
      </c>
      <c r="E1016" t="s">
        <v>967</v>
      </c>
    </row>
    <row r="1017" spans="1:5" x14ac:dyDescent="0.25">
      <c r="A1017" s="8">
        <v>42617.204560185186</v>
      </c>
      <c r="B1017" t="s">
        <v>257</v>
      </c>
      <c r="C1017" t="s">
        <v>1575</v>
      </c>
      <c r="D1017">
        <v>1760000</v>
      </c>
      <c r="E1017" t="s">
        <v>762</v>
      </c>
    </row>
    <row r="1018" spans="1:5" x14ac:dyDescent="0.25">
      <c r="A1018" s="8">
        <v>42617.205254629633</v>
      </c>
      <c r="B1018" t="s">
        <v>151</v>
      </c>
      <c r="C1018" t="s">
        <v>1576</v>
      </c>
      <c r="D1018">
        <v>2030000</v>
      </c>
      <c r="E1018" t="s">
        <v>246</v>
      </c>
    </row>
    <row r="1019" spans="1:5" x14ac:dyDescent="0.25">
      <c r="A1019" s="8">
        <v>42617.212291666663</v>
      </c>
      <c r="B1019" t="s">
        <v>226</v>
      </c>
      <c r="C1019" t="s">
        <v>1577</v>
      </c>
      <c r="D1019">
        <v>2010000</v>
      </c>
      <c r="E1019" t="s">
        <v>760</v>
      </c>
    </row>
    <row r="1020" spans="1:5" x14ac:dyDescent="0.25">
      <c r="A1020" s="8">
        <v>42617.220775462964</v>
      </c>
      <c r="B1020" t="s">
        <v>139</v>
      </c>
      <c r="C1020" t="s">
        <v>1578</v>
      </c>
      <c r="D1020">
        <v>1990000</v>
      </c>
      <c r="E1020" t="s">
        <v>258</v>
      </c>
    </row>
    <row r="1021" spans="1:5" x14ac:dyDescent="0.25">
      <c r="A1021" s="8">
        <v>42617.225405092591</v>
      </c>
      <c r="B1021" t="s">
        <v>724</v>
      </c>
      <c r="C1021" t="s">
        <v>1579</v>
      </c>
      <c r="D1021">
        <v>1830000</v>
      </c>
      <c r="E1021" t="s">
        <v>972</v>
      </c>
    </row>
    <row r="1022" spans="1:5" x14ac:dyDescent="0.25">
      <c r="A1022" s="8">
        <v>42617.233831018515</v>
      </c>
      <c r="B1022" t="s">
        <v>113</v>
      </c>
      <c r="C1022" t="s">
        <v>1580</v>
      </c>
      <c r="D1022">
        <v>1260000</v>
      </c>
      <c r="E1022" t="s">
        <v>1380</v>
      </c>
    </row>
    <row r="1023" spans="1:5" x14ac:dyDescent="0.25">
      <c r="A1023" s="8">
        <v>42617.235243055555</v>
      </c>
      <c r="B1023" t="s">
        <v>92</v>
      </c>
      <c r="C1023" t="s">
        <v>1581</v>
      </c>
      <c r="D1023">
        <v>1110000</v>
      </c>
      <c r="E1023" t="s">
        <v>259</v>
      </c>
    </row>
    <row r="1024" spans="1:5" x14ac:dyDescent="0.25">
      <c r="A1024" s="8">
        <v>42617.235995370371</v>
      </c>
      <c r="B1024" t="s">
        <v>92</v>
      </c>
      <c r="C1024" t="s">
        <v>1581</v>
      </c>
      <c r="D1024">
        <v>1110000</v>
      </c>
      <c r="E1024" t="s">
        <v>259</v>
      </c>
    </row>
    <row r="1025" spans="1:5" x14ac:dyDescent="0.25">
      <c r="A1025" s="8">
        <v>42617.236388888887</v>
      </c>
      <c r="B1025" t="s">
        <v>227</v>
      </c>
      <c r="C1025" t="s">
        <v>709</v>
      </c>
      <c r="D1025">
        <v>1310000</v>
      </c>
      <c r="E1025" t="s">
        <v>967</v>
      </c>
    </row>
    <row r="1026" spans="1:5" x14ac:dyDescent="0.25">
      <c r="A1026" s="8">
        <v>42617.238043981481</v>
      </c>
      <c r="B1026" t="s">
        <v>92</v>
      </c>
      <c r="C1026" t="s">
        <v>1581</v>
      </c>
      <c r="D1026">
        <v>1110000</v>
      </c>
      <c r="E1026" t="s">
        <v>259</v>
      </c>
    </row>
    <row r="1027" spans="1:5" x14ac:dyDescent="0.25">
      <c r="A1027" s="8">
        <v>42617.245023148149</v>
      </c>
      <c r="B1027" t="s">
        <v>260</v>
      </c>
      <c r="C1027" t="s">
        <v>719</v>
      </c>
      <c r="D1027">
        <v>1760000</v>
      </c>
      <c r="E1027" t="s">
        <v>762</v>
      </c>
    </row>
    <row r="1028" spans="1:5" x14ac:dyDescent="0.25">
      <c r="A1028" s="8">
        <v>42617.248692129629</v>
      </c>
      <c r="B1028" t="s">
        <v>247</v>
      </c>
      <c r="C1028" t="s">
        <v>1582</v>
      </c>
      <c r="D1028">
        <v>2010000</v>
      </c>
      <c r="E1028" t="s">
        <v>760</v>
      </c>
    </row>
    <row r="1029" spans="1:5" x14ac:dyDescent="0.25">
      <c r="A1029" s="8">
        <v>42617.251620370371</v>
      </c>
      <c r="B1029" t="s">
        <v>351</v>
      </c>
      <c r="C1029" t="s">
        <v>1583</v>
      </c>
      <c r="D1029">
        <v>2030000</v>
      </c>
      <c r="E1029" t="s">
        <v>246</v>
      </c>
    </row>
    <row r="1030" spans="1:5" x14ac:dyDescent="0.25">
      <c r="A1030" s="8">
        <v>42617.255613425928</v>
      </c>
      <c r="B1030" t="s">
        <v>746</v>
      </c>
      <c r="C1030" t="s">
        <v>1584</v>
      </c>
      <c r="D1030">
        <v>1830000</v>
      </c>
      <c r="E1030" t="s">
        <v>972</v>
      </c>
    </row>
    <row r="1031" spans="1:5" x14ac:dyDescent="0.25">
      <c r="A1031" s="8">
        <v>42617.257384259261</v>
      </c>
      <c r="B1031" t="s">
        <v>144</v>
      </c>
      <c r="C1031" t="s">
        <v>1585</v>
      </c>
      <c r="D1031">
        <v>1990000</v>
      </c>
      <c r="E1031" t="s">
        <v>258</v>
      </c>
    </row>
    <row r="1032" spans="1:5" x14ac:dyDescent="0.25">
      <c r="A1032" s="8">
        <v>42617.26253472222</v>
      </c>
      <c r="B1032" t="s">
        <v>91</v>
      </c>
      <c r="C1032" t="s">
        <v>1586</v>
      </c>
      <c r="D1032">
        <v>1110000</v>
      </c>
      <c r="E1032" t="s">
        <v>259</v>
      </c>
    </row>
    <row r="1033" spans="1:5" x14ac:dyDescent="0.25">
      <c r="A1033" s="8">
        <v>42617.269363425927</v>
      </c>
      <c r="B1033" t="s">
        <v>154</v>
      </c>
      <c r="C1033" t="s">
        <v>1587</v>
      </c>
      <c r="D1033">
        <v>1310000</v>
      </c>
      <c r="E1033" t="s">
        <v>967</v>
      </c>
    </row>
    <row r="1034" spans="1:5" x14ac:dyDescent="0.25">
      <c r="A1034" s="8">
        <v>42617.272743055553</v>
      </c>
      <c r="B1034" t="s">
        <v>114</v>
      </c>
      <c r="C1034" t="s">
        <v>1588</v>
      </c>
      <c r="D1034">
        <v>1260000</v>
      </c>
      <c r="E1034" t="s">
        <v>1380</v>
      </c>
    </row>
    <row r="1035" spans="1:5" x14ac:dyDescent="0.25">
      <c r="A1035" s="8">
        <v>42617.276307870372</v>
      </c>
      <c r="B1035" t="s">
        <v>92</v>
      </c>
      <c r="C1035" t="s">
        <v>1589</v>
      </c>
      <c r="D1035">
        <v>1110000</v>
      </c>
      <c r="E1035" t="s">
        <v>259</v>
      </c>
    </row>
    <row r="1036" spans="1:5" x14ac:dyDescent="0.25">
      <c r="A1036" s="8">
        <v>42617.278749999998</v>
      </c>
      <c r="B1036" t="s">
        <v>257</v>
      </c>
      <c r="C1036" t="s">
        <v>1590</v>
      </c>
      <c r="D1036">
        <v>1760000</v>
      </c>
      <c r="E1036" t="s">
        <v>762</v>
      </c>
    </row>
    <row r="1037" spans="1:5" x14ac:dyDescent="0.25">
      <c r="A1037" s="8">
        <v>42617.282083333332</v>
      </c>
      <c r="B1037" t="s">
        <v>245</v>
      </c>
      <c r="C1037" t="s">
        <v>1591</v>
      </c>
      <c r="D1037">
        <v>2010000</v>
      </c>
      <c r="E1037" t="s">
        <v>760</v>
      </c>
    </row>
    <row r="1038" spans="1:5" x14ac:dyDescent="0.25">
      <c r="A1038" s="8">
        <v>42617.286412037036</v>
      </c>
      <c r="B1038" t="s">
        <v>151</v>
      </c>
      <c r="C1038" t="s">
        <v>1592</v>
      </c>
      <c r="D1038">
        <v>2030000</v>
      </c>
      <c r="E1038" t="s">
        <v>246</v>
      </c>
    </row>
    <row r="1039" spans="1:5" x14ac:dyDescent="0.25">
      <c r="A1039" s="8">
        <v>42617.289618055554</v>
      </c>
      <c r="B1039" t="s">
        <v>257</v>
      </c>
      <c r="C1039" t="s">
        <v>1590</v>
      </c>
      <c r="D1039">
        <v>1760000</v>
      </c>
      <c r="E1039" t="s">
        <v>762</v>
      </c>
    </row>
    <row r="1040" spans="1:5" x14ac:dyDescent="0.25">
      <c r="A1040" s="8">
        <v>42617.293819444443</v>
      </c>
      <c r="B1040" t="s">
        <v>139</v>
      </c>
      <c r="C1040" t="s">
        <v>1593</v>
      </c>
      <c r="D1040">
        <v>1990000</v>
      </c>
      <c r="E1040" t="s">
        <v>258</v>
      </c>
    </row>
    <row r="1041" spans="1:5" x14ac:dyDescent="0.25">
      <c r="A1041" s="8">
        <v>42617.294745370367</v>
      </c>
      <c r="B1041" t="s">
        <v>724</v>
      </c>
      <c r="C1041" t="s">
        <v>1594</v>
      </c>
      <c r="D1041">
        <v>1830000</v>
      </c>
      <c r="E1041" t="s">
        <v>972</v>
      </c>
    </row>
    <row r="1042" spans="1:5" x14ac:dyDescent="0.25">
      <c r="A1042" s="8">
        <v>42617.304490740738</v>
      </c>
      <c r="B1042" t="s">
        <v>91</v>
      </c>
      <c r="C1042" t="s">
        <v>1595</v>
      </c>
      <c r="D1042">
        <v>1110000</v>
      </c>
      <c r="E1042" t="s">
        <v>259</v>
      </c>
    </row>
    <row r="1043" spans="1:5" x14ac:dyDescent="0.25">
      <c r="A1043" s="8">
        <v>42617.305833333332</v>
      </c>
      <c r="B1043" t="s">
        <v>227</v>
      </c>
      <c r="C1043" t="s">
        <v>1596</v>
      </c>
      <c r="D1043">
        <v>1310000</v>
      </c>
      <c r="E1043" t="s">
        <v>967</v>
      </c>
    </row>
    <row r="1044" spans="1:5" x14ac:dyDescent="0.25">
      <c r="A1044" s="8">
        <v>42617.308391203704</v>
      </c>
      <c r="B1044" t="s">
        <v>113</v>
      </c>
      <c r="C1044" t="s">
        <v>1597</v>
      </c>
      <c r="D1044">
        <v>1260000</v>
      </c>
      <c r="E1044" t="s">
        <v>1380</v>
      </c>
    </row>
    <row r="1045" spans="1:5" x14ac:dyDescent="0.25">
      <c r="A1045" s="8">
        <v>42617.317719907405</v>
      </c>
      <c r="B1045" t="s">
        <v>92</v>
      </c>
      <c r="C1045" t="s">
        <v>1598</v>
      </c>
      <c r="D1045">
        <v>1110000</v>
      </c>
      <c r="E1045" t="s">
        <v>259</v>
      </c>
    </row>
    <row r="1046" spans="1:5" x14ac:dyDescent="0.25">
      <c r="A1046" s="8">
        <v>42617.318599537037</v>
      </c>
      <c r="B1046" t="s">
        <v>247</v>
      </c>
      <c r="C1046" t="s">
        <v>1599</v>
      </c>
      <c r="D1046">
        <v>2010000</v>
      </c>
      <c r="E1046" t="s">
        <v>760</v>
      </c>
    </row>
    <row r="1047" spans="1:5" x14ac:dyDescent="0.25">
      <c r="A1047" s="8">
        <v>42617.326226851852</v>
      </c>
      <c r="B1047" t="s">
        <v>351</v>
      </c>
      <c r="C1047" t="s">
        <v>1600</v>
      </c>
      <c r="D1047">
        <v>2030000</v>
      </c>
      <c r="E1047" t="s">
        <v>246</v>
      </c>
    </row>
    <row r="1048" spans="1:5" x14ac:dyDescent="0.25">
      <c r="A1048" s="8">
        <v>42617.330324074072</v>
      </c>
      <c r="B1048" t="s">
        <v>746</v>
      </c>
      <c r="C1048" t="s">
        <v>1601</v>
      </c>
      <c r="D1048">
        <v>1830000</v>
      </c>
      <c r="E1048" t="s">
        <v>972</v>
      </c>
    </row>
    <row r="1049" spans="1:5" x14ac:dyDescent="0.25">
      <c r="A1049" s="8">
        <v>42617.336296296293</v>
      </c>
      <c r="B1049" t="s">
        <v>144</v>
      </c>
      <c r="C1049" t="s">
        <v>1602</v>
      </c>
      <c r="D1049">
        <v>1990000</v>
      </c>
      <c r="E1049" t="s">
        <v>258</v>
      </c>
    </row>
    <row r="1050" spans="1:5" x14ac:dyDescent="0.25">
      <c r="A1050" s="8">
        <v>42617.343726851854</v>
      </c>
      <c r="B1050" t="s">
        <v>154</v>
      </c>
      <c r="C1050" t="s">
        <v>1603</v>
      </c>
      <c r="D1050">
        <v>1310000</v>
      </c>
      <c r="E1050" t="s">
        <v>967</v>
      </c>
    </row>
    <row r="1051" spans="1:5" x14ac:dyDescent="0.25">
      <c r="A1051" s="8">
        <v>42617.345081018517</v>
      </c>
      <c r="B1051" t="s">
        <v>91</v>
      </c>
      <c r="C1051" t="s">
        <v>1604</v>
      </c>
      <c r="D1051">
        <v>1110000</v>
      </c>
      <c r="E1051" t="s">
        <v>259</v>
      </c>
    </row>
    <row r="1052" spans="1:5" x14ac:dyDescent="0.25">
      <c r="A1052" s="8">
        <v>42617.346122685187</v>
      </c>
      <c r="B1052" t="s">
        <v>114</v>
      </c>
      <c r="C1052" t="s">
        <v>1605</v>
      </c>
      <c r="D1052">
        <v>1260000</v>
      </c>
      <c r="E1052" t="s">
        <v>1380</v>
      </c>
    </row>
    <row r="1053" spans="1:5" x14ac:dyDescent="0.25">
      <c r="A1053" s="8">
        <v>42617.349212962959</v>
      </c>
      <c r="B1053" t="s">
        <v>1169</v>
      </c>
      <c r="C1053" t="s">
        <v>1606</v>
      </c>
      <c r="D1053">
        <v>2110000</v>
      </c>
      <c r="E1053" t="s">
        <v>1117</v>
      </c>
    </row>
    <row r="1054" spans="1:5" x14ac:dyDescent="0.25">
      <c r="A1054" s="8">
        <v>42617.349791666667</v>
      </c>
      <c r="B1054" t="s">
        <v>1169</v>
      </c>
      <c r="C1054" t="s">
        <v>1606</v>
      </c>
      <c r="D1054">
        <v>2110000</v>
      </c>
      <c r="E1054" t="s">
        <v>1117</v>
      </c>
    </row>
    <row r="1055" spans="1:5" x14ac:dyDescent="0.25">
      <c r="A1055" s="8">
        <v>42617.350752314815</v>
      </c>
      <c r="B1055" t="s">
        <v>1169</v>
      </c>
      <c r="C1055" t="s">
        <v>1606</v>
      </c>
      <c r="D1055">
        <v>2110000</v>
      </c>
      <c r="E1055" t="s">
        <v>1117</v>
      </c>
    </row>
    <row r="1056" spans="1:5" x14ac:dyDescent="0.25">
      <c r="A1056" s="8">
        <v>42617.359351851854</v>
      </c>
      <c r="B1056" t="s">
        <v>245</v>
      </c>
      <c r="C1056" t="s">
        <v>1607</v>
      </c>
      <c r="D1056">
        <v>2010000</v>
      </c>
      <c r="E1056" t="s">
        <v>760</v>
      </c>
    </row>
    <row r="1057" spans="1:5" x14ac:dyDescent="0.25">
      <c r="A1057" s="8">
        <v>42617.359675925924</v>
      </c>
      <c r="B1057" t="s">
        <v>92</v>
      </c>
      <c r="C1057" t="s">
        <v>1608</v>
      </c>
      <c r="D1057">
        <v>1110000</v>
      </c>
      <c r="E1057" t="s">
        <v>259</v>
      </c>
    </row>
    <row r="1058" spans="1:5" x14ac:dyDescent="0.25">
      <c r="A1058" s="8">
        <v>42617.36178240741</v>
      </c>
      <c r="B1058" t="s">
        <v>151</v>
      </c>
      <c r="C1058" t="s">
        <v>1609</v>
      </c>
      <c r="D1058">
        <v>2030000</v>
      </c>
      <c r="E1058" t="s">
        <v>246</v>
      </c>
    </row>
    <row r="1059" spans="1:5" x14ac:dyDescent="0.25">
      <c r="A1059" s="8">
        <v>42617.367650462962</v>
      </c>
      <c r="B1059" t="s">
        <v>139</v>
      </c>
      <c r="C1059" t="s">
        <v>707</v>
      </c>
      <c r="D1059">
        <v>1990000</v>
      </c>
      <c r="E1059" t="s">
        <v>258</v>
      </c>
    </row>
    <row r="1060" spans="1:5" x14ac:dyDescent="0.25">
      <c r="A1060" s="8">
        <v>42617.368344907409</v>
      </c>
      <c r="B1060" t="s">
        <v>724</v>
      </c>
      <c r="C1060" t="s">
        <v>1610</v>
      </c>
      <c r="D1060">
        <v>1830000</v>
      </c>
      <c r="E1060" t="s">
        <v>972</v>
      </c>
    </row>
    <row r="1061" spans="1:5" x14ac:dyDescent="0.25">
      <c r="A1061" s="8">
        <v>42617.380868055552</v>
      </c>
      <c r="B1061" t="s">
        <v>227</v>
      </c>
      <c r="C1061" t="s">
        <v>1611</v>
      </c>
      <c r="D1061">
        <v>1310000</v>
      </c>
      <c r="E1061" t="s">
        <v>967</v>
      </c>
    </row>
    <row r="1062" spans="1:5" x14ac:dyDescent="0.25">
      <c r="A1062" s="8">
        <v>42617.382384259261</v>
      </c>
      <c r="B1062" t="s">
        <v>113</v>
      </c>
      <c r="C1062" t="s">
        <v>1612</v>
      </c>
      <c r="D1062">
        <v>1260000</v>
      </c>
      <c r="E1062" t="s">
        <v>1380</v>
      </c>
    </row>
    <row r="1063" spans="1:5" x14ac:dyDescent="0.25">
      <c r="A1063" s="8">
        <v>42617.385972222219</v>
      </c>
      <c r="B1063" t="s">
        <v>741</v>
      </c>
      <c r="C1063" t="s">
        <v>1614</v>
      </c>
      <c r="D1063">
        <v>1760000</v>
      </c>
      <c r="E1063" t="s">
        <v>762</v>
      </c>
    </row>
    <row r="1064" spans="1:5" x14ac:dyDescent="0.25">
      <c r="A1064" s="8">
        <v>42617.388090277775</v>
      </c>
      <c r="B1064" t="s">
        <v>91</v>
      </c>
      <c r="C1064" t="s">
        <v>1615</v>
      </c>
      <c r="D1064">
        <v>1110000</v>
      </c>
      <c r="E1064" t="s">
        <v>259</v>
      </c>
    </row>
    <row r="1065" spans="1:5" x14ac:dyDescent="0.25">
      <c r="A1065" s="8">
        <v>42617.390462962961</v>
      </c>
      <c r="B1065" t="s">
        <v>139</v>
      </c>
      <c r="C1065" t="s">
        <v>707</v>
      </c>
      <c r="D1065">
        <v>1990000</v>
      </c>
      <c r="E1065" t="s">
        <v>258</v>
      </c>
    </row>
    <row r="1066" spans="1:5" x14ac:dyDescent="0.25">
      <c r="A1066" s="8">
        <v>42617.394131944442</v>
      </c>
      <c r="B1066" t="s">
        <v>247</v>
      </c>
      <c r="C1066" t="s">
        <v>1616</v>
      </c>
      <c r="D1066">
        <v>2010000</v>
      </c>
      <c r="E1066" t="s">
        <v>760</v>
      </c>
    </row>
    <row r="1067" spans="1:5" x14ac:dyDescent="0.25">
      <c r="A1067" s="8">
        <v>42617.398136574076</v>
      </c>
      <c r="B1067" t="s">
        <v>351</v>
      </c>
      <c r="C1067" t="s">
        <v>1617</v>
      </c>
      <c r="D1067">
        <v>2030000</v>
      </c>
      <c r="E1067" t="s">
        <v>246</v>
      </c>
    </row>
    <row r="1068" spans="1:5" x14ac:dyDescent="0.25">
      <c r="A1068" s="8">
        <v>42617.400833333333</v>
      </c>
      <c r="B1068" t="s">
        <v>746</v>
      </c>
      <c r="C1068" t="s">
        <v>1618</v>
      </c>
      <c r="D1068">
        <v>1830000</v>
      </c>
      <c r="E1068" t="s">
        <v>972</v>
      </c>
    </row>
    <row r="1069" spans="1:5" x14ac:dyDescent="0.25">
      <c r="A1069" s="8">
        <v>42617.402557870373</v>
      </c>
      <c r="B1069" t="s">
        <v>92</v>
      </c>
      <c r="C1069" t="s">
        <v>1619</v>
      </c>
      <c r="D1069">
        <v>1110000</v>
      </c>
      <c r="E1069" t="s">
        <v>259</v>
      </c>
    </row>
    <row r="1070" spans="1:5" x14ac:dyDescent="0.25">
      <c r="A1070" s="8">
        <v>42617.405729166669</v>
      </c>
      <c r="B1070" t="s">
        <v>144</v>
      </c>
      <c r="C1070" t="s">
        <v>1620</v>
      </c>
      <c r="D1070">
        <v>1990000</v>
      </c>
      <c r="E1070" t="s">
        <v>258</v>
      </c>
    </row>
    <row r="1071" spans="1:5" x14ac:dyDescent="0.25">
      <c r="A1071" s="8">
        <v>42617.413587962961</v>
      </c>
      <c r="B1071" t="s">
        <v>154</v>
      </c>
      <c r="C1071" t="s">
        <v>1621</v>
      </c>
      <c r="D1071">
        <v>1310000</v>
      </c>
      <c r="E1071" t="s">
        <v>967</v>
      </c>
    </row>
    <row r="1072" spans="1:5" x14ac:dyDescent="0.25">
      <c r="A1072" s="8">
        <v>42617.419212962966</v>
      </c>
      <c r="B1072" t="s">
        <v>114</v>
      </c>
      <c r="C1072" t="s">
        <v>1612</v>
      </c>
      <c r="D1072">
        <v>1260000</v>
      </c>
      <c r="E1072" t="s">
        <v>1380</v>
      </c>
    </row>
    <row r="1073" spans="1:5" x14ac:dyDescent="0.25">
      <c r="A1073" s="8">
        <v>42617.420034722221</v>
      </c>
      <c r="B1073" t="s">
        <v>114</v>
      </c>
      <c r="C1073" t="s">
        <v>1622</v>
      </c>
      <c r="D1073">
        <v>1260000</v>
      </c>
      <c r="E1073" t="s">
        <v>1380</v>
      </c>
    </row>
    <row r="1074" spans="1:5" x14ac:dyDescent="0.25">
      <c r="A1074" s="8">
        <v>42617.423344907409</v>
      </c>
      <c r="B1074" t="s">
        <v>1169</v>
      </c>
      <c r="C1074" t="s">
        <v>1623</v>
      </c>
      <c r="D1074">
        <v>1760000</v>
      </c>
      <c r="E1074" t="s">
        <v>762</v>
      </c>
    </row>
    <row r="1075" spans="1:5" x14ac:dyDescent="0.25">
      <c r="A1075" s="8">
        <v>42617.430081018516</v>
      </c>
      <c r="B1075" t="s">
        <v>91</v>
      </c>
      <c r="C1075" t="s">
        <v>1624</v>
      </c>
      <c r="D1075">
        <v>1110000</v>
      </c>
      <c r="E1075" t="s">
        <v>259</v>
      </c>
    </row>
    <row r="1076" spans="1:5" x14ac:dyDescent="0.25">
      <c r="A1076" s="8">
        <v>42617.430960648147</v>
      </c>
      <c r="B1076" t="s">
        <v>245</v>
      </c>
      <c r="C1076" t="s">
        <v>1625</v>
      </c>
      <c r="D1076">
        <v>2010000</v>
      </c>
      <c r="E1076" t="s">
        <v>760</v>
      </c>
    </row>
    <row r="1077" spans="1:5" x14ac:dyDescent="0.25">
      <c r="A1077" s="8">
        <v>42617.433495370373</v>
      </c>
      <c r="B1077" t="s">
        <v>151</v>
      </c>
      <c r="C1077" t="s">
        <v>1626</v>
      </c>
      <c r="D1077">
        <v>930000</v>
      </c>
      <c r="E1077" t="s">
        <v>244</v>
      </c>
    </row>
    <row r="1078" spans="1:5" x14ac:dyDescent="0.25">
      <c r="A1078" s="8">
        <v>42617.440115740741</v>
      </c>
      <c r="B1078" t="s">
        <v>139</v>
      </c>
      <c r="C1078" t="s">
        <v>1627</v>
      </c>
      <c r="D1078">
        <v>1990000</v>
      </c>
      <c r="E1078" t="s">
        <v>258</v>
      </c>
    </row>
    <row r="1079" spans="1:5" x14ac:dyDescent="0.25">
      <c r="A1079" s="8">
        <v>42617.441435185188</v>
      </c>
      <c r="B1079" t="s">
        <v>724</v>
      </c>
      <c r="C1079" t="s">
        <v>1628</v>
      </c>
      <c r="D1079">
        <v>1830000</v>
      </c>
      <c r="E1079" t="s">
        <v>972</v>
      </c>
    </row>
    <row r="1080" spans="1:5" x14ac:dyDescent="0.25">
      <c r="A1080" s="8">
        <v>42617.442071759258</v>
      </c>
      <c r="B1080" t="s">
        <v>92</v>
      </c>
      <c r="C1080" t="s">
        <v>1629</v>
      </c>
      <c r="D1080">
        <v>1110000</v>
      </c>
      <c r="E1080" t="s">
        <v>259</v>
      </c>
    </row>
    <row r="1081" spans="1:5" x14ac:dyDescent="0.25">
      <c r="A1081" s="8">
        <v>42617.442337962966</v>
      </c>
      <c r="B1081" t="s">
        <v>724</v>
      </c>
      <c r="C1081" t="s">
        <v>1628</v>
      </c>
      <c r="D1081">
        <v>1830000</v>
      </c>
      <c r="E1081" t="s">
        <v>972</v>
      </c>
    </row>
    <row r="1082" spans="1:5" x14ac:dyDescent="0.25">
      <c r="A1082" s="8">
        <v>42617.454247685186</v>
      </c>
      <c r="B1082" t="s">
        <v>227</v>
      </c>
      <c r="C1082" t="s">
        <v>1621</v>
      </c>
      <c r="D1082">
        <v>1310000</v>
      </c>
      <c r="E1082" t="s">
        <v>967</v>
      </c>
    </row>
    <row r="1083" spans="1:5" x14ac:dyDescent="0.25">
      <c r="A1083" s="8">
        <v>42617.454710648148</v>
      </c>
      <c r="B1083" t="s">
        <v>113</v>
      </c>
      <c r="C1083" t="s">
        <v>1630</v>
      </c>
      <c r="D1083">
        <v>880000</v>
      </c>
      <c r="E1083" t="s">
        <v>1236</v>
      </c>
    </row>
    <row r="1084" spans="1:5" x14ac:dyDescent="0.25">
      <c r="A1084" s="8">
        <v>42617.454745370371</v>
      </c>
      <c r="B1084" t="s">
        <v>227</v>
      </c>
      <c r="C1084" t="s">
        <v>1631</v>
      </c>
      <c r="D1084">
        <v>1310000</v>
      </c>
      <c r="E1084" t="s">
        <v>967</v>
      </c>
    </row>
    <row r="1085" spans="1:5" x14ac:dyDescent="0.25">
      <c r="A1085" s="8">
        <v>42617.463182870371</v>
      </c>
      <c r="B1085" t="s">
        <v>741</v>
      </c>
      <c r="C1085" t="s">
        <v>742</v>
      </c>
      <c r="D1085">
        <v>1760000</v>
      </c>
      <c r="E1085" t="s">
        <v>762</v>
      </c>
    </row>
    <row r="1086" spans="1:5" x14ac:dyDescent="0.25">
      <c r="A1086" s="8">
        <v>42617.46503472222</v>
      </c>
      <c r="B1086" t="s">
        <v>247</v>
      </c>
      <c r="C1086" t="s">
        <v>1632</v>
      </c>
      <c r="D1086">
        <v>1280000</v>
      </c>
      <c r="E1086" t="s">
        <v>261</v>
      </c>
    </row>
    <row r="1087" spans="1:5" x14ac:dyDescent="0.25">
      <c r="A1087" s="8">
        <v>42617.469236111108</v>
      </c>
      <c r="B1087" t="s">
        <v>91</v>
      </c>
      <c r="C1087" t="s">
        <v>1633</v>
      </c>
      <c r="D1087">
        <v>1110000</v>
      </c>
      <c r="E1087" t="s">
        <v>259</v>
      </c>
    </row>
    <row r="1088" spans="1:5" x14ac:dyDescent="0.25">
      <c r="A1088" s="8">
        <v>42617.473182870373</v>
      </c>
      <c r="B1088" t="s">
        <v>351</v>
      </c>
      <c r="C1088" t="s">
        <v>1634</v>
      </c>
      <c r="D1088">
        <v>930000</v>
      </c>
      <c r="E1088" t="s">
        <v>244</v>
      </c>
    </row>
    <row r="1089" spans="1:5" x14ac:dyDescent="0.25">
      <c r="A1089" s="8">
        <v>42617.473449074074</v>
      </c>
      <c r="B1089" t="s">
        <v>746</v>
      </c>
      <c r="C1089" t="s">
        <v>1635</v>
      </c>
      <c r="D1089">
        <v>1830000</v>
      </c>
      <c r="E1089" t="s">
        <v>972</v>
      </c>
    </row>
    <row r="1090" spans="1:5" x14ac:dyDescent="0.25">
      <c r="A1090" s="8">
        <v>42617.477430555555</v>
      </c>
      <c r="B1090" t="s">
        <v>144</v>
      </c>
      <c r="C1090" t="s">
        <v>1636</v>
      </c>
      <c r="D1090">
        <v>1770000</v>
      </c>
      <c r="E1090" t="s">
        <v>248</v>
      </c>
    </row>
    <row r="1091" spans="1:5" x14ac:dyDescent="0.25">
      <c r="A1091" s="8">
        <v>42617.483506944445</v>
      </c>
      <c r="B1091" t="s">
        <v>92</v>
      </c>
      <c r="C1091" t="s">
        <v>1633</v>
      </c>
      <c r="D1091">
        <v>1110000</v>
      </c>
      <c r="E1091" t="s">
        <v>259</v>
      </c>
    </row>
    <row r="1092" spans="1:5" x14ac:dyDescent="0.25">
      <c r="A1092" s="8">
        <v>42617.484236111108</v>
      </c>
      <c r="B1092" t="s">
        <v>92</v>
      </c>
      <c r="C1092" t="s">
        <v>1633</v>
      </c>
      <c r="D1092">
        <v>1110000</v>
      </c>
      <c r="E1092" t="s">
        <v>259</v>
      </c>
    </row>
    <row r="1093" spans="1:5" x14ac:dyDescent="0.25">
      <c r="A1093" s="8">
        <v>42617.485972222225</v>
      </c>
      <c r="B1093" t="s">
        <v>92</v>
      </c>
      <c r="C1093" t="s">
        <v>1637</v>
      </c>
      <c r="D1093">
        <v>1110000</v>
      </c>
      <c r="E1093" t="s">
        <v>259</v>
      </c>
    </row>
    <row r="1094" spans="1:5" x14ac:dyDescent="0.25">
      <c r="A1094" s="8">
        <v>42617.48809027778</v>
      </c>
      <c r="B1094" t="s">
        <v>154</v>
      </c>
      <c r="C1094" t="s">
        <v>1638</v>
      </c>
      <c r="D1094">
        <v>2040000</v>
      </c>
      <c r="E1094" t="s">
        <v>857</v>
      </c>
    </row>
    <row r="1095" spans="1:5" x14ac:dyDescent="0.25">
      <c r="A1095" s="8">
        <v>42617.496006944442</v>
      </c>
      <c r="B1095" t="s">
        <v>114</v>
      </c>
      <c r="C1095" t="s">
        <v>1639</v>
      </c>
      <c r="D1095">
        <v>880000</v>
      </c>
      <c r="E1095" t="s">
        <v>1236</v>
      </c>
    </row>
    <row r="1096" spans="1:5" x14ac:dyDescent="0.25">
      <c r="A1096" s="8">
        <v>42617.496863425928</v>
      </c>
      <c r="B1096" t="s">
        <v>245</v>
      </c>
      <c r="C1096" t="s">
        <v>1640</v>
      </c>
      <c r="D1096">
        <v>1280000</v>
      </c>
      <c r="E1096" t="s">
        <v>261</v>
      </c>
    </row>
    <row r="1097" spans="1:5" x14ac:dyDescent="0.25">
      <c r="A1097" s="8">
        <v>42617.498761574076</v>
      </c>
      <c r="B1097" t="s">
        <v>1169</v>
      </c>
      <c r="C1097" t="s">
        <v>1641</v>
      </c>
      <c r="D1097">
        <v>1140000</v>
      </c>
      <c r="E1097" t="s">
        <v>262</v>
      </c>
    </row>
    <row r="1098" spans="1:5" x14ac:dyDescent="0.25">
      <c r="A1098" s="8">
        <v>42617.507488425923</v>
      </c>
      <c r="B1098" t="s">
        <v>151</v>
      </c>
      <c r="C1098" t="s">
        <v>1642</v>
      </c>
      <c r="D1098">
        <v>930000</v>
      </c>
      <c r="E1098" t="s">
        <v>244</v>
      </c>
    </row>
    <row r="1099" spans="1:5" x14ac:dyDescent="0.25">
      <c r="A1099" s="8">
        <v>42617.512604166666</v>
      </c>
      <c r="B1099" t="s">
        <v>139</v>
      </c>
      <c r="C1099" t="s">
        <v>1643</v>
      </c>
      <c r="D1099">
        <v>1770000</v>
      </c>
      <c r="E1099" t="s">
        <v>248</v>
      </c>
    </row>
    <row r="1100" spans="1:5" x14ac:dyDescent="0.25">
      <c r="A1100" s="8">
        <v>42617.513090277775</v>
      </c>
      <c r="B1100" t="s">
        <v>91</v>
      </c>
      <c r="C1100" t="s">
        <v>1644</v>
      </c>
      <c r="D1100">
        <v>1110000</v>
      </c>
      <c r="E1100" t="s">
        <v>259</v>
      </c>
    </row>
    <row r="1101" spans="1:5" x14ac:dyDescent="0.25">
      <c r="A1101" s="8">
        <v>42617.515740740739</v>
      </c>
      <c r="B1101" t="s">
        <v>724</v>
      </c>
      <c r="C1101" t="s">
        <v>725</v>
      </c>
      <c r="D1101">
        <v>2020000</v>
      </c>
      <c r="E1101" t="s">
        <v>1037</v>
      </c>
    </row>
    <row r="1102" spans="1:5" x14ac:dyDescent="0.25">
      <c r="A1102" s="8">
        <v>42617.526203703703</v>
      </c>
      <c r="B1102" t="s">
        <v>92</v>
      </c>
      <c r="C1102" t="s">
        <v>1645</v>
      </c>
      <c r="D1102">
        <v>1110000</v>
      </c>
      <c r="E1102" t="s">
        <v>259</v>
      </c>
    </row>
    <row r="1103" spans="1:5" x14ac:dyDescent="0.25">
      <c r="A1103" s="8">
        <v>42617.526875000003</v>
      </c>
      <c r="B1103" t="s">
        <v>227</v>
      </c>
      <c r="C1103" t="s">
        <v>1646</v>
      </c>
      <c r="D1103">
        <v>2040000</v>
      </c>
      <c r="E1103" t="s">
        <v>857</v>
      </c>
    </row>
    <row r="1104" spans="1:5" x14ac:dyDescent="0.25">
      <c r="A1104" s="8">
        <v>42617.529050925928</v>
      </c>
      <c r="B1104" t="s">
        <v>113</v>
      </c>
      <c r="C1104" t="s">
        <v>1647</v>
      </c>
      <c r="D1104">
        <v>880000</v>
      </c>
      <c r="E1104" t="s">
        <v>1236</v>
      </c>
    </row>
    <row r="1105" spans="1:5" x14ac:dyDescent="0.25">
      <c r="A1105" s="8">
        <v>42617.530821759261</v>
      </c>
      <c r="B1105" t="s">
        <v>741</v>
      </c>
      <c r="C1105" t="s">
        <v>1648</v>
      </c>
      <c r="D1105">
        <v>1140000</v>
      </c>
      <c r="E1105" t="s">
        <v>262</v>
      </c>
    </row>
    <row r="1106" spans="1:5" x14ac:dyDescent="0.25">
      <c r="A1106" s="8">
        <v>42617.544409722221</v>
      </c>
      <c r="B1106" t="s">
        <v>351</v>
      </c>
      <c r="C1106" t="s">
        <v>1649</v>
      </c>
      <c r="D1106">
        <v>930000</v>
      </c>
      <c r="E1106" t="s">
        <v>244</v>
      </c>
    </row>
    <row r="1107" spans="1:5" x14ac:dyDescent="0.25">
      <c r="A1107" s="8">
        <v>42617.548807870371</v>
      </c>
      <c r="B1107" t="s">
        <v>144</v>
      </c>
      <c r="C1107" t="s">
        <v>1650</v>
      </c>
      <c r="D1107">
        <v>1770000</v>
      </c>
      <c r="E1107" t="s">
        <v>248</v>
      </c>
    </row>
    <row r="1108" spans="1:5" x14ac:dyDescent="0.25">
      <c r="A1108" s="8">
        <v>42617.554826388892</v>
      </c>
      <c r="B1108" t="s">
        <v>91</v>
      </c>
      <c r="C1108" t="s">
        <v>1651</v>
      </c>
      <c r="D1108">
        <v>1110000</v>
      </c>
      <c r="E1108" t="s">
        <v>259</v>
      </c>
    </row>
    <row r="1109" spans="1:5" x14ac:dyDescent="0.25">
      <c r="A1109" s="8">
        <v>42617.556666666664</v>
      </c>
      <c r="B1109" t="s">
        <v>746</v>
      </c>
      <c r="C1109" t="s">
        <v>1652</v>
      </c>
      <c r="D1109">
        <v>2020000</v>
      </c>
      <c r="E1109" t="s">
        <v>1037</v>
      </c>
    </row>
    <row r="1110" spans="1:5" x14ac:dyDescent="0.25">
      <c r="A1110" s="8">
        <v>42617.561331018522</v>
      </c>
      <c r="B1110" t="s">
        <v>154</v>
      </c>
      <c r="C1110" t="s">
        <v>1653</v>
      </c>
      <c r="D1110">
        <v>2040000</v>
      </c>
      <c r="E1110" t="s">
        <v>857</v>
      </c>
    </row>
    <row r="1111" spans="1:5" x14ac:dyDescent="0.25">
      <c r="A1111" s="8">
        <v>42617.567916666667</v>
      </c>
      <c r="B1111" t="s">
        <v>92</v>
      </c>
      <c r="C1111" t="s">
        <v>1654</v>
      </c>
      <c r="D1111">
        <v>1110000</v>
      </c>
      <c r="E1111" t="s">
        <v>259</v>
      </c>
    </row>
    <row r="1112" spans="1:5" x14ac:dyDescent="0.25">
      <c r="A1112" s="8">
        <v>42617.568553240744</v>
      </c>
      <c r="B1112" t="s">
        <v>114</v>
      </c>
      <c r="C1112" t="s">
        <v>1655</v>
      </c>
      <c r="D1112">
        <v>880000</v>
      </c>
      <c r="E1112" t="s">
        <v>1236</v>
      </c>
    </row>
    <row r="1113" spans="1:5" x14ac:dyDescent="0.25">
      <c r="A1113" s="8">
        <v>42617.576944444445</v>
      </c>
      <c r="B1113" t="s">
        <v>1169</v>
      </c>
      <c r="C1113" t="s">
        <v>1656</v>
      </c>
      <c r="D1113">
        <v>1140000</v>
      </c>
      <c r="E1113" t="s">
        <v>262</v>
      </c>
    </row>
    <row r="1114" spans="1:5" x14ac:dyDescent="0.25">
      <c r="A1114" s="8">
        <v>42617.582812499997</v>
      </c>
      <c r="B1114" t="s">
        <v>151</v>
      </c>
      <c r="C1114" t="s">
        <v>1657</v>
      </c>
      <c r="D1114">
        <v>930000</v>
      </c>
      <c r="E1114" t="s">
        <v>244</v>
      </c>
    </row>
    <row r="1115" spans="1:5" x14ac:dyDescent="0.25">
      <c r="A1115" s="8">
        <v>42617.584270833337</v>
      </c>
      <c r="B1115" t="s">
        <v>245</v>
      </c>
      <c r="C1115" t="s">
        <v>1658</v>
      </c>
      <c r="D1115">
        <v>1280000</v>
      </c>
      <c r="E1115" t="s">
        <v>261</v>
      </c>
    </row>
    <row r="1116" spans="1:5" x14ac:dyDescent="0.25">
      <c r="A1116" s="8">
        <v>42617.587939814817</v>
      </c>
      <c r="B1116" t="s">
        <v>139</v>
      </c>
      <c r="C1116" t="s">
        <v>1659</v>
      </c>
      <c r="D1116">
        <v>1770000</v>
      </c>
      <c r="E1116" t="s">
        <v>248</v>
      </c>
    </row>
    <row r="1117" spans="1:5" x14ac:dyDescent="0.25">
      <c r="A1117" s="8">
        <v>42617.588437500002</v>
      </c>
      <c r="B1117" t="s">
        <v>91</v>
      </c>
      <c r="C1117" t="s">
        <v>1660</v>
      </c>
      <c r="D1117">
        <v>2100000</v>
      </c>
      <c r="E1117" t="s">
        <v>136</v>
      </c>
    </row>
    <row r="1118" spans="1:5" x14ac:dyDescent="0.25">
      <c r="A1118" s="8">
        <v>42617.593761574077</v>
      </c>
      <c r="B1118" t="s">
        <v>724</v>
      </c>
      <c r="C1118" t="s">
        <v>1661</v>
      </c>
      <c r="D1118">
        <v>2020000</v>
      </c>
      <c r="E1118" t="s">
        <v>1037</v>
      </c>
    </row>
    <row r="1119" spans="1:5" x14ac:dyDescent="0.25">
      <c r="A1119" s="8">
        <v>42617.598124999997</v>
      </c>
      <c r="B1119" t="s">
        <v>227</v>
      </c>
      <c r="C1119" t="s">
        <v>1662</v>
      </c>
      <c r="D1119">
        <v>2040000</v>
      </c>
      <c r="E1119" t="s">
        <v>857</v>
      </c>
    </row>
    <row r="1120" spans="1:5" x14ac:dyDescent="0.25">
      <c r="A1120" s="8">
        <v>42617.603101851855</v>
      </c>
      <c r="B1120" t="s">
        <v>113</v>
      </c>
      <c r="C1120" t="s">
        <v>1663</v>
      </c>
      <c r="D1120">
        <v>880000</v>
      </c>
      <c r="E1120" t="s">
        <v>1236</v>
      </c>
    </row>
    <row r="1121" spans="1:5" x14ac:dyDescent="0.25">
      <c r="A1121" s="8">
        <v>42617.607002314813</v>
      </c>
      <c r="B1121" t="s">
        <v>741</v>
      </c>
      <c r="C1121" t="s">
        <v>1664</v>
      </c>
      <c r="D1121">
        <v>1140000</v>
      </c>
      <c r="E1121" t="s">
        <v>262</v>
      </c>
    </row>
    <row r="1122" spans="1:5" x14ac:dyDescent="0.25">
      <c r="A1122" s="8">
        <v>42617.608865740738</v>
      </c>
      <c r="B1122" t="s">
        <v>92</v>
      </c>
      <c r="C1122" t="s">
        <v>1665</v>
      </c>
      <c r="D1122">
        <v>2100000</v>
      </c>
      <c r="E1122" t="s">
        <v>136</v>
      </c>
    </row>
    <row r="1123" spans="1:5" x14ac:dyDescent="0.25">
      <c r="A1123" s="8">
        <v>42617.61414351852</v>
      </c>
      <c r="B1123" t="s">
        <v>247</v>
      </c>
      <c r="C1123" t="s">
        <v>1666</v>
      </c>
      <c r="D1123">
        <v>1280000</v>
      </c>
      <c r="E1123" t="s">
        <v>261</v>
      </c>
    </row>
    <row r="1124" spans="1:5" x14ac:dyDescent="0.25">
      <c r="A1124" s="8">
        <v>42617.617824074077</v>
      </c>
      <c r="B1124" t="s">
        <v>351</v>
      </c>
      <c r="C1124" t="s">
        <v>1667</v>
      </c>
      <c r="D1124">
        <v>930000</v>
      </c>
      <c r="E1124" t="s">
        <v>244</v>
      </c>
    </row>
    <row r="1125" spans="1:5" x14ac:dyDescent="0.25">
      <c r="A1125" s="8">
        <v>42617.620173611111</v>
      </c>
      <c r="B1125" t="s">
        <v>144</v>
      </c>
      <c r="C1125" t="s">
        <v>1668</v>
      </c>
      <c r="D1125">
        <v>1770000</v>
      </c>
      <c r="E1125" t="s">
        <v>248</v>
      </c>
    </row>
    <row r="1126" spans="1:5" x14ac:dyDescent="0.25">
      <c r="A1126" s="8">
        <v>42617.626620370371</v>
      </c>
      <c r="B1126" t="s">
        <v>91</v>
      </c>
      <c r="C1126" t="s">
        <v>1669</v>
      </c>
      <c r="D1126">
        <v>2100000</v>
      </c>
      <c r="E1126" t="s">
        <v>136</v>
      </c>
    </row>
    <row r="1127" spans="1:5" x14ac:dyDescent="0.25">
      <c r="A1127" s="8">
        <v>42617.627013888887</v>
      </c>
      <c r="B1127" t="s">
        <v>746</v>
      </c>
      <c r="C1127" t="s">
        <v>1670</v>
      </c>
      <c r="D1127">
        <v>2020000</v>
      </c>
      <c r="E1127" t="s">
        <v>1037</v>
      </c>
    </row>
    <row r="1128" spans="1:5" x14ac:dyDescent="0.25">
      <c r="A1128" s="8">
        <v>42617.634074074071</v>
      </c>
      <c r="B1128" t="s">
        <v>154</v>
      </c>
      <c r="C1128" t="s">
        <v>1671</v>
      </c>
      <c r="D1128">
        <v>2040000</v>
      </c>
      <c r="E1128" t="s">
        <v>857</v>
      </c>
    </row>
    <row r="1129" spans="1:5" x14ac:dyDescent="0.25">
      <c r="A1129" s="8">
        <v>42617.642418981479</v>
      </c>
      <c r="B1129" t="s">
        <v>114</v>
      </c>
      <c r="C1129" t="s">
        <v>1672</v>
      </c>
      <c r="D1129">
        <v>880000</v>
      </c>
      <c r="E1129" t="s">
        <v>1236</v>
      </c>
    </row>
    <row r="1130" spans="1:5" x14ac:dyDescent="0.25">
      <c r="A1130" s="8">
        <v>42617.643090277779</v>
      </c>
      <c r="B1130" t="s">
        <v>1169</v>
      </c>
      <c r="C1130" t="s">
        <v>1673</v>
      </c>
      <c r="D1130">
        <v>1140000</v>
      </c>
      <c r="E1130" t="s">
        <v>262</v>
      </c>
    </row>
    <row r="1131" spans="1:5" x14ac:dyDescent="0.25">
      <c r="A1131" s="8">
        <v>42617.644247685188</v>
      </c>
      <c r="B1131" t="s">
        <v>746</v>
      </c>
      <c r="C1131" t="s">
        <v>1670</v>
      </c>
      <c r="D1131">
        <v>2020000</v>
      </c>
      <c r="E1131" t="s">
        <v>1037</v>
      </c>
    </row>
    <row r="1132" spans="1:5" x14ac:dyDescent="0.25">
      <c r="A1132" s="8">
        <v>42617.650347222225</v>
      </c>
      <c r="B1132" t="s">
        <v>92</v>
      </c>
      <c r="C1132" t="s">
        <v>1674</v>
      </c>
      <c r="D1132">
        <v>2100000</v>
      </c>
      <c r="E1132" t="s">
        <v>136</v>
      </c>
    </row>
    <row r="1133" spans="1:5" x14ac:dyDescent="0.25">
      <c r="A1133" s="8">
        <v>42617.651319444441</v>
      </c>
      <c r="B1133" t="s">
        <v>245</v>
      </c>
      <c r="C1133" t="s">
        <v>1675</v>
      </c>
      <c r="D1133">
        <v>1280000</v>
      </c>
      <c r="E1133" t="s">
        <v>261</v>
      </c>
    </row>
    <row r="1134" spans="1:5" x14ac:dyDescent="0.25">
      <c r="A1134" s="8">
        <v>42617.65420138889</v>
      </c>
      <c r="B1134" t="s">
        <v>151</v>
      </c>
      <c r="C1134" t="s">
        <v>1676</v>
      </c>
      <c r="D1134">
        <v>930000</v>
      </c>
      <c r="E1134" t="s">
        <v>244</v>
      </c>
    </row>
    <row r="1135" spans="1:5" x14ac:dyDescent="0.25">
      <c r="A1135" s="8">
        <v>42617.65902777778</v>
      </c>
      <c r="B1135" t="s">
        <v>139</v>
      </c>
      <c r="C1135" t="s">
        <v>1677</v>
      </c>
      <c r="D1135">
        <v>1770000</v>
      </c>
      <c r="E1135" t="s">
        <v>248</v>
      </c>
    </row>
    <row r="1136" spans="1:5" x14ac:dyDescent="0.25">
      <c r="A1136" s="8">
        <v>42617.66302083333</v>
      </c>
      <c r="B1136" t="s">
        <v>724</v>
      </c>
      <c r="C1136" t="s">
        <v>1678</v>
      </c>
      <c r="D1136">
        <v>2020000</v>
      </c>
      <c r="E1136" t="s">
        <v>1037</v>
      </c>
    </row>
    <row r="1137" spans="1:5" x14ac:dyDescent="0.25">
      <c r="A1137" s="8">
        <v>42617.671180555553</v>
      </c>
      <c r="B1137" t="s">
        <v>227</v>
      </c>
      <c r="C1137" t="s">
        <v>1679</v>
      </c>
      <c r="D1137">
        <v>2040000</v>
      </c>
      <c r="E1137" t="s">
        <v>857</v>
      </c>
    </row>
    <row r="1138" spans="1:5" x14ac:dyDescent="0.25">
      <c r="A1138" s="8">
        <v>42617.673206018517</v>
      </c>
      <c r="B1138" t="s">
        <v>113</v>
      </c>
      <c r="C1138" t="s">
        <v>1680</v>
      </c>
      <c r="D1138">
        <v>880000</v>
      </c>
      <c r="E1138" t="s">
        <v>1236</v>
      </c>
    </row>
    <row r="1139" spans="1:5" x14ac:dyDescent="0.25">
      <c r="A1139" s="8">
        <v>42617.673472222225</v>
      </c>
      <c r="B1139" t="s">
        <v>91</v>
      </c>
      <c r="C1139" t="s">
        <v>1681</v>
      </c>
      <c r="D1139">
        <v>2100000</v>
      </c>
      <c r="E1139" t="s">
        <v>136</v>
      </c>
    </row>
    <row r="1140" spans="1:5" x14ac:dyDescent="0.25">
      <c r="A1140" s="8">
        <v>42617.676793981482</v>
      </c>
      <c r="B1140" t="s">
        <v>741</v>
      </c>
      <c r="C1140" t="s">
        <v>1682</v>
      </c>
      <c r="D1140">
        <v>1140000</v>
      </c>
      <c r="E1140" t="s">
        <v>262</v>
      </c>
    </row>
    <row r="1141" spans="1:5" x14ac:dyDescent="0.25">
      <c r="A1141" s="8">
        <v>42617.683819444443</v>
      </c>
      <c r="B1141" t="s">
        <v>247</v>
      </c>
      <c r="C1141" t="s">
        <v>1683</v>
      </c>
      <c r="D1141">
        <v>1280000</v>
      </c>
      <c r="E1141" t="s">
        <v>261</v>
      </c>
    </row>
    <row r="1142" spans="1:5" x14ac:dyDescent="0.25">
      <c r="A1142" s="8">
        <v>42617.690717592595</v>
      </c>
      <c r="B1142" t="s">
        <v>351</v>
      </c>
      <c r="C1142" t="s">
        <v>1684</v>
      </c>
      <c r="D1142">
        <v>930000</v>
      </c>
      <c r="E1142" t="s">
        <v>244</v>
      </c>
    </row>
    <row r="1143" spans="1:5" x14ac:dyDescent="0.25">
      <c r="A1143" s="8">
        <v>42617.692395833335</v>
      </c>
      <c r="B1143" t="s">
        <v>92</v>
      </c>
      <c r="C1143" t="s">
        <v>1685</v>
      </c>
      <c r="D1143">
        <v>2100000</v>
      </c>
      <c r="E1143" t="s">
        <v>136</v>
      </c>
    </row>
    <row r="1144" spans="1:5" x14ac:dyDescent="0.25">
      <c r="A1144" s="8">
        <v>42617.694085648145</v>
      </c>
      <c r="B1144" t="s">
        <v>144</v>
      </c>
      <c r="C1144" t="s">
        <v>1686</v>
      </c>
      <c r="D1144">
        <v>1770000</v>
      </c>
      <c r="E1144" t="s">
        <v>248</v>
      </c>
    </row>
    <row r="1145" spans="1:5" x14ac:dyDescent="0.25">
      <c r="A1145" s="8">
        <v>42617.700011574074</v>
      </c>
      <c r="B1145" t="s">
        <v>746</v>
      </c>
      <c r="C1145" t="s">
        <v>1687</v>
      </c>
      <c r="D1145">
        <v>2020000</v>
      </c>
      <c r="E1145" t="s">
        <v>1037</v>
      </c>
    </row>
    <row r="1146" spans="1:5" x14ac:dyDescent="0.25">
      <c r="A1146" s="8">
        <v>42617.708761574075</v>
      </c>
      <c r="B1146" t="s">
        <v>154</v>
      </c>
      <c r="C1146" t="s">
        <v>1688</v>
      </c>
      <c r="D1146">
        <v>2040000</v>
      </c>
      <c r="E1146" t="s">
        <v>857</v>
      </c>
    </row>
    <row r="1147" spans="1:5" x14ac:dyDescent="0.25">
      <c r="A1147" s="8">
        <v>42617.714548611111</v>
      </c>
      <c r="B1147" t="s">
        <v>91</v>
      </c>
      <c r="C1147" t="s">
        <v>1689</v>
      </c>
      <c r="D1147">
        <v>2100000</v>
      </c>
      <c r="E1147" t="s">
        <v>136</v>
      </c>
    </row>
    <row r="1148" spans="1:5" x14ac:dyDescent="0.25">
      <c r="A1148" s="8">
        <v>42617.719143518516</v>
      </c>
      <c r="B1148" t="s">
        <v>1169</v>
      </c>
      <c r="C1148" t="s">
        <v>1690</v>
      </c>
      <c r="D1148">
        <v>1180000</v>
      </c>
      <c r="E1148" t="s">
        <v>1691</v>
      </c>
    </row>
    <row r="1149" spans="1:5" x14ac:dyDescent="0.25">
      <c r="A1149" s="8">
        <v>42617.719444444447</v>
      </c>
      <c r="B1149" t="s">
        <v>351</v>
      </c>
      <c r="C1149" t="s">
        <v>1684</v>
      </c>
      <c r="D1149">
        <v>930000</v>
      </c>
      <c r="E1149" t="s">
        <v>244</v>
      </c>
    </row>
    <row r="1150" spans="1:5" x14ac:dyDescent="0.25">
      <c r="A1150" s="8">
        <v>42617.719444444447</v>
      </c>
      <c r="B1150" t="s">
        <v>114</v>
      </c>
      <c r="C1150" t="s">
        <v>1692</v>
      </c>
      <c r="D1150">
        <v>880000</v>
      </c>
      <c r="E1150" t="s">
        <v>1236</v>
      </c>
    </row>
    <row r="1151" spans="1:5" x14ac:dyDescent="0.25">
      <c r="A1151" s="8">
        <v>42617.72415509259</v>
      </c>
      <c r="B1151" t="s">
        <v>245</v>
      </c>
      <c r="C1151" t="s">
        <v>1693</v>
      </c>
      <c r="D1151">
        <v>1280000</v>
      </c>
      <c r="E1151" t="s">
        <v>261</v>
      </c>
    </row>
    <row r="1152" spans="1:5" x14ac:dyDescent="0.25">
      <c r="A1152" s="8">
        <v>42617.725011574075</v>
      </c>
      <c r="B1152" t="s">
        <v>228</v>
      </c>
      <c r="C1152" t="s">
        <v>1694</v>
      </c>
      <c r="D1152">
        <v>1140000</v>
      </c>
      <c r="E1152" t="s">
        <v>262</v>
      </c>
    </row>
    <row r="1153" spans="1:5" x14ac:dyDescent="0.25">
      <c r="A1153" s="8">
        <v>42617.732581018521</v>
      </c>
      <c r="B1153" t="s">
        <v>139</v>
      </c>
      <c r="C1153" t="s">
        <v>1695</v>
      </c>
      <c r="D1153">
        <v>1770000</v>
      </c>
      <c r="E1153" t="s">
        <v>248</v>
      </c>
    </row>
    <row r="1154" spans="1:5" x14ac:dyDescent="0.25">
      <c r="A1154" s="8">
        <v>42617.734236111108</v>
      </c>
      <c r="B1154" t="s">
        <v>92</v>
      </c>
      <c r="C1154" t="s">
        <v>1696</v>
      </c>
      <c r="D1154">
        <v>2100000</v>
      </c>
      <c r="E1154" t="s">
        <v>136</v>
      </c>
    </row>
    <row r="1155" spans="1:5" x14ac:dyDescent="0.25">
      <c r="A1155" s="8">
        <v>42617.742384259262</v>
      </c>
      <c r="B1155" t="s">
        <v>151</v>
      </c>
      <c r="C1155" t="s">
        <v>1697</v>
      </c>
      <c r="D1155">
        <v>1290000</v>
      </c>
      <c r="E1155" t="s">
        <v>263</v>
      </c>
    </row>
    <row r="1156" spans="1:5" x14ac:dyDescent="0.25">
      <c r="A1156" s="8">
        <v>42617.743078703701</v>
      </c>
      <c r="B1156" t="s">
        <v>228</v>
      </c>
      <c r="C1156" t="s">
        <v>1694</v>
      </c>
      <c r="D1156">
        <v>1140000</v>
      </c>
      <c r="E1156" t="s">
        <v>262</v>
      </c>
    </row>
    <row r="1157" spans="1:5" x14ac:dyDescent="0.25">
      <c r="A1157" s="8">
        <v>42617.74628472222</v>
      </c>
      <c r="B1157" t="s">
        <v>724</v>
      </c>
      <c r="C1157" t="s">
        <v>1698</v>
      </c>
      <c r="D1157">
        <v>2020000</v>
      </c>
      <c r="E1157" t="s">
        <v>1037</v>
      </c>
    </row>
    <row r="1158" spans="1:5" x14ac:dyDescent="0.25">
      <c r="A1158" s="8">
        <v>42617.747696759259</v>
      </c>
      <c r="B1158" t="s">
        <v>227</v>
      </c>
      <c r="C1158" t="s">
        <v>1699</v>
      </c>
      <c r="D1158">
        <v>2040000</v>
      </c>
      <c r="E1158" t="s">
        <v>857</v>
      </c>
    </row>
    <row r="1159" spans="1:5" x14ac:dyDescent="0.25">
      <c r="A1159" s="8">
        <v>42617.754143518519</v>
      </c>
      <c r="B1159" t="s">
        <v>91</v>
      </c>
      <c r="C1159" t="s">
        <v>1700</v>
      </c>
      <c r="D1159">
        <v>2100000</v>
      </c>
      <c r="E1159" t="s">
        <v>136</v>
      </c>
    </row>
    <row r="1160" spans="1:5" x14ac:dyDescent="0.25">
      <c r="A1160" s="8">
        <v>42617.755972222221</v>
      </c>
      <c r="B1160" t="s">
        <v>741</v>
      </c>
      <c r="C1160" t="s">
        <v>1701</v>
      </c>
      <c r="D1160">
        <v>1180000</v>
      </c>
      <c r="E1160" t="s">
        <v>1691</v>
      </c>
    </row>
    <row r="1161" spans="1:5" x14ac:dyDescent="0.25">
      <c r="A1161" s="8">
        <v>42617.756921296299</v>
      </c>
      <c r="B1161" t="s">
        <v>151</v>
      </c>
      <c r="C1161" t="s">
        <v>1697</v>
      </c>
      <c r="D1161">
        <v>1290000</v>
      </c>
      <c r="E1161" t="s">
        <v>263</v>
      </c>
    </row>
    <row r="1162" spans="1:5" x14ac:dyDescent="0.25">
      <c r="A1162" s="8">
        <v>42617.759722222225</v>
      </c>
      <c r="B1162" t="s">
        <v>247</v>
      </c>
      <c r="C1162" t="s">
        <v>1702</v>
      </c>
      <c r="D1162">
        <v>1810000</v>
      </c>
      <c r="E1162" t="s">
        <v>249</v>
      </c>
    </row>
    <row r="1163" spans="1:5" x14ac:dyDescent="0.25">
      <c r="A1163" s="8">
        <v>42617.759872685187</v>
      </c>
      <c r="B1163" t="s">
        <v>113</v>
      </c>
      <c r="C1163" t="s">
        <v>1703</v>
      </c>
      <c r="D1163">
        <v>880000</v>
      </c>
      <c r="E1163" t="s">
        <v>1236</v>
      </c>
    </row>
    <row r="1164" spans="1:5" x14ac:dyDescent="0.25">
      <c r="A1164" s="8">
        <v>42617.763171296298</v>
      </c>
      <c r="B1164" t="s">
        <v>226</v>
      </c>
      <c r="C1164" t="s">
        <v>1704</v>
      </c>
      <c r="D1164">
        <v>1140000</v>
      </c>
      <c r="E1164" t="s">
        <v>262</v>
      </c>
    </row>
    <row r="1165" spans="1:5" x14ac:dyDescent="0.25">
      <c r="A1165" s="8">
        <v>42617.772453703707</v>
      </c>
      <c r="B1165" t="s">
        <v>113</v>
      </c>
      <c r="C1165" t="s">
        <v>1705</v>
      </c>
      <c r="D1165">
        <v>1800000</v>
      </c>
      <c r="E1165" t="s">
        <v>152</v>
      </c>
    </row>
    <row r="1166" spans="1:5" x14ac:dyDescent="0.25">
      <c r="A1166" s="8">
        <v>42617.774652777778</v>
      </c>
      <c r="B1166" t="s">
        <v>257</v>
      </c>
      <c r="C1166" t="s">
        <v>1703</v>
      </c>
      <c r="D1166">
        <v>880000</v>
      </c>
      <c r="E1166" t="s">
        <v>1236</v>
      </c>
    </row>
    <row r="1167" spans="1:5" x14ac:dyDescent="0.25">
      <c r="A1167" s="8">
        <v>42617.775706018518</v>
      </c>
      <c r="B1167" t="s">
        <v>257</v>
      </c>
      <c r="C1167" t="s">
        <v>1703</v>
      </c>
      <c r="D1167">
        <v>880000</v>
      </c>
      <c r="E1167" t="s">
        <v>1236</v>
      </c>
    </row>
    <row r="1168" spans="1:5" x14ac:dyDescent="0.25">
      <c r="A1168" s="8">
        <v>42617.777280092596</v>
      </c>
      <c r="B1168" t="s">
        <v>92</v>
      </c>
      <c r="C1168" t="s">
        <v>1706</v>
      </c>
      <c r="D1168">
        <v>2100000</v>
      </c>
      <c r="E1168" t="s">
        <v>136</v>
      </c>
    </row>
    <row r="1169" spans="1:5" x14ac:dyDescent="0.25">
      <c r="A1169" s="8">
        <v>42617.777314814812</v>
      </c>
      <c r="B1169" t="s">
        <v>351</v>
      </c>
      <c r="C1169" t="s">
        <v>1707</v>
      </c>
      <c r="D1169">
        <v>1290000</v>
      </c>
      <c r="E1169" t="s">
        <v>263</v>
      </c>
    </row>
    <row r="1170" spans="1:5" x14ac:dyDescent="0.25">
      <c r="A1170" s="8">
        <v>42617.782777777778</v>
      </c>
      <c r="B1170" t="s">
        <v>247</v>
      </c>
      <c r="C1170" t="s">
        <v>1702</v>
      </c>
      <c r="D1170">
        <v>1810000</v>
      </c>
      <c r="E1170" t="s">
        <v>249</v>
      </c>
    </row>
    <row r="1171" spans="1:5" x14ac:dyDescent="0.25">
      <c r="A1171" s="8">
        <v>42617.789317129631</v>
      </c>
      <c r="B1171" t="s">
        <v>154</v>
      </c>
      <c r="C1171" t="s">
        <v>1708</v>
      </c>
      <c r="D1171">
        <v>2040000</v>
      </c>
      <c r="E1171" t="s">
        <v>857</v>
      </c>
    </row>
    <row r="1172" spans="1:5" x14ac:dyDescent="0.25">
      <c r="A1172" s="8">
        <v>42617.789398148147</v>
      </c>
      <c r="B1172" t="s">
        <v>1169</v>
      </c>
      <c r="C1172" t="s">
        <v>1709</v>
      </c>
      <c r="D1172">
        <v>1180000</v>
      </c>
      <c r="E1172" t="s">
        <v>1691</v>
      </c>
    </row>
    <row r="1173" spans="1:5" x14ac:dyDescent="0.25">
      <c r="A1173" s="8">
        <v>42617.791180555556</v>
      </c>
      <c r="B1173" t="s">
        <v>154</v>
      </c>
      <c r="C1173" t="s">
        <v>1708</v>
      </c>
      <c r="D1173">
        <v>2040000</v>
      </c>
      <c r="E1173" t="s">
        <v>857</v>
      </c>
    </row>
    <row r="1174" spans="1:5" x14ac:dyDescent="0.25">
      <c r="A1174" s="8">
        <v>42617.798379629632</v>
      </c>
      <c r="B1174" t="s">
        <v>245</v>
      </c>
      <c r="C1174" t="s">
        <v>1710</v>
      </c>
      <c r="D1174">
        <v>1810000</v>
      </c>
      <c r="E1174" t="s">
        <v>249</v>
      </c>
    </row>
    <row r="1175" spans="1:5" x14ac:dyDescent="0.25">
      <c r="A1175" s="8">
        <v>42617.801805555559</v>
      </c>
      <c r="B1175" t="s">
        <v>91</v>
      </c>
      <c r="C1175" t="s">
        <v>1711</v>
      </c>
      <c r="D1175">
        <v>2100000</v>
      </c>
      <c r="E1175" t="s">
        <v>136</v>
      </c>
    </row>
    <row r="1176" spans="1:5" x14ac:dyDescent="0.25">
      <c r="A1176" s="8">
        <v>42617.809513888889</v>
      </c>
      <c r="B1176" t="s">
        <v>151</v>
      </c>
      <c r="C1176" t="s">
        <v>1712</v>
      </c>
      <c r="D1176">
        <v>1290000</v>
      </c>
      <c r="E1176" t="s">
        <v>263</v>
      </c>
    </row>
    <row r="1177" spans="1:5" x14ac:dyDescent="0.25">
      <c r="A1177" s="8">
        <v>42617.811400462961</v>
      </c>
      <c r="B1177" t="s">
        <v>114</v>
      </c>
      <c r="C1177" t="s">
        <v>1713</v>
      </c>
      <c r="D1177">
        <v>1800000</v>
      </c>
      <c r="E1177" t="s">
        <v>152</v>
      </c>
    </row>
    <row r="1178" spans="1:5" x14ac:dyDescent="0.25">
      <c r="A1178" s="8">
        <v>42617.81863425926</v>
      </c>
      <c r="B1178" t="s">
        <v>92</v>
      </c>
      <c r="C1178" t="s">
        <v>1714</v>
      </c>
      <c r="D1178">
        <v>2100000</v>
      </c>
      <c r="E1178" t="s">
        <v>136</v>
      </c>
    </row>
    <row r="1179" spans="1:5" x14ac:dyDescent="0.25">
      <c r="A1179" s="8">
        <v>42617.820636574077</v>
      </c>
      <c r="B1179" t="s">
        <v>724</v>
      </c>
      <c r="C1179" t="s">
        <v>1715</v>
      </c>
      <c r="D1179">
        <v>2020000</v>
      </c>
      <c r="E1179" t="s">
        <v>1037</v>
      </c>
    </row>
    <row r="1180" spans="1:5" x14ac:dyDescent="0.25">
      <c r="A1180" s="8">
        <v>42617.828067129631</v>
      </c>
      <c r="B1180" t="s">
        <v>151</v>
      </c>
      <c r="C1180" t="s">
        <v>1712</v>
      </c>
      <c r="D1180">
        <v>1290000</v>
      </c>
      <c r="E1180" t="s">
        <v>263</v>
      </c>
    </row>
    <row r="1181" spans="1:5" x14ac:dyDescent="0.25">
      <c r="A1181" s="8">
        <v>42617.829259259262</v>
      </c>
      <c r="B1181" t="s">
        <v>247</v>
      </c>
      <c r="C1181" t="s">
        <v>1716</v>
      </c>
      <c r="D1181">
        <v>1810000</v>
      </c>
      <c r="E1181" t="s">
        <v>249</v>
      </c>
    </row>
    <row r="1182" spans="1:5" x14ac:dyDescent="0.25">
      <c r="A1182" s="8">
        <v>42617.830972222226</v>
      </c>
      <c r="B1182" t="s">
        <v>741</v>
      </c>
      <c r="C1182" t="s">
        <v>1717</v>
      </c>
      <c r="D1182">
        <v>1180000</v>
      </c>
      <c r="E1182" t="s">
        <v>1691</v>
      </c>
    </row>
    <row r="1183" spans="1:5" x14ac:dyDescent="0.25">
      <c r="A1183" s="8">
        <v>42617.842164351852</v>
      </c>
      <c r="B1183" t="s">
        <v>91</v>
      </c>
      <c r="C1183" t="s">
        <v>1718</v>
      </c>
      <c r="D1183">
        <v>2100000</v>
      </c>
      <c r="E1183" t="s">
        <v>136</v>
      </c>
    </row>
    <row r="1184" spans="1:5" x14ac:dyDescent="0.25">
      <c r="A1184" s="8">
        <v>42617.849803240744</v>
      </c>
      <c r="B1184" t="s">
        <v>351</v>
      </c>
      <c r="C1184" t="s">
        <v>1719</v>
      </c>
      <c r="D1184">
        <v>1290000</v>
      </c>
      <c r="E1184" t="s">
        <v>263</v>
      </c>
    </row>
    <row r="1185" spans="1:5" x14ac:dyDescent="0.25">
      <c r="A1185" s="8">
        <v>42617.854074074072</v>
      </c>
      <c r="B1185" t="s">
        <v>113</v>
      </c>
      <c r="C1185" t="s">
        <v>1720</v>
      </c>
      <c r="D1185">
        <v>1800000</v>
      </c>
      <c r="E1185" t="s">
        <v>152</v>
      </c>
    </row>
    <row r="1186" spans="1:5" x14ac:dyDescent="0.25">
      <c r="A1186" s="8">
        <v>42617.859444444446</v>
      </c>
      <c r="B1186" t="s">
        <v>92</v>
      </c>
      <c r="C1186" t="s">
        <v>1721</v>
      </c>
      <c r="D1186">
        <v>2100000</v>
      </c>
      <c r="E1186" t="s">
        <v>136</v>
      </c>
    </row>
    <row r="1187" spans="1:5" x14ac:dyDescent="0.25">
      <c r="A1187" s="8">
        <v>42617.867685185185</v>
      </c>
      <c r="B1187" t="s">
        <v>245</v>
      </c>
      <c r="C1187" t="s">
        <v>1722</v>
      </c>
      <c r="D1187">
        <v>1810000</v>
      </c>
      <c r="E1187" t="s">
        <v>249</v>
      </c>
    </row>
    <row r="1188" spans="1:5" x14ac:dyDescent="0.25">
      <c r="A1188" s="8">
        <v>42617.86886574074</v>
      </c>
      <c r="B1188" t="s">
        <v>1169</v>
      </c>
      <c r="C1188" t="s">
        <v>1723</v>
      </c>
      <c r="D1188">
        <v>1180000</v>
      </c>
      <c r="E1188" t="s">
        <v>1691</v>
      </c>
    </row>
    <row r="1189" spans="1:5" x14ac:dyDescent="0.25">
      <c r="A1189" s="8">
        <v>42617.876817129632</v>
      </c>
      <c r="B1189" t="s">
        <v>91</v>
      </c>
      <c r="C1189" t="s">
        <v>1724</v>
      </c>
      <c r="D1189">
        <v>2100000</v>
      </c>
      <c r="E1189" t="s">
        <v>136</v>
      </c>
    </row>
    <row r="1190" spans="1:5" x14ac:dyDescent="0.25">
      <c r="A1190" s="8">
        <v>42617.89167824074</v>
      </c>
      <c r="B1190" t="s">
        <v>114</v>
      </c>
      <c r="C1190" t="s">
        <v>1725</v>
      </c>
      <c r="D1190">
        <v>1800000</v>
      </c>
      <c r="E1190" t="s">
        <v>152</v>
      </c>
    </row>
    <row r="1191" spans="1:5" x14ac:dyDescent="0.25">
      <c r="A1191" s="8">
        <v>42617.892881944441</v>
      </c>
      <c r="B1191" t="s">
        <v>151</v>
      </c>
      <c r="C1191" t="s">
        <v>1726</v>
      </c>
      <c r="D1191">
        <v>1290000</v>
      </c>
      <c r="E1191" t="s">
        <v>263</v>
      </c>
    </row>
    <row r="1192" spans="1:5" x14ac:dyDescent="0.25">
      <c r="A1192" s="8">
        <v>42617.901909722219</v>
      </c>
      <c r="B1192" t="s">
        <v>92</v>
      </c>
      <c r="C1192" t="s">
        <v>1727</v>
      </c>
      <c r="D1192">
        <v>2100000</v>
      </c>
      <c r="E1192" t="s">
        <v>136</v>
      </c>
    </row>
    <row r="1193" spans="1:5" x14ac:dyDescent="0.25">
      <c r="A1193" s="8">
        <v>42617.904583333337</v>
      </c>
      <c r="B1193" t="s">
        <v>247</v>
      </c>
      <c r="C1193" t="s">
        <v>1728</v>
      </c>
      <c r="D1193">
        <v>1810000</v>
      </c>
      <c r="E1193" t="s">
        <v>249</v>
      </c>
    </row>
    <row r="1194" spans="1:5" x14ac:dyDescent="0.25">
      <c r="A1194" s="8">
        <v>42617.909305555557</v>
      </c>
      <c r="B1194" t="s">
        <v>741</v>
      </c>
      <c r="C1194" t="s">
        <v>1729</v>
      </c>
      <c r="D1194">
        <v>1180000</v>
      </c>
      <c r="E1194" t="s">
        <v>1691</v>
      </c>
    </row>
    <row r="1195" spans="1:5" x14ac:dyDescent="0.25">
      <c r="A1195" s="8">
        <v>42617.924189814818</v>
      </c>
      <c r="B1195" t="s">
        <v>91</v>
      </c>
      <c r="C1195" t="s">
        <v>1730</v>
      </c>
      <c r="D1195">
        <v>2100000</v>
      </c>
      <c r="E1195" t="s">
        <v>136</v>
      </c>
    </row>
    <row r="1196" spans="1:5" x14ac:dyDescent="0.25">
      <c r="A1196" s="8">
        <v>42617.931273148148</v>
      </c>
      <c r="B1196" t="s">
        <v>351</v>
      </c>
      <c r="C1196" t="s">
        <v>1731</v>
      </c>
      <c r="D1196">
        <v>1290000</v>
      </c>
      <c r="E1196" t="s">
        <v>263</v>
      </c>
    </row>
    <row r="1197" spans="1:5" x14ac:dyDescent="0.25">
      <c r="A1197" s="8">
        <v>42617.936608796299</v>
      </c>
      <c r="B1197" t="s">
        <v>113</v>
      </c>
      <c r="C1197" t="s">
        <v>1732</v>
      </c>
      <c r="D1197">
        <v>1800000</v>
      </c>
      <c r="E1197" t="s">
        <v>152</v>
      </c>
    </row>
    <row r="1198" spans="1:5" x14ac:dyDescent="0.25">
      <c r="A1198" s="8">
        <v>42617.944236111114</v>
      </c>
      <c r="B1198" t="s">
        <v>92</v>
      </c>
      <c r="C1198" t="s">
        <v>1733</v>
      </c>
      <c r="D1198">
        <v>2100000</v>
      </c>
      <c r="E1198" t="s">
        <v>136</v>
      </c>
    </row>
    <row r="1199" spans="1:5" x14ac:dyDescent="0.25">
      <c r="A1199" s="8">
        <v>42617.945902777778</v>
      </c>
      <c r="B1199" t="s">
        <v>245</v>
      </c>
      <c r="C1199" t="s">
        <v>1734</v>
      </c>
      <c r="D1199">
        <v>1810000</v>
      </c>
      <c r="E1199" t="s">
        <v>249</v>
      </c>
    </row>
    <row r="1200" spans="1:5" x14ac:dyDescent="0.25">
      <c r="A1200" s="8">
        <v>42617.957418981481</v>
      </c>
      <c r="B1200" t="s">
        <v>1169</v>
      </c>
      <c r="C1200" t="s">
        <v>1735</v>
      </c>
      <c r="D1200">
        <v>1180000</v>
      </c>
      <c r="E1200" t="s">
        <v>1691</v>
      </c>
    </row>
    <row r="1201" spans="1:5" x14ac:dyDescent="0.25">
      <c r="A1201" s="8">
        <v>42617.975590277776</v>
      </c>
      <c r="B1201" t="s">
        <v>114</v>
      </c>
      <c r="C1201" t="s">
        <v>1736</v>
      </c>
      <c r="D1201">
        <v>1800000</v>
      </c>
      <c r="E1201" t="s">
        <v>152</v>
      </c>
    </row>
    <row r="1202" spans="1:5" x14ac:dyDescent="0.25">
      <c r="A1202" s="8">
        <v>42617.976134259261</v>
      </c>
      <c r="B1202" t="s">
        <v>151</v>
      </c>
      <c r="C1202" t="s">
        <v>1737</v>
      </c>
      <c r="D1202">
        <v>1290000</v>
      </c>
      <c r="E1202" t="s">
        <v>263</v>
      </c>
    </row>
    <row r="1203" spans="1:5" x14ac:dyDescent="0.25">
      <c r="A1203" s="8">
        <v>42617.984942129631</v>
      </c>
      <c r="B1203" t="s">
        <v>247</v>
      </c>
      <c r="C1203" t="s">
        <v>1738</v>
      </c>
      <c r="D1203">
        <v>1810000</v>
      </c>
      <c r="E1203" t="s">
        <v>249</v>
      </c>
    </row>
    <row r="1204" spans="1:5" x14ac:dyDescent="0.25">
      <c r="A1204" s="8">
        <v>42617.992048611108</v>
      </c>
      <c r="B1204" t="s">
        <v>741</v>
      </c>
      <c r="C1204" t="s">
        <v>1739</v>
      </c>
      <c r="D1204">
        <v>1180000</v>
      </c>
      <c r="E1204" t="s">
        <v>1691</v>
      </c>
    </row>
    <row r="1205" spans="1:5" x14ac:dyDescent="0.25">
      <c r="A1205" s="8">
        <v>42618.011342592596</v>
      </c>
      <c r="B1205" t="s">
        <v>351</v>
      </c>
      <c r="C1205" t="s">
        <v>1740</v>
      </c>
      <c r="D1205">
        <v>1290000</v>
      </c>
      <c r="E1205" t="s">
        <v>263</v>
      </c>
    </row>
    <row r="1206" spans="1:5" x14ac:dyDescent="0.25">
      <c r="A1206" s="8">
        <v>42618.019212962965</v>
      </c>
      <c r="B1206" t="s">
        <v>113</v>
      </c>
      <c r="C1206" t="s">
        <v>1741</v>
      </c>
      <c r="D1206">
        <v>1800000</v>
      </c>
      <c r="E1206" t="s">
        <v>152</v>
      </c>
    </row>
    <row r="1207" spans="1:5" x14ac:dyDescent="0.25">
      <c r="A1207" s="8">
        <v>42618.027499999997</v>
      </c>
      <c r="B1207" t="s">
        <v>1169</v>
      </c>
      <c r="C1207" t="s">
        <v>1742</v>
      </c>
      <c r="D1207">
        <v>1180000</v>
      </c>
      <c r="E1207" t="s">
        <v>1691</v>
      </c>
    </row>
    <row r="1208" spans="1:5" x14ac:dyDescent="0.25">
      <c r="A1208" s="8">
        <v>42618.034814814811</v>
      </c>
      <c r="B1208" t="s">
        <v>245</v>
      </c>
      <c r="C1208" t="s">
        <v>1743</v>
      </c>
      <c r="D1208">
        <v>1810000</v>
      </c>
      <c r="E1208" t="s">
        <v>249</v>
      </c>
    </row>
    <row r="1209" spans="1:5" x14ac:dyDescent="0.25">
      <c r="A1209" s="8">
        <v>42618.036678240744</v>
      </c>
      <c r="B1209" t="s">
        <v>245</v>
      </c>
      <c r="C1209" t="s">
        <v>1743</v>
      </c>
      <c r="D1209">
        <v>1810000</v>
      </c>
      <c r="E1209" t="s">
        <v>249</v>
      </c>
    </row>
    <row r="1210" spans="1:5" x14ac:dyDescent="0.25">
      <c r="A1210" s="8">
        <v>42618.047453703701</v>
      </c>
      <c r="B1210" t="s">
        <v>151</v>
      </c>
      <c r="C1210" t="s">
        <v>1744</v>
      </c>
      <c r="D1210">
        <v>1290000</v>
      </c>
      <c r="E1210" t="s">
        <v>263</v>
      </c>
    </row>
    <row r="1211" spans="1:5" x14ac:dyDescent="0.25">
      <c r="A1211" s="8">
        <v>42618.053472222222</v>
      </c>
      <c r="B1211" t="s">
        <v>245</v>
      </c>
      <c r="C1211" t="s">
        <v>1743</v>
      </c>
      <c r="D1211">
        <v>1810000</v>
      </c>
      <c r="E1211" t="s">
        <v>249</v>
      </c>
    </row>
    <row r="1212" spans="1:5" x14ac:dyDescent="0.25">
      <c r="A1212" s="8">
        <v>42618.059108796297</v>
      </c>
      <c r="B1212" t="s">
        <v>114</v>
      </c>
      <c r="C1212" t="s">
        <v>1745</v>
      </c>
      <c r="D1212">
        <v>1800000</v>
      </c>
      <c r="E1212" t="s">
        <v>152</v>
      </c>
    </row>
    <row r="1213" spans="1:5" x14ac:dyDescent="0.25">
      <c r="A1213" s="8">
        <v>42618.07</v>
      </c>
      <c r="B1213" t="s">
        <v>247</v>
      </c>
      <c r="C1213" t="s">
        <v>1746</v>
      </c>
      <c r="D1213">
        <v>1810000</v>
      </c>
      <c r="E1213" t="s">
        <v>249</v>
      </c>
    </row>
    <row r="1214" spans="1:5" x14ac:dyDescent="0.25">
      <c r="A1214" s="8">
        <v>42618.07135416667</v>
      </c>
      <c r="B1214" t="s">
        <v>247</v>
      </c>
      <c r="C1214" t="s">
        <v>1746</v>
      </c>
      <c r="D1214">
        <v>1810000</v>
      </c>
      <c r="E1214" t="s">
        <v>249</v>
      </c>
    </row>
    <row r="1215" spans="1:5" x14ac:dyDescent="0.25">
      <c r="A1215" s="8">
        <v>42618.091249999998</v>
      </c>
      <c r="B1215" t="s">
        <v>113</v>
      </c>
      <c r="C1215" t="s">
        <v>1747</v>
      </c>
      <c r="D1215">
        <v>1800000</v>
      </c>
      <c r="E1215" t="s">
        <v>1748</v>
      </c>
    </row>
    <row r="1216" spans="1:5" x14ac:dyDescent="0.25">
      <c r="A1216" s="8">
        <v>42618.034814814811</v>
      </c>
      <c r="B1216" t="s">
        <v>245</v>
      </c>
      <c r="C1216" t="s">
        <v>1743</v>
      </c>
      <c r="D1216">
        <v>1810000</v>
      </c>
      <c r="E1216" t="s">
        <v>249</v>
      </c>
    </row>
    <row r="1217" spans="1:5" x14ac:dyDescent="0.25">
      <c r="A1217" s="8">
        <v>42618.036678240744</v>
      </c>
      <c r="B1217" t="s">
        <v>245</v>
      </c>
      <c r="C1217" t="s">
        <v>1743</v>
      </c>
      <c r="D1217">
        <v>1810000</v>
      </c>
      <c r="E1217" t="s">
        <v>249</v>
      </c>
    </row>
    <row r="1218" spans="1:5" x14ac:dyDescent="0.25">
      <c r="A1218" s="8">
        <v>42618.047453703701</v>
      </c>
      <c r="B1218" t="s">
        <v>151</v>
      </c>
      <c r="C1218" t="s">
        <v>1744</v>
      </c>
      <c r="D1218">
        <v>1290000</v>
      </c>
      <c r="E1218" t="s">
        <v>263</v>
      </c>
    </row>
    <row r="1219" spans="1:5" x14ac:dyDescent="0.25">
      <c r="A1219" s="8">
        <v>42618.053472222222</v>
      </c>
      <c r="B1219" t="s">
        <v>245</v>
      </c>
      <c r="C1219" t="s">
        <v>1743</v>
      </c>
      <c r="D1219">
        <v>1810000</v>
      </c>
      <c r="E1219" t="s">
        <v>249</v>
      </c>
    </row>
    <row r="1220" spans="1:5" x14ac:dyDescent="0.25">
      <c r="A1220" s="8">
        <v>42618.059108796297</v>
      </c>
      <c r="B1220" t="s">
        <v>114</v>
      </c>
      <c r="C1220" t="s">
        <v>1745</v>
      </c>
      <c r="D1220">
        <v>1800000</v>
      </c>
      <c r="E1220" t="s">
        <v>152</v>
      </c>
    </row>
    <row r="1221" spans="1:5" x14ac:dyDescent="0.25">
      <c r="A1221" s="8">
        <v>42618.07</v>
      </c>
      <c r="B1221" t="s">
        <v>247</v>
      </c>
      <c r="C1221" t="s">
        <v>1746</v>
      </c>
      <c r="D1221">
        <v>1810000</v>
      </c>
      <c r="E1221" t="s">
        <v>249</v>
      </c>
    </row>
    <row r="1222" spans="1:5" x14ac:dyDescent="0.25">
      <c r="A1222" s="8">
        <v>42618.07135416667</v>
      </c>
      <c r="B1222" t="s">
        <v>247</v>
      </c>
      <c r="C1222" t="s">
        <v>1746</v>
      </c>
      <c r="D1222">
        <v>1810000</v>
      </c>
      <c r="E1222" t="s">
        <v>249</v>
      </c>
    </row>
    <row r="1223" spans="1:5" x14ac:dyDescent="0.25">
      <c r="A1223" s="8">
        <v>42618.091249999998</v>
      </c>
      <c r="B1223" t="s">
        <v>113</v>
      </c>
      <c r="C1223" t="s">
        <v>1747</v>
      </c>
      <c r="D1223">
        <v>1800000</v>
      </c>
      <c r="E1223" t="s">
        <v>152</v>
      </c>
    </row>
    <row r="1224" spans="1:5" x14ac:dyDescent="0.25">
      <c r="A1224" s="8">
        <v>42618.12972222222</v>
      </c>
      <c r="B1224" t="s">
        <v>111</v>
      </c>
      <c r="C1224" t="s">
        <v>1749</v>
      </c>
      <c r="D1224">
        <v>2030000</v>
      </c>
      <c r="E1224" t="s">
        <v>246</v>
      </c>
    </row>
    <row r="1225" spans="1:5" x14ac:dyDescent="0.25">
      <c r="A1225" s="8">
        <v>42618.151192129626</v>
      </c>
      <c r="B1225" t="s">
        <v>213</v>
      </c>
      <c r="C1225" t="s">
        <v>1750</v>
      </c>
      <c r="D1225">
        <v>1260000</v>
      </c>
      <c r="E1225" t="s">
        <v>1380</v>
      </c>
    </row>
    <row r="1226" spans="1:5" x14ac:dyDescent="0.25">
      <c r="A1226" s="8">
        <v>42618.168483796297</v>
      </c>
      <c r="B1226" t="s">
        <v>204</v>
      </c>
      <c r="C1226" t="s">
        <v>1751</v>
      </c>
      <c r="D1226">
        <v>2030000</v>
      </c>
      <c r="E1226" t="s">
        <v>246</v>
      </c>
    </row>
    <row r="1227" spans="1:5" x14ac:dyDescent="0.25">
      <c r="A1227" s="8">
        <v>42618.170613425929</v>
      </c>
      <c r="B1227" t="s">
        <v>201</v>
      </c>
      <c r="C1227" t="s">
        <v>1752</v>
      </c>
      <c r="D1227">
        <v>1190000</v>
      </c>
      <c r="E1227" t="s">
        <v>328</v>
      </c>
    </row>
    <row r="1228" spans="1:5" x14ac:dyDescent="0.25">
      <c r="A1228" s="8">
        <v>42618.180983796294</v>
      </c>
      <c r="B1228" t="s">
        <v>228</v>
      </c>
      <c r="C1228" t="s">
        <v>1753</v>
      </c>
      <c r="D1228">
        <v>1090000</v>
      </c>
      <c r="E1228" t="s">
        <v>329</v>
      </c>
    </row>
    <row r="1229" spans="1:5" x14ac:dyDescent="0.25">
      <c r="A1229" s="8">
        <v>42618.187361111108</v>
      </c>
      <c r="B1229" t="s">
        <v>724</v>
      </c>
      <c r="C1229" t="s">
        <v>1754</v>
      </c>
      <c r="D1229">
        <v>1830000</v>
      </c>
      <c r="E1229" t="s">
        <v>972</v>
      </c>
    </row>
    <row r="1230" spans="1:5" x14ac:dyDescent="0.25">
      <c r="A1230" s="8">
        <v>42618.190740740742</v>
      </c>
      <c r="B1230" t="s">
        <v>227</v>
      </c>
      <c r="C1230" t="s">
        <v>1755</v>
      </c>
      <c r="D1230">
        <v>1260000</v>
      </c>
      <c r="E1230" t="s">
        <v>1380</v>
      </c>
    </row>
    <row r="1231" spans="1:5" x14ac:dyDescent="0.25">
      <c r="A1231" s="8">
        <v>42618.203865740739</v>
      </c>
      <c r="B1231" t="s">
        <v>111</v>
      </c>
      <c r="C1231" t="s">
        <v>1756</v>
      </c>
      <c r="D1231">
        <v>1110000</v>
      </c>
      <c r="E1231" t="s">
        <v>259</v>
      </c>
    </row>
    <row r="1232" spans="1:5" x14ac:dyDescent="0.25">
      <c r="A1232" s="8">
        <v>42618.204884259256</v>
      </c>
      <c r="B1232" t="s">
        <v>93</v>
      </c>
      <c r="C1232" t="s">
        <v>1757</v>
      </c>
      <c r="D1232">
        <v>2030000</v>
      </c>
      <c r="E1232" t="s">
        <v>246</v>
      </c>
    </row>
    <row r="1233" spans="1:5" x14ac:dyDescent="0.25">
      <c r="A1233" s="8">
        <v>42618.211435185185</v>
      </c>
      <c r="B1233" t="s">
        <v>139</v>
      </c>
      <c r="C1233" t="s">
        <v>1758</v>
      </c>
      <c r="D1233">
        <v>1990000</v>
      </c>
      <c r="E1233" t="s">
        <v>258</v>
      </c>
    </row>
    <row r="1234" spans="1:5" x14ac:dyDescent="0.25">
      <c r="A1234" s="8">
        <v>42618.215555555558</v>
      </c>
      <c r="B1234" t="s">
        <v>260</v>
      </c>
      <c r="C1234" t="s">
        <v>1759</v>
      </c>
      <c r="D1234">
        <v>1190000</v>
      </c>
      <c r="E1234" t="s">
        <v>328</v>
      </c>
    </row>
    <row r="1235" spans="1:5" x14ac:dyDescent="0.25">
      <c r="A1235" s="8">
        <v>42618.223576388889</v>
      </c>
      <c r="B1235" t="s">
        <v>746</v>
      </c>
      <c r="C1235" t="s">
        <v>1760</v>
      </c>
      <c r="D1235">
        <v>1830000</v>
      </c>
      <c r="E1235" t="s">
        <v>972</v>
      </c>
    </row>
    <row r="1236" spans="1:5" x14ac:dyDescent="0.25">
      <c r="A1236" s="8">
        <v>42618.223715277774</v>
      </c>
      <c r="B1236" t="s">
        <v>226</v>
      </c>
      <c r="C1236" t="s">
        <v>727</v>
      </c>
      <c r="D1236">
        <v>1090000</v>
      </c>
      <c r="E1236" t="s">
        <v>329</v>
      </c>
    </row>
    <row r="1237" spans="1:5" x14ac:dyDescent="0.25">
      <c r="A1237" s="8">
        <v>42618.227094907408</v>
      </c>
      <c r="B1237" t="s">
        <v>213</v>
      </c>
      <c r="C1237" t="s">
        <v>1761</v>
      </c>
      <c r="D1237">
        <v>1310000</v>
      </c>
      <c r="E1237" t="s">
        <v>967</v>
      </c>
    </row>
    <row r="1238" spans="1:5" x14ac:dyDescent="0.25">
      <c r="A1238" s="8">
        <v>42618.234907407408</v>
      </c>
      <c r="B1238" t="s">
        <v>154</v>
      </c>
      <c r="C1238" t="s">
        <v>1762</v>
      </c>
      <c r="D1238">
        <v>1260000</v>
      </c>
      <c r="E1238" t="s">
        <v>1380</v>
      </c>
    </row>
    <row r="1239" spans="1:5" x14ac:dyDescent="0.25">
      <c r="A1239" s="8">
        <v>42618.238703703704</v>
      </c>
      <c r="B1239" t="s">
        <v>144</v>
      </c>
      <c r="C1239" t="s">
        <v>1763</v>
      </c>
      <c r="D1239">
        <v>1990000</v>
      </c>
      <c r="E1239" t="s">
        <v>258</v>
      </c>
    </row>
    <row r="1240" spans="1:5" x14ac:dyDescent="0.25">
      <c r="A1240" s="8">
        <v>42618.245185185187</v>
      </c>
      <c r="B1240" t="s">
        <v>90</v>
      </c>
      <c r="C1240" t="s">
        <v>1764</v>
      </c>
      <c r="D1240">
        <v>1110000</v>
      </c>
      <c r="E1240" t="s">
        <v>259</v>
      </c>
    </row>
    <row r="1241" spans="1:5" x14ac:dyDescent="0.25">
      <c r="A1241" s="8">
        <v>42618.248356481483</v>
      </c>
      <c r="B1241" t="s">
        <v>201</v>
      </c>
      <c r="C1241" t="s">
        <v>1765</v>
      </c>
      <c r="D1241">
        <v>1190000</v>
      </c>
      <c r="E1241" t="s">
        <v>328</v>
      </c>
    </row>
    <row r="1242" spans="1:5" x14ac:dyDescent="0.25">
      <c r="A1242" s="8">
        <v>42618.252650462964</v>
      </c>
      <c r="B1242" t="s">
        <v>204</v>
      </c>
      <c r="C1242" t="s">
        <v>1766</v>
      </c>
      <c r="D1242">
        <v>2030000</v>
      </c>
      <c r="E1242" t="s">
        <v>246</v>
      </c>
    </row>
    <row r="1243" spans="1:5" x14ac:dyDescent="0.25">
      <c r="A1243" s="8">
        <v>42618.254803240743</v>
      </c>
      <c r="B1243" t="s">
        <v>139</v>
      </c>
      <c r="C1243" t="s">
        <v>1767</v>
      </c>
      <c r="D1243">
        <v>1990000</v>
      </c>
      <c r="E1243" t="s">
        <v>258</v>
      </c>
    </row>
    <row r="1244" spans="1:5" x14ac:dyDescent="0.25">
      <c r="A1244" s="8">
        <v>42618.25818287037</v>
      </c>
      <c r="B1244" t="s">
        <v>228</v>
      </c>
      <c r="C1244" t="s">
        <v>1768</v>
      </c>
      <c r="D1244">
        <v>1090000</v>
      </c>
      <c r="E1244" t="s">
        <v>329</v>
      </c>
    </row>
    <row r="1245" spans="1:5" x14ac:dyDescent="0.25">
      <c r="A1245" s="8">
        <v>42618.262662037036</v>
      </c>
      <c r="B1245" t="s">
        <v>91</v>
      </c>
      <c r="C1245" t="s">
        <v>1769</v>
      </c>
      <c r="D1245">
        <v>900000</v>
      </c>
      <c r="E1245" t="s">
        <v>330</v>
      </c>
    </row>
    <row r="1246" spans="1:5" x14ac:dyDescent="0.25">
      <c r="A1246" s="8">
        <v>42618.264027777775</v>
      </c>
      <c r="B1246" t="s">
        <v>91</v>
      </c>
      <c r="C1246" t="s">
        <v>1769</v>
      </c>
      <c r="D1246">
        <v>900000</v>
      </c>
      <c r="E1246" t="s">
        <v>330</v>
      </c>
    </row>
    <row r="1247" spans="1:5" x14ac:dyDescent="0.25">
      <c r="A1247" s="8">
        <v>42618.265497685185</v>
      </c>
      <c r="B1247" t="s">
        <v>724</v>
      </c>
      <c r="C1247" t="s">
        <v>1770</v>
      </c>
      <c r="D1247">
        <v>1830000</v>
      </c>
      <c r="E1247" t="s">
        <v>972</v>
      </c>
    </row>
    <row r="1248" spans="1:5" x14ac:dyDescent="0.25">
      <c r="A1248" s="8">
        <v>42618.266469907408</v>
      </c>
      <c r="B1248" t="s">
        <v>325</v>
      </c>
      <c r="C1248" t="s">
        <v>1771</v>
      </c>
      <c r="D1248">
        <v>1310000</v>
      </c>
      <c r="E1248" t="s">
        <v>967</v>
      </c>
    </row>
    <row r="1249" spans="1:5" x14ac:dyDescent="0.25">
      <c r="A1249" s="8">
        <v>42618.272812499999</v>
      </c>
      <c r="B1249" t="s">
        <v>227</v>
      </c>
      <c r="C1249" t="s">
        <v>1772</v>
      </c>
      <c r="D1249">
        <v>1260000</v>
      </c>
      <c r="E1249" t="s">
        <v>1380</v>
      </c>
    </row>
    <row r="1250" spans="1:5" x14ac:dyDescent="0.25">
      <c r="A1250" s="8">
        <v>42618.275902777779</v>
      </c>
      <c r="B1250" t="s">
        <v>92</v>
      </c>
      <c r="C1250" t="s">
        <v>1773</v>
      </c>
      <c r="D1250">
        <v>900000</v>
      </c>
      <c r="E1250" t="s">
        <v>330</v>
      </c>
    </row>
    <row r="1251" spans="1:5" x14ac:dyDescent="0.25">
      <c r="A1251" s="8">
        <v>42618.279687499999</v>
      </c>
      <c r="B1251" t="s">
        <v>111</v>
      </c>
      <c r="C1251" t="s">
        <v>1774</v>
      </c>
      <c r="D1251">
        <v>1110000</v>
      </c>
      <c r="E1251" t="s">
        <v>259</v>
      </c>
    </row>
    <row r="1252" spans="1:5" x14ac:dyDescent="0.25">
      <c r="A1252" s="8">
        <v>42618.280092592591</v>
      </c>
      <c r="B1252" t="s">
        <v>200</v>
      </c>
      <c r="C1252" t="s">
        <v>1775</v>
      </c>
      <c r="D1252">
        <v>1190000</v>
      </c>
      <c r="E1252" t="s">
        <v>328</v>
      </c>
    </row>
    <row r="1253" spans="1:5" x14ac:dyDescent="0.25">
      <c r="A1253" s="8">
        <v>42618.281307870369</v>
      </c>
      <c r="B1253" t="s">
        <v>144</v>
      </c>
      <c r="C1253" t="s">
        <v>1776</v>
      </c>
      <c r="D1253">
        <v>1990000</v>
      </c>
      <c r="E1253" t="s">
        <v>258</v>
      </c>
    </row>
    <row r="1254" spans="1:5" x14ac:dyDescent="0.25">
      <c r="A1254" s="8">
        <v>42618.286400462966</v>
      </c>
      <c r="B1254" t="s">
        <v>93</v>
      </c>
      <c r="C1254" t="s">
        <v>1777</v>
      </c>
      <c r="D1254">
        <v>2030000</v>
      </c>
      <c r="E1254" t="s">
        <v>246</v>
      </c>
    </row>
    <row r="1255" spans="1:5" x14ac:dyDescent="0.25">
      <c r="A1255" s="8">
        <v>42618.293425925927</v>
      </c>
      <c r="B1255" t="s">
        <v>226</v>
      </c>
      <c r="C1255" t="s">
        <v>1778</v>
      </c>
      <c r="D1255">
        <v>1090000</v>
      </c>
      <c r="E1255" t="s">
        <v>329</v>
      </c>
    </row>
    <row r="1256" spans="1:5" x14ac:dyDescent="0.25">
      <c r="A1256" s="8">
        <v>42618.296550925923</v>
      </c>
      <c r="B1256" t="s">
        <v>139</v>
      </c>
      <c r="C1256" t="s">
        <v>1779</v>
      </c>
      <c r="D1256">
        <v>1990000</v>
      </c>
      <c r="E1256" t="s">
        <v>258</v>
      </c>
    </row>
    <row r="1257" spans="1:5" x14ac:dyDescent="0.25">
      <c r="A1257" s="8">
        <v>42618.296840277777</v>
      </c>
      <c r="B1257" t="s">
        <v>746</v>
      </c>
      <c r="C1257" t="s">
        <v>1780</v>
      </c>
      <c r="D1257">
        <v>1830000</v>
      </c>
      <c r="E1257" t="s">
        <v>972</v>
      </c>
    </row>
    <row r="1258" spans="1:5" x14ac:dyDescent="0.25">
      <c r="A1258" s="8">
        <v>42618.301481481481</v>
      </c>
      <c r="B1258" t="s">
        <v>213</v>
      </c>
      <c r="C1258" t="s">
        <v>1781</v>
      </c>
      <c r="D1258">
        <v>1310000</v>
      </c>
      <c r="E1258" t="s">
        <v>967</v>
      </c>
    </row>
    <row r="1259" spans="1:5" x14ac:dyDescent="0.25">
      <c r="A1259" s="8">
        <v>42618.305567129632</v>
      </c>
      <c r="B1259" t="s">
        <v>91</v>
      </c>
      <c r="C1259" t="s">
        <v>1782</v>
      </c>
      <c r="D1259">
        <v>900000</v>
      </c>
      <c r="E1259" t="s">
        <v>330</v>
      </c>
    </row>
    <row r="1260" spans="1:5" x14ac:dyDescent="0.25">
      <c r="A1260" s="8">
        <v>42618.307662037034</v>
      </c>
      <c r="B1260" t="s">
        <v>154</v>
      </c>
      <c r="C1260" t="s">
        <v>1783</v>
      </c>
      <c r="D1260">
        <v>1260000</v>
      </c>
      <c r="E1260" t="s">
        <v>1380</v>
      </c>
    </row>
    <row r="1261" spans="1:5" x14ac:dyDescent="0.25">
      <c r="A1261" s="8">
        <v>42618.309953703705</v>
      </c>
      <c r="B1261" t="s">
        <v>91</v>
      </c>
      <c r="C1261" t="s">
        <v>1782</v>
      </c>
      <c r="D1261">
        <v>900000</v>
      </c>
      <c r="E1261" t="s">
        <v>330</v>
      </c>
    </row>
    <row r="1262" spans="1:5" x14ac:dyDescent="0.25">
      <c r="A1262" s="8">
        <v>42618.316967592589</v>
      </c>
      <c r="B1262" t="s">
        <v>201</v>
      </c>
      <c r="C1262" t="s">
        <v>1784</v>
      </c>
      <c r="D1262">
        <v>1190000</v>
      </c>
      <c r="E1262" t="s">
        <v>328</v>
      </c>
    </row>
    <row r="1263" spans="1:5" x14ac:dyDescent="0.25">
      <c r="A1263" s="8">
        <v>42618.31832175926</v>
      </c>
      <c r="B1263" t="s">
        <v>90</v>
      </c>
      <c r="C1263" t="s">
        <v>1785</v>
      </c>
      <c r="D1263">
        <v>1110000</v>
      </c>
      <c r="E1263" t="s">
        <v>259</v>
      </c>
    </row>
    <row r="1264" spans="1:5" x14ac:dyDescent="0.25">
      <c r="A1264" s="8">
        <v>42618.319699074076</v>
      </c>
      <c r="B1264" t="s">
        <v>92</v>
      </c>
      <c r="C1264" t="s">
        <v>1786</v>
      </c>
      <c r="D1264">
        <v>900000</v>
      </c>
      <c r="E1264" t="s">
        <v>330</v>
      </c>
    </row>
    <row r="1265" spans="1:5" x14ac:dyDescent="0.25">
      <c r="A1265" s="8">
        <v>42618.32439814815</v>
      </c>
      <c r="B1265" t="s">
        <v>204</v>
      </c>
      <c r="C1265" t="s">
        <v>1787</v>
      </c>
      <c r="D1265">
        <v>2030000</v>
      </c>
      <c r="E1265" t="s">
        <v>246</v>
      </c>
    </row>
    <row r="1266" spans="1:5" x14ac:dyDescent="0.25">
      <c r="A1266" s="8">
        <v>42618.325428240743</v>
      </c>
      <c r="B1266" t="s">
        <v>144</v>
      </c>
      <c r="C1266" t="s">
        <v>1788</v>
      </c>
      <c r="D1266">
        <v>1990000</v>
      </c>
      <c r="E1266" t="s">
        <v>258</v>
      </c>
    </row>
    <row r="1267" spans="1:5" x14ac:dyDescent="0.25">
      <c r="A1267" s="8">
        <v>42618.329074074078</v>
      </c>
      <c r="B1267" t="s">
        <v>228</v>
      </c>
      <c r="C1267" t="s">
        <v>1789</v>
      </c>
      <c r="D1267">
        <v>1090000</v>
      </c>
      <c r="E1267" t="s">
        <v>329</v>
      </c>
    </row>
    <row r="1268" spans="1:5" x14ac:dyDescent="0.25">
      <c r="A1268" s="8">
        <v>42618.337962962964</v>
      </c>
      <c r="B1268" t="s">
        <v>724</v>
      </c>
      <c r="C1268" t="s">
        <v>1790</v>
      </c>
      <c r="D1268">
        <v>1830000</v>
      </c>
      <c r="E1268" t="s">
        <v>972</v>
      </c>
    </row>
    <row r="1269" spans="1:5" x14ac:dyDescent="0.25">
      <c r="A1269" s="8">
        <v>42618.338391203702</v>
      </c>
      <c r="B1269" t="s">
        <v>139</v>
      </c>
      <c r="C1269" t="s">
        <v>1791</v>
      </c>
      <c r="D1269">
        <v>1990000</v>
      </c>
      <c r="E1269" t="s">
        <v>258</v>
      </c>
    </row>
    <row r="1270" spans="1:5" x14ac:dyDescent="0.25">
      <c r="A1270" s="8">
        <v>42618.339733796296</v>
      </c>
      <c r="B1270" t="s">
        <v>325</v>
      </c>
      <c r="C1270" t="s">
        <v>1792</v>
      </c>
      <c r="D1270">
        <v>1310000</v>
      </c>
      <c r="E1270" t="s">
        <v>967</v>
      </c>
    </row>
    <row r="1271" spans="1:5" x14ac:dyDescent="0.25">
      <c r="A1271" s="8">
        <v>42618.346261574072</v>
      </c>
      <c r="B1271" t="s">
        <v>227</v>
      </c>
      <c r="C1271" t="s">
        <v>1793</v>
      </c>
      <c r="D1271">
        <v>1260000</v>
      </c>
      <c r="E1271" t="s">
        <v>1380</v>
      </c>
    </row>
    <row r="1272" spans="1:5" x14ac:dyDescent="0.25">
      <c r="A1272" s="8">
        <v>42618.347546296296</v>
      </c>
      <c r="B1272" t="s">
        <v>91</v>
      </c>
      <c r="C1272" t="s">
        <v>1794</v>
      </c>
      <c r="D1272">
        <v>900000</v>
      </c>
      <c r="E1272" t="s">
        <v>330</v>
      </c>
    </row>
    <row r="1273" spans="1:5" x14ac:dyDescent="0.25">
      <c r="A1273" s="8">
        <v>42618.349976851852</v>
      </c>
      <c r="B1273" t="s">
        <v>111</v>
      </c>
      <c r="C1273" t="s">
        <v>1785</v>
      </c>
      <c r="D1273">
        <v>1110000</v>
      </c>
      <c r="E1273" t="s">
        <v>259</v>
      </c>
    </row>
    <row r="1274" spans="1:5" x14ac:dyDescent="0.25">
      <c r="A1274" s="8">
        <v>42618.350775462961</v>
      </c>
      <c r="B1274" t="s">
        <v>111</v>
      </c>
      <c r="C1274" t="s">
        <v>1795</v>
      </c>
      <c r="D1274">
        <v>1110000</v>
      </c>
      <c r="E1274" t="s">
        <v>259</v>
      </c>
    </row>
    <row r="1275" spans="1:5" x14ac:dyDescent="0.25">
      <c r="A1275" s="8">
        <v>42618.352476851855</v>
      </c>
      <c r="B1275" t="s">
        <v>200</v>
      </c>
      <c r="C1275" t="s">
        <v>1796</v>
      </c>
      <c r="D1275">
        <v>1190000</v>
      </c>
      <c r="E1275" t="s">
        <v>328</v>
      </c>
    </row>
    <row r="1276" spans="1:5" x14ac:dyDescent="0.25">
      <c r="A1276" s="8">
        <v>42618.359178240738</v>
      </c>
      <c r="B1276" t="s">
        <v>92</v>
      </c>
      <c r="C1276" t="s">
        <v>1797</v>
      </c>
      <c r="D1276">
        <v>900000</v>
      </c>
      <c r="E1276" t="s">
        <v>330</v>
      </c>
    </row>
    <row r="1277" spans="1:5" x14ac:dyDescent="0.25">
      <c r="A1277" s="8">
        <v>42618.36136574074</v>
      </c>
      <c r="B1277" t="s">
        <v>93</v>
      </c>
      <c r="C1277" t="s">
        <v>1798</v>
      </c>
      <c r="D1277">
        <v>2030000</v>
      </c>
      <c r="E1277" t="s">
        <v>246</v>
      </c>
    </row>
    <row r="1278" spans="1:5" x14ac:dyDescent="0.25">
      <c r="A1278" s="8">
        <v>42618.368460648147</v>
      </c>
      <c r="B1278" t="s">
        <v>226</v>
      </c>
      <c r="C1278" t="s">
        <v>1799</v>
      </c>
      <c r="D1278">
        <v>1090000</v>
      </c>
      <c r="E1278" t="s">
        <v>329</v>
      </c>
    </row>
    <row r="1279" spans="1:5" x14ac:dyDescent="0.25">
      <c r="A1279" s="8">
        <v>42618.369212962964</v>
      </c>
      <c r="B1279" t="s">
        <v>746</v>
      </c>
      <c r="C1279" t="s">
        <v>1800</v>
      </c>
      <c r="D1279">
        <v>1830000</v>
      </c>
      <c r="E1279" t="s">
        <v>972</v>
      </c>
    </row>
    <row r="1280" spans="1:5" x14ac:dyDescent="0.25">
      <c r="A1280" s="8">
        <v>42618.373645833337</v>
      </c>
      <c r="B1280" t="s">
        <v>213</v>
      </c>
      <c r="C1280" t="s">
        <v>729</v>
      </c>
      <c r="D1280">
        <v>1310000</v>
      </c>
      <c r="E1280" t="s">
        <v>967</v>
      </c>
    </row>
    <row r="1281" spans="1:5" x14ac:dyDescent="0.25">
      <c r="A1281" s="8">
        <v>42618.380555555559</v>
      </c>
      <c r="B1281" t="s">
        <v>154</v>
      </c>
      <c r="C1281" t="s">
        <v>1801</v>
      </c>
      <c r="D1281">
        <v>1260000</v>
      </c>
      <c r="E1281" t="s">
        <v>1380</v>
      </c>
    </row>
    <row r="1282" spans="1:5" x14ac:dyDescent="0.25">
      <c r="A1282" s="8">
        <v>42618.381689814814</v>
      </c>
      <c r="B1282" t="s">
        <v>90</v>
      </c>
      <c r="C1282" t="s">
        <v>723</v>
      </c>
      <c r="D1282">
        <v>1110000</v>
      </c>
      <c r="E1282" t="s">
        <v>259</v>
      </c>
    </row>
    <row r="1283" spans="1:5" x14ac:dyDescent="0.25">
      <c r="A1283" s="8">
        <v>42618.388842592591</v>
      </c>
      <c r="B1283" t="s">
        <v>91</v>
      </c>
      <c r="C1283" t="s">
        <v>1802</v>
      </c>
      <c r="D1283">
        <v>900000</v>
      </c>
      <c r="E1283" t="s">
        <v>330</v>
      </c>
    </row>
    <row r="1284" spans="1:5" x14ac:dyDescent="0.25">
      <c r="A1284" s="8">
        <v>42618.393333333333</v>
      </c>
      <c r="B1284" t="s">
        <v>201</v>
      </c>
      <c r="C1284" t="s">
        <v>1803</v>
      </c>
      <c r="D1284">
        <v>1190000</v>
      </c>
      <c r="E1284" t="s">
        <v>328</v>
      </c>
    </row>
    <row r="1285" spans="1:5" x14ac:dyDescent="0.25">
      <c r="A1285" s="8">
        <v>42618.39644675926</v>
      </c>
      <c r="B1285" t="s">
        <v>204</v>
      </c>
      <c r="C1285" t="s">
        <v>1804</v>
      </c>
      <c r="D1285">
        <v>2030000</v>
      </c>
      <c r="E1285" t="s">
        <v>246</v>
      </c>
    </row>
    <row r="1286" spans="1:5" x14ac:dyDescent="0.25">
      <c r="A1286" s="8">
        <v>42618.400937500002</v>
      </c>
      <c r="B1286" t="s">
        <v>92</v>
      </c>
      <c r="C1286" t="s">
        <v>1805</v>
      </c>
      <c r="D1286">
        <v>900000</v>
      </c>
      <c r="E1286" t="s">
        <v>330</v>
      </c>
    </row>
    <row r="1287" spans="1:5" x14ac:dyDescent="0.25">
      <c r="A1287" s="8">
        <v>42618.401377314818</v>
      </c>
      <c r="B1287" t="s">
        <v>228</v>
      </c>
      <c r="C1287" t="s">
        <v>1806</v>
      </c>
      <c r="D1287">
        <v>1090000</v>
      </c>
      <c r="E1287" t="s">
        <v>329</v>
      </c>
    </row>
    <row r="1288" spans="1:5" x14ac:dyDescent="0.25">
      <c r="A1288" s="8">
        <v>42618.409444444442</v>
      </c>
      <c r="B1288" t="s">
        <v>724</v>
      </c>
      <c r="C1288" t="s">
        <v>1807</v>
      </c>
      <c r="D1288">
        <v>1830000</v>
      </c>
      <c r="E1288" t="s">
        <v>972</v>
      </c>
    </row>
    <row r="1289" spans="1:5" x14ac:dyDescent="0.25">
      <c r="A1289" s="8">
        <v>42618.411909722221</v>
      </c>
      <c r="B1289" t="s">
        <v>325</v>
      </c>
      <c r="C1289" t="s">
        <v>1808</v>
      </c>
      <c r="D1289">
        <v>1310000</v>
      </c>
      <c r="E1289" t="s">
        <v>967</v>
      </c>
    </row>
    <row r="1290" spans="1:5" x14ac:dyDescent="0.25">
      <c r="A1290" s="8">
        <v>42618.417939814812</v>
      </c>
      <c r="B1290" t="s">
        <v>227</v>
      </c>
      <c r="C1290" t="s">
        <v>1809</v>
      </c>
      <c r="D1290">
        <v>1260000</v>
      </c>
      <c r="E1290" t="s">
        <v>1380</v>
      </c>
    </row>
    <row r="1291" spans="1:5" x14ac:dyDescent="0.25">
      <c r="A1291" s="8">
        <v>42618.424201388887</v>
      </c>
      <c r="B1291" t="s">
        <v>111</v>
      </c>
      <c r="C1291" t="s">
        <v>1810</v>
      </c>
      <c r="D1291">
        <v>1110000</v>
      </c>
      <c r="E1291" t="s">
        <v>259</v>
      </c>
    </row>
    <row r="1292" spans="1:5" x14ac:dyDescent="0.25">
      <c r="A1292" s="8">
        <v>42618.428541666668</v>
      </c>
      <c r="B1292" t="s">
        <v>200</v>
      </c>
      <c r="C1292" t="s">
        <v>1811</v>
      </c>
      <c r="D1292">
        <v>1190000</v>
      </c>
      <c r="E1292" t="s">
        <v>328</v>
      </c>
    </row>
    <row r="1293" spans="1:5" x14ac:dyDescent="0.25">
      <c r="A1293" s="8">
        <v>42618.430451388886</v>
      </c>
      <c r="B1293" t="s">
        <v>91</v>
      </c>
      <c r="C1293" t="s">
        <v>1812</v>
      </c>
      <c r="D1293">
        <v>900000</v>
      </c>
      <c r="E1293" t="s">
        <v>330</v>
      </c>
    </row>
    <row r="1294" spans="1:5" x14ac:dyDescent="0.25">
      <c r="A1294" s="8">
        <v>42618.433692129627</v>
      </c>
      <c r="B1294" t="s">
        <v>93</v>
      </c>
      <c r="C1294" t="s">
        <v>1813</v>
      </c>
      <c r="D1294">
        <v>1990000</v>
      </c>
      <c r="E1294" t="s">
        <v>258</v>
      </c>
    </row>
    <row r="1295" spans="1:5" x14ac:dyDescent="0.25">
      <c r="A1295" s="8">
        <v>42618.441284722219</v>
      </c>
      <c r="B1295" t="s">
        <v>226</v>
      </c>
      <c r="C1295" t="s">
        <v>1814</v>
      </c>
      <c r="D1295">
        <v>1090000</v>
      </c>
      <c r="E1295" t="s">
        <v>329</v>
      </c>
    </row>
    <row r="1296" spans="1:5" x14ac:dyDescent="0.25">
      <c r="A1296" s="8">
        <v>42618.442465277774</v>
      </c>
      <c r="B1296" t="s">
        <v>746</v>
      </c>
      <c r="C1296" t="s">
        <v>1815</v>
      </c>
      <c r="D1296">
        <v>1830000</v>
      </c>
      <c r="E1296" t="s">
        <v>972</v>
      </c>
    </row>
    <row r="1297" spans="1:5" x14ac:dyDescent="0.25">
      <c r="A1297" s="8">
        <v>42618.442962962959</v>
      </c>
      <c r="B1297" t="s">
        <v>92</v>
      </c>
      <c r="C1297" t="s">
        <v>1816</v>
      </c>
      <c r="D1297">
        <v>900000</v>
      </c>
      <c r="E1297" t="s">
        <v>330</v>
      </c>
    </row>
    <row r="1298" spans="1:5" x14ac:dyDescent="0.25">
      <c r="A1298" s="8">
        <v>42618.445729166669</v>
      </c>
      <c r="B1298" t="s">
        <v>213</v>
      </c>
      <c r="C1298" t="s">
        <v>1817</v>
      </c>
      <c r="D1298">
        <v>1310000</v>
      </c>
      <c r="E1298" t="s">
        <v>967</v>
      </c>
    </row>
    <row r="1299" spans="1:5" x14ac:dyDescent="0.25">
      <c r="A1299" s="8">
        <v>42618.454976851855</v>
      </c>
      <c r="B1299" t="s">
        <v>154</v>
      </c>
      <c r="C1299" t="s">
        <v>1818</v>
      </c>
      <c r="D1299">
        <v>880000</v>
      </c>
      <c r="E1299" t="s">
        <v>1236</v>
      </c>
    </row>
    <row r="1300" spans="1:5" x14ac:dyDescent="0.25">
      <c r="A1300" s="8">
        <v>42618.463796296295</v>
      </c>
      <c r="B1300" t="s">
        <v>90</v>
      </c>
      <c r="C1300" t="s">
        <v>710</v>
      </c>
      <c r="D1300">
        <v>1110000</v>
      </c>
      <c r="E1300" t="s">
        <v>259</v>
      </c>
    </row>
    <row r="1301" spans="1:5" x14ac:dyDescent="0.25">
      <c r="A1301" s="8">
        <v>42618.465185185189</v>
      </c>
      <c r="B1301" t="s">
        <v>201</v>
      </c>
      <c r="C1301" t="s">
        <v>1819</v>
      </c>
      <c r="D1301">
        <v>1280000</v>
      </c>
      <c r="E1301" t="s">
        <v>261</v>
      </c>
    </row>
    <row r="1302" spans="1:5" x14ac:dyDescent="0.25">
      <c r="A1302" s="8">
        <v>42618.47246527778</v>
      </c>
      <c r="B1302" t="s">
        <v>91</v>
      </c>
      <c r="C1302" t="s">
        <v>1820</v>
      </c>
      <c r="D1302">
        <v>900000</v>
      </c>
      <c r="E1302" t="s">
        <v>330</v>
      </c>
    </row>
    <row r="1303" spans="1:5" x14ac:dyDescent="0.25">
      <c r="A1303" s="8">
        <v>42618.47519675926</v>
      </c>
      <c r="B1303" t="s">
        <v>204</v>
      </c>
      <c r="C1303" t="s">
        <v>1821</v>
      </c>
      <c r="D1303">
        <v>1990000</v>
      </c>
      <c r="E1303" t="s">
        <v>258</v>
      </c>
    </row>
    <row r="1304" spans="1:5" x14ac:dyDescent="0.25">
      <c r="A1304" s="8">
        <v>42618.479074074072</v>
      </c>
      <c r="B1304" t="s">
        <v>228</v>
      </c>
      <c r="C1304" t="s">
        <v>1822</v>
      </c>
      <c r="D1304">
        <v>940000</v>
      </c>
      <c r="E1304" t="s">
        <v>1063</v>
      </c>
    </row>
    <row r="1305" spans="1:5" x14ac:dyDescent="0.25">
      <c r="A1305" s="8">
        <v>42618.484027777777</v>
      </c>
      <c r="B1305" t="s">
        <v>92</v>
      </c>
      <c r="C1305" t="s">
        <v>1823</v>
      </c>
      <c r="D1305">
        <v>900000</v>
      </c>
      <c r="E1305" t="s">
        <v>330</v>
      </c>
    </row>
    <row r="1306" spans="1:5" x14ac:dyDescent="0.25">
      <c r="A1306" s="8">
        <v>42618.48609953704</v>
      </c>
      <c r="B1306" t="s">
        <v>325</v>
      </c>
      <c r="C1306" t="s">
        <v>739</v>
      </c>
      <c r="D1306">
        <v>1310000</v>
      </c>
      <c r="E1306" t="s">
        <v>967</v>
      </c>
    </row>
    <row r="1307" spans="1:5" x14ac:dyDescent="0.25">
      <c r="A1307" s="8">
        <v>42618.486631944441</v>
      </c>
      <c r="B1307" t="s">
        <v>724</v>
      </c>
      <c r="C1307" t="s">
        <v>1824</v>
      </c>
      <c r="D1307">
        <v>930000</v>
      </c>
      <c r="E1307" t="s">
        <v>244</v>
      </c>
    </row>
    <row r="1308" spans="1:5" x14ac:dyDescent="0.25">
      <c r="A1308" s="8">
        <v>42618.493935185186</v>
      </c>
      <c r="B1308" t="s">
        <v>227</v>
      </c>
      <c r="C1308" t="s">
        <v>1825</v>
      </c>
      <c r="D1308">
        <v>880000</v>
      </c>
      <c r="E1308" t="s">
        <v>1236</v>
      </c>
    </row>
    <row r="1309" spans="1:5" x14ac:dyDescent="0.25">
      <c r="A1309" s="8">
        <v>42618.497187499997</v>
      </c>
      <c r="B1309" t="s">
        <v>200</v>
      </c>
      <c r="C1309" t="s">
        <v>1826</v>
      </c>
      <c r="D1309">
        <v>1280000</v>
      </c>
      <c r="E1309" t="s">
        <v>261</v>
      </c>
    </row>
    <row r="1310" spans="1:5" x14ac:dyDescent="0.25">
      <c r="A1310" s="8">
        <v>42618.50236111111</v>
      </c>
      <c r="B1310" t="s">
        <v>111</v>
      </c>
      <c r="C1310" t="s">
        <v>1827</v>
      </c>
      <c r="D1310">
        <v>1140000</v>
      </c>
      <c r="E1310" t="s">
        <v>262</v>
      </c>
    </row>
    <row r="1311" spans="1:5" x14ac:dyDescent="0.25">
      <c r="A1311" s="8">
        <v>42618.510636574072</v>
      </c>
      <c r="B1311" t="s">
        <v>93</v>
      </c>
      <c r="C1311" t="s">
        <v>1828</v>
      </c>
      <c r="D1311">
        <v>1540000</v>
      </c>
      <c r="E1311" t="s">
        <v>332</v>
      </c>
    </row>
    <row r="1312" spans="1:5" x14ac:dyDescent="0.25">
      <c r="A1312" s="8">
        <v>42618.513113425928</v>
      </c>
      <c r="B1312" t="s">
        <v>226</v>
      </c>
      <c r="C1312" t="s">
        <v>1829</v>
      </c>
      <c r="D1312">
        <v>940000</v>
      </c>
      <c r="E1312" t="s">
        <v>1063</v>
      </c>
    </row>
    <row r="1313" spans="1:5" x14ac:dyDescent="0.25">
      <c r="A1313" s="8">
        <v>42618.514456018522</v>
      </c>
      <c r="B1313" t="s">
        <v>91</v>
      </c>
      <c r="C1313" t="s">
        <v>1830</v>
      </c>
      <c r="D1313">
        <v>900000</v>
      </c>
      <c r="E1313" t="s">
        <v>330</v>
      </c>
    </row>
    <row r="1314" spans="1:5" x14ac:dyDescent="0.25">
      <c r="A1314" s="8">
        <v>42618.518819444442</v>
      </c>
      <c r="B1314" t="s">
        <v>213</v>
      </c>
      <c r="C1314" t="s">
        <v>1831</v>
      </c>
      <c r="D1314">
        <v>2020000</v>
      </c>
      <c r="E1314" t="s">
        <v>1037</v>
      </c>
    </row>
    <row r="1315" spans="1:5" x14ac:dyDescent="0.25">
      <c r="A1315" s="8">
        <v>42618.525023148148</v>
      </c>
      <c r="B1315" t="s">
        <v>746</v>
      </c>
      <c r="C1315" t="s">
        <v>1832</v>
      </c>
      <c r="D1315">
        <v>930000</v>
      </c>
      <c r="E1315" t="s">
        <v>244</v>
      </c>
    </row>
    <row r="1316" spans="1:5" x14ac:dyDescent="0.25">
      <c r="A1316" s="8">
        <v>42618.526701388888</v>
      </c>
      <c r="B1316" t="s">
        <v>92</v>
      </c>
      <c r="C1316" t="s">
        <v>1833</v>
      </c>
      <c r="D1316">
        <v>900000</v>
      </c>
      <c r="E1316" t="s">
        <v>330</v>
      </c>
    </row>
    <row r="1317" spans="1:5" x14ac:dyDescent="0.25">
      <c r="A1317" s="8">
        <v>42618.53056712963</v>
      </c>
      <c r="B1317" t="s">
        <v>154</v>
      </c>
      <c r="C1317" t="s">
        <v>1834</v>
      </c>
      <c r="D1317">
        <v>880000</v>
      </c>
      <c r="E1317" t="s">
        <v>1236</v>
      </c>
    </row>
    <row r="1318" spans="1:5" x14ac:dyDescent="0.25">
      <c r="A1318" s="8">
        <v>42618.537465277775</v>
      </c>
      <c r="B1318" t="s">
        <v>90</v>
      </c>
      <c r="C1318" t="s">
        <v>1835</v>
      </c>
      <c r="D1318">
        <v>1140000</v>
      </c>
      <c r="E1318" t="s">
        <v>262</v>
      </c>
    </row>
    <row r="1319" spans="1:5" x14ac:dyDescent="0.25">
      <c r="A1319" s="8">
        <v>42618.540277777778</v>
      </c>
      <c r="B1319" t="s">
        <v>201</v>
      </c>
      <c r="C1319" t="s">
        <v>1836</v>
      </c>
      <c r="D1319">
        <v>1280000</v>
      </c>
      <c r="E1319" t="s">
        <v>261</v>
      </c>
    </row>
    <row r="1320" spans="1:5" x14ac:dyDescent="0.25">
      <c r="A1320" s="8">
        <v>42618.545289351852</v>
      </c>
      <c r="B1320" t="s">
        <v>204</v>
      </c>
      <c r="C1320" t="s">
        <v>1837</v>
      </c>
      <c r="D1320">
        <v>1540000</v>
      </c>
      <c r="E1320" t="s">
        <v>332</v>
      </c>
    </row>
    <row r="1321" spans="1:5" x14ac:dyDescent="0.25">
      <c r="A1321" s="8">
        <v>42618.547106481485</v>
      </c>
      <c r="B1321" t="s">
        <v>228</v>
      </c>
      <c r="C1321" t="s">
        <v>1838</v>
      </c>
      <c r="D1321">
        <v>940000</v>
      </c>
      <c r="E1321" t="s">
        <v>1063</v>
      </c>
    </row>
    <row r="1322" spans="1:5" x14ac:dyDescent="0.25">
      <c r="A1322" s="8">
        <v>42618.548298611109</v>
      </c>
      <c r="B1322" t="s">
        <v>91</v>
      </c>
      <c r="C1322" t="s">
        <v>1839</v>
      </c>
      <c r="D1322">
        <v>1770000</v>
      </c>
      <c r="E1322" t="s">
        <v>248</v>
      </c>
    </row>
    <row r="1323" spans="1:5" x14ac:dyDescent="0.25">
      <c r="A1323" s="8">
        <v>42618.557060185187</v>
      </c>
      <c r="B1323" t="s">
        <v>325</v>
      </c>
      <c r="C1323" t="s">
        <v>1840</v>
      </c>
      <c r="D1323">
        <v>2020000</v>
      </c>
      <c r="E1323" t="s">
        <v>1037</v>
      </c>
    </row>
    <row r="1324" spans="1:5" x14ac:dyDescent="0.25">
      <c r="A1324" s="8">
        <v>42618.561435185184</v>
      </c>
      <c r="B1324" t="s">
        <v>724</v>
      </c>
      <c r="C1324" t="s">
        <v>1841</v>
      </c>
      <c r="D1324">
        <v>930000</v>
      </c>
      <c r="E1324" t="s">
        <v>244</v>
      </c>
    </row>
    <row r="1325" spans="1:5" x14ac:dyDescent="0.25">
      <c r="A1325" s="8">
        <v>42618.56753472222</v>
      </c>
      <c r="B1325" t="s">
        <v>92</v>
      </c>
      <c r="C1325" t="s">
        <v>1842</v>
      </c>
      <c r="D1325">
        <v>1770000</v>
      </c>
      <c r="E1325" t="s">
        <v>248</v>
      </c>
    </row>
    <row r="1326" spans="1:5" x14ac:dyDescent="0.25">
      <c r="A1326" s="8">
        <v>42618.569236111114</v>
      </c>
      <c r="B1326" t="s">
        <v>227</v>
      </c>
      <c r="C1326" t="s">
        <v>1843</v>
      </c>
      <c r="D1326">
        <v>880000</v>
      </c>
      <c r="E1326" t="s">
        <v>1236</v>
      </c>
    </row>
    <row r="1327" spans="1:5" x14ac:dyDescent="0.25">
      <c r="A1327" s="8">
        <v>42618.570324074077</v>
      </c>
      <c r="B1327" t="s">
        <v>111</v>
      </c>
      <c r="C1327" t="s">
        <v>1844</v>
      </c>
      <c r="D1327">
        <v>1140000</v>
      </c>
      <c r="E1327" t="s">
        <v>262</v>
      </c>
    </row>
    <row r="1328" spans="1:5" x14ac:dyDescent="0.25">
      <c r="A1328" s="8">
        <v>42618.577488425923</v>
      </c>
      <c r="B1328" t="s">
        <v>200</v>
      </c>
      <c r="C1328" t="s">
        <v>1845</v>
      </c>
      <c r="D1328">
        <v>1280000</v>
      </c>
      <c r="E1328" t="s">
        <v>261</v>
      </c>
    </row>
    <row r="1329" spans="1:5" x14ac:dyDescent="0.25">
      <c r="A1329" s="8">
        <v>42618.581875000003</v>
      </c>
      <c r="B1329" t="s">
        <v>93</v>
      </c>
      <c r="C1329" t="s">
        <v>1846</v>
      </c>
      <c r="D1329">
        <v>1540000</v>
      </c>
      <c r="E1329" t="s">
        <v>332</v>
      </c>
    </row>
    <row r="1330" spans="1:5" x14ac:dyDescent="0.25">
      <c r="A1330" s="8">
        <v>42618.582835648151</v>
      </c>
      <c r="B1330" t="s">
        <v>226</v>
      </c>
      <c r="C1330" t="s">
        <v>1847</v>
      </c>
      <c r="D1330">
        <v>940000</v>
      </c>
      <c r="E1330" t="s">
        <v>1063</v>
      </c>
    </row>
    <row r="1331" spans="1:5" x14ac:dyDescent="0.25">
      <c r="A1331" s="8">
        <v>42618.58865740741</v>
      </c>
      <c r="B1331" t="s">
        <v>213</v>
      </c>
      <c r="C1331" t="s">
        <v>1848</v>
      </c>
      <c r="D1331">
        <v>2020000</v>
      </c>
      <c r="E1331" t="s">
        <v>1037</v>
      </c>
    </row>
    <row r="1332" spans="1:5" x14ac:dyDescent="0.25">
      <c r="A1332" s="8">
        <v>42618.589618055557</v>
      </c>
      <c r="B1332" t="s">
        <v>92</v>
      </c>
      <c r="C1332" t="s">
        <v>1842</v>
      </c>
      <c r="D1332">
        <v>1770000</v>
      </c>
      <c r="E1332" t="s">
        <v>248</v>
      </c>
    </row>
    <row r="1333" spans="1:5" x14ac:dyDescent="0.25">
      <c r="A1333" s="8">
        <v>42618.593761574077</v>
      </c>
      <c r="B1333" t="s">
        <v>91</v>
      </c>
      <c r="C1333" t="s">
        <v>1849</v>
      </c>
      <c r="D1333">
        <v>1770000</v>
      </c>
      <c r="E1333" t="s">
        <v>248</v>
      </c>
    </row>
    <row r="1334" spans="1:5" x14ac:dyDescent="0.25">
      <c r="A1334" s="8">
        <v>42618.596689814818</v>
      </c>
      <c r="B1334" t="s">
        <v>746</v>
      </c>
      <c r="C1334" t="s">
        <v>1850</v>
      </c>
      <c r="D1334">
        <v>930000</v>
      </c>
      <c r="E1334" t="s">
        <v>244</v>
      </c>
    </row>
    <row r="1335" spans="1:5" x14ac:dyDescent="0.25">
      <c r="A1335" s="8">
        <v>42618.603587962964</v>
      </c>
      <c r="B1335" t="s">
        <v>154</v>
      </c>
      <c r="C1335" t="s">
        <v>1851</v>
      </c>
      <c r="D1335">
        <v>880000</v>
      </c>
      <c r="E1335" t="s">
        <v>1236</v>
      </c>
    </row>
    <row r="1336" spans="1:5" x14ac:dyDescent="0.25">
      <c r="A1336" s="8">
        <v>42618.606759259259</v>
      </c>
      <c r="B1336" t="s">
        <v>90</v>
      </c>
      <c r="C1336" t="s">
        <v>1852</v>
      </c>
      <c r="D1336">
        <v>1140000</v>
      </c>
      <c r="E1336" t="s">
        <v>262</v>
      </c>
    </row>
    <row r="1337" spans="1:5" x14ac:dyDescent="0.25">
      <c r="A1337" s="8">
        <v>42618.611006944448</v>
      </c>
      <c r="B1337" t="s">
        <v>92</v>
      </c>
      <c r="C1337" t="s">
        <v>1853</v>
      </c>
      <c r="D1337">
        <v>1770000</v>
      </c>
      <c r="E1337" t="s">
        <v>248</v>
      </c>
    </row>
    <row r="1338" spans="1:5" x14ac:dyDescent="0.25">
      <c r="A1338" s="8">
        <v>42618.611666666664</v>
      </c>
      <c r="B1338" t="s">
        <v>201</v>
      </c>
      <c r="C1338" t="s">
        <v>1854</v>
      </c>
      <c r="D1338">
        <v>1280000</v>
      </c>
      <c r="E1338" t="s">
        <v>261</v>
      </c>
    </row>
    <row r="1339" spans="1:5" x14ac:dyDescent="0.25">
      <c r="A1339" s="8">
        <v>42618.615416666667</v>
      </c>
      <c r="B1339" t="s">
        <v>204</v>
      </c>
      <c r="C1339" t="s">
        <v>1855</v>
      </c>
      <c r="D1339">
        <v>1540000</v>
      </c>
      <c r="E1339" t="s">
        <v>332</v>
      </c>
    </row>
    <row r="1340" spans="1:5" x14ac:dyDescent="0.25">
      <c r="A1340" s="8">
        <v>42618.620972222219</v>
      </c>
      <c r="B1340" t="s">
        <v>228</v>
      </c>
      <c r="C1340" t="s">
        <v>1856</v>
      </c>
      <c r="D1340">
        <v>940000</v>
      </c>
      <c r="E1340" t="s">
        <v>1063</v>
      </c>
    </row>
    <row r="1341" spans="1:5" x14ac:dyDescent="0.25">
      <c r="A1341" s="8">
        <v>42618.625937500001</v>
      </c>
      <c r="B1341" t="s">
        <v>325</v>
      </c>
      <c r="C1341" t="s">
        <v>1857</v>
      </c>
      <c r="D1341">
        <v>2020000</v>
      </c>
      <c r="E1341" t="s">
        <v>1037</v>
      </c>
    </row>
    <row r="1342" spans="1:5" x14ac:dyDescent="0.25">
      <c r="A1342" s="8">
        <v>42618.632951388892</v>
      </c>
      <c r="B1342" t="s">
        <v>724</v>
      </c>
      <c r="C1342" t="s">
        <v>1858</v>
      </c>
      <c r="D1342">
        <v>930000</v>
      </c>
      <c r="E1342" t="s">
        <v>244</v>
      </c>
    </row>
    <row r="1343" spans="1:5" x14ac:dyDescent="0.25">
      <c r="A1343" s="8">
        <v>42618.634699074071</v>
      </c>
      <c r="B1343" t="s">
        <v>91</v>
      </c>
      <c r="C1343" t="s">
        <v>1859</v>
      </c>
      <c r="D1343">
        <v>1770000</v>
      </c>
      <c r="E1343" t="s">
        <v>248</v>
      </c>
    </row>
    <row r="1344" spans="1:5" x14ac:dyDescent="0.25">
      <c r="A1344" s="8">
        <v>42618.63925925926</v>
      </c>
      <c r="B1344" t="s">
        <v>139</v>
      </c>
      <c r="C1344" t="s">
        <v>1860</v>
      </c>
      <c r="D1344">
        <v>1290000</v>
      </c>
      <c r="E1344" t="s">
        <v>263</v>
      </c>
    </row>
    <row r="1345" spans="1:5" x14ac:dyDescent="0.25">
      <c r="A1345" s="8">
        <v>42618.640462962961</v>
      </c>
      <c r="B1345" t="s">
        <v>227</v>
      </c>
      <c r="C1345" t="s">
        <v>1861</v>
      </c>
      <c r="D1345">
        <v>880000</v>
      </c>
      <c r="E1345" t="s">
        <v>1236</v>
      </c>
    </row>
    <row r="1346" spans="1:5" x14ac:dyDescent="0.25">
      <c r="A1346" s="8">
        <v>42618.643773148149</v>
      </c>
      <c r="B1346" t="s">
        <v>111</v>
      </c>
      <c r="C1346" t="s">
        <v>1862</v>
      </c>
      <c r="D1346">
        <v>1140000</v>
      </c>
      <c r="E1346" t="s">
        <v>262</v>
      </c>
    </row>
    <row r="1347" spans="1:5" x14ac:dyDescent="0.25">
      <c r="A1347" s="8">
        <v>42618.650983796295</v>
      </c>
      <c r="B1347" t="s">
        <v>200</v>
      </c>
      <c r="C1347" t="s">
        <v>1863</v>
      </c>
      <c r="D1347">
        <v>1280000</v>
      </c>
      <c r="E1347" t="s">
        <v>261</v>
      </c>
    </row>
    <row r="1348" spans="1:5" x14ac:dyDescent="0.25">
      <c r="A1348" s="8">
        <v>42618.651504629626</v>
      </c>
      <c r="B1348" t="s">
        <v>92</v>
      </c>
      <c r="C1348" t="s">
        <v>1864</v>
      </c>
      <c r="D1348">
        <v>1770000</v>
      </c>
      <c r="E1348" t="s">
        <v>248</v>
      </c>
    </row>
    <row r="1349" spans="1:5" x14ac:dyDescent="0.25">
      <c r="A1349" s="8">
        <v>42618.65552083333</v>
      </c>
      <c r="B1349" t="s">
        <v>93</v>
      </c>
      <c r="C1349" t="s">
        <v>1865</v>
      </c>
      <c r="D1349">
        <v>1540000</v>
      </c>
      <c r="E1349" t="s">
        <v>332</v>
      </c>
    </row>
    <row r="1350" spans="1:5" x14ac:dyDescent="0.25">
      <c r="A1350" s="8">
        <v>42618.655706018515</v>
      </c>
      <c r="B1350" t="s">
        <v>226</v>
      </c>
      <c r="C1350" t="s">
        <v>738</v>
      </c>
      <c r="D1350">
        <v>940000</v>
      </c>
      <c r="E1350" t="s">
        <v>1063</v>
      </c>
    </row>
    <row r="1351" spans="1:5" x14ac:dyDescent="0.25">
      <c r="A1351" s="8">
        <v>42618.657557870371</v>
      </c>
      <c r="B1351" t="s">
        <v>144</v>
      </c>
      <c r="C1351" t="s">
        <v>1866</v>
      </c>
      <c r="D1351">
        <v>1290000</v>
      </c>
      <c r="E1351" t="s">
        <v>263</v>
      </c>
    </row>
    <row r="1352" spans="1:5" x14ac:dyDescent="0.25">
      <c r="A1352" s="8">
        <v>42618.663726851853</v>
      </c>
      <c r="B1352" t="s">
        <v>213</v>
      </c>
      <c r="C1352" t="s">
        <v>1867</v>
      </c>
      <c r="D1352">
        <v>2020000</v>
      </c>
      <c r="E1352" t="s">
        <v>1037</v>
      </c>
    </row>
    <row r="1353" spans="1:5" x14ac:dyDescent="0.25">
      <c r="A1353" s="8">
        <v>42618.671817129631</v>
      </c>
      <c r="B1353" t="s">
        <v>746</v>
      </c>
      <c r="C1353" t="s">
        <v>1868</v>
      </c>
      <c r="D1353">
        <v>930000</v>
      </c>
      <c r="E1353" t="s">
        <v>244</v>
      </c>
    </row>
    <row r="1354" spans="1:5" x14ac:dyDescent="0.25">
      <c r="A1354" s="8">
        <v>42618.672962962963</v>
      </c>
      <c r="B1354" t="s">
        <v>139</v>
      </c>
      <c r="C1354" t="s">
        <v>1869</v>
      </c>
      <c r="D1354">
        <v>1290000</v>
      </c>
      <c r="E1354" t="s">
        <v>263</v>
      </c>
    </row>
    <row r="1355" spans="1:5" x14ac:dyDescent="0.25">
      <c r="A1355" s="8">
        <v>42618.675682870373</v>
      </c>
      <c r="B1355" t="s">
        <v>154</v>
      </c>
      <c r="C1355" t="s">
        <v>1870</v>
      </c>
      <c r="D1355">
        <v>880000</v>
      </c>
      <c r="E1355" t="s">
        <v>1236</v>
      </c>
    </row>
    <row r="1356" spans="1:5" x14ac:dyDescent="0.25">
      <c r="A1356" s="8">
        <v>42618.677685185183</v>
      </c>
      <c r="B1356" t="s">
        <v>91</v>
      </c>
      <c r="C1356" t="s">
        <v>1871</v>
      </c>
      <c r="D1356">
        <v>1770000</v>
      </c>
      <c r="E1356" t="s">
        <v>248</v>
      </c>
    </row>
    <row r="1357" spans="1:5" x14ac:dyDescent="0.25">
      <c r="A1357" s="8">
        <v>42618.682175925926</v>
      </c>
      <c r="B1357" t="s">
        <v>90</v>
      </c>
      <c r="C1357" t="s">
        <v>1872</v>
      </c>
      <c r="D1357">
        <v>1140000</v>
      </c>
      <c r="E1357" t="s">
        <v>262</v>
      </c>
    </row>
    <row r="1358" spans="1:5" x14ac:dyDescent="0.25">
      <c r="A1358" s="8">
        <v>42618.686018518521</v>
      </c>
      <c r="B1358" t="s">
        <v>201</v>
      </c>
      <c r="C1358" t="s">
        <v>1873</v>
      </c>
      <c r="D1358">
        <v>1280000</v>
      </c>
      <c r="E1358" t="s">
        <v>261</v>
      </c>
    </row>
    <row r="1359" spans="1:5" x14ac:dyDescent="0.25">
      <c r="A1359" s="8">
        <v>42618.692708333336</v>
      </c>
      <c r="B1359" t="s">
        <v>92</v>
      </c>
      <c r="C1359" t="s">
        <v>1874</v>
      </c>
      <c r="D1359">
        <v>1770000</v>
      </c>
      <c r="E1359" t="s">
        <v>248</v>
      </c>
    </row>
    <row r="1360" spans="1:5" x14ac:dyDescent="0.25">
      <c r="A1360" s="8">
        <v>42618.69295138889</v>
      </c>
      <c r="B1360" t="s">
        <v>204</v>
      </c>
      <c r="C1360" t="s">
        <v>1875</v>
      </c>
      <c r="D1360">
        <v>1540000</v>
      </c>
      <c r="E1360" t="s">
        <v>332</v>
      </c>
    </row>
    <row r="1361" spans="1:5" x14ac:dyDescent="0.25">
      <c r="A1361" s="8">
        <v>42618.695879629631</v>
      </c>
      <c r="B1361" t="s">
        <v>228</v>
      </c>
      <c r="C1361" t="s">
        <v>1876</v>
      </c>
      <c r="D1361">
        <v>940000</v>
      </c>
      <c r="E1361" t="s">
        <v>1063</v>
      </c>
    </row>
    <row r="1362" spans="1:5" x14ac:dyDescent="0.25">
      <c r="A1362" s="8">
        <v>42618.698125000003</v>
      </c>
      <c r="B1362" t="s">
        <v>144</v>
      </c>
      <c r="C1362" t="s">
        <v>1877</v>
      </c>
      <c r="D1362">
        <v>1290000</v>
      </c>
      <c r="E1362" t="s">
        <v>263</v>
      </c>
    </row>
    <row r="1363" spans="1:5" x14ac:dyDescent="0.25">
      <c r="A1363" s="8">
        <v>42618.701307870368</v>
      </c>
      <c r="B1363" t="s">
        <v>325</v>
      </c>
      <c r="C1363" t="s">
        <v>1878</v>
      </c>
      <c r="D1363">
        <v>2020000</v>
      </c>
      <c r="E1363" t="s">
        <v>1037</v>
      </c>
    </row>
    <row r="1364" spans="1:5" x14ac:dyDescent="0.25">
      <c r="A1364" s="8">
        <v>42618.70758101852</v>
      </c>
      <c r="B1364" t="s">
        <v>724</v>
      </c>
      <c r="C1364" t="s">
        <v>1879</v>
      </c>
      <c r="D1364">
        <v>930000</v>
      </c>
      <c r="E1364" t="s">
        <v>244</v>
      </c>
    </row>
    <row r="1365" spans="1:5" x14ac:dyDescent="0.25">
      <c r="A1365" s="8">
        <v>42618.713182870371</v>
      </c>
      <c r="B1365" t="s">
        <v>139</v>
      </c>
      <c r="C1365" t="s">
        <v>1880</v>
      </c>
      <c r="D1365">
        <v>1290000</v>
      </c>
      <c r="E1365" t="s">
        <v>263</v>
      </c>
    </row>
    <row r="1366" spans="1:5" x14ac:dyDescent="0.25">
      <c r="A1366" s="8">
        <v>42618.715324074074</v>
      </c>
      <c r="B1366" t="s">
        <v>227</v>
      </c>
      <c r="C1366" t="s">
        <v>1881</v>
      </c>
      <c r="D1366">
        <v>880000</v>
      </c>
      <c r="E1366" t="s">
        <v>1236</v>
      </c>
    </row>
    <row r="1367" spans="1:5" x14ac:dyDescent="0.25">
      <c r="A1367" s="8">
        <v>42618.717997685184</v>
      </c>
      <c r="B1367" t="s">
        <v>200</v>
      </c>
      <c r="C1367" t="s">
        <v>1882</v>
      </c>
      <c r="D1367">
        <v>1280000</v>
      </c>
      <c r="E1367" t="s">
        <v>261</v>
      </c>
    </row>
    <row r="1368" spans="1:5" x14ac:dyDescent="0.25">
      <c r="A1368" s="8">
        <v>42618.719236111108</v>
      </c>
      <c r="B1368" t="s">
        <v>91</v>
      </c>
      <c r="C1368" t="s">
        <v>1883</v>
      </c>
      <c r="D1368">
        <v>1770000</v>
      </c>
      <c r="E1368" t="s">
        <v>248</v>
      </c>
    </row>
    <row r="1369" spans="1:5" x14ac:dyDescent="0.25">
      <c r="A1369" s="8">
        <v>42618.719849537039</v>
      </c>
      <c r="B1369" t="s">
        <v>111</v>
      </c>
      <c r="C1369" t="s">
        <v>1884</v>
      </c>
      <c r="D1369">
        <v>1180000</v>
      </c>
      <c r="E1369" t="s">
        <v>1691</v>
      </c>
    </row>
    <row r="1370" spans="1:5" x14ac:dyDescent="0.25">
      <c r="A1370" s="8">
        <v>42618.727939814817</v>
      </c>
      <c r="B1370" t="s">
        <v>93</v>
      </c>
      <c r="C1370" t="s">
        <v>1885</v>
      </c>
      <c r="D1370">
        <v>1140000</v>
      </c>
      <c r="E1370" t="s">
        <v>262</v>
      </c>
    </row>
    <row r="1371" spans="1:5" x14ac:dyDescent="0.25">
      <c r="A1371" s="8">
        <v>42618.728344907409</v>
      </c>
      <c r="B1371" t="s">
        <v>226</v>
      </c>
      <c r="C1371" t="s">
        <v>740</v>
      </c>
      <c r="D1371">
        <v>940000</v>
      </c>
      <c r="E1371" t="s">
        <v>1063</v>
      </c>
    </row>
    <row r="1372" spans="1:5" x14ac:dyDescent="0.25">
      <c r="A1372" s="8">
        <v>42618.734618055554</v>
      </c>
      <c r="B1372" t="s">
        <v>92</v>
      </c>
      <c r="C1372" t="s">
        <v>1886</v>
      </c>
      <c r="D1372">
        <v>1770000</v>
      </c>
      <c r="E1372" t="s">
        <v>248</v>
      </c>
    </row>
    <row r="1373" spans="1:5" x14ac:dyDescent="0.25">
      <c r="A1373" s="8">
        <v>42618.73883101852</v>
      </c>
      <c r="B1373" t="s">
        <v>213</v>
      </c>
      <c r="C1373" t="s">
        <v>1887</v>
      </c>
      <c r="D1373">
        <v>1810000</v>
      </c>
      <c r="E1373" t="s">
        <v>249</v>
      </c>
    </row>
    <row r="1374" spans="1:5" x14ac:dyDescent="0.25">
      <c r="A1374" s="8">
        <v>42618.739490740743</v>
      </c>
      <c r="B1374" t="s">
        <v>114</v>
      </c>
      <c r="C1374" t="s">
        <v>1888</v>
      </c>
      <c r="D1374">
        <v>1800000</v>
      </c>
      <c r="E1374" t="s">
        <v>152</v>
      </c>
    </row>
    <row r="1375" spans="1:5" x14ac:dyDescent="0.25">
      <c r="A1375" s="8">
        <v>42618.739872685182</v>
      </c>
      <c r="B1375" t="s">
        <v>144</v>
      </c>
      <c r="C1375" t="s">
        <v>1889</v>
      </c>
      <c r="D1375">
        <v>1290000</v>
      </c>
      <c r="E1375" t="s">
        <v>263</v>
      </c>
    </row>
    <row r="1376" spans="1:5" x14ac:dyDescent="0.25">
      <c r="A1376" s="8">
        <v>42618.747523148151</v>
      </c>
      <c r="B1376" t="s">
        <v>154</v>
      </c>
      <c r="C1376" t="s">
        <v>1890</v>
      </c>
      <c r="D1376">
        <v>2020000</v>
      </c>
      <c r="E1376" t="s">
        <v>1037</v>
      </c>
    </row>
    <row r="1377" spans="1:5" x14ac:dyDescent="0.25">
      <c r="A1377" s="8">
        <v>42618.747858796298</v>
      </c>
      <c r="B1377" t="s">
        <v>746</v>
      </c>
      <c r="C1377" t="s">
        <v>1891</v>
      </c>
      <c r="D1377">
        <v>930000</v>
      </c>
      <c r="E1377" t="s">
        <v>244</v>
      </c>
    </row>
    <row r="1378" spans="1:5" x14ac:dyDescent="0.25">
      <c r="A1378" s="8">
        <v>42618.751759259256</v>
      </c>
      <c r="B1378" t="s">
        <v>90</v>
      </c>
      <c r="C1378" t="s">
        <v>1892</v>
      </c>
      <c r="D1378">
        <v>1180000</v>
      </c>
      <c r="E1378" t="s">
        <v>1691</v>
      </c>
    </row>
    <row r="1379" spans="1:5" x14ac:dyDescent="0.25">
      <c r="A1379" s="8">
        <v>42618.75576388889</v>
      </c>
      <c r="B1379" t="s">
        <v>139</v>
      </c>
      <c r="C1379" t="s">
        <v>1893</v>
      </c>
      <c r="D1379">
        <v>1290000</v>
      </c>
      <c r="E1379" t="s">
        <v>263</v>
      </c>
    </row>
    <row r="1380" spans="1:5" x14ac:dyDescent="0.25">
      <c r="A1380" s="8">
        <v>42618.756319444445</v>
      </c>
      <c r="B1380" t="s">
        <v>257</v>
      </c>
      <c r="C1380" t="s">
        <v>1894</v>
      </c>
      <c r="D1380">
        <v>1780000</v>
      </c>
      <c r="E1380" t="s">
        <v>849</v>
      </c>
    </row>
    <row r="1381" spans="1:5" x14ac:dyDescent="0.25">
      <c r="A1381" s="8">
        <v>42618.759791666664</v>
      </c>
      <c r="B1381" t="s">
        <v>91</v>
      </c>
      <c r="C1381" t="s">
        <v>1895</v>
      </c>
      <c r="D1381">
        <v>1770000</v>
      </c>
      <c r="E1381" t="s">
        <v>248</v>
      </c>
    </row>
    <row r="1382" spans="1:5" x14ac:dyDescent="0.25">
      <c r="A1382" s="8">
        <v>42618.760138888887</v>
      </c>
      <c r="B1382" t="s">
        <v>204</v>
      </c>
      <c r="C1382" t="s">
        <v>1896</v>
      </c>
      <c r="D1382">
        <v>1140000</v>
      </c>
      <c r="E1382" t="s">
        <v>262</v>
      </c>
    </row>
    <row r="1383" spans="1:5" x14ac:dyDescent="0.25">
      <c r="A1383" s="8">
        <v>42618.760138888887</v>
      </c>
      <c r="B1383" t="s">
        <v>201</v>
      </c>
      <c r="C1383" t="s">
        <v>1888</v>
      </c>
      <c r="D1383">
        <v>1800000</v>
      </c>
      <c r="E1383" t="s">
        <v>152</v>
      </c>
    </row>
    <row r="1384" spans="1:5" x14ac:dyDescent="0.25">
      <c r="A1384" s="8">
        <v>42618.768807870372</v>
      </c>
      <c r="B1384" t="s">
        <v>228</v>
      </c>
      <c r="C1384" t="s">
        <v>1897</v>
      </c>
      <c r="D1384">
        <v>1230000</v>
      </c>
      <c r="E1384" t="s">
        <v>149</v>
      </c>
    </row>
    <row r="1385" spans="1:5" x14ac:dyDescent="0.25">
      <c r="A1385" s="8">
        <v>42618.775729166664</v>
      </c>
      <c r="B1385" t="s">
        <v>325</v>
      </c>
      <c r="C1385" t="s">
        <v>1898</v>
      </c>
      <c r="D1385">
        <v>1810000</v>
      </c>
      <c r="E1385" t="s">
        <v>249</v>
      </c>
    </row>
    <row r="1386" spans="1:5" x14ac:dyDescent="0.25">
      <c r="A1386" s="8">
        <v>42618.77584490741</v>
      </c>
      <c r="B1386" t="s">
        <v>92</v>
      </c>
      <c r="C1386" t="s">
        <v>1899</v>
      </c>
      <c r="D1386">
        <v>1770000</v>
      </c>
      <c r="E1386" t="s">
        <v>248</v>
      </c>
    </row>
    <row r="1387" spans="1:5" x14ac:dyDescent="0.25">
      <c r="A1387" s="8">
        <v>42618.782430555555</v>
      </c>
      <c r="B1387" t="s">
        <v>144</v>
      </c>
      <c r="C1387" t="s">
        <v>1900</v>
      </c>
      <c r="D1387">
        <v>1290000</v>
      </c>
      <c r="E1387" t="s">
        <v>263</v>
      </c>
    </row>
    <row r="1388" spans="1:5" x14ac:dyDescent="0.25">
      <c r="A1388" s="8">
        <v>42618.784791666665</v>
      </c>
      <c r="B1388" t="s">
        <v>227</v>
      </c>
      <c r="C1388" t="s">
        <v>1901</v>
      </c>
      <c r="D1388">
        <v>2020000</v>
      </c>
      <c r="E1388" t="s">
        <v>1037</v>
      </c>
    </row>
    <row r="1389" spans="1:5" x14ac:dyDescent="0.25">
      <c r="A1389" s="8">
        <v>42618.789236111108</v>
      </c>
      <c r="B1389" t="s">
        <v>111</v>
      </c>
      <c r="C1389" t="s">
        <v>1902</v>
      </c>
      <c r="D1389">
        <v>1180000</v>
      </c>
      <c r="E1389" t="s">
        <v>1691</v>
      </c>
    </row>
    <row r="1390" spans="1:5" x14ac:dyDescent="0.25">
      <c r="A1390" s="8">
        <v>42618.7966087963</v>
      </c>
      <c r="B1390" t="s">
        <v>200</v>
      </c>
      <c r="C1390" t="s">
        <v>1903</v>
      </c>
      <c r="D1390">
        <v>1800000</v>
      </c>
      <c r="E1390" t="s">
        <v>152</v>
      </c>
    </row>
    <row r="1391" spans="1:5" x14ac:dyDescent="0.25">
      <c r="A1391" s="8">
        <v>42618.797511574077</v>
      </c>
      <c r="B1391" t="s">
        <v>139</v>
      </c>
      <c r="C1391" t="s">
        <v>1904</v>
      </c>
      <c r="D1391">
        <v>1290000</v>
      </c>
      <c r="E1391" t="s">
        <v>263</v>
      </c>
    </row>
    <row r="1392" spans="1:5" x14ac:dyDescent="0.25">
      <c r="A1392" s="8">
        <v>42618.801921296297</v>
      </c>
      <c r="B1392" t="s">
        <v>91</v>
      </c>
      <c r="C1392" t="s">
        <v>1905</v>
      </c>
      <c r="D1392">
        <v>1770000</v>
      </c>
      <c r="E1392" t="s">
        <v>248</v>
      </c>
    </row>
    <row r="1393" spans="1:5" x14ac:dyDescent="0.25">
      <c r="A1393" s="8">
        <v>42618.80746527778</v>
      </c>
      <c r="B1393" t="s">
        <v>226</v>
      </c>
      <c r="C1393" t="s">
        <v>1906</v>
      </c>
      <c r="D1393">
        <v>1230000</v>
      </c>
      <c r="E1393" t="s">
        <v>149</v>
      </c>
    </row>
    <row r="1394" spans="1:5" x14ac:dyDescent="0.25">
      <c r="A1394" s="8">
        <v>42618.810659722221</v>
      </c>
      <c r="B1394" t="s">
        <v>93</v>
      </c>
      <c r="C1394" t="s">
        <v>1907</v>
      </c>
      <c r="D1394">
        <v>1810000</v>
      </c>
      <c r="E1394" t="s">
        <v>249</v>
      </c>
    </row>
    <row r="1395" spans="1:5" x14ac:dyDescent="0.25">
      <c r="A1395" s="8">
        <v>42618.81758101852</v>
      </c>
      <c r="B1395" t="s">
        <v>92</v>
      </c>
      <c r="C1395" t="s">
        <v>1908</v>
      </c>
      <c r="D1395">
        <v>1770000</v>
      </c>
      <c r="E1395" t="s">
        <v>248</v>
      </c>
    </row>
    <row r="1396" spans="1:5" x14ac:dyDescent="0.25">
      <c r="A1396" s="8">
        <v>42618.820231481484</v>
      </c>
      <c r="B1396" t="s">
        <v>154</v>
      </c>
      <c r="C1396" t="s">
        <v>1909</v>
      </c>
      <c r="D1396">
        <v>2020000</v>
      </c>
      <c r="E1396" t="s">
        <v>1037</v>
      </c>
    </row>
    <row r="1397" spans="1:5" x14ac:dyDescent="0.25">
      <c r="A1397" s="8">
        <v>42618.823530092595</v>
      </c>
      <c r="B1397" t="s">
        <v>90</v>
      </c>
      <c r="C1397" t="s">
        <v>1910</v>
      </c>
      <c r="D1397">
        <v>1180000</v>
      </c>
      <c r="E1397" t="s">
        <v>1691</v>
      </c>
    </row>
    <row r="1398" spans="1:5" x14ac:dyDescent="0.25">
      <c r="A1398" s="8">
        <v>42618.832928240743</v>
      </c>
      <c r="B1398" t="s">
        <v>201</v>
      </c>
      <c r="C1398" t="s">
        <v>1911</v>
      </c>
      <c r="D1398">
        <v>1800000</v>
      </c>
      <c r="E1398" t="s">
        <v>152</v>
      </c>
    </row>
    <row r="1399" spans="1:5" x14ac:dyDescent="0.25">
      <c r="A1399" s="8">
        <v>42618.843182870369</v>
      </c>
      <c r="B1399" t="s">
        <v>91</v>
      </c>
      <c r="C1399" t="s">
        <v>1912</v>
      </c>
      <c r="D1399">
        <v>1770000</v>
      </c>
      <c r="E1399" t="s">
        <v>248</v>
      </c>
    </row>
    <row r="1400" spans="1:5" x14ac:dyDescent="0.25">
      <c r="A1400" s="8">
        <v>42618.847314814811</v>
      </c>
      <c r="B1400" t="s">
        <v>204</v>
      </c>
      <c r="C1400" t="s">
        <v>1913</v>
      </c>
      <c r="D1400">
        <v>1810000</v>
      </c>
      <c r="E1400" t="s">
        <v>249</v>
      </c>
    </row>
    <row r="1401" spans="1:5" x14ac:dyDescent="0.25">
      <c r="A1401" s="8">
        <v>42618.852129629631</v>
      </c>
      <c r="B1401" t="s">
        <v>228</v>
      </c>
      <c r="C1401" t="s">
        <v>1914</v>
      </c>
      <c r="D1401">
        <v>1230000</v>
      </c>
      <c r="E1401" t="s">
        <v>149</v>
      </c>
    </row>
    <row r="1402" spans="1:5" x14ac:dyDescent="0.25">
      <c r="A1402" s="8">
        <v>42618.859050925923</v>
      </c>
      <c r="B1402" t="s">
        <v>92</v>
      </c>
      <c r="C1402" t="s">
        <v>1915</v>
      </c>
      <c r="D1402">
        <v>1770000</v>
      </c>
      <c r="E1402" t="s">
        <v>248</v>
      </c>
    </row>
    <row r="1403" spans="1:5" x14ac:dyDescent="0.25">
      <c r="A1403" s="8">
        <v>42618.86650462963</v>
      </c>
      <c r="B1403" t="s">
        <v>111</v>
      </c>
      <c r="C1403" t="s">
        <v>1916</v>
      </c>
      <c r="D1403">
        <v>1180000</v>
      </c>
      <c r="E1403" t="s">
        <v>1691</v>
      </c>
    </row>
    <row r="1404" spans="1:5" x14ac:dyDescent="0.25">
      <c r="A1404" s="8">
        <v>42618.871805555558</v>
      </c>
      <c r="B1404" t="s">
        <v>200</v>
      </c>
      <c r="C1404" t="s">
        <v>1917</v>
      </c>
      <c r="D1404">
        <v>1800000</v>
      </c>
      <c r="E1404" t="s">
        <v>152</v>
      </c>
    </row>
    <row r="1405" spans="1:5" x14ac:dyDescent="0.25">
      <c r="A1405" s="8">
        <v>42618.882847222223</v>
      </c>
      <c r="B1405" t="s">
        <v>93</v>
      </c>
      <c r="C1405" t="s">
        <v>1918</v>
      </c>
      <c r="D1405">
        <v>1810000</v>
      </c>
      <c r="E1405" t="s">
        <v>249</v>
      </c>
    </row>
    <row r="1406" spans="1:5" x14ac:dyDescent="0.25">
      <c r="A1406" s="8">
        <v>42618.885520833333</v>
      </c>
      <c r="B1406" t="s">
        <v>91</v>
      </c>
      <c r="C1406" t="s">
        <v>1919</v>
      </c>
      <c r="D1406">
        <v>1290000</v>
      </c>
      <c r="E1406" t="s">
        <v>263</v>
      </c>
    </row>
    <row r="1407" spans="1:5" x14ac:dyDescent="0.25">
      <c r="A1407" s="8">
        <v>42618.889930555553</v>
      </c>
      <c r="B1407" t="s">
        <v>226</v>
      </c>
      <c r="C1407" t="s">
        <v>1920</v>
      </c>
      <c r="D1407">
        <v>1230000</v>
      </c>
      <c r="E1407" t="s">
        <v>149</v>
      </c>
    </row>
    <row r="1408" spans="1:5" x14ac:dyDescent="0.25">
      <c r="A1408" s="8">
        <v>42618.901053240741</v>
      </c>
      <c r="B1408" t="s">
        <v>92</v>
      </c>
      <c r="C1408" t="s">
        <v>1921</v>
      </c>
      <c r="D1408">
        <v>1290000</v>
      </c>
      <c r="E1408" t="s">
        <v>263</v>
      </c>
    </row>
    <row r="1409" spans="1:5" x14ac:dyDescent="0.25">
      <c r="A1409" s="8">
        <v>42618.907233796293</v>
      </c>
      <c r="B1409" t="s">
        <v>90</v>
      </c>
      <c r="C1409" t="s">
        <v>1922</v>
      </c>
      <c r="D1409">
        <v>1180000</v>
      </c>
      <c r="E1409" t="s">
        <v>1691</v>
      </c>
    </row>
    <row r="1410" spans="1:5" x14ac:dyDescent="0.25">
      <c r="A1410" s="8">
        <v>42618.915300925924</v>
      </c>
      <c r="B1410" t="s">
        <v>201</v>
      </c>
      <c r="C1410" t="s">
        <v>1923</v>
      </c>
      <c r="D1410">
        <v>1800000</v>
      </c>
      <c r="E1410" t="s">
        <v>152</v>
      </c>
    </row>
    <row r="1411" spans="1:5" x14ac:dyDescent="0.25">
      <c r="A1411" s="8">
        <v>42618.922812500001</v>
      </c>
      <c r="B1411" t="s">
        <v>204</v>
      </c>
      <c r="C1411" t="s">
        <v>1924</v>
      </c>
      <c r="D1411">
        <v>1810000</v>
      </c>
      <c r="E1411" t="s">
        <v>249</v>
      </c>
    </row>
    <row r="1412" spans="1:5" x14ac:dyDescent="0.25">
      <c r="A1412" s="8">
        <v>42618.926307870373</v>
      </c>
      <c r="B1412" t="s">
        <v>91</v>
      </c>
      <c r="C1412" t="s">
        <v>1925</v>
      </c>
      <c r="D1412">
        <v>1290000</v>
      </c>
      <c r="E1412" t="s">
        <v>263</v>
      </c>
    </row>
    <row r="1413" spans="1:5" x14ac:dyDescent="0.25">
      <c r="A1413" s="8">
        <v>42618.934629629628</v>
      </c>
      <c r="B1413" t="s">
        <v>228</v>
      </c>
      <c r="C1413" t="s">
        <v>1926</v>
      </c>
      <c r="D1413">
        <v>1230000</v>
      </c>
      <c r="E1413" t="s">
        <v>149</v>
      </c>
    </row>
    <row r="1414" spans="1:5" x14ac:dyDescent="0.25">
      <c r="A1414" s="8">
        <v>42618.942986111113</v>
      </c>
      <c r="B1414" t="s">
        <v>92</v>
      </c>
      <c r="C1414" t="s">
        <v>1927</v>
      </c>
      <c r="D1414">
        <v>1290000</v>
      </c>
      <c r="E1414" t="s">
        <v>263</v>
      </c>
    </row>
    <row r="1415" spans="1:5" x14ac:dyDescent="0.25">
      <c r="A1415" s="8">
        <v>42618.953321759262</v>
      </c>
      <c r="B1415" t="s">
        <v>111</v>
      </c>
      <c r="C1415" t="s">
        <v>1928</v>
      </c>
      <c r="D1415">
        <v>1180000</v>
      </c>
      <c r="E1415" t="s">
        <v>1691</v>
      </c>
    </row>
    <row r="1416" spans="1:5" x14ac:dyDescent="0.25">
      <c r="A1416" s="8">
        <v>42618.953599537039</v>
      </c>
      <c r="B1416" t="s">
        <v>200</v>
      </c>
      <c r="C1416" t="s">
        <v>1929</v>
      </c>
      <c r="D1416">
        <v>1800000</v>
      </c>
      <c r="E1416" t="s">
        <v>152</v>
      </c>
    </row>
    <row r="1417" spans="1:5" x14ac:dyDescent="0.25">
      <c r="A1417" s="8">
        <v>42618.963437500002</v>
      </c>
      <c r="B1417" t="s">
        <v>93</v>
      </c>
      <c r="C1417" t="s">
        <v>1930</v>
      </c>
      <c r="D1417">
        <v>1810000</v>
      </c>
      <c r="E1417" t="s">
        <v>249</v>
      </c>
    </row>
    <row r="1418" spans="1:5" x14ac:dyDescent="0.25">
      <c r="A1418" s="8">
        <v>42618.973217592589</v>
      </c>
      <c r="B1418" t="s">
        <v>226</v>
      </c>
      <c r="C1418" t="s">
        <v>1931</v>
      </c>
      <c r="D1418">
        <v>1230000</v>
      </c>
      <c r="E1418" t="s">
        <v>149</v>
      </c>
    </row>
    <row r="1419" spans="1:5" x14ac:dyDescent="0.25">
      <c r="A1419" s="8">
        <v>42618.983368055553</v>
      </c>
      <c r="B1419" t="s">
        <v>93</v>
      </c>
      <c r="C1419" t="s">
        <v>1930</v>
      </c>
      <c r="D1419">
        <v>1810000</v>
      </c>
      <c r="E1419" t="s">
        <v>249</v>
      </c>
    </row>
    <row r="1420" spans="1:5" x14ac:dyDescent="0.25">
      <c r="A1420" s="8">
        <v>42618.993344907409</v>
      </c>
      <c r="B1420" t="s">
        <v>90</v>
      </c>
      <c r="C1420" t="s">
        <v>1932</v>
      </c>
      <c r="D1420">
        <v>1180000</v>
      </c>
      <c r="E1420" t="s">
        <v>1691</v>
      </c>
    </row>
    <row r="1421" spans="1:5" x14ac:dyDescent="0.25">
      <c r="A1421" s="8">
        <v>42618.999409722222</v>
      </c>
      <c r="B1421" t="s">
        <v>201</v>
      </c>
      <c r="C1421" t="s">
        <v>1933</v>
      </c>
      <c r="D1421">
        <v>1800000</v>
      </c>
      <c r="E1421" t="s">
        <v>152</v>
      </c>
    </row>
    <row r="1422" spans="1:5" x14ac:dyDescent="0.25">
      <c r="A1422" s="8">
        <v>42619.012789351851</v>
      </c>
      <c r="B1422" t="s">
        <v>204</v>
      </c>
      <c r="C1422" t="s">
        <v>1934</v>
      </c>
      <c r="D1422">
        <v>1810000</v>
      </c>
      <c r="E1422" t="s">
        <v>249</v>
      </c>
    </row>
    <row r="1423" spans="1:5" x14ac:dyDescent="0.25">
      <c r="A1423" s="8">
        <v>42619.016643518517</v>
      </c>
      <c r="B1423" t="s">
        <v>228</v>
      </c>
      <c r="C1423" t="s">
        <v>1935</v>
      </c>
      <c r="D1423">
        <v>1230000</v>
      </c>
      <c r="E1423" t="s">
        <v>149</v>
      </c>
    </row>
    <row r="1424" spans="1:5" x14ac:dyDescent="0.25">
      <c r="A1424" s="8">
        <v>42619.028124999997</v>
      </c>
      <c r="B1424" t="s">
        <v>111</v>
      </c>
      <c r="C1424" t="s">
        <v>1936</v>
      </c>
      <c r="D1424">
        <v>1180000</v>
      </c>
      <c r="E1424" t="s">
        <v>1691</v>
      </c>
    </row>
    <row r="1425" spans="1:5" x14ac:dyDescent="0.25">
      <c r="A1425" s="8">
        <v>42619.029513888891</v>
      </c>
      <c r="B1425" t="s">
        <v>111</v>
      </c>
      <c r="C1425" t="s">
        <v>1936</v>
      </c>
      <c r="D1425">
        <v>1180000</v>
      </c>
      <c r="E1425" t="s">
        <v>1691</v>
      </c>
    </row>
    <row r="1426" spans="1:5" x14ac:dyDescent="0.25">
      <c r="A1426" s="8">
        <v>42619.037164351852</v>
      </c>
      <c r="B1426" t="s">
        <v>200</v>
      </c>
      <c r="C1426" t="s">
        <v>299</v>
      </c>
      <c r="D1426">
        <v>1800000</v>
      </c>
      <c r="E1426" t="s">
        <v>152</v>
      </c>
    </row>
    <row r="1427" spans="1:5" x14ac:dyDescent="0.25">
      <c r="A1427" s="8">
        <v>42619.046215277776</v>
      </c>
      <c r="B1427" t="s">
        <v>93</v>
      </c>
      <c r="C1427" t="s">
        <v>302</v>
      </c>
      <c r="D1427">
        <v>1810000</v>
      </c>
      <c r="E1427" t="s">
        <v>249</v>
      </c>
    </row>
    <row r="1428" spans="1:5" x14ac:dyDescent="0.25">
      <c r="A1428" s="8">
        <v>42619.05127314815</v>
      </c>
      <c r="B1428" t="s">
        <v>327</v>
      </c>
      <c r="C1428" t="s">
        <v>310</v>
      </c>
      <c r="D1428">
        <v>630000</v>
      </c>
      <c r="E1428" t="b">
        <v>1</v>
      </c>
    </row>
    <row r="1429" spans="1:5" x14ac:dyDescent="0.25">
      <c r="A1429" s="8">
        <v>42619.055451388886</v>
      </c>
      <c r="B1429" t="s">
        <v>226</v>
      </c>
      <c r="C1429" t="s">
        <v>301</v>
      </c>
      <c r="D1429">
        <v>1230000</v>
      </c>
      <c r="E1429" t="s">
        <v>149</v>
      </c>
    </row>
    <row r="1430" spans="1:5" x14ac:dyDescent="0.25">
      <c r="A1430" s="8">
        <v>42619.066840277781</v>
      </c>
      <c r="B1430" t="s">
        <v>327</v>
      </c>
      <c r="C1430" t="s">
        <v>310</v>
      </c>
      <c r="D1430">
        <v>630000</v>
      </c>
      <c r="E1430" t="b">
        <v>1</v>
      </c>
    </row>
    <row r="1431" spans="1:5" x14ac:dyDescent="0.25">
      <c r="A1431" s="8">
        <v>42619.070821759262</v>
      </c>
      <c r="B1431" t="s">
        <v>201</v>
      </c>
      <c r="C1431" t="s">
        <v>303</v>
      </c>
      <c r="D1431">
        <v>1800000</v>
      </c>
      <c r="E1431" t="s">
        <v>152</v>
      </c>
    </row>
    <row r="1432" spans="1:5" x14ac:dyDescent="0.25">
      <c r="A1432" s="8">
        <v>42619.072129629632</v>
      </c>
      <c r="B1432" t="s">
        <v>201</v>
      </c>
      <c r="C1432" t="s">
        <v>303</v>
      </c>
      <c r="D1432">
        <v>1800000</v>
      </c>
      <c r="E1432" t="s">
        <v>152</v>
      </c>
    </row>
    <row r="1433" spans="1:5" x14ac:dyDescent="0.25">
      <c r="A1433" s="8">
        <v>42619.073541666665</v>
      </c>
      <c r="B1433" t="s">
        <v>327</v>
      </c>
      <c r="C1433" t="s">
        <v>310</v>
      </c>
      <c r="D1433">
        <v>630000</v>
      </c>
      <c r="E1433" t="b">
        <v>1</v>
      </c>
    </row>
    <row r="1434" spans="1:5" x14ac:dyDescent="0.25">
      <c r="A1434" s="8">
        <v>42619.087511574071</v>
      </c>
      <c r="B1434" t="s">
        <v>228</v>
      </c>
      <c r="C1434" t="s">
        <v>304</v>
      </c>
      <c r="D1434">
        <v>1230000</v>
      </c>
      <c r="E1434" t="s">
        <v>149</v>
      </c>
    </row>
    <row r="1435" spans="1:5" x14ac:dyDescent="0.25">
      <c r="A1435" s="8">
        <v>42619.088125000002</v>
      </c>
      <c r="B1435" t="s">
        <v>228</v>
      </c>
      <c r="C1435" t="s">
        <v>304</v>
      </c>
      <c r="D1435">
        <v>1230000</v>
      </c>
      <c r="E1435" t="s">
        <v>149</v>
      </c>
    </row>
    <row r="1436" spans="1:5" x14ac:dyDescent="0.25">
      <c r="A1436" s="8">
        <v>42619.092997685184</v>
      </c>
      <c r="B1436" t="s">
        <v>331</v>
      </c>
      <c r="C1436" t="s">
        <v>306</v>
      </c>
      <c r="D1436">
        <v>630000</v>
      </c>
      <c r="E1436" t="b">
        <v>1</v>
      </c>
    </row>
    <row r="1437" spans="1:5" x14ac:dyDescent="0.25">
      <c r="A1437" s="8">
        <v>42619.110601851855</v>
      </c>
      <c r="B1437" t="s">
        <v>327</v>
      </c>
      <c r="C1437" t="s">
        <v>310</v>
      </c>
      <c r="D1437">
        <v>630000</v>
      </c>
      <c r="E1437" t="s">
        <v>1937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115</v>
      </c>
      <c r="D1" s="74" t="s">
        <v>116</v>
      </c>
      <c r="J1" s="34" t="s">
        <v>117</v>
      </c>
      <c r="K1" s="34" t="s">
        <v>72</v>
      </c>
      <c r="L1" s="34" t="s">
        <v>73</v>
      </c>
      <c r="O1" s="77" t="s">
        <v>118</v>
      </c>
    </row>
    <row r="2" spans="1:16" ht="15.75" thickBot="1" x14ac:dyDescent="0.3">
      <c r="A2" s="14">
        <v>42619</v>
      </c>
      <c r="B2" s="4"/>
      <c r="C2" s="75">
        <v>50</v>
      </c>
      <c r="D2" s="76">
        <v>25</v>
      </c>
      <c r="F2" t="s">
        <v>140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119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141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142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143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129</v>
      </c>
    </row>
    <row r="20" spans="10:13" x14ac:dyDescent="0.25">
      <c r="J20" t="s">
        <v>99</v>
      </c>
      <c r="M20" s="70" t="s">
        <v>155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128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125</v>
      </c>
      <c r="K24" s="23"/>
      <c r="M24" s="70" t="s">
        <v>127</v>
      </c>
    </row>
    <row r="25" spans="10:13" x14ac:dyDescent="0.25">
      <c r="J25" t="s">
        <v>202</v>
      </c>
      <c r="M25" s="70" t="b">
        <v>1</v>
      </c>
    </row>
    <row r="26" spans="10:13" x14ac:dyDescent="0.25">
      <c r="J26" t="s">
        <v>203</v>
      </c>
      <c r="M26" s="70" t="str">
        <f>"C:\Users\stu\Documents\GitHub\eaglep3-reporting\EC\"&amp;TEXT(A2,"yyyy-mm-dd")&amp;"-refined-times.txt"</f>
        <v>C:\Users\stu\Documents\GitHub\eaglep3-reporting\EC\2016-09-06-refined-times.txt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41" bestFit="1" customWidth="1"/>
    <col min="2" max="7" width="9.140625" style="141"/>
    <col min="8" max="8" width="17.7109375" style="141" bestFit="1" customWidth="1"/>
    <col min="9" max="9" width="9.140625" style="143"/>
    <col min="10" max="16384" width="9.140625" style="141"/>
  </cols>
  <sheetData>
    <row r="1" spans="1:11" x14ac:dyDescent="0.25">
      <c r="A1" s="140" t="s">
        <v>167</v>
      </c>
      <c r="B1" s="140" t="s">
        <v>168</v>
      </c>
      <c r="C1" s="141" t="s">
        <v>169</v>
      </c>
      <c r="H1" t="s">
        <v>163</v>
      </c>
      <c r="I1" s="142" t="s">
        <v>165</v>
      </c>
      <c r="J1"/>
    </row>
    <row r="2" spans="1:11" x14ac:dyDescent="0.25">
      <c r="A2" s="141" t="s">
        <v>170</v>
      </c>
      <c r="B2" s="141" t="s">
        <v>171</v>
      </c>
      <c r="C2" s="141" t="s">
        <v>172</v>
      </c>
      <c r="H2" t="s">
        <v>164</v>
      </c>
      <c r="I2" s="114" t="s">
        <v>166</v>
      </c>
      <c r="J2"/>
    </row>
    <row r="3" spans="1:11" x14ac:dyDescent="0.25">
      <c r="A3" s="141" t="s">
        <v>173</v>
      </c>
      <c r="B3" s="141" t="s">
        <v>174</v>
      </c>
      <c r="C3" s="141" t="s">
        <v>175</v>
      </c>
      <c r="H3" t="s">
        <v>190</v>
      </c>
      <c r="I3" s="114">
        <v>1</v>
      </c>
      <c r="J3"/>
      <c r="K3" s="70"/>
    </row>
    <row r="4" spans="1:11" x14ac:dyDescent="0.25">
      <c r="A4" s="141" t="s">
        <v>176</v>
      </c>
      <c r="C4" s="141" t="s">
        <v>177</v>
      </c>
      <c r="H4" t="s">
        <v>191</v>
      </c>
      <c r="I4" s="114">
        <v>2</v>
      </c>
      <c r="J4"/>
      <c r="K4" s="70"/>
    </row>
    <row r="5" spans="1:11" x14ac:dyDescent="0.25">
      <c r="A5" s="141" t="s">
        <v>178</v>
      </c>
      <c r="C5" s="141" t="s">
        <v>179</v>
      </c>
      <c r="H5" t="s">
        <v>192</v>
      </c>
      <c r="I5" s="114">
        <v>23</v>
      </c>
      <c r="J5"/>
      <c r="K5" s="70"/>
    </row>
    <row r="6" spans="1:11" x14ac:dyDescent="0.25">
      <c r="A6" s="141" t="s">
        <v>180</v>
      </c>
      <c r="C6" s="141" t="s">
        <v>181</v>
      </c>
      <c r="H6" s="144" t="s">
        <v>193</v>
      </c>
      <c r="I6" s="145" t="s">
        <v>171</v>
      </c>
    </row>
    <row r="7" spans="1:11" x14ac:dyDescent="0.25">
      <c r="A7" s="141" t="s">
        <v>182</v>
      </c>
      <c r="C7" s="141" t="s">
        <v>183</v>
      </c>
    </row>
    <row r="8" spans="1:11" x14ac:dyDescent="0.25">
      <c r="C8" s="141" t="s">
        <v>184</v>
      </c>
    </row>
    <row r="9" spans="1:11" x14ac:dyDescent="0.25">
      <c r="C9" s="141" t="s">
        <v>185</v>
      </c>
    </row>
    <row r="10" spans="1:11" x14ac:dyDescent="0.25">
      <c r="C10" s="141" t="s">
        <v>186</v>
      </c>
    </row>
    <row r="11" spans="1:11" x14ac:dyDescent="0.25">
      <c r="C11" s="141" t="s">
        <v>187</v>
      </c>
    </row>
    <row r="12" spans="1:11" x14ac:dyDescent="0.25">
      <c r="C12" s="141" t="s">
        <v>188</v>
      </c>
    </row>
    <row r="13" spans="1:11" x14ac:dyDescent="0.25">
      <c r="C13" s="141" t="s">
        <v>189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Train Runs</vt:lpstr>
      <vt:lpstr>Enforcements</vt:lpstr>
      <vt:lpstr>XING</vt:lpstr>
      <vt:lpstr>Missing Trips</vt:lpstr>
      <vt:lpstr>Enforcements_imported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2016-09-07T20:49:06Z</dcterms:modified>
</cp:coreProperties>
</file>