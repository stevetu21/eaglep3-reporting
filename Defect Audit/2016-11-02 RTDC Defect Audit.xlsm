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Defect Audit\"/>
    </mc:Choice>
  </mc:AlternateContent>
  <bookViews>
    <workbookView xWindow="0" yWindow="0" windowWidth="28800" windowHeight="12435"/>
  </bookViews>
  <sheets>
    <sheet name="Issues" sheetId="1" r:id="rId1"/>
    <sheet name="Sheet1" sheetId="2" r:id="rId2"/>
  </sheets>
  <definedNames>
    <definedName name="_xlnm._FilterDatabase" localSheetId="0" hidden="1">Issues!$A$1:$I$1</definedName>
    <definedName name="_xlnm.Print_Area" localSheetId="0">Issues!$A:$I</definedName>
    <definedName name="_xlnm.Print_Titles" localSheetId="0">Issues!$1:$1</definedName>
  </definedNames>
  <calcPr calcId="152511"/>
</workbook>
</file>

<file path=xl/calcChain.xml><?xml version="1.0" encoding="utf-8"?>
<calcChain xmlns="http://schemas.openxmlformats.org/spreadsheetml/2006/main">
  <c r="B2" i="2" l="1"/>
  <c r="B3" i="2" s="1"/>
  <c r="B4" i="2" s="1"/>
  <c r="B5" i="2" s="1"/>
  <c r="B6" i="2" s="1"/>
  <c r="B7" i="2" s="1"/>
</calcChain>
</file>

<file path=xl/sharedStrings.xml><?xml version="1.0" encoding="utf-8"?>
<sst xmlns="http://schemas.openxmlformats.org/spreadsheetml/2006/main" count="184" uniqueCount="81">
  <si>
    <t>#</t>
  </si>
  <si>
    <t>Subject</t>
  </si>
  <si>
    <t>Status</t>
  </si>
  <si>
    <t>Denver Segment Assigned</t>
  </si>
  <si>
    <t>Priority</t>
  </si>
  <si>
    <t>Start date</t>
  </si>
  <si>
    <t>Assignee</t>
  </si>
  <si>
    <t># Observations</t>
  </si>
  <si>
    <t>Latest status</t>
  </si>
  <si>
    <t xml:space="preserve">Red signals caused by network outages </t>
  </si>
  <si>
    <t>Monitoring</t>
  </si>
  <si>
    <t>Comms</t>
  </si>
  <si>
    <t>Normal</t>
  </si>
  <si>
    <t>Denver Comm Team</t>
  </si>
  <si>
    <t>This issue is infrequent and is being monitored.</t>
  </si>
  <si>
    <t>Unable to init due to mismatches between CCROC/equipment/crew</t>
  </si>
  <si>
    <t>Processing</t>
  </si>
  <si>
    <t>Human Factors</t>
  </si>
  <si>
    <t>Denver DTO/DTP/DTC</t>
  </si>
  <si>
    <t>More training for dispatchers when quick last minute changes are needed</t>
  </si>
  <si>
    <t>Signals not clearing due to vital logic - more dispatcher training needed</t>
  </si>
  <si>
    <t>More training for dispatchers on signal system design. Special note: DUS 2N/4N have upcoming revisions to alleviate this</t>
  </si>
  <si>
    <t>Enforcements from STOP/RESTRICTING aspects due to legitimate traffic conditions</t>
  </si>
  <si>
    <t>Additional training for operators and dispatchers</t>
  </si>
  <si>
    <t>Red signals caused by maintenance</t>
  </si>
  <si>
    <t>Additional improvements to coordination between OCC and Signals/Track Maintenance</t>
  </si>
  <si>
    <t>Triplex Observations Defect for DE.1.0.8.0</t>
  </si>
  <si>
    <t>Loco - PTC</t>
  </si>
  <si>
    <t>High</t>
  </si>
  <si>
    <t>Denver On-board Segment Team</t>
  </si>
  <si>
    <t>WCR is analyzing incidents. Awaiting official word on path forward.</t>
  </si>
  <si>
    <t>CPU Usage Too High Defect for DE.1.0.8.0</t>
  </si>
  <si>
    <t>Bad GPS Signal at DIA/DUS causing track selection and/or map issues</t>
  </si>
  <si>
    <t>Technical solution involves deploying GPS repeaters in problem areas. Workaround in lieu of additional hardware: move trains to where clear view of sky is acquired before attempting to select track</t>
  </si>
  <si>
    <t>Navigation faults caused by no velocity source (likely wheel tach issue)</t>
  </si>
  <si>
    <t>Notices are sent to Vehicle Maintenance as these incidents are encountered</t>
  </si>
  <si>
    <t>Discrepancy between GPS- and Wheeltach-derived location under bridges at slow speeds can cause enforcements</t>
  </si>
  <si>
    <t>Departure Test Buttons not available - DE.1.0.7.0</t>
  </si>
  <si>
    <t>Claimed resolved with release of DE.1.0.8.0. Monitoring and will close after sufficient time passes</t>
  </si>
  <si>
    <t>DID NOT CONVERGE onboard in-route failures on DE.1.0.7.0</t>
  </si>
  <si>
    <t xml:space="preserve">Stuck on "S/W Download" screen when new software versions are transferring </t>
  </si>
  <si>
    <t>Known issue with Onboard S/W; fix is still outstanding. Current workaround: when download completes, train is able to init</t>
  </si>
  <si>
    <t>Rare random time jump causes WIU statuses to not process</t>
  </si>
  <si>
    <t>Extremely rare occurrence. Likely patch in upcoming Onboard S/W version.</t>
  </si>
  <si>
    <t>Initializing and enforcing on very short tracks at DUS Main 3, Ward (GL), and Westminster (NWES)</t>
  </si>
  <si>
    <t>On Hold</t>
  </si>
  <si>
    <t>Low</t>
  </si>
  <si>
    <t>Currently, Customer is exploring lengthening of these short tracks in order to accommodate this design aspect</t>
  </si>
  <si>
    <t>Phase break at Quebec prevents effective Form C execution</t>
  </si>
  <si>
    <t>Power</t>
  </si>
  <si>
    <t>DTO has learned to operate in this area in such a way that prevents this issue. Monitoring for another month before closing.</t>
  </si>
  <si>
    <t>Signal issues (red signals, dark signals, erratic signals, etc) caused by problems with track circuit / wiring / failed hardware</t>
  </si>
  <si>
    <t>Signal</t>
  </si>
  <si>
    <t>Fixed by DTO/DTC as issues occur</t>
  </si>
  <si>
    <t>Red signals caused by known issues in ELXS executive software (Code9; Lamp comparison resets)</t>
  </si>
  <si>
    <t>Denver Signal Field Team</t>
  </si>
  <si>
    <t>Wabtec is working with GE/Alstom for fixes to these known issues. Providing logs and as much other information as possible to assist in duplicating the issue in GE/Alstom labs, and meeting weekly for status and emphasizing criticality.</t>
  </si>
  <si>
    <t>Red signals caused by power outages</t>
  </si>
  <si>
    <t>Occurs infrequently. When issues encountered, DTO/DTC fixes by restoring power to and/or replacing batteries at problem locations.</t>
  </si>
  <si>
    <t>Need to disable all ped XINGs on NWGL</t>
  </si>
  <si>
    <t>Waiting for FRA to approve NWGL subdiv v11 before moving forward with another revision that addresses this issue</t>
  </si>
  <si>
    <t>Sable and Chambers Main and Aux houses need new ELXS exec s/w (6.31)</t>
  </si>
  <si>
    <t>Xorail Signal Engineering has sent binaries and recommended Ryan Becraft to upgrade these locations.</t>
  </si>
  <si>
    <t>Red signals caused by vital link failures</t>
  </si>
  <si>
    <t>Have not observed issues in this category in the last 2 months, but leaving this ticket as Monitoring in case issue occurs again</t>
  </si>
  <si>
    <t>Network outages caused by failed hardware/firmware</t>
  </si>
  <si>
    <t>Ready for Release</t>
  </si>
  <si>
    <t>STMS</t>
  </si>
  <si>
    <t>Denver Office Segment Team</t>
  </si>
  <si>
    <t>TMDS has updated the problem firmware (most important part); remainder of upgrades are on hold pending DTO instruction</t>
  </si>
  <si>
    <t>Failed speed restrictions and/or PSS's due to TMDS track data errors</t>
  </si>
  <si>
    <t>Feedback Needed</t>
  </si>
  <si>
    <t>STMS needs to audit track data and ensure consistency with milepost values and SiteNames in subdiv files</t>
  </si>
  <si>
    <t>Repeated/prolonged Wi-MAX outages preventing inits or forcing train runs to end pre-maturely</t>
  </si>
  <si>
    <t>Wi-MAX</t>
  </si>
  <si>
    <t>Reflashing/reconfiguring CCU's as issues occur. Wabtec is also tasking Nomad to perform a full-fleet audit to ensure 100% health across all equipment. Discussions about replacing entire fleet's CCU with more reliable SKU are also taking place.</t>
  </si>
  <si>
    <t>System-wide Wi-MAX outages due to Home Agent freezes</t>
  </si>
  <si>
    <t>Wabtec is tasking Nomad to perform a full-fleet audit to ensure 100% health across all equipment.</t>
  </si>
  <si>
    <t>Intermittent Wi-MAX outages</t>
  </si>
  <si>
    <t>Outages are being tracked for common trends, and towers/locomotives fixed as trends emerge. Wabtec is also tasking Nomad to perform a full-fleet audit to ensure 100% health across all equipment.</t>
  </si>
  <si>
    <t>Wi-MAX outages due to known CCU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</si>
</sst>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16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14" fontId="0" fillId="0" borderId="10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1" tint="0.34998626667073579"/>
      </font>
    </dxf>
    <dxf>
      <fill>
        <patternFill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rgb="FFFFC5C5"/>
        </patternFill>
      </fill>
    </dxf>
  </dxfs>
  <tableStyles count="0" defaultTableStyle="TableStyleMedium2" defaultPivotStyle="PivotStyleLight16"/>
  <colors>
    <mruColors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9"/>
  <sheetViews>
    <sheetView tabSelected="1" workbookViewId="0">
      <selection activeCell="G4" sqref="G4"/>
    </sheetView>
  </sheetViews>
  <sheetFormatPr defaultRowHeight="15" x14ac:dyDescent="0.25"/>
  <cols>
    <col min="1" max="1" width="6.85546875" style="6" customWidth="1"/>
    <col min="2" max="2" width="31.85546875" style="6" customWidth="1"/>
    <col min="3" max="3" width="17.28515625" style="6" bestFit="1" customWidth="1"/>
    <col min="4" max="4" width="10.7109375" style="6" customWidth="1"/>
    <col min="5" max="5" width="7.5703125" style="6" bestFit="1" customWidth="1"/>
    <col min="6" max="6" width="11.28515625" style="6" customWidth="1"/>
    <col min="7" max="7" width="17" style="6" customWidth="1"/>
    <col min="8" max="8" width="8.28515625" style="6" customWidth="1"/>
    <col min="9" max="9" width="50.5703125" style="6" customWidth="1"/>
    <col min="10" max="16384" width="9.140625" style="1"/>
  </cols>
  <sheetData>
    <row r="1" spans="1:9" ht="45.7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ht="30" x14ac:dyDescent="0.25">
      <c r="A2" s="4">
        <v>58507</v>
      </c>
      <c r="B2" s="4" t="s">
        <v>9</v>
      </c>
      <c r="C2" s="4" t="s">
        <v>10</v>
      </c>
      <c r="D2" s="4" t="s">
        <v>11</v>
      </c>
      <c r="E2" s="4" t="s">
        <v>12</v>
      </c>
      <c r="F2" s="5">
        <v>42620</v>
      </c>
      <c r="G2" s="4" t="s">
        <v>13</v>
      </c>
      <c r="H2" s="4">
        <v>3</v>
      </c>
      <c r="I2" s="4" t="s">
        <v>14</v>
      </c>
    </row>
    <row r="3" spans="1:9" ht="45" x14ac:dyDescent="0.25">
      <c r="A3" s="4">
        <v>41281</v>
      </c>
      <c r="B3" s="4" t="s">
        <v>15</v>
      </c>
      <c r="C3" s="4" t="s">
        <v>16</v>
      </c>
      <c r="D3" s="4" t="s">
        <v>17</v>
      </c>
      <c r="E3" s="4" t="s">
        <v>12</v>
      </c>
      <c r="F3" s="5">
        <v>42460</v>
      </c>
      <c r="G3" s="4" t="s">
        <v>18</v>
      </c>
      <c r="H3" s="4">
        <v>19</v>
      </c>
      <c r="I3" s="4" t="s">
        <v>19</v>
      </c>
    </row>
    <row r="4" spans="1:9" ht="45" x14ac:dyDescent="0.25">
      <c r="A4" s="4">
        <v>56210</v>
      </c>
      <c r="B4" s="4" t="s">
        <v>20</v>
      </c>
      <c r="C4" s="4" t="s">
        <v>16</v>
      </c>
      <c r="D4" s="4" t="s">
        <v>17</v>
      </c>
      <c r="E4" s="4" t="s">
        <v>12</v>
      </c>
      <c r="F4" s="5">
        <v>42613</v>
      </c>
      <c r="G4" s="4" t="s">
        <v>18</v>
      </c>
      <c r="H4" s="4">
        <v>13</v>
      </c>
      <c r="I4" s="4" t="s">
        <v>21</v>
      </c>
    </row>
    <row r="5" spans="1:9" ht="45" x14ac:dyDescent="0.25">
      <c r="A5" s="4">
        <v>57849</v>
      </c>
      <c r="B5" s="4" t="s">
        <v>22</v>
      </c>
      <c r="C5" s="4" t="s">
        <v>16</v>
      </c>
      <c r="D5" s="4" t="s">
        <v>17</v>
      </c>
      <c r="E5" s="4" t="s">
        <v>12</v>
      </c>
      <c r="F5" s="5">
        <v>42613</v>
      </c>
      <c r="G5" s="4" t="s">
        <v>18</v>
      </c>
      <c r="H5" s="4">
        <v>11</v>
      </c>
      <c r="I5" s="4" t="s">
        <v>23</v>
      </c>
    </row>
    <row r="6" spans="1:9" ht="30" x14ac:dyDescent="0.25">
      <c r="A6" s="4">
        <v>56037</v>
      </c>
      <c r="B6" s="4" t="s">
        <v>24</v>
      </c>
      <c r="C6" s="4" t="s">
        <v>16</v>
      </c>
      <c r="D6" s="4" t="s">
        <v>17</v>
      </c>
      <c r="E6" s="4" t="s">
        <v>12</v>
      </c>
      <c r="F6" s="5">
        <v>42612</v>
      </c>
      <c r="G6" s="4" t="s">
        <v>18</v>
      </c>
      <c r="H6" s="4">
        <v>9</v>
      </c>
      <c r="I6" s="4" t="s">
        <v>25</v>
      </c>
    </row>
    <row r="7" spans="1:9" ht="30" x14ac:dyDescent="0.25">
      <c r="A7" s="4">
        <v>62895</v>
      </c>
      <c r="B7" s="4" t="s">
        <v>26</v>
      </c>
      <c r="C7" s="4" t="s">
        <v>16</v>
      </c>
      <c r="D7" s="4" t="s">
        <v>27</v>
      </c>
      <c r="E7" s="4" t="s">
        <v>28</v>
      </c>
      <c r="F7" s="5">
        <v>42669</v>
      </c>
      <c r="G7" s="4" t="s">
        <v>29</v>
      </c>
      <c r="H7" s="4">
        <v>7</v>
      </c>
      <c r="I7" s="4" t="s">
        <v>30</v>
      </c>
    </row>
    <row r="8" spans="1:9" ht="30" x14ac:dyDescent="0.25">
      <c r="A8" s="4">
        <v>63314</v>
      </c>
      <c r="B8" s="4" t="s">
        <v>31</v>
      </c>
      <c r="C8" s="4" t="s">
        <v>16</v>
      </c>
      <c r="D8" s="4" t="s">
        <v>27</v>
      </c>
      <c r="E8" s="4" t="s">
        <v>28</v>
      </c>
      <c r="F8" s="5">
        <v>42669</v>
      </c>
      <c r="G8" s="4" t="s">
        <v>29</v>
      </c>
      <c r="H8" s="4">
        <v>2</v>
      </c>
      <c r="I8" s="4" t="s">
        <v>30</v>
      </c>
    </row>
    <row r="9" spans="1:9" ht="60" x14ac:dyDescent="0.25">
      <c r="A9" s="4">
        <v>41412</v>
      </c>
      <c r="B9" s="4" t="s">
        <v>32</v>
      </c>
      <c r="C9" s="4" t="s">
        <v>16</v>
      </c>
      <c r="D9" s="4" t="s">
        <v>27</v>
      </c>
      <c r="E9" s="4" t="s">
        <v>12</v>
      </c>
      <c r="F9" s="5">
        <v>42461</v>
      </c>
      <c r="G9" s="4" t="s">
        <v>18</v>
      </c>
      <c r="H9" s="4">
        <v>10</v>
      </c>
      <c r="I9" s="4" t="s">
        <v>33</v>
      </c>
    </row>
    <row r="10" spans="1:9" ht="45" x14ac:dyDescent="0.25">
      <c r="A10" s="4">
        <v>45980</v>
      </c>
      <c r="B10" s="4" t="s">
        <v>34</v>
      </c>
      <c r="C10" s="4" t="s">
        <v>10</v>
      </c>
      <c r="D10" s="4" t="s">
        <v>27</v>
      </c>
      <c r="E10" s="4" t="s">
        <v>12</v>
      </c>
      <c r="F10" s="5">
        <v>42509</v>
      </c>
      <c r="G10" s="4" t="s">
        <v>18</v>
      </c>
      <c r="H10" s="4">
        <v>9</v>
      </c>
      <c r="I10" s="4" t="s">
        <v>35</v>
      </c>
    </row>
    <row r="11" spans="1:9" ht="60" x14ac:dyDescent="0.25">
      <c r="A11" s="4">
        <v>60034</v>
      </c>
      <c r="B11" s="4" t="s">
        <v>36</v>
      </c>
      <c r="C11" s="4" t="s">
        <v>16</v>
      </c>
      <c r="D11" s="4" t="s">
        <v>27</v>
      </c>
      <c r="E11" s="4" t="s">
        <v>12</v>
      </c>
      <c r="F11" s="5">
        <v>42628</v>
      </c>
      <c r="G11" s="4" t="s">
        <v>18</v>
      </c>
      <c r="H11" s="4">
        <v>8</v>
      </c>
      <c r="I11" s="4" t="s">
        <v>33</v>
      </c>
    </row>
    <row r="12" spans="1:9" ht="30" x14ac:dyDescent="0.25">
      <c r="A12" s="4">
        <v>52887</v>
      </c>
      <c r="B12" s="4" t="s">
        <v>37</v>
      </c>
      <c r="C12" s="4" t="s">
        <v>10</v>
      </c>
      <c r="D12" s="4" t="s">
        <v>27</v>
      </c>
      <c r="E12" s="4" t="s">
        <v>12</v>
      </c>
      <c r="F12" s="5">
        <v>42575</v>
      </c>
      <c r="G12" s="4" t="s">
        <v>29</v>
      </c>
      <c r="H12" s="4">
        <v>6</v>
      </c>
      <c r="I12" s="4" t="s">
        <v>38</v>
      </c>
    </row>
    <row r="13" spans="1:9" ht="30" x14ac:dyDescent="0.25">
      <c r="A13" s="4">
        <v>52448</v>
      </c>
      <c r="B13" s="4" t="s">
        <v>39</v>
      </c>
      <c r="C13" s="4" t="s">
        <v>10</v>
      </c>
      <c r="D13" s="4" t="s">
        <v>27</v>
      </c>
      <c r="E13" s="4" t="s">
        <v>12</v>
      </c>
      <c r="F13" s="5">
        <v>42579</v>
      </c>
      <c r="G13" s="4" t="s">
        <v>29</v>
      </c>
      <c r="H13" s="4">
        <v>3</v>
      </c>
      <c r="I13" s="4" t="s">
        <v>38</v>
      </c>
    </row>
    <row r="14" spans="1:9" ht="45" x14ac:dyDescent="0.25">
      <c r="A14" s="4">
        <v>62888</v>
      </c>
      <c r="B14" s="4" t="s">
        <v>40</v>
      </c>
      <c r="C14" s="4" t="s">
        <v>16</v>
      </c>
      <c r="D14" s="4" t="s">
        <v>27</v>
      </c>
      <c r="E14" s="4" t="s">
        <v>12</v>
      </c>
      <c r="F14" s="5">
        <v>42575</v>
      </c>
      <c r="G14" s="4" t="s">
        <v>29</v>
      </c>
      <c r="H14" s="4">
        <v>1</v>
      </c>
      <c r="I14" s="4" t="s">
        <v>41</v>
      </c>
    </row>
    <row r="15" spans="1:9" ht="30" x14ac:dyDescent="0.25">
      <c r="A15" s="4">
        <v>62892</v>
      </c>
      <c r="B15" s="4" t="s">
        <v>42</v>
      </c>
      <c r="C15" s="4" t="s">
        <v>16</v>
      </c>
      <c r="D15" s="4" t="s">
        <v>27</v>
      </c>
      <c r="E15" s="4" t="s">
        <v>12</v>
      </c>
      <c r="F15" s="5">
        <v>42669</v>
      </c>
      <c r="G15" s="4" t="s">
        <v>29</v>
      </c>
      <c r="H15" s="4">
        <v>1</v>
      </c>
      <c r="I15" s="4" t="s">
        <v>43</v>
      </c>
    </row>
    <row r="16" spans="1:9" ht="45" x14ac:dyDescent="0.25">
      <c r="A16" s="4">
        <v>42012</v>
      </c>
      <c r="B16" s="4" t="s">
        <v>44</v>
      </c>
      <c r="C16" s="4" t="s">
        <v>45</v>
      </c>
      <c r="D16" s="4" t="s">
        <v>27</v>
      </c>
      <c r="E16" s="4" t="s">
        <v>46</v>
      </c>
      <c r="F16" s="5">
        <v>42467</v>
      </c>
      <c r="G16" s="4" t="s">
        <v>18</v>
      </c>
      <c r="H16" s="4">
        <v>3</v>
      </c>
      <c r="I16" s="4" t="s">
        <v>47</v>
      </c>
    </row>
    <row r="17" spans="1:9" ht="45" x14ac:dyDescent="0.25">
      <c r="A17" s="4">
        <v>57866</v>
      </c>
      <c r="B17" s="4" t="s">
        <v>48</v>
      </c>
      <c r="C17" s="4" t="s">
        <v>10</v>
      </c>
      <c r="D17" s="4" t="s">
        <v>49</v>
      </c>
      <c r="E17" s="4" t="s">
        <v>46</v>
      </c>
      <c r="F17" s="5">
        <v>42613</v>
      </c>
      <c r="G17" s="4" t="s">
        <v>18</v>
      </c>
      <c r="H17" s="4">
        <v>1</v>
      </c>
      <c r="I17" s="4" t="s">
        <v>50</v>
      </c>
    </row>
    <row r="18" spans="1:9" ht="60" x14ac:dyDescent="0.25">
      <c r="A18" s="4">
        <v>58447</v>
      </c>
      <c r="B18" s="4" t="s">
        <v>51</v>
      </c>
      <c r="C18" s="4" t="s">
        <v>10</v>
      </c>
      <c r="D18" s="4" t="s">
        <v>52</v>
      </c>
      <c r="E18" s="4" t="s">
        <v>12</v>
      </c>
      <c r="F18" s="5">
        <v>42621</v>
      </c>
      <c r="G18" s="4" t="s">
        <v>18</v>
      </c>
      <c r="H18" s="4">
        <v>13</v>
      </c>
      <c r="I18" s="4" t="s">
        <v>53</v>
      </c>
    </row>
    <row r="19" spans="1:9" ht="75" x14ac:dyDescent="0.25">
      <c r="A19" s="4">
        <v>56997</v>
      </c>
      <c r="B19" s="4" t="s">
        <v>54</v>
      </c>
      <c r="C19" s="4" t="s">
        <v>16</v>
      </c>
      <c r="D19" s="4" t="s">
        <v>52</v>
      </c>
      <c r="E19" s="4" t="s">
        <v>12</v>
      </c>
      <c r="F19" s="5">
        <v>42620</v>
      </c>
      <c r="G19" s="4" t="s">
        <v>55</v>
      </c>
      <c r="H19" s="4">
        <v>12</v>
      </c>
      <c r="I19" s="4" t="s">
        <v>56</v>
      </c>
    </row>
    <row r="20" spans="1:9" ht="45" x14ac:dyDescent="0.25">
      <c r="A20" s="4">
        <v>57067</v>
      </c>
      <c r="B20" s="4" t="s">
        <v>57</v>
      </c>
      <c r="C20" s="4" t="s">
        <v>10</v>
      </c>
      <c r="D20" s="4" t="s">
        <v>52</v>
      </c>
      <c r="E20" s="4" t="s">
        <v>12</v>
      </c>
      <c r="F20" s="5">
        <v>42621</v>
      </c>
      <c r="G20" s="4" t="s">
        <v>18</v>
      </c>
      <c r="H20" s="4">
        <v>8</v>
      </c>
      <c r="I20" s="4" t="s">
        <v>58</v>
      </c>
    </row>
    <row r="21" spans="1:9" ht="45" x14ac:dyDescent="0.25">
      <c r="A21" s="4">
        <v>59723</v>
      </c>
      <c r="B21" s="4" t="s">
        <v>59</v>
      </c>
      <c r="C21" s="4" t="s">
        <v>45</v>
      </c>
      <c r="D21" s="4" t="s">
        <v>52</v>
      </c>
      <c r="E21" s="4" t="s">
        <v>12</v>
      </c>
      <c r="F21" s="5">
        <v>42643</v>
      </c>
      <c r="G21" s="4" t="s">
        <v>18</v>
      </c>
      <c r="H21" s="4">
        <v>1</v>
      </c>
      <c r="I21" s="4" t="s">
        <v>60</v>
      </c>
    </row>
    <row r="22" spans="1:9" ht="45" x14ac:dyDescent="0.25">
      <c r="A22" s="4">
        <v>62891</v>
      </c>
      <c r="B22" s="4" t="s">
        <v>61</v>
      </c>
      <c r="C22" s="4" t="s">
        <v>16</v>
      </c>
      <c r="D22" s="4" t="s">
        <v>52</v>
      </c>
      <c r="E22" s="4" t="s">
        <v>12</v>
      </c>
      <c r="F22" s="5">
        <v>42668</v>
      </c>
      <c r="G22" s="4" t="s">
        <v>18</v>
      </c>
      <c r="H22" s="4">
        <v>1</v>
      </c>
      <c r="I22" s="4" t="s">
        <v>62</v>
      </c>
    </row>
    <row r="23" spans="1:9" ht="45" x14ac:dyDescent="0.25">
      <c r="A23" s="4">
        <v>63240</v>
      </c>
      <c r="B23" s="4" t="s">
        <v>63</v>
      </c>
      <c r="C23" s="4" t="s">
        <v>10</v>
      </c>
      <c r="D23" s="4" t="s">
        <v>52</v>
      </c>
      <c r="E23" s="4" t="s">
        <v>46</v>
      </c>
      <c r="F23" s="5">
        <v>42620</v>
      </c>
      <c r="G23" s="4" t="s">
        <v>55</v>
      </c>
      <c r="H23" s="4">
        <v>0</v>
      </c>
      <c r="I23" s="4" t="s">
        <v>64</v>
      </c>
    </row>
    <row r="24" spans="1:9" ht="45" x14ac:dyDescent="0.25">
      <c r="A24" s="4">
        <v>60988</v>
      </c>
      <c r="B24" s="4" t="s">
        <v>65</v>
      </c>
      <c r="C24" s="4" t="s">
        <v>66</v>
      </c>
      <c r="D24" s="4" t="s">
        <v>67</v>
      </c>
      <c r="E24" s="4" t="s">
        <v>28</v>
      </c>
      <c r="F24" s="5">
        <v>42598</v>
      </c>
      <c r="G24" s="4" t="s">
        <v>68</v>
      </c>
      <c r="H24" s="4">
        <v>3</v>
      </c>
      <c r="I24" s="4" t="s">
        <v>69</v>
      </c>
    </row>
    <row r="25" spans="1:9" ht="45" x14ac:dyDescent="0.25">
      <c r="A25" s="4">
        <v>58884</v>
      </c>
      <c r="B25" s="4" t="s">
        <v>70</v>
      </c>
      <c r="C25" s="4" t="s">
        <v>71</v>
      </c>
      <c r="D25" s="4" t="s">
        <v>67</v>
      </c>
      <c r="E25" s="4" t="s">
        <v>12</v>
      </c>
      <c r="F25" s="5">
        <v>42598</v>
      </c>
      <c r="G25" s="4" t="s">
        <v>68</v>
      </c>
      <c r="H25" s="4">
        <v>2</v>
      </c>
      <c r="I25" s="4" t="s">
        <v>72</v>
      </c>
    </row>
    <row r="26" spans="1:9" ht="75" x14ac:dyDescent="0.25">
      <c r="A26" s="4">
        <v>62533</v>
      </c>
      <c r="B26" s="4" t="s">
        <v>73</v>
      </c>
      <c r="C26" s="4" t="s">
        <v>16</v>
      </c>
      <c r="D26" s="4" t="s">
        <v>74</v>
      </c>
      <c r="E26" s="4" t="s">
        <v>28</v>
      </c>
      <c r="F26" s="5">
        <v>42667</v>
      </c>
      <c r="G26" s="4" t="s">
        <v>13</v>
      </c>
      <c r="H26" s="4">
        <v>2</v>
      </c>
      <c r="I26" s="4" t="s">
        <v>75</v>
      </c>
    </row>
    <row r="27" spans="1:9" ht="30" x14ac:dyDescent="0.25">
      <c r="A27" s="4">
        <v>63285</v>
      </c>
      <c r="B27" s="4" t="s">
        <v>76</v>
      </c>
      <c r="C27" s="4" t="s">
        <v>16</v>
      </c>
      <c r="D27" s="4" t="s">
        <v>74</v>
      </c>
      <c r="E27" s="4" t="s">
        <v>28</v>
      </c>
      <c r="F27" s="5">
        <v>42669</v>
      </c>
      <c r="G27" s="4" t="s">
        <v>13</v>
      </c>
      <c r="H27" s="4">
        <v>1</v>
      </c>
      <c r="I27" s="4" t="s">
        <v>77</v>
      </c>
    </row>
    <row r="28" spans="1:9" ht="60" x14ac:dyDescent="0.25">
      <c r="A28" s="4">
        <v>57218</v>
      </c>
      <c r="B28" s="4" t="s">
        <v>78</v>
      </c>
      <c r="C28" s="4" t="s">
        <v>10</v>
      </c>
      <c r="D28" s="4" t="s">
        <v>74</v>
      </c>
      <c r="E28" s="4" t="s">
        <v>12</v>
      </c>
      <c r="F28" s="5">
        <v>42622</v>
      </c>
      <c r="G28" s="4" t="s">
        <v>13</v>
      </c>
      <c r="H28" s="4">
        <v>29</v>
      </c>
      <c r="I28" s="4" t="s">
        <v>79</v>
      </c>
    </row>
    <row r="29" spans="1:9" ht="75" x14ac:dyDescent="0.25">
      <c r="A29" s="4">
        <v>59475</v>
      </c>
      <c r="B29" s="4" t="s">
        <v>80</v>
      </c>
      <c r="C29" s="4" t="s">
        <v>16</v>
      </c>
      <c r="D29" s="4" t="s">
        <v>74</v>
      </c>
      <c r="E29" s="4" t="s">
        <v>12</v>
      </c>
      <c r="F29" s="5">
        <v>42622</v>
      </c>
      <c r="G29" s="4" t="s">
        <v>13</v>
      </c>
      <c r="H29" s="4">
        <v>5</v>
      </c>
      <c r="I29" s="4" t="s">
        <v>75</v>
      </c>
    </row>
  </sheetData>
  <autoFilter ref="A1:I1"/>
  <conditionalFormatting sqref="A1:I1048576">
    <cfRule type="expression" dxfId="9" priority="3">
      <formula>$D1="STMS"</formula>
    </cfRule>
    <cfRule type="expression" dxfId="8" priority="4">
      <formula>$D1="Signal"</formula>
    </cfRule>
    <cfRule type="expression" dxfId="7" priority="5">
      <formula>$D1="Power"</formula>
    </cfRule>
    <cfRule type="expression" dxfId="6" priority="6">
      <formula>$D1="Loco - PTC"</formula>
    </cfRule>
    <cfRule type="expression" dxfId="5" priority="7">
      <formula>$D1="Human Factors"</formula>
    </cfRule>
    <cfRule type="expression" dxfId="4" priority="8">
      <formula>$D1="Comms"</formula>
    </cfRule>
    <cfRule type="expression" dxfId="3" priority="2">
      <formula>$D1="Wi-MAX"</formula>
    </cfRule>
    <cfRule type="expression" dxfId="2" priority="1">
      <formula>$C1="Monitoring"</formula>
    </cfRule>
  </conditionalFormatting>
  <printOptions horizontalCentered="1"/>
  <pageMargins left="0.25" right="0.25" top="0.75" bottom="0.75" header="0.3" footer="0.3"/>
  <pageSetup scale="82" fitToHeight="0" orientation="landscape" verticalDpi="0" r:id="rId1"/>
  <headerFooter>
    <oddHeader>&amp;CRTDC Defect Audit&amp;RAs of &amp;D &amp;T Mountain Time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E13" sqref="E13"/>
    </sheetView>
  </sheetViews>
  <sheetFormatPr defaultRowHeight="15" x14ac:dyDescent="0.25"/>
  <sheetData>
    <row r="1" spans="1:2" x14ac:dyDescent="0.25">
      <c r="A1" s="2" t="s">
        <v>11</v>
      </c>
      <c r="B1">
        <v>1</v>
      </c>
    </row>
    <row r="2" spans="1:2" ht="30" x14ac:dyDescent="0.25">
      <c r="A2" s="2" t="s">
        <v>17</v>
      </c>
      <c r="B2">
        <f>B1+1</f>
        <v>2</v>
      </c>
    </row>
    <row r="3" spans="1:2" ht="30" x14ac:dyDescent="0.25">
      <c r="A3" s="2" t="s">
        <v>27</v>
      </c>
      <c r="B3">
        <f t="shared" ref="B3:B7" si="0">B2+1</f>
        <v>3</v>
      </c>
    </row>
    <row r="4" spans="1:2" x14ac:dyDescent="0.25">
      <c r="A4" s="2" t="s">
        <v>49</v>
      </c>
      <c r="B4">
        <f t="shared" si="0"/>
        <v>4</v>
      </c>
    </row>
    <row r="5" spans="1:2" x14ac:dyDescent="0.25">
      <c r="A5" s="2" t="s">
        <v>52</v>
      </c>
      <c r="B5">
        <f t="shared" si="0"/>
        <v>5</v>
      </c>
    </row>
    <row r="6" spans="1:2" x14ac:dyDescent="0.25">
      <c r="A6" s="2" t="s">
        <v>67</v>
      </c>
      <c r="B6">
        <f t="shared" si="0"/>
        <v>6</v>
      </c>
    </row>
    <row r="7" spans="1:2" x14ac:dyDescent="0.25">
      <c r="A7" s="2" t="s">
        <v>74</v>
      </c>
      <c r="B7">
        <f t="shared" si="0"/>
        <v>7</v>
      </c>
    </row>
  </sheetData>
  <conditionalFormatting sqref="A1:A7">
    <cfRule type="expression" dxfId="1" priority="1">
      <formula>$D1="Human Factors"</formula>
    </cfRule>
    <cfRule type="expression" dxfId="0" priority="2">
      <formula>$D1="Comms"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Issues</vt:lpstr>
      <vt:lpstr>Sheet1</vt:lpstr>
      <vt:lpstr>Issues!Print_Area</vt:lpstr>
      <vt:lpstr>Issues!Print_Titles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Steve</dc:creator>
  <cp:lastModifiedBy>Steve Tu</cp:lastModifiedBy>
  <cp:lastPrinted>2016-11-02T19:38:26Z</cp:lastPrinted>
  <dcterms:created xsi:type="dcterms:W3CDTF">2016-11-02T19:17:12Z</dcterms:created>
  <dcterms:modified xsi:type="dcterms:W3CDTF">2016-11-03T19:38:43Z</dcterms:modified>
</cp:coreProperties>
</file>