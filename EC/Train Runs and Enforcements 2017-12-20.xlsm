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Enforcements!$A$6:$AC$14</definedName>
    <definedName name="_xlnm._FilterDatabase" localSheetId="2" hidden="1">'Missing Trips'!$A$2:$J$26</definedName>
    <definedName name="_xlnm._FilterDatabase" localSheetId="0" hidden="1">'Train Runs'!$A$12:$AG$533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18" i="1" l="1"/>
  <c r="X205" i="1"/>
  <c r="X206" i="1"/>
  <c r="X207" i="1"/>
  <c r="X208" i="1"/>
  <c r="K205" i="1"/>
  <c r="L205" i="1"/>
  <c r="M205" i="1"/>
  <c r="N205" i="1" s="1"/>
  <c r="V205" i="1"/>
  <c r="AA205" i="1"/>
  <c r="AB205" i="1"/>
  <c r="AC205" i="1"/>
  <c r="AD205" i="1"/>
  <c r="T205" i="1" s="1"/>
  <c r="AE205" i="1"/>
  <c r="AF205" i="1"/>
  <c r="AH205" i="1"/>
  <c r="AM205" i="1"/>
  <c r="AN205" i="1"/>
  <c r="AO205" i="1"/>
  <c r="X202" i="1"/>
  <c r="K201" i="1"/>
  <c r="L201" i="1"/>
  <c r="M201" i="1"/>
  <c r="N201" i="1"/>
  <c r="V201" i="1"/>
  <c r="AA201" i="1"/>
  <c r="AB201" i="1"/>
  <c r="AC201" i="1"/>
  <c r="AD201" i="1"/>
  <c r="T201" i="1" s="1"/>
  <c r="AE201" i="1"/>
  <c r="AF201" i="1"/>
  <c r="AH201" i="1"/>
  <c r="AM201" i="1"/>
  <c r="AN201" i="1"/>
  <c r="AO201" i="1"/>
  <c r="AG205" i="1"/>
  <c r="AG201" i="1"/>
  <c r="AI205" i="1" l="1"/>
  <c r="U205" i="1"/>
  <c r="S205" i="1" s="1"/>
  <c r="W205" i="1"/>
  <c r="AI201" i="1"/>
  <c r="U201" i="1"/>
  <c r="S201" i="1" s="1"/>
  <c r="W201" i="1"/>
  <c r="X201" i="1"/>
  <c r="X185" i="1"/>
  <c r="X186" i="1"/>
  <c r="K185" i="1"/>
  <c r="L185" i="1"/>
  <c r="M185" i="1"/>
  <c r="N185" i="1" s="1"/>
  <c r="T185" i="1"/>
  <c r="V185" i="1"/>
  <c r="AA185" i="1"/>
  <c r="AB185" i="1"/>
  <c r="AC185" i="1"/>
  <c r="AD185" i="1"/>
  <c r="AE185" i="1"/>
  <c r="AF185" i="1"/>
  <c r="AH185" i="1"/>
  <c r="AM185" i="1"/>
  <c r="AN185" i="1"/>
  <c r="AO185" i="1"/>
  <c r="P46" i="1"/>
  <c r="X46" i="1"/>
  <c r="X47" i="1"/>
  <c r="X48" i="1"/>
  <c r="X49" i="1"/>
  <c r="K46" i="1"/>
  <c r="L46" i="1"/>
  <c r="M46" i="1"/>
  <c r="V46" i="1"/>
  <c r="AA46" i="1"/>
  <c r="AB46" i="1"/>
  <c r="AC46" i="1"/>
  <c r="AD46" i="1"/>
  <c r="T46" i="1" s="1"/>
  <c r="AE46" i="1"/>
  <c r="AF46" i="1"/>
  <c r="AH46" i="1"/>
  <c r="AM46" i="1"/>
  <c r="AN46" i="1"/>
  <c r="AO46" i="1"/>
  <c r="K14" i="1"/>
  <c r="L14" i="1"/>
  <c r="M14" i="1"/>
  <c r="N14" i="1" s="1"/>
  <c r="V14" i="1"/>
  <c r="S11" i="3" s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R17" i="3" s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S15" i="3" s="1"/>
  <c r="Y38" i="1"/>
  <c r="Z38" i="1"/>
  <c r="AB38" i="1"/>
  <c r="AC38" i="1"/>
  <c r="AD38" i="1"/>
  <c r="T38" i="1" s="1"/>
  <c r="AE38" i="1"/>
  <c r="R15" i="3" s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X40" i="1" s="1"/>
  <c r="AE40" i="1"/>
  <c r="AF40" i="1"/>
  <c r="AH40" i="1"/>
  <c r="AM40" i="1"/>
  <c r="AN40" i="1"/>
  <c r="AO40" i="1"/>
  <c r="K41" i="1"/>
  <c r="L41" i="1"/>
  <c r="M41" i="1"/>
  <c r="N41" i="1" s="1"/>
  <c r="V41" i="1"/>
  <c r="S20" i="3" s="1"/>
  <c r="Y41" i="1"/>
  <c r="Z41" i="1"/>
  <c r="AB41" i="1"/>
  <c r="AC41" i="1"/>
  <c r="AD41" i="1"/>
  <c r="T41" i="1" s="1"/>
  <c r="AE41" i="1"/>
  <c r="R14" i="3" s="1"/>
  <c r="AF41" i="1"/>
  <c r="AH41" i="1"/>
  <c r="AM41" i="1"/>
  <c r="AN41" i="1"/>
  <c r="AO41" i="1"/>
  <c r="K42" i="1"/>
  <c r="L42" i="1"/>
  <c r="M42" i="1"/>
  <c r="N42" i="1" s="1"/>
  <c r="T42" i="1"/>
  <c r="V42" i="1"/>
  <c r="Y42" i="1"/>
  <c r="Z42" i="1"/>
  <c r="AB42" i="1"/>
  <c r="AC42" i="1"/>
  <c r="AD42" i="1"/>
  <c r="X42" i="1" s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AO45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A52" i="1" s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A53" i="1" s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A54" i="1" s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A56" i="1" s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A58" i="1" s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A60" i="1" s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A62" i="1" s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R21" i="3" s="1"/>
  <c r="AF65" i="1"/>
  <c r="AH65" i="1"/>
  <c r="AM65" i="1"/>
  <c r="AN65" i="1"/>
  <c r="AO65" i="1"/>
  <c r="K66" i="1"/>
  <c r="L66" i="1"/>
  <c r="M66" i="1"/>
  <c r="N66" i="1" s="1"/>
  <c r="V66" i="1"/>
  <c r="Y66" i="1"/>
  <c r="Z66" i="1"/>
  <c r="AA66" i="1" s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A68" i="1" s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A70" i="1" s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A72" i="1" s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A74" i="1" s="1"/>
  <c r="AB74" i="1"/>
  <c r="AC74" i="1"/>
  <c r="AD74" i="1"/>
  <c r="AE74" i="1"/>
  <c r="AF74" i="1"/>
  <c r="AH74" i="1"/>
  <c r="AM74" i="1"/>
  <c r="AN74" i="1"/>
  <c r="AO74" i="1"/>
  <c r="K75" i="1"/>
  <c r="L75" i="1"/>
  <c r="M75" i="1"/>
  <c r="P75" i="1" s="1"/>
  <c r="V75" i="1"/>
  <c r="Y75" i="1"/>
  <c r="Z75" i="1"/>
  <c r="AB75" i="1"/>
  <c r="AC75" i="1"/>
  <c r="AD75" i="1"/>
  <c r="T75" i="1" s="1"/>
  <c r="AE75" i="1"/>
  <c r="R18" i="3" s="1"/>
  <c r="AF75" i="1"/>
  <c r="AH75" i="1"/>
  <c r="AM75" i="1"/>
  <c r="AN75" i="1"/>
  <c r="AO75" i="1"/>
  <c r="K76" i="1"/>
  <c r="L76" i="1"/>
  <c r="M76" i="1"/>
  <c r="V76" i="1"/>
  <c r="Y76" i="1"/>
  <c r="Z76" i="1"/>
  <c r="AA76" i="1" s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A78" i="1" s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AA85" i="1" s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A87" i="1" s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S10" i="3" s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A101" i="1" s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A105" i="1" s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A109" i="1" s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A111" i="1" s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A113" i="1" s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A115" i="1" s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A117" i="1" s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A119" i="1" s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A121" i="1" s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/>
  <c r="V123" i="1"/>
  <c r="Y123" i="1"/>
  <c r="AA123" i="1" s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/>
  <c r="V125" i="1"/>
  <c r="Y125" i="1"/>
  <c r="Z125" i="1"/>
  <c r="AA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/>
  <c r="V127" i="1"/>
  <c r="Y127" i="1"/>
  <c r="AA127" i="1" s="1"/>
  <c r="Z127" i="1"/>
  <c r="AB127" i="1"/>
  <c r="AC127" i="1"/>
  <c r="AD127" i="1"/>
  <c r="T127" i="1" s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A130" i="1" s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S12" i="3" s="1"/>
  <c r="Y137" i="1"/>
  <c r="Z137" i="1"/>
  <c r="AB137" i="1"/>
  <c r="AC137" i="1"/>
  <c r="AD137" i="1"/>
  <c r="AE137" i="1"/>
  <c r="R12" i="3" s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A138" i="1" s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A143" i="1" s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/>
  <c r="V145" i="1"/>
  <c r="S16" i="3" s="1"/>
  <c r="Y145" i="1"/>
  <c r="Z145" i="1"/>
  <c r="AB145" i="1"/>
  <c r="AC145" i="1"/>
  <c r="AD145" i="1"/>
  <c r="AE145" i="1"/>
  <c r="R16" i="3" s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AO157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58" i="1"/>
  <c r="AM158" i="1"/>
  <c r="AN158" i="1"/>
  <c r="AO158" i="1"/>
  <c r="K208" i="1"/>
  <c r="L208" i="1"/>
  <c r="M208" i="1"/>
  <c r="N208" i="1" s="1"/>
  <c r="V208" i="1"/>
  <c r="Y208" i="1"/>
  <c r="Z208" i="1"/>
  <c r="AA208" i="1" s="1"/>
  <c r="AB208" i="1"/>
  <c r="AC208" i="1"/>
  <c r="AD208" i="1"/>
  <c r="AE208" i="1"/>
  <c r="AF208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0" i="1"/>
  <c r="AM160" i="1"/>
  <c r="AN160" i="1"/>
  <c r="AO160" i="1"/>
  <c r="K210" i="1"/>
  <c r="L210" i="1"/>
  <c r="M210" i="1"/>
  <c r="N210" i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 s="1"/>
  <c r="V216" i="1"/>
  <c r="S26" i="3" s="1"/>
  <c r="Y216" i="1"/>
  <c r="Z216" i="1"/>
  <c r="AB216" i="1"/>
  <c r="AC216" i="1"/>
  <c r="AD216" i="1"/>
  <c r="AE216" i="1"/>
  <c r="R26" i="3" s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AO168" i="1"/>
  <c r="K218" i="1"/>
  <c r="L218" i="1"/>
  <c r="M218" i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1" i="1"/>
  <c r="AM171" i="1"/>
  <c r="AN171" i="1"/>
  <c r="AO171" i="1"/>
  <c r="K227" i="1"/>
  <c r="L227" i="1"/>
  <c r="M227" i="1"/>
  <c r="N227" i="1" s="1"/>
  <c r="V227" i="1"/>
  <c r="S31" i="3" s="1"/>
  <c r="Y227" i="1"/>
  <c r="Z227" i="1"/>
  <c r="AB227" i="1"/>
  <c r="AC227" i="1"/>
  <c r="AD227" i="1"/>
  <c r="AE227" i="1"/>
  <c r="R31" i="3" s="1"/>
  <c r="AF227" i="1"/>
  <c r="AH172" i="1"/>
  <c r="AM172" i="1"/>
  <c r="AN172" i="1"/>
  <c r="AO172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3" i="1"/>
  <c r="AM173" i="1"/>
  <c r="AN173" i="1"/>
  <c r="AO173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4" i="1"/>
  <c r="AM174" i="1"/>
  <c r="AN174" i="1"/>
  <c r="AO174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5" i="1"/>
  <c r="AM175" i="1"/>
  <c r="AN175" i="1"/>
  <c r="AO175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6" i="1"/>
  <c r="AM176" i="1"/>
  <c r="AN176" i="1"/>
  <c r="AO176" i="1"/>
  <c r="K232" i="1"/>
  <c r="L232" i="1"/>
  <c r="M232" i="1"/>
  <c r="N232" i="1" s="1"/>
  <c r="V232" i="1"/>
  <c r="S28" i="3" s="1"/>
  <c r="Y232" i="1"/>
  <c r="Z232" i="1"/>
  <c r="AB232" i="1"/>
  <c r="AC232" i="1"/>
  <c r="AD232" i="1"/>
  <c r="AE232" i="1"/>
  <c r="AF232" i="1"/>
  <c r="AH177" i="1"/>
  <c r="AM177" i="1"/>
  <c r="AN177" i="1"/>
  <c r="AO177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8" i="1"/>
  <c r="AM178" i="1"/>
  <c r="AN178" i="1"/>
  <c r="AO178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9" i="1"/>
  <c r="AM179" i="1"/>
  <c r="AN179" i="1"/>
  <c r="AO179" i="1"/>
  <c r="K235" i="1"/>
  <c r="L235" i="1"/>
  <c r="M235" i="1"/>
  <c r="N235" i="1" s="1"/>
  <c r="V235" i="1"/>
  <c r="Y235" i="1"/>
  <c r="Z235" i="1"/>
  <c r="AB235" i="1"/>
  <c r="AC235" i="1"/>
  <c r="AD235" i="1"/>
  <c r="AE235" i="1"/>
  <c r="R30" i="3" s="1"/>
  <c r="AF235" i="1"/>
  <c r="AH180" i="1"/>
  <c r="AM180" i="1"/>
  <c r="AN180" i="1"/>
  <c r="AO180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1" i="1"/>
  <c r="AM181" i="1"/>
  <c r="AN181" i="1"/>
  <c r="AO181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2" i="1"/>
  <c r="AM182" i="1"/>
  <c r="AN182" i="1"/>
  <c r="AO182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3" i="1"/>
  <c r="AM183" i="1"/>
  <c r="AN183" i="1"/>
  <c r="AO183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4" i="1"/>
  <c r="AM184" i="1"/>
  <c r="AN184" i="1"/>
  <c r="AO184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6" i="1"/>
  <c r="AM186" i="1"/>
  <c r="AN186" i="1"/>
  <c r="AO186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87" i="1"/>
  <c r="AM187" i="1"/>
  <c r="AN187" i="1"/>
  <c r="AO187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8" i="1"/>
  <c r="AM188" i="1"/>
  <c r="AN188" i="1"/>
  <c r="AO188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9" i="1"/>
  <c r="AM189" i="1"/>
  <c r="AN189" i="1"/>
  <c r="AO189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0" i="1"/>
  <c r="AM190" i="1"/>
  <c r="AN190" i="1"/>
  <c r="AO190" i="1"/>
  <c r="K245" i="1"/>
  <c r="L245" i="1"/>
  <c r="M245" i="1"/>
  <c r="N245" i="1" s="1"/>
  <c r="V245" i="1"/>
  <c r="S27" i="3" s="1"/>
  <c r="Y245" i="1"/>
  <c r="Z245" i="1"/>
  <c r="AB245" i="1"/>
  <c r="AC245" i="1"/>
  <c r="AD245" i="1"/>
  <c r="AE245" i="1"/>
  <c r="R27" i="3" s="1"/>
  <c r="AF245" i="1"/>
  <c r="AH191" i="1"/>
  <c r="AM191" i="1"/>
  <c r="AN191" i="1"/>
  <c r="AO191" i="1"/>
  <c r="K246" i="1"/>
  <c r="L246" i="1"/>
  <c r="M246" i="1"/>
  <c r="N246" i="1" s="1"/>
  <c r="V246" i="1"/>
  <c r="Y246" i="1"/>
  <c r="Z246" i="1"/>
  <c r="AB246" i="1"/>
  <c r="AC246" i="1"/>
  <c r="AD246" i="1"/>
  <c r="X246" i="1" s="1"/>
  <c r="AE246" i="1"/>
  <c r="AF246" i="1"/>
  <c r="AH192" i="1"/>
  <c r="AM192" i="1"/>
  <c r="AN192" i="1"/>
  <c r="AO192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193" i="1"/>
  <c r="AM193" i="1"/>
  <c r="AN193" i="1"/>
  <c r="AO193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4" i="1"/>
  <c r="AM194" i="1"/>
  <c r="AN194" i="1"/>
  <c r="AO194" i="1"/>
  <c r="K249" i="1"/>
  <c r="L249" i="1"/>
  <c r="M249" i="1"/>
  <c r="N249" i="1" s="1"/>
  <c r="V249" i="1"/>
  <c r="Y249" i="1"/>
  <c r="Z249" i="1"/>
  <c r="AB249" i="1"/>
  <c r="AC249" i="1"/>
  <c r="AD249" i="1"/>
  <c r="AE249" i="1"/>
  <c r="AF249" i="1"/>
  <c r="AH195" i="1"/>
  <c r="AM195" i="1"/>
  <c r="AN195" i="1"/>
  <c r="AO195" i="1"/>
  <c r="K250" i="1"/>
  <c r="L250" i="1"/>
  <c r="M250" i="1"/>
  <c r="N250" i="1" s="1"/>
  <c r="V250" i="1"/>
  <c r="Y250" i="1"/>
  <c r="Z250" i="1"/>
  <c r="AB250" i="1"/>
  <c r="AC250" i="1"/>
  <c r="AD250" i="1"/>
  <c r="X250" i="1" s="1"/>
  <c r="AE250" i="1"/>
  <c r="AF250" i="1"/>
  <c r="AH196" i="1"/>
  <c r="AM196" i="1"/>
  <c r="AN196" i="1"/>
  <c r="AO196" i="1"/>
  <c r="K251" i="1"/>
  <c r="L251" i="1"/>
  <c r="M251" i="1"/>
  <c r="N251" i="1" s="1"/>
  <c r="V251" i="1"/>
  <c r="Y251" i="1"/>
  <c r="Z251" i="1"/>
  <c r="AB251" i="1"/>
  <c r="AC251" i="1"/>
  <c r="AD251" i="1"/>
  <c r="AE251" i="1"/>
  <c r="AF251" i="1"/>
  <c r="AH197" i="1"/>
  <c r="AM197" i="1"/>
  <c r="AN197" i="1"/>
  <c r="AO197" i="1"/>
  <c r="K252" i="1"/>
  <c r="L252" i="1"/>
  <c r="M252" i="1"/>
  <c r="N252" i="1" s="1"/>
  <c r="V252" i="1"/>
  <c r="Y252" i="1"/>
  <c r="Z252" i="1"/>
  <c r="AB252" i="1"/>
  <c r="AC252" i="1"/>
  <c r="AD252" i="1"/>
  <c r="T252" i="1" s="1"/>
  <c r="AE252" i="1"/>
  <c r="AF252" i="1"/>
  <c r="AH198" i="1"/>
  <c r="AM198" i="1"/>
  <c r="AN198" i="1"/>
  <c r="AO198" i="1"/>
  <c r="K253" i="1"/>
  <c r="L253" i="1"/>
  <c r="M253" i="1"/>
  <c r="N253" i="1" s="1"/>
  <c r="V253" i="1"/>
  <c r="Y253" i="1"/>
  <c r="Z253" i="1"/>
  <c r="AB253" i="1"/>
  <c r="AC253" i="1"/>
  <c r="AD253" i="1"/>
  <c r="AE253" i="1"/>
  <c r="AF253" i="1"/>
  <c r="AH199" i="1"/>
  <c r="AM199" i="1"/>
  <c r="AN199" i="1"/>
  <c r="AO199" i="1"/>
  <c r="K254" i="1"/>
  <c r="L254" i="1"/>
  <c r="M254" i="1"/>
  <c r="N254" i="1" s="1"/>
  <c r="V254" i="1"/>
  <c r="Y254" i="1"/>
  <c r="Z254" i="1"/>
  <c r="AB254" i="1"/>
  <c r="AC254" i="1"/>
  <c r="AD254" i="1"/>
  <c r="X254" i="1" s="1"/>
  <c r="AE254" i="1"/>
  <c r="AF254" i="1"/>
  <c r="AH200" i="1"/>
  <c r="AM200" i="1"/>
  <c r="AN200" i="1"/>
  <c r="AO200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202" i="1"/>
  <c r="AM202" i="1"/>
  <c r="AN202" i="1"/>
  <c r="AO202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203" i="1"/>
  <c r="AM203" i="1"/>
  <c r="AN203" i="1"/>
  <c r="AO203" i="1"/>
  <c r="K160" i="1"/>
  <c r="L160" i="1"/>
  <c r="M160" i="1"/>
  <c r="N160" i="1" s="1"/>
  <c r="V160" i="1"/>
  <c r="S23" i="3" s="1"/>
  <c r="Y160" i="1"/>
  <c r="Z160" i="1"/>
  <c r="AB160" i="1"/>
  <c r="AC160" i="1"/>
  <c r="AD160" i="1"/>
  <c r="AE160" i="1"/>
  <c r="R23" i="3" s="1"/>
  <c r="AF160" i="1"/>
  <c r="AH204" i="1"/>
  <c r="AM204" i="1"/>
  <c r="AN204" i="1"/>
  <c r="AO204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AF161" i="1"/>
  <c r="AH206" i="1"/>
  <c r="AM206" i="1"/>
  <c r="AN206" i="1"/>
  <c r="AO206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207" i="1"/>
  <c r="AM207" i="1"/>
  <c r="AN207" i="1"/>
  <c r="AO207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08" i="1"/>
  <c r="AM208" i="1"/>
  <c r="AN208" i="1"/>
  <c r="AO208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209" i="1"/>
  <c r="AM209" i="1"/>
  <c r="AN209" i="1"/>
  <c r="AO209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210" i="1"/>
  <c r="AM210" i="1"/>
  <c r="AN210" i="1"/>
  <c r="AO210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11" i="1"/>
  <c r="AM211" i="1"/>
  <c r="AN211" i="1"/>
  <c r="AO211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H212" i="1"/>
  <c r="AM212" i="1"/>
  <c r="AN212" i="1"/>
  <c r="AO212" i="1"/>
  <c r="K255" i="1"/>
  <c r="L255" i="1"/>
  <c r="M255" i="1"/>
  <c r="N255" i="1" s="1"/>
  <c r="V255" i="1"/>
  <c r="Y255" i="1"/>
  <c r="Z255" i="1"/>
  <c r="AB255" i="1"/>
  <c r="AC255" i="1"/>
  <c r="AD255" i="1"/>
  <c r="T255" i="1" s="1"/>
  <c r="AE255" i="1"/>
  <c r="AF255" i="1"/>
  <c r="AH213" i="1"/>
  <c r="AM213" i="1"/>
  <c r="AN213" i="1"/>
  <c r="AO213" i="1"/>
  <c r="K168" i="1"/>
  <c r="L168" i="1"/>
  <c r="M168" i="1"/>
  <c r="N168" i="1" s="1"/>
  <c r="V168" i="1"/>
  <c r="S22" i="3" s="1"/>
  <c r="Y168" i="1"/>
  <c r="Z168" i="1"/>
  <c r="AB168" i="1"/>
  <c r="AC168" i="1"/>
  <c r="AD168" i="1"/>
  <c r="T168" i="1" s="1"/>
  <c r="AE168" i="1"/>
  <c r="R22" i="3" s="1"/>
  <c r="AF168" i="1"/>
  <c r="AH214" i="1"/>
  <c r="AM214" i="1"/>
  <c r="AN214" i="1"/>
  <c r="AO214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15" i="1"/>
  <c r="AM215" i="1"/>
  <c r="AN215" i="1"/>
  <c r="AO215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216" i="1"/>
  <c r="AM216" i="1"/>
  <c r="AN216" i="1"/>
  <c r="AO21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17" i="1"/>
  <c r="AM217" i="1"/>
  <c r="AN217" i="1"/>
  <c r="AO21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18" i="1"/>
  <c r="AM218" i="1"/>
  <c r="AN218" i="1"/>
  <c r="AO218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19" i="1"/>
  <c r="AM219" i="1"/>
  <c r="AN219" i="1"/>
  <c r="AO219" i="1"/>
  <c r="K174" i="1"/>
  <c r="L174" i="1"/>
  <c r="M174" i="1"/>
  <c r="N174" i="1" s="1"/>
  <c r="V174" i="1"/>
  <c r="Y174" i="1"/>
  <c r="Z174" i="1"/>
  <c r="AA174" i="1" s="1"/>
  <c r="AB174" i="1"/>
  <c r="AC174" i="1"/>
  <c r="AD174" i="1"/>
  <c r="T174" i="1" s="1"/>
  <c r="AE174" i="1"/>
  <c r="AF174" i="1"/>
  <c r="AH220" i="1"/>
  <c r="AM220" i="1"/>
  <c r="AN220" i="1"/>
  <c r="AO220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21" i="1"/>
  <c r="AM221" i="1"/>
  <c r="AN221" i="1"/>
  <c r="AO221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22" i="1"/>
  <c r="AM222" i="1"/>
  <c r="AN222" i="1"/>
  <c r="AO222" i="1"/>
  <c r="K177" i="1"/>
  <c r="L177" i="1"/>
  <c r="M177" i="1"/>
  <c r="N177" i="1" s="1"/>
  <c r="V177" i="1"/>
  <c r="S25" i="3" s="1"/>
  <c r="Y177" i="1"/>
  <c r="Z177" i="1"/>
  <c r="AB177" i="1"/>
  <c r="AC177" i="1"/>
  <c r="AD177" i="1"/>
  <c r="T177" i="1" s="1"/>
  <c r="AE177" i="1"/>
  <c r="R25" i="3" s="1"/>
  <c r="AF177" i="1"/>
  <c r="AH223" i="1"/>
  <c r="AM223" i="1"/>
  <c r="AN223" i="1"/>
  <c r="AO223" i="1"/>
  <c r="K178" i="1"/>
  <c r="L178" i="1"/>
  <c r="M178" i="1"/>
  <c r="N178" i="1" s="1"/>
  <c r="V178" i="1"/>
  <c r="Y178" i="1"/>
  <c r="Z178" i="1"/>
  <c r="AA178" i="1" s="1"/>
  <c r="AB178" i="1"/>
  <c r="AC178" i="1"/>
  <c r="AD178" i="1"/>
  <c r="T178" i="1" s="1"/>
  <c r="AE178" i="1"/>
  <c r="AF178" i="1"/>
  <c r="AH224" i="1"/>
  <c r="AM224" i="1"/>
  <c r="AN224" i="1"/>
  <c r="AO22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25" i="1"/>
  <c r="AM225" i="1"/>
  <c r="AN225" i="1"/>
  <c r="AO225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26" i="1"/>
  <c r="AM226" i="1"/>
  <c r="AN226" i="1"/>
  <c r="AO226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27" i="1"/>
  <c r="AM227" i="1"/>
  <c r="AN227" i="1"/>
  <c r="AO227" i="1"/>
  <c r="K182" i="1"/>
  <c r="L182" i="1"/>
  <c r="M182" i="1"/>
  <c r="N182" i="1" s="1"/>
  <c r="V182" i="1"/>
  <c r="Y182" i="1"/>
  <c r="Z182" i="1"/>
  <c r="AA182" i="1" s="1"/>
  <c r="AB182" i="1"/>
  <c r="AC182" i="1"/>
  <c r="AD182" i="1"/>
  <c r="T182" i="1" s="1"/>
  <c r="AE182" i="1"/>
  <c r="AF182" i="1"/>
  <c r="AH228" i="1"/>
  <c r="AM228" i="1"/>
  <c r="AN228" i="1"/>
  <c r="AO22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29" i="1"/>
  <c r="AM229" i="1"/>
  <c r="AN229" i="1"/>
  <c r="AO22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30" i="1"/>
  <c r="AM230" i="1"/>
  <c r="AN230" i="1"/>
  <c r="AO230" i="1"/>
  <c r="K186" i="1"/>
  <c r="L186" i="1"/>
  <c r="M186" i="1"/>
  <c r="N186" i="1" s="1"/>
  <c r="V186" i="1"/>
  <c r="S24" i="3" s="1"/>
  <c r="Y186" i="1"/>
  <c r="Z186" i="1"/>
  <c r="AB186" i="1"/>
  <c r="AC186" i="1"/>
  <c r="AD186" i="1"/>
  <c r="T186" i="1" s="1"/>
  <c r="AE186" i="1"/>
  <c r="R24" i="3" s="1"/>
  <c r="AF186" i="1"/>
  <c r="AH231" i="1"/>
  <c r="AM231" i="1"/>
  <c r="AN231" i="1"/>
  <c r="AO231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AF187" i="1"/>
  <c r="AH232" i="1"/>
  <c r="AM232" i="1"/>
  <c r="AN232" i="1"/>
  <c r="AO232" i="1"/>
  <c r="K256" i="1"/>
  <c r="L256" i="1"/>
  <c r="M256" i="1"/>
  <c r="N256" i="1" s="1"/>
  <c r="V256" i="1"/>
  <c r="Y256" i="1"/>
  <c r="Z256" i="1"/>
  <c r="AB256" i="1"/>
  <c r="AC256" i="1"/>
  <c r="AD256" i="1"/>
  <c r="T256" i="1" s="1"/>
  <c r="AE256" i="1"/>
  <c r="AF256" i="1"/>
  <c r="AH233" i="1"/>
  <c r="AM233" i="1"/>
  <c r="AN233" i="1"/>
  <c r="AO23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34" i="1"/>
  <c r="AM234" i="1"/>
  <c r="AN234" i="1"/>
  <c r="AO234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35" i="1"/>
  <c r="AM235" i="1"/>
  <c r="AN235" i="1"/>
  <c r="AO235" i="1"/>
  <c r="K190" i="1"/>
  <c r="L190" i="1"/>
  <c r="M190" i="1"/>
  <c r="N190" i="1" s="1"/>
  <c r="V190" i="1"/>
  <c r="Y190" i="1"/>
  <c r="Z190" i="1"/>
  <c r="AA190" i="1" s="1"/>
  <c r="AB190" i="1"/>
  <c r="AC190" i="1"/>
  <c r="AD190" i="1"/>
  <c r="T190" i="1" s="1"/>
  <c r="AE190" i="1"/>
  <c r="AF190" i="1"/>
  <c r="AH236" i="1"/>
  <c r="AM236" i="1"/>
  <c r="AN236" i="1"/>
  <c r="AO236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37" i="1"/>
  <c r="AM237" i="1"/>
  <c r="AN237" i="1"/>
  <c r="AO23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38" i="1"/>
  <c r="AM238" i="1"/>
  <c r="AN238" i="1"/>
  <c r="AO23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39" i="1"/>
  <c r="AM239" i="1"/>
  <c r="AN239" i="1"/>
  <c r="AO239" i="1"/>
  <c r="K194" i="1"/>
  <c r="L194" i="1"/>
  <c r="M194" i="1"/>
  <c r="N194" i="1" s="1"/>
  <c r="V194" i="1"/>
  <c r="Y194" i="1"/>
  <c r="Z194" i="1"/>
  <c r="AA194" i="1" s="1"/>
  <c r="AB194" i="1"/>
  <c r="AC194" i="1"/>
  <c r="AD194" i="1"/>
  <c r="T194" i="1" s="1"/>
  <c r="AE194" i="1"/>
  <c r="AF194" i="1"/>
  <c r="AH240" i="1"/>
  <c r="AM240" i="1"/>
  <c r="AN240" i="1"/>
  <c r="AO240" i="1"/>
  <c r="K195" i="1"/>
  <c r="L195" i="1"/>
  <c r="M195" i="1"/>
  <c r="N195" i="1" s="1"/>
  <c r="V195" i="1"/>
  <c r="AB195" i="1"/>
  <c r="AC195" i="1"/>
  <c r="AD195" i="1"/>
  <c r="T195" i="1" s="1"/>
  <c r="AE195" i="1"/>
  <c r="AF195" i="1"/>
  <c r="AH241" i="1"/>
  <c r="AM241" i="1"/>
  <c r="AN241" i="1"/>
  <c r="AO241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42" i="1"/>
  <c r="AM242" i="1"/>
  <c r="AN242" i="1"/>
  <c r="AO242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43" i="1"/>
  <c r="AM243" i="1"/>
  <c r="AN243" i="1"/>
  <c r="AO243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44" i="1"/>
  <c r="AM244" i="1"/>
  <c r="AN244" i="1"/>
  <c r="AO244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45" i="1"/>
  <c r="AM245" i="1"/>
  <c r="AN245" i="1"/>
  <c r="AO245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46" i="1"/>
  <c r="AM246" i="1"/>
  <c r="AN246" i="1"/>
  <c r="AO246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47" i="1"/>
  <c r="AM247" i="1"/>
  <c r="AN247" i="1"/>
  <c r="AO247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48" i="1"/>
  <c r="AM248" i="1"/>
  <c r="AN248" i="1"/>
  <c r="AO248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49" i="1"/>
  <c r="AM249" i="1"/>
  <c r="AN249" i="1"/>
  <c r="AO249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50" i="1"/>
  <c r="AM250" i="1"/>
  <c r="AN250" i="1"/>
  <c r="AO25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51" i="1"/>
  <c r="AM251" i="1"/>
  <c r="AN251" i="1"/>
  <c r="AO251" i="1"/>
  <c r="K222" i="1"/>
  <c r="L222" i="1"/>
  <c r="M222" i="1"/>
  <c r="N222" i="1" s="1"/>
  <c r="V222" i="1"/>
  <c r="Y222" i="1"/>
  <c r="Z222" i="1"/>
  <c r="AA222" i="1" s="1"/>
  <c r="AB222" i="1"/>
  <c r="AC222" i="1"/>
  <c r="AD222" i="1"/>
  <c r="T222" i="1" s="1"/>
  <c r="AE222" i="1"/>
  <c r="AF222" i="1"/>
  <c r="AH252" i="1"/>
  <c r="AM252" i="1"/>
  <c r="AN252" i="1"/>
  <c r="AO25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53" i="1"/>
  <c r="AM253" i="1"/>
  <c r="AN253" i="1"/>
  <c r="AO25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54" i="1"/>
  <c r="AM254" i="1"/>
  <c r="AN254" i="1"/>
  <c r="AO254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H255" i="1"/>
  <c r="AM255" i="1"/>
  <c r="AN255" i="1"/>
  <c r="AO255" i="1"/>
  <c r="K226" i="1"/>
  <c r="L226" i="1"/>
  <c r="M226" i="1"/>
  <c r="N226" i="1" s="1"/>
  <c r="V226" i="1"/>
  <c r="Y226" i="1"/>
  <c r="Z226" i="1"/>
  <c r="AA226" i="1" s="1"/>
  <c r="AB226" i="1"/>
  <c r="AC226" i="1"/>
  <c r="AD226" i="1"/>
  <c r="T226" i="1" s="1"/>
  <c r="AE226" i="1"/>
  <c r="AF226" i="1"/>
  <c r="AH256" i="1"/>
  <c r="AM256" i="1"/>
  <c r="AN256" i="1"/>
  <c r="AO256" i="1"/>
  <c r="M11" i="3"/>
  <c r="U11" i="3"/>
  <c r="T11" i="3" s="1"/>
  <c r="V11" i="3"/>
  <c r="X11" i="3"/>
  <c r="M23" i="3"/>
  <c r="U23" i="3"/>
  <c r="AC23" i="3" s="1"/>
  <c r="V23" i="3"/>
  <c r="X23" i="3"/>
  <c r="M17" i="3"/>
  <c r="U17" i="3"/>
  <c r="AC17" i="3" s="1"/>
  <c r="V17" i="3"/>
  <c r="X17" i="3"/>
  <c r="M19" i="3"/>
  <c r="U19" i="3"/>
  <c r="V19" i="3"/>
  <c r="X19" i="3"/>
  <c r="M14" i="3"/>
  <c r="U14" i="3"/>
  <c r="T14" i="3" s="1"/>
  <c r="V14" i="3"/>
  <c r="X14" i="3"/>
  <c r="M20" i="3"/>
  <c r="U20" i="3"/>
  <c r="AC20" i="3" s="1"/>
  <c r="V20" i="3"/>
  <c r="X20" i="3"/>
  <c r="M15" i="3"/>
  <c r="U15" i="3"/>
  <c r="AC15" i="3" s="1"/>
  <c r="V15" i="3"/>
  <c r="X15" i="3"/>
  <c r="M22" i="3"/>
  <c r="U22" i="3"/>
  <c r="V22" i="3"/>
  <c r="X22" i="3"/>
  <c r="M8" i="3"/>
  <c r="U8" i="3"/>
  <c r="T8" i="3" s="1"/>
  <c r="V8" i="3"/>
  <c r="X8" i="3"/>
  <c r="M21" i="3"/>
  <c r="U21" i="3"/>
  <c r="AC21" i="3" s="1"/>
  <c r="V21" i="3"/>
  <c r="X21" i="3"/>
  <c r="M18" i="3"/>
  <c r="U18" i="3"/>
  <c r="AC18" i="3" s="1"/>
  <c r="V18" i="3"/>
  <c r="X18" i="3"/>
  <c r="M31" i="3"/>
  <c r="U31" i="3"/>
  <c r="V31" i="3"/>
  <c r="X31" i="3"/>
  <c r="M25" i="3"/>
  <c r="U25" i="3"/>
  <c r="T25" i="3" s="1"/>
  <c r="V25" i="3"/>
  <c r="X25" i="3"/>
  <c r="M28" i="3"/>
  <c r="U28" i="3"/>
  <c r="V28" i="3"/>
  <c r="X28" i="3"/>
  <c r="M27" i="3"/>
  <c r="U27" i="3"/>
  <c r="T27" i="3" s="1"/>
  <c r="V27" i="3"/>
  <c r="X27" i="3"/>
  <c r="M7" i="3"/>
  <c r="U7" i="3"/>
  <c r="AC7" i="3" s="1"/>
  <c r="V7" i="3"/>
  <c r="X7" i="3"/>
  <c r="M10" i="3"/>
  <c r="U10" i="3"/>
  <c r="AC10" i="3" s="1"/>
  <c r="V10" i="3"/>
  <c r="X10" i="3"/>
  <c r="M30" i="3"/>
  <c r="U30" i="3"/>
  <c r="AD30" i="3" s="1"/>
  <c r="V30" i="3"/>
  <c r="X30" i="3"/>
  <c r="M29" i="3"/>
  <c r="U29" i="3"/>
  <c r="V29" i="3"/>
  <c r="X29" i="3"/>
  <c r="M24" i="3"/>
  <c r="U24" i="3"/>
  <c r="AC24" i="3" s="1"/>
  <c r="V24" i="3"/>
  <c r="X24" i="3"/>
  <c r="M12" i="3"/>
  <c r="U12" i="3"/>
  <c r="T12" i="3" s="1"/>
  <c r="V12" i="3"/>
  <c r="X12" i="3"/>
  <c r="M9" i="3"/>
  <c r="U9" i="3"/>
  <c r="AC9" i="3" s="1"/>
  <c r="V9" i="3"/>
  <c r="X9" i="3"/>
  <c r="M16" i="3"/>
  <c r="U16" i="3"/>
  <c r="AC16" i="3" s="1"/>
  <c r="V16" i="3"/>
  <c r="X16" i="3"/>
  <c r="M26" i="3"/>
  <c r="U26" i="3"/>
  <c r="V26" i="3"/>
  <c r="X26" i="3"/>
  <c r="R11" i="3"/>
  <c r="S17" i="3"/>
  <c r="S8" i="3"/>
  <c r="R8" i="3"/>
  <c r="S21" i="3"/>
  <c r="S18" i="3"/>
  <c r="M13" i="3"/>
  <c r="U13" i="3"/>
  <c r="AC13" i="3" s="1"/>
  <c r="V13" i="3"/>
  <c r="X13" i="3"/>
  <c r="AG185" i="1"/>
  <c r="AG46" i="1"/>
  <c r="AG15" i="1"/>
  <c r="AG25" i="1"/>
  <c r="AG33" i="1"/>
  <c r="AG39" i="1"/>
  <c r="AG17" i="1"/>
  <c r="AG26" i="1"/>
  <c r="AG34" i="1"/>
  <c r="AG53" i="1"/>
  <c r="AG57" i="1"/>
  <c r="AG61" i="1"/>
  <c r="AG65" i="1"/>
  <c r="AG69" i="1"/>
  <c r="AG18" i="1"/>
  <c r="AG27" i="1"/>
  <c r="AG37" i="1"/>
  <c r="AG42" i="1"/>
  <c r="AG28" i="1"/>
  <c r="AG16" i="1"/>
  <c r="AG56" i="1"/>
  <c r="AG62" i="1"/>
  <c r="AG67" i="1"/>
  <c r="AG72" i="1"/>
  <c r="AG76" i="1"/>
  <c r="AG80" i="1"/>
  <c r="AG84" i="1"/>
  <c r="AG43" i="1"/>
  <c r="AG48" i="1"/>
  <c r="AG88" i="1"/>
  <c r="AG92" i="1"/>
  <c r="AG96" i="1"/>
  <c r="AG100" i="1"/>
  <c r="AG104" i="1"/>
  <c r="AG108" i="1"/>
  <c r="AG112" i="1"/>
  <c r="AG116" i="1"/>
  <c r="AG120" i="1"/>
  <c r="AG124" i="1"/>
  <c r="AG128" i="1"/>
  <c r="AG132" i="1"/>
  <c r="AG136" i="1"/>
  <c r="AG193" i="1"/>
  <c r="AG221" i="1"/>
  <c r="AG142" i="1"/>
  <c r="AG150" i="1"/>
  <c r="AG207" i="1"/>
  <c r="AG215" i="1"/>
  <c r="AG229" i="1"/>
  <c r="AG237" i="1"/>
  <c r="AG244" i="1"/>
  <c r="AG248" i="1"/>
  <c r="AG252" i="1"/>
  <c r="AG159" i="1"/>
  <c r="AG163" i="1"/>
  <c r="AG167" i="1"/>
  <c r="AG170" i="1"/>
  <c r="AG174" i="1"/>
  <c r="AG178" i="1"/>
  <c r="AG182" i="1"/>
  <c r="AG187" i="1"/>
  <c r="AG145" i="1"/>
  <c r="AG153" i="1"/>
  <c r="AG210" i="1"/>
  <c r="AG218" i="1"/>
  <c r="AG232" i="1"/>
  <c r="AG240" i="1"/>
  <c r="AG190" i="1"/>
  <c r="AG195" i="1"/>
  <c r="AG202" i="1"/>
  <c r="AG223" i="1"/>
  <c r="AG89" i="1"/>
  <c r="AG113" i="1"/>
  <c r="AG125" i="1"/>
  <c r="AG133" i="1"/>
  <c r="AG196" i="1"/>
  <c r="AG144" i="1"/>
  <c r="AG209" i="1"/>
  <c r="AG231" i="1"/>
  <c r="AG245" i="1"/>
  <c r="AG253" i="1"/>
  <c r="AG160" i="1"/>
  <c r="AG255" i="1"/>
  <c r="AG175" i="1"/>
  <c r="AG183" i="1"/>
  <c r="AG139" i="1"/>
  <c r="AG155" i="1"/>
  <c r="AG220" i="1"/>
  <c r="AG242" i="1"/>
  <c r="AG197" i="1"/>
  <c r="AG225" i="1"/>
  <c r="AG19" i="1"/>
  <c r="AG29" i="1"/>
  <c r="AG38" i="1"/>
  <c r="AG20" i="1"/>
  <c r="AG30" i="1"/>
  <c r="AG52" i="1"/>
  <c r="AG58" i="1"/>
  <c r="AG63" i="1"/>
  <c r="AG68" i="1"/>
  <c r="AG73" i="1"/>
  <c r="AG77" i="1"/>
  <c r="AG81" i="1"/>
  <c r="AG85" i="1"/>
  <c r="AG44" i="1"/>
  <c r="AG49" i="1"/>
  <c r="AG93" i="1"/>
  <c r="AG97" i="1"/>
  <c r="AG101" i="1"/>
  <c r="AG105" i="1"/>
  <c r="AG109" i="1"/>
  <c r="AG117" i="1"/>
  <c r="AG121" i="1"/>
  <c r="AG129" i="1"/>
  <c r="AG137" i="1"/>
  <c r="AG224" i="1"/>
  <c r="AG152" i="1"/>
  <c r="AG217" i="1"/>
  <c r="AG239" i="1"/>
  <c r="AG249" i="1"/>
  <c r="AG164" i="1"/>
  <c r="AG171" i="1"/>
  <c r="AG179" i="1"/>
  <c r="AG147" i="1"/>
  <c r="AG212" i="1"/>
  <c r="AG234" i="1"/>
  <c r="AG191" i="1"/>
  <c r="AG204" i="1"/>
  <c r="AG135" i="1"/>
  <c r="AG156" i="1"/>
  <c r="AG227" i="1"/>
  <c r="AG243" i="1"/>
  <c r="AG251" i="1"/>
  <c r="AG162" i="1"/>
  <c r="AG169" i="1"/>
  <c r="AG177" i="1"/>
  <c r="AG186" i="1"/>
  <c r="AG151" i="1"/>
  <c r="AG216" i="1"/>
  <c r="AG238" i="1"/>
  <c r="AG194" i="1"/>
  <c r="AG222" i="1"/>
  <c r="AG21" i="1"/>
  <c r="AG31" i="1"/>
  <c r="AG40" i="1"/>
  <c r="AG22" i="1"/>
  <c r="AG32" i="1"/>
  <c r="AG54" i="1"/>
  <c r="AG59" i="1"/>
  <c r="AG64" i="1"/>
  <c r="AG70" i="1"/>
  <c r="AG74" i="1"/>
  <c r="AG78" i="1"/>
  <c r="AG82" i="1"/>
  <c r="AG86" i="1"/>
  <c r="AG45" i="1"/>
  <c r="AG50" i="1"/>
  <c r="AG90" i="1"/>
  <c r="AG94" i="1"/>
  <c r="AG98" i="1"/>
  <c r="AG102" i="1"/>
  <c r="AG106" i="1"/>
  <c r="AG110" i="1"/>
  <c r="AG114" i="1"/>
  <c r="AG118" i="1"/>
  <c r="AG122" i="1"/>
  <c r="AG126" i="1"/>
  <c r="AG130" i="1"/>
  <c r="AG134" i="1"/>
  <c r="AG138" i="1"/>
  <c r="AG199" i="1"/>
  <c r="AG226" i="1"/>
  <c r="AG146" i="1"/>
  <c r="AG154" i="1"/>
  <c r="AG211" i="1"/>
  <c r="AG219" i="1"/>
  <c r="AG233" i="1"/>
  <c r="AG241" i="1"/>
  <c r="AG246" i="1"/>
  <c r="AG250" i="1"/>
  <c r="AG254" i="1"/>
  <c r="AG161" i="1"/>
  <c r="AG165" i="1"/>
  <c r="AG168" i="1"/>
  <c r="AG172" i="1"/>
  <c r="AG176" i="1"/>
  <c r="AG180" i="1"/>
  <c r="AG184" i="1"/>
  <c r="AG141" i="1"/>
  <c r="AG149" i="1"/>
  <c r="AG157" i="1"/>
  <c r="AG214" i="1"/>
  <c r="AG228" i="1"/>
  <c r="AG236" i="1"/>
  <c r="AG256" i="1"/>
  <c r="AG192" i="1"/>
  <c r="AG198" i="1"/>
  <c r="AG206" i="1"/>
  <c r="AG14" i="1"/>
  <c r="AG23" i="1"/>
  <c r="AG36" i="1"/>
  <c r="AG41" i="1"/>
  <c r="AG24" i="1"/>
  <c r="AG35" i="1"/>
  <c r="AG55" i="1"/>
  <c r="AG60" i="1"/>
  <c r="AG66" i="1"/>
  <c r="AG71" i="1"/>
  <c r="AG75" i="1"/>
  <c r="AG79" i="1"/>
  <c r="AG83" i="1"/>
  <c r="AG87" i="1"/>
  <c r="AG47" i="1"/>
  <c r="AG51" i="1"/>
  <c r="AG91" i="1"/>
  <c r="AG95" i="1"/>
  <c r="AG99" i="1"/>
  <c r="AG103" i="1"/>
  <c r="AG107" i="1"/>
  <c r="AG111" i="1"/>
  <c r="AG115" i="1"/>
  <c r="AG119" i="1"/>
  <c r="AG123" i="1"/>
  <c r="AG127" i="1"/>
  <c r="AG131" i="1"/>
  <c r="AG188" i="1"/>
  <c r="AG203" i="1"/>
  <c r="AG140" i="1"/>
  <c r="AG148" i="1"/>
  <c r="AG213" i="1"/>
  <c r="AG235" i="1"/>
  <c r="AG247" i="1"/>
  <c r="AG158" i="1"/>
  <c r="AG166" i="1"/>
  <c r="AG173" i="1"/>
  <c r="AG181" i="1"/>
  <c r="AG143" i="1"/>
  <c r="AG208" i="1"/>
  <c r="AG230" i="1"/>
  <c r="AG189" i="1"/>
  <c r="AG200" i="1"/>
  <c r="W8" i="3"/>
  <c r="W10" i="3"/>
  <c r="W31" i="3"/>
  <c r="W27" i="3"/>
  <c r="W18" i="3"/>
  <c r="W21" i="3"/>
  <c r="W28" i="3"/>
  <c r="W26" i="3"/>
  <c r="W9" i="3"/>
  <c r="W11" i="3"/>
  <c r="W30" i="3"/>
  <c r="W14" i="3"/>
  <c r="W23" i="3"/>
  <c r="W7" i="3"/>
  <c r="W29" i="3"/>
  <c r="W19" i="3"/>
  <c r="W20" i="3"/>
  <c r="W16" i="3"/>
  <c r="W17" i="3"/>
  <c r="W22" i="3"/>
  <c r="W25" i="3"/>
  <c r="W12" i="3"/>
  <c r="W15" i="3"/>
  <c r="W24" i="3"/>
  <c r="W13" i="3"/>
  <c r="AI185" i="1" l="1"/>
  <c r="U185" i="1"/>
  <c r="S185" i="1" s="1"/>
  <c r="W185" i="1"/>
  <c r="AI46" i="1"/>
  <c r="U46" i="1"/>
  <c r="S46" i="1" s="1"/>
  <c r="W46" i="1"/>
  <c r="AE22" i="3"/>
  <c r="AE19" i="3"/>
  <c r="AA221" i="1"/>
  <c r="AA202" i="1"/>
  <c r="AA197" i="1"/>
  <c r="AA193" i="1"/>
  <c r="AA189" i="1"/>
  <c r="AA186" i="1"/>
  <c r="AA181" i="1"/>
  <c r="AA177" i="1"/>
  <c r="AA173" i="1"/>
  <c r="AA169" i="1"/>
  <c r="AA166" i="1"/>
  <c r="AA212" i="1"/>
  <c r="AA147" i="1"/>
  <c r="AA137" i="1"/>
  <c r="AA133" i="1"/>
  <c r="AA129" i="1"/>
  <c r="AA120" i="1"/>
  <c r="AA116" i="1"/>
  <c r="AA112" i="1"/>
  <c r="AA108" i="1"/>
  <c r="AA104" i="1"/>
  <c r="AA100" i="1"/>
  <c r="AA96" i="1"/>
  <c r="AA92" i="1"/>
  <c r="AA88" i="1"/>
  <c r="AA86" i="1"/>
  <c r="AA77" i="1"/>
  <c r="AA73" i="1"/>
  <c r="AA69" i="1"/>
  <c r="AA65" i="1"/>
  <c r="AA61" i="1"/>
  <c r="AA57" i="1"/>
  <c r="AA42" i="1"/>
  <c r="AA37" i="1"/>
  <c r="AA223" i="1"/>
  <c r="AA204" i="1"/>
  <c r="AA199" i="1"/>
  <c r="AA195" i="1"/>
  <c r="AA191" i="1"/>
  <c r="AA256" i="1"/>
  <c r="AA183" i="1"/>
  <c r="AA179" i="1"/>
  <c r="AA175" i="1"/>
  <c r="AA171" i="1"/>
  <c r="AA255" i="1"/>
  <c r="AA155" i="1"/>
  <c r="AA139" i="1"/>
  <c r="AA135" i="1"/>
  <c r="AA131" i="1"/>
  <c r="AA126" i="1"/>
  <c r="AA124" i="1"/>
  <c r="AA122" i="1"/>
  <c r="AA118" i="1"/>
  <c r="AA114" i="1"/>
  <c r="AA110" i="1"/>
  <c r="AA106" i="1"/>
  <c r="AA102" i="1"/>
  <c r="AA98" i="1"/>
  <c r="AA94" i="1"/>
  <c r="AA90" i="1"/>
  <c r="AA83" i="1"/>
  <c r="AA75" i="1"/>
  <c r="AA71" i="1"/>
  <c r="AA67" i="1"/>
  <c r="AA63" i="1"/>
  <c r="AA59" i="1"/>
  <c r="AA55" i="1"/>
  <c r="AA224" i="1"/>
  <c r="AA206" i="1"/>
  <c r="AA200" i="1"/>
  <c r="AA196" i="1"/>
  <c r="AA192" i="1"/>
  <c r="AA188" i="1"/>
  <c r="AA184" i="1"/>
  <c r="AA180" i="1"/>
  <c r="AA176" i="1"/>
  <c r="AA172" i="1"/>
  <c r="AA168" i="1"/>
  <c r="AA165" i="1"/>
  <c r="AA151" i="1"/>
  <c r="AA136" i="1"/>
  <c r="AA132" i="1"/>
  <c r="AA128" i="1"/>
  <c r="X127" i="1"/>
  <c r="AA107" i="1"/>
  <c r="AA103" i="1"/>
  <c r="AA99" i="1"/>
  <c r="AA95" i="1"/>
  <c r="AA91" i="1"/>
  <c r="AA84" i="1"/>
  <c r="AA36" i="1"/>
  <c r="AA16" i="1"/>
  <c r="X162" i="1"/>
  <c r="X158" i="1"/>
  <c r="X251" i="1"/>
  <c r="X247" i="1"/>
  <c r="AA214" i="1"/>
  <c r="AA157" i="1"/>
  <c r="AA149" i="1"/>
  <c r="AA141" i="1"/>
  <c r="AA82" i="1"/>
  <c r="AA81" i="1"/>
  <c r="AA80" i="1"/>
  <c r="AA79" i="1"/>
  <c r="X41" i="1"/>
  <c r="AA40" i="1"/>
  <c r="T40" i="1"/>
  <c r="X39" i="1"/>
  <c r="AA38" i="1"/>
  <c r="AA17" i="1"/>
  <c r="AA35" i="1"/>
  <c r="X164" i="1"/>
  <c r="X160" i="1"/>
  <c r="X253" i="1"/>
  <c r="X249" i="1"/>
  <c r="X245" i="1"/>
  <c r="AA210" i="1"/>
  <c r="AA153" i="1"/>
  <c r="AA145" i="1"/>
  <c r="X79" i="1"/>
  <c r="AA41" i="1"/>
  <c r="AA39" i="1"/>
  <c r="X38" i="1"/>
  <c r="AA20" i="1"/>
  <c r="AI255" i="1"/>
  <c r="U225" i="1"/>
  <c r="S225" i="1" s="1"/>
  <c r="U223" i="1"/>
  <c r="S223" i="1" s="1"/>
  <c r="AI253" i="1"/>
  <c r="AI252" i="1"/>
  <c r="U222" i="1"/>
  <c r="S222" i="1" s="1"/>
  <c r="U206" i="1"/>
  <c r="S206" i="1" s="1"/>
  <c r="AI250" i="1"/>
  <c r="AI249" i="1"/>
  <c r="U204" i="1"/>
  <c r="S204" i="1" s="1"/>
  <c r="AI247" i="1"/>
  <c r="U202" i="1"/>
  <c r="S202" i="1" s="1"/>
  <c r="AI246" i="1"/>
  <c r="U200" i="1"/>
  <c r="S200" i="1" s="1"/>
  <c r="AI244" i="1"/>
  <c r="U198" i="1"/>
  <c r="S198" i="1" s="1"/>
  <c r="AI243" i="1"/>
  <c r="U197" i="1"/>
  <c r="S197" i="1" s="1"/>
  <c r="AI241" i="1"/>
  <c r="U195" i="1"/>
  <c r="S195" i="1" s="1"/>
  <c r="AI240" i="1"/>
  <c r="U194" i="1"/>
  <c r="S194" i="1" s="1"/>
  <c r="AI238" i="1"/>
  <c r="U192" i="1"/>
  <c r="S192" i="1" s="1"/>
  <c r="AI237" i="1"/>
  <c r="U191" i="1"/>
  <c r="S191" i="1" s="1"/>
  <c r="AI236" i="1"/>
  <c r="U190" i="1"/>
  <c r="S190" i="1" s="1"/>
  <c r="AI235" i="1"/>
  <c r="U189" i="1"/>
  <c r="S189" i="1" s="1"/>
  <c r="AI233" i="1"/>
  <c r="U256" i="1"/>
  <c r="S256" i="1" s="1"/>
  <c r="AI188" i="1"/>
  <c r="AI186" i="1"/>
  <c r="AI183" i="1"/>
  <c r="AI181" i="1"/>
  <c r="AI179" i="1"/>
  <c r="AI177" i="1"/>
  <c r="AI175" i="1"/>
  <c r="AI173" i="1"/>
  <c r="AI171" i="1"/>
  <c r="AI169" i="1"/>
  <c r="AI167" i="1"/>
  <c r="AI165" i="1"/>
  <c r="AI163" i="1"/>
  <c r="AI161" i="1"/>
  <c r="AI159" i="1"/>
  <c r="AI157" i="1"/>
  <c r="AI155" i="1"/>
  <c r="AI153" i="1"/>
  <c r="AI151" i="1"/>
  <c r="AI149" i="1"/>
  <c r="AI147" i="1"/>
  <c r="AI145" i="1"/>
  <c r="AI143" i="1"/>
  <c r="AI141" i="1"/>
  <c r="AI139" i="1"/>
  <c r="U187" i="1"/>
  <c r="S187" i="1" s="1"/>
  <c r="AI232" i="1"/>
  <c r="U186" i="1"/>
  <c r="S186" i="1" s="1"/>
  <c r="AI231" i="1"/>
  <c r="U184" i="1"/>
  <c r="S184" i="1" s="1"/>
  <c r="AI230" i="1"/>
  <c r="U183" i="1"/>
  <c r="S183" i="1" s="1"/>
  <c r="AI229" i="1"/>
  <c r="U182" i="1"/>
  <c r="S182" i="1" s="1"/>
  <c r="AI228" i="1"/>
  <c r="U181" i="1"/>
  <c r="S181" i="1" s="1"/>
  <c r="AI227" i="1"/>
  <c r="U180" i="1"/>
  <c r="S180" i="1" s="1"/>
  <c r="AI226" i="1"/>
  <c r="U179" i="1"/>
  <c r="S179" i="1" s="1"/>
  <c r="AI225" i="1"/>
  <c r="U178" i="1"/>
  <c r="S178" i="1" s="1"/>
  <c r="AI224" i="1"/>
  <c r="U177" i="1"/>
  <c r="S177" i="1" s="1"/>
  <c r="AI223" i="1"/>
  <c r="U176" i="1"/>
  <c r="S176" i="1" s="1"/>
  <c r="AI222" i="1"/>
  <c r="U175" i="1"/>
  <c r="S175" i="1" s="1"/>
  <c r="AI221" i="1"/>
  <c r="U174" i="1"/>
  <c r="S174" i="1" s="1"/>
  <c r="AI220" i="1"/>
  <c r="U173" i="1"/>
  <c r="S173" i="1" s="1"/>
  <c r="AI219" i="1"/>
  <c r="U172" i="1"/>
  <c r="S172" i="1" s="1"/>
  <c r="AI218" i="1"/>
  <c r="U171" i="1"/>
  <c r="S171" i="1" s="1"/>
  <c r="AI217" i="1"/>
  <c r="U170" i="1"/>
  <c r="S170" i="1" s="1"/>
  <c r="AI216" i="1"/>
  <c r="U169" i="1"/>
  <c r="S169" i="1" s="1"/>
  <c r="AI215" i="1"/>
  <c r="U168" i="1"/>
  <c r="S168" i="1" s="1"/>
  <c r="AI214" i="1"/>
  <c r="U255" i="1"/>
  <c r="S255" i="1" s="1"/>
  <c r="AI213" i="1"/>
  <c r="U167" i="1"/>
  <c r="S167" i="1" s="1"/>
  <c r="AI212" i="1"/>
  <c r="U166" i="1"/>
  <c r="S166" i="1" s="1"/>
  <c r="AI211" i="1"/>
  <c r="U165" i="1"/>
  <c r="S165" i="1" s="1"/>
  <c r="AI210" i="1"/>
  <c r="AI209" i="1"/>
  <c r="AI208" i="1"/>
  <c r="U163" i="1"/>
  <c r="S163" i="1" s="1"/>
  <c r="AI207" i="1"/>
  <c r="AI206" i="1"/>
  <c r="AI204" i="1"/>
  <c r="AI203" i="1"/>
  <c r="U159" i="1"/>
  <c r="S159" i="1" s="1"/>
  <c r="AI202" i="1"/>
  <c r="AI200" i="1"/>
  <c r="AI199" i="1"/>
  <c r="AI198" i="1"/>
  <c r="U252" i="1"/>
  <c r="S252" i="1" s="1"/>
  <c r="AI197" i="1"/>
  <c r="AI196" i="1"/>
  <c r="AI195" i="1"/>
  <c r="AI194" i="1"/>
  <c r="U248" i="1"/>
  <c r="S248" i="1" s="1"/>
  <c r="AI193" i="1"/>
  <c r="AI192" i="1"/>
  <c r="AI191" i="1"/>
  <c r="AI190" i="1"/>
  <c r="U244" i="1"/>
  <c r="S244" i="1" s="1"/>
  <c r="AI189" i="1"/>
  <c r="AI187" i="1"/>
  <c r="AI184" i="1"/>
  <c r="AI182" i="1"/>
  <c r="AI180" i="1"/>
  <c r="AI178" i="1"/>
  <c r="AI176" i="1"/>
  <c r="AI174" i="1"/>
  <c r="AI172" i="1"/>
  <c r="AI170" i="1"/>
  <c r="AI168" i="1"/>
  <c r="AI166" i="1"/>
  <c r="AI164" i="1"/>
  <c r="AI162" i="1"/>
  <c r="AI160" i="1"/>
  <c r="AI158" i="1"/>
  <c r="AI156" i="1"/>
  <c r="AI154" i="1"/>
  <c r="AI152" i="1"/>
  <c r="AI150" i="1"/>
  <c r="AI148" i="1"/>
  <c r="AI146" i="1"/>
  <c r="AI144" i="1"/>
  <c r="AI142" i="1"/>
  <c r="AI140" i="1"/>
  <c r="U226" i="1"/>
  <c r="S226" i="1" s="1"/>
  <c r="AI256" i="1"/>
  <c r="U224" i="1"/>
  <c r="S224" i="1" s="1"/>
  <c r="AI254" i="1"/>
  <c r="U221" i="1"/>
  <c r="S221" i="1" s="1"/>
  <c r="AI251" i="1"/>
  <c r="U203" i="1"/>
  <c r="S203" i="1" s="1"/>
  <c r="AI248" i="1"/>
  <c r="U199" i="1"/>
  <c r="S199" i="1" s="1"/>
  <c r="AI245" i="1"/>
  <c r="U196" i="1"/>
  <c r="S196" i="1" s="1"/>
  <c r="AI242" i="1"/>
  <c r="U193" i="1"/>
  <c r="S193" i="1" s="1"/>
  <c r="AI239" i="1"/>
  <c r="U188" i="1"/>
  <c r="S188" i="1" s="1"/>
  <c r="AI234" i="1"/>
  <c r="AI138" i="1"/>
  <c r="AI137" i="1"/>
  <c r="AI136" i="1"/>
  <c r="AI135" i="1"/>
  <c r="AI134" i="1"/>
  <c r="AI133" i="1"/>
  <c r="AI132" i="1"/>
  <c r="AI131" i="1"/>
  <c r="AI130" i="1"/>
  <c r="AI129" i="1"/>
  <c r="AI128" i="1"/>
  <c r="U127" i="1"/>
  <c r="S127" i="1" s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51" i="1"/>
  <c r="U51" i="1"/>
  <c r="S51" i="1" s="1"/>
  <c r="AI50" i="1"/>
  <c r="U50" i="1"/>
  <c r="S50" i="1" s="1"/>
  <c r="AI49" i="1"/>
  <c r="U49" i="1"/>
  <c r="S49" i="1" s="1"/>
  <c r="AI48" i="1"/>
  <c r="U48" i="1"/>
  <c r="S48" i="1" s="1"/>
  <c r="AI47" i="1"/>
  <c r="U47" i="1"/>
  <c r="S47" i="1" s="1"/>
  <c r="AI45" i="1"/>
  <c r="U45" i="1"/>
  <c r="S45" i="1" s="1"/>
  <c r="AI44" i="1"/>
  <c r="U44" i="1"/>
  <c r="S44" i="1" s="1"/>
  <c r="AI43" i="1"/>
  <c r="U43" i="1"/>
  <c r="S43" i="1" s="1"/>
  <c r="U87" i="1"/>
  <c r="S87" i="1" s="1"/>
  <c r="AI87" i="1"/>
  <c r="AI86" i="1"/>
  <c r="U85" i="1"/>
  <c r="S85" i="1" s="1"/>
  <c r="AI85" i="1"/>
  <c r="AI84" i="1"/>
  <c r="U83" i="1"/>
  <c r="S83" i="1" s="1"/>
  <c r="AI83" i="1"/>
  <c r="AI82" i="1"/>
  <c r="U81" i="1"/>
  <c r="S81" i="1" s="1"/>
  <c r="AI81" i="1"/>
  <c r="AI80" i="1"/>
  <c r="U79" i="1"/>
  <c r="S79" i="1" s="1"/>
  <c r="AI79" i="1"/>
  <c r="AI78" i="1"/>
  <c r="U77" i="1"/>
  <c r="S77" i="1" s="1"/>
  <c r="AI77" i="1"/>
  <c r="AI76" i="1"/>
  <c r="U75" i="1"/>
  <c r="S75" i="1" s="1"/>
  <c r="AI75" i="1"/>
  <c r="AI74" i="1"/>
  <c r="U73" i="1"/>
  <c r="S73" i="1" s="1"/>
  <c r="AI73" i="1"/>
  <c r="AI72" i="1"/>
  <c r="U71" i="1"/>
  <c r="S71" i="1" s="1"/>
  <c r="AI71" i="1"/>
  <c r="AI70" i="1"/>
  <c r="U69" i="1"/>
  <c r="S69" i="1" s="1"/>
  <c r="AI69" i="1"/>
  <c r="AI68" i="1"/>
  <c r="U67" i="1"/>
  <c r="S67" i="1" s="1"/>
  <c r="AI67" i="1"/>
  <c r="AI66" i="1"/>
  <c r="U65" i="1"/>
  <c r="S65" i="1" s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16" i="1"/>
  <c r="U16" i="1"/>
  <c r="S16" i="1" s="1"/>
  <c r="AI35" i="1"/>
  <c r="W35" i="1"/>
  <c r="AI34" i="1"/>
  <c r="AI32" i="1"/>
  <c r="AI30" i="1"/>
  <c r="AI28" i="1"/>
  <c r="AI26" i="1"/>
  <c r="AI24" i="1"/>
  <c r="AI22" i="1"/>
  <c r="AI20" i="1"/>
  <c r="AI17" i="1"/>
  <c r="U17" i="1"/>
  <c r="S17" i="1" s="1"/>
  <c r="U42" i="1"/>
  <c r="S42" i="1" s="1"/>
  <c r="AI42" i="1"/>
  <c r="U41" i="1"/>
  <c r="S41" i="1" s="1"/>
  <c r="AI41" i="1"/>
  <c r="U40" i="1"/>
  <c r="S40" i="1" s="1"/>
  <c r="AI40" i="1"/>
  <c r="U39" i="1"/>
  <c r="S39" i="1" s="1"/>
  <c r="AI39" i="1"/>
  <c r="U38" i="1"/>
  <c r="S38" i="1" s="1"/>
  <c r="AI38" i="1"/>
  <c r="AI37" i="1"/>
  <c r="AI36" i="1"/>
  <c r="AI33" i="1"/>
  <c r="AI31" i="1"/>
  <c r="AI29" i="1"/>
  <c r="AI27" i="1"/>
  <c r="AI25" i="1"/>
  <c r="AI23" i="1"/>
  <c r="AI21" i="1"/>
  <c r="AI19" i="1"/>
  <c r="AI15" i="1"/>
  <c r="U15" i="1"/>
  <c r="S15" i="1" s="1"/>
  <c r="AI18" i="1"/>
  <c r="U18" i="1"/>
  <c r="S18" i="1" s="1"/>
  <c r="AI14" i="1"/>
  <c r="U14" i="1"/>
  <c r="S14" i="1" s="1"/>
  <c r="W225" i="1"/>
  <c r="W222" i="1"/>
  <c r="W206" i="1"/>
  <c r="W203" i="1"/>
  <c r="W199" i="1"/>
  <c r="W196" i="1"/>
  <c r="W192" i="1"/>
  <c r="W189" i="1"/>
  <c r="W187" i="1"/>
  <c r="W184" i="1"/>
  <c r="W182" i="1"/>
  <c r="W179" i="1"/>
  <c r="W176" i="1"/>
  <c r="W173" i="1"/>
  <c r="W168" i="1"/>
  <c r="W223" i="1"/>
  <c r="W204" i="1"/>
  <c r="W202" i="1"/>
  <c r="W197" i="1"/>
  <c r="W193" i="1"/>
  <c r="W191" i="1"/>
  <c r="W256" i="1"/>
  <c r="W183" i="1"/>
  <c r="W180" i="1"/>
  <c r="W178" i="1"/>
  <c r="W175" i="1"/>
  <c r="W172" i="1"/>
  <c r="W170" i="1"/>
  <c r="W255" i="1"/>
  <c r="W167" i="1"/>
  <c r="W165" i="1"/>
  <c r="W226" i="1"/>
  <c r="W224" i="1"/>
  <c r="W221" i="1"/>
  <c r="W200" i="1"/>
  <c r="W198" i="1"/>
  <c r="W195" i="1"/>
  <c r="W194" i="1"/>
  <c r="W190" i="1"/>
  <c r="W188" i="1"/>
  <c r="W186" i="1"/>
  <c r="W181" i="1"/>
  <c r="W177" i="1"/>
  <c r="W174" i="1"/>
  <c r="W171" i="1"/>
  <c r="W169" i="1"/>
  <c r="W166" i="1"/>
  <c r="T162" i="1"/>
  <c r="U162" i="1" s="1"/>
  <c r="S162" i="1" s="1"/>
  <c r="T161" i="1"/>
  <c r="U161" i="1" s="1"/>
  <c r="S161" i="1" s="1"/>
  <c r="T158" i="1"/>
  <c r="U158" i="1" s="1"/>
  <c r="S158" i="1" s="1"/>
  <c r="T254" i="1"/>
  <c r="U254" i="1" s="1"/>
  <c r="S254" i="1" s="1"/>
  <c r="T251" i="1"/>
  <c r="U251" i="1" s="1"/>
  <c r="S251" i="1" s="1"/>
  <c r="T250" i="1"/>
  <c r="U250" i="1" s="1"/>
  <c r="S250" i="1" s="1"/>
  <c r="T247" i="1"/>
  <c r="U247" i="1" s="1"/>
  <c r="S247" i="1" s="1"/>
  <c r="T246" i="1"/>
  <c r="U246" i="1" s="1"/>
  <c r="S246" i="1" s="1"/>
  <c r="T243" i="1"/>
  <c r="U243" i="1" s="1"/>
  <c r="S243" i="1" s="1"/>
  <c r="X243" i="1"/>
  <c r="T241" i="1"/>
  <c r="U241" i="1" s="1"/>
  <c r="S241" i="1" s="1"/>
  <c r="X241" i="1"/>
  <c r="T235" i="1"/>
  <c r="U235" i="1" s="1"/>
  <c r="S235" i="1" s="1"/>
  <c r="X235" i="1"/>
  <c r="T233" i="1"/>
  <c r="U233" i="1" s="1"/>
  <c r="S233" i="1" s="1"/>
  <c r="X233" i="1"/>
  <c r="T227" i="1"/>
  <c r="U227" i="1" s="1"/>
  <c r="S227" i="1" s="1"/>
  <c r="X227" i="1"/>
  <c r="T219" i="1"/>
  <c r="U219" i="1" s="1"/>
  <c r="S219" i="1" s="1"/>
  <c r="X219" i="1"/>
  <c r="T215" i="1"/>
  <c r="U215" i="1" s="1"/>
  <c r="S215" i="1" s="1"/>
  <c r="X215" i="1"/>
  <c r="T213" i="1"/>
  <c r="U213" i="1" s="1"/>
  <c r="S213" i="1" s="1"/>
  <c r="X213" i="1"/>
  <c r="T207" i="1"/>
  <c r="U207" i="1" s="1"/>
  <c r="S207" i="1" s="1"/>
  <c r="T156" i="1"/>
  <c r="U156" i="1" s="1"/>
  <c r="S156" i="1" s="1"/>
  <c r="X156" i="1"/>
  <c r="T150" i="1"/>
  <c r="U150" i="1" s="1"/>
  <c r="S150" i="1" s="1"/>
  <c r="X150" i="1"/>
  <c r="T148" i="1"/>
  <c r="U148" i="1" s="1"/>
  <c r="S148" i="1" s="1"/>
  <c r="X148" i="1"/>
  <c r="T144" i="1"/>
  <c r="U144" i="1" s="1"/>
  <c r="S144" i="1" s="1"/>
  <c r="X144" i="1"/>
  <c r="X226" i="1"/>
  <c r="X225" i="1"/>
  <c r="X224" i="1"/>
  <c r="X223" i="1"/>
  <c r="X222" i="1"/>
  <c r="X221" i="1"/>
  <c r="X204" i="1"/>
  <c r="X203" i="1"/>
  <c r="X198" i="1"/>
  <c r="X197" i="1"/>
  <c r="X196" i="1"/>
  <c r="X194" i="1"/>
  <c r="X193" i="1"/>
  <c r="X192" i="1"/>
  <c r="X191" i="1"/>
  <c r="X190" i="1"/>
  <c r="X189" i="1"/>
  <c r="X188" i="1"/>
  <c r="X187" i="1"/>
  <c r="X184" i="1"/>
  <c r="X183" i="1"/>
  <c r="X182" i="1"/>
  <c r="X181" i="1"/>
  <c r="X180" i="1"/>
  <c r="X179" i="1"/>
  <c r="X178" i="1"/>
  <c r="X176" i="1"/>
  <c r="X175" i="1"/>
  <c r="X174" i="1"/>
  <c r="X172" i="1"/>
  <c r="X171" i="1"/>
  <c r="X170" i="1"/>
  <c r="X169" i="1"/>
  <c r="X168" i="1"/>
  <c r="X255" i="1"/>
  <c r="X167" i="1"/>
  <c r="X165" i="1"/>
  <c r="AA164" i="1"/>
  <c r="W164" i="1" s="1"/>
  <c r="AA163" i="1"/>
  <c r="W163" i="1" s="1"/>
  <c r="AA162" i="1"/>
  <c r="W162" i="1" s="1"/>
  <c r="AA161" i="1"/>
  <c r="W161" i="1" s="1"/>
  <c r="AA160" i="1"/>
  <c r="W160" i="1" s="1"/>
  <c r="AA159" i="1"/>
  <c r="W159" i="1" s="1"/>
  <c r="AA158" i="1"/>
  <c r="W158" i="1" s="1"/>
  <c r="AA254" i="1"/>
  <c r="W254" i="1" s="1"/>
  <c r="AA253" i="1"/>
  <c r="W253" i="1" s="1"/>
  <c r="AA252" i="1"/>
  <c r="W252" i="1" s="1"/>
  <c r="AA251" i="1"/>
  <c r="W251" i="1" s="1"/>
  <c r="AA250" i="1"/>
  <c r="W250" i="1" s="1"/>
  <c r="AA249" i="1"/>
  <c r="W249" i="1" s="1"/>
  <c r="AA248" i="1"/>
  <c r="W248" i="1" s="1"/>
  <c r="AA247" i="1"/>
  <c r="W247" i="1" s="1"/>
  <c r="AA246" i="1"/>
  <c r="W246" i="1" s="1"/>
  <c r="AA245" i="1"/>
  <c r="W245" i="1" s="1"/>
  <c r="AA244" i="1"/>
  <c r="W244" i="1" s="1"/>
  <c r="AA243" i="1"/>
  <c r="W243" i="1" s="1"/>
  <c r="AA241" i="1"/>
  <c r="W241" i="1" s="1"/>
  <c r="AA239" i="1"/>
  <c r="W239" i="1" s="1"/>
  <c r="AA237" i="1"/>
  <c r="W237" i="1" s="1"/>
  <c r="AA235" i="1"/>
  <c r="W235" i="1" s="1"/>
  <c r="AA233" i="1"/>
  <c r="W233" i="1" s="1"/>
  <c r="AA231" i="1"/>
  <c r="W231" i="1" s="1"/>
  <c r="AA229" i="1"/>
  <c r="W229" i="1" s="1"/>
  <c r="AA227" i="1"/>
  <c r="W227" i="1" s="1"/>
  <c r="AA219" i="1"/>
  <c r="W219" i="1" s="1"/>
  <c r="AA217" i="1"/>
  <c r="W217" i="1" s="1"/>
  <c r="AA215" i="1"/>
  <c r="W215" i="1" s="1"/>
  <c r="AA213" i="1"/>
  <c r="W213" i="1" s="1"/>
  <c r="AA211" i="1"/>
  <c r="W211" i="1" s="1"/>
  <c r="AA209" i="1"/>
  <c r="W209" i="1" s="1"/>
  <c r="AA207" i="1"/>
  <c r="W207" i="1" s="1"/>
  <c r="AA156" i="1"/>
  <c r="W156" i="1" s="1"/>
  <c r="AA154" i="1"/>
  <c r="W154" i="1" s="1"/>
  <c r="AA152" i="1"/>
  <c r="W152" i="1" s="1"/>
  <c r="AA150" i="1"/>
  <c r="W150" i="1" s="1"/>
  <c r="AA148" i="1"/>
  <c r="W148" i="1" s="1"/>
  <c r="AA146" i="1"/>
  <c r="W146" i="1" s="1"/>
  <c r="AA144" i="1"/>
  <c r="W144" i="1" s="1"/>
  <c r="AA142" i="1"/>
  <c r="W142" i="1" s="1"/>
  <c r="AA140" i="1"/>
  <c r="W140" i="1" s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W124" i="1"/>
  <c r="X86" i="1"/>
  <c r="T86" i="1"/>
  <c r="U86" i="1" s="1"/>
  <c r="S86" i="1" s="1"/>
  <c r="X87" i="1"/>
  <c r="T164" i="1"/>
  <c r="U164" i="1" s="1"/>
  <c r="S164" i="1" s="1"/>
  <c r="T160" i="1"/>
  <c r="U160" i="1" s="1"/>
  <c r="S160" i="1" s="1"/>
  <c r="T253" i="1"/>
  <c r="U253" i="1" s="1"/>
  <c r="S253" i="1" s="1"/>
  <c r="T249" i="1"/>
  <c r="U249" i="1" s="1"/>
  <c r="S249" i="1" s="1"/>
  <c r="T245" i="1"/>
  <c r="U245" i="1" s="1"/>
  <c r="S245" i="1" s="1"/>
  <c r="T237" i="1"/>
  <c r="U237" i="1" s="1"/>
  <c r="S237" i="1" s="1"/>
  <c r="X237" i="1"/>
  <c r="T229" i="1"/>
  <c r="U229" i="1" s="1"/>
  <c r="S229" i="1" s="1"/>
  <c r="X229" i="1"/>
  <c r="T211" i="1"/>
  <c r="U211" i="1" s="1"/>
  <c r="S211" i="1" s="1"/>
  <c r="X211" i="1"/>
  <c r="T154" i="1"/>
  <c r="U154" i="1" s="1"/>
  <c r="S154" i="1" s="1"/>
  <c r="X154" i="1"/>
  <c r="T142" i="1"/>
  <c r="U142" i="1" s="1"/>
  <c r="S142" i="1" s="1"/>
  <c r="X142" i="1"/>
  <c r="W123" i="1"/>
  <c r="W84" i="1"/>
  <c r="W83" i="1"/>
  <c r="X80" i="1"/>
  <c r="T80" i="1"/>
  <c r="U80" i="1" s="1"/>
  <c r="S80" i="1" s="1"/>
  <c r="X81" i="1"/>
  <c r="X163" i="1"/>
  <c r="X159" i="1"/>
  <c r="X252" i="1"/>
  <c r="X248" i="1"/>
  <c r="X244" i="1"/>
  <c r="AA242" i="1"/>
  <c r="W242" i="1" s="1"/>
  <c r="AA240" i="1"/>
  <c r="W240" i="1" s="1"/>
  <c r="AA238" i="1"/>
  <c r="W238" i="1" s="1"/>
  <c r="AA236" i="1"/>
  <c r="W236" i="1" s="1"/>
  <c r="AA234" i="1"/>
  <c r="W234" i="1" s="1"/>
  <c r="AA232" i="1"/>
  <c r="W232" i="1" s="1"/>
  <c r="AA230" i="1"/>
  <c r="W230" i="1" s="1"/>
  <c r="AA228" i="1"/>
  <c r="W228" i="1" s="1"/>
  <c r="AA220" i="1"/>
  <c r="W220" i="1" s="1"/>
  <c r="AA218" i="1"/>
  <c r="W218" i="1" s="1"/>
  <c r="AA216" i="1"/>
  <c r="W216" i="1" s="1"/>
  <c r="W214" i="1"/>
  <c r="W212" i="1"/>
  <c r="W210" i="1"/>
  <c r="W208" i="1"/>
  <c r="W157" i="1"/>
  <c r="W155" i="1"/>
  <c r="W153" i="1"/>
  <c r="W151" i="1"/>
  <c r="W149" i="1"/>
  <c r="W147" i="1"/>
  <c r="W145" i="1"/>
  <c r="W143" i="1"/>
  <c r="W141" i="1"/>
  <c r="W139" i="1"/>
  <c r="W126" i="1"/>
  <c r="W122" i="1"/>
  <c r="W82" i="1"/>
  <c r="W81" i="1"/>
  <c r="T239" i="1"/>
  <c r="U239" i="1" s="1"/>
  <c r="S239" i="1" s="1"/>
  <c r="X239" i="1"/>
  <c r="T231" i="1"/>
  <c r="U231" i="1" s="1"/>
  <c r="S231" i="1" s="1"/>
  <c r="X231" i="1"/>
  <c r="T217" i="1"/>
  <c r="U217" i="1" s="1"/>
  <c r="S217" i="1" s="1"/>
  <c r="X217" i="1"/>
  <c r="T209" i="1"/>
  <c r="U209" i="1" s="1"/>
  <c r="S209" i="1" s="1"/>
  <c r="X209" i="1"/>
  <c r="T152" i="1"/>
  <c r="U152" i="1" s="1"/>
  <c r="S152" i="1" s="1"/>
  <c r="X152" i="1"/>
  <c r="T146" i="1"/>
  <c r="U146" i="1" s="1"/>
  <c r="S146" i="1" s="1"/>
  <c r="X146" i="1"/>
  <c r="T140" i="1"/>
  <c r="U140" i="1" s="1"/>
  <c r="S140" i="1" s="1"/>
  <c r="X140" i="1"/>
  <c r="X200" i="1"/>
  <c r="X199" i="1"/>
  <c r="X195" i="1"/>
  <c r="X256" i="1"/>
  <c r="X177" i="1"/>
  <c r="X173" i="1"/>
  <c r="X166" i="1"/>
  <c r="T242" i="1"/>
  <c r="U242" i="1" s="1"/>
  <c r="S242" i="1" s="1"/>
  <c r="X242" i="1"/>
  <c r="T240" i="1"/>
  <c r="U240" i="1" s="1"/>
  <c r="S240" i="1" s="1"/>
  <c r="X240" i="1"/>
  <c r="T238" i="1"/>
  <c r="U238" i="1" s="1"/>
  <c r="S238" i="1" s="1"/>
  <c r="X238" i="1"/>
  <c r="T236" i="1"/>
  <c r="U236" i="1" s="1"/>
  <c r="S236" i="1" s="1"/>
  <c r="X236" i="1"/>
  <c r="T234" i="1"/>
  <c r="U234" i="1" s="1"/>
  <c r="S234" i="1" s="1"/>
  <c r="X234" i="1"/>
  <c r="T232" i="1"/>
  <c r="U232" i="1" s="1"/>
  <c r="S232" i="1" s="1"/>
  <c r="X232" i="1"/>
  <c r="T230" i="1"/>
  <c r="U230" i="1" s="1"/>
  <c r="S230" i="1" s="1"/>
  <c r="X230" i="1"/>
  <c r="T228" i="1"/>
  <c r="U228" i="1" s="1"/>
  <c r="S228" i="1" s="1"/>
  <c r="X228" i="1"/>
  <c r="T220" i="1"/>
  <c r="U220" i="1" s="1"/>
  <c r="S220" i="1" s="1"/>
  <c r="X220" i="1"/>
  <c r="T218" i="1"/>
  <c r="U218" i="1" s="1"/>
  <c r="S218" i="1" s="1"/>
  <c r="X218" i="1"/>
  <c r="T216" i="1"/>
  <c r="U216" i="1" s="1"/>
  <c r="S216" i="1" s="1"/>
  <c r="X216" i="1"/>
  <c r="T214" i="1"/>
  <c r="U214" i="1" s="1"/>
  <c r="S214" i="1" s="1"/>
  <c r="X214" i="1"/>
  <c r="T212" i="1"/>
  <c r="U212" i="1" s="1"/>
  <c r="S212" i="1" s="1"/>
  <c r="X212" i="1"/>
  <c r="T210" i="1"/>
  <c r="U210" i="1" s="1"/>
  <c r="S210" i="1" s="1"/>
  <c r="X210" i="1"/>
  <c r="T208" i="1"/>
  <c r="U208" i="1" s="1"/>
  <c r="S208" i="1" s="1"/>
  <c r="T157" i="1"/>
  <c r="U157" i="1" s="1"/>
  <c r="S157" i="1" s="1"/>
  <c r="X157" i="1"/>
  <c r="T155" i="1"/>
  <c r="U155" i="1" s="1"/>
  <c r="S155" i="1" s="1"/>
  <c r="X155" i="1"/>
  <c r="T153" i="1"/>
  <c r="U153" i="1" s="1"/>
  <c r="S153" i="1" s="1"/>
  <c r="X153" i="1"/>
  <c r="T151" i="1"/>
  <c r="U151" i="1" s="1"/>
  <c r="S151" i="1" s="1"/>
  <c r="X151" i="1"/>
  <c r="T149" i="1"/>
  <c r="U149" i="1" s="1"/>
  <c r="S149" i="1" s="1"/>
  <c r="X149" i="1"/>
  <c r="T147" i="1"/>
  <c r="U147" i="1" s="1"/>
  <c r="S147" i="1" s="1"/>
  <c r="X147" i="1"/>
  <c r="T145" i="1"/>
  <c r="U145" i="1" s="1"/>
  <c r="S145" i="1" s="1"/>
  <c r="X145" i="1"/>
  <c r="T143" i="1"/>
  <c r="U143" i="1" s="1"/>
  <c r="S143" i="1" s="1"/>
  <c r="X143" i="1"/>
  <c r="T141" i="1"/>
  <c r="U141" i="1" s="1"/>
  <c r="S141" i="1" s="1"/>
  <c r="X141" i="1"/>
  <c r="T139" i="1"/>
  <c r="U139" i="1" s="1"/>
  <c r="S139" i="1" s="1"/>
  <c r="X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5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105" i="1"/>
  <c r="U105" i="1" s="1"/>
  <c r="S105" i="1" s="1"/>
  <c r="X105" i="1"/>
  <c r="T104" i="1"/>
  <c r="U104" i="1" s="1"/>
  <c r="S104" i="1" s="1"/>
  <c r="X104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X88" i="1"/>
  <c r="T88" i="1"/>
  <c r="U88" i="1" s="1"/>
  <c r="S88" i="1" s="1"/>
  <c r="W86" i="1"/>
  <c r="W85" i="1"/>
  <c r="W80" i="1"/>
  <c r="W79" i="1"/>
  <c r="X78" i="1"/>
  <c r="T78" i="1"/>
  <c r="U78" i="1" s="1"/>
  <c r="S78" i="1" s="1"/>
  <c r="X76" i="1"/>
  <c r="T76" i="1"/>
  <c r="U76" i="1" s="1"/>
  <c r="X77" i="1"/>
  <c r="X74" i="1"/>
  <c r="T74" i="1"/>
  <c r="U74" i="1" s="1"/>
  <c r="S74" i="1" s="1"/>
  <c r="X75" i="1"/>
  <c r="X72" i="1"/>
  <c r="T72" i="1"/>
  <c r="U72" i="1" s="1"/>
  <c r="S72" i="1" s="1"/>
  <c r="X73" i="1"/>
  <c r="X70" i="1"/>
  <c r="T70" i="1"/>
  <c r="U70" i="1" s="1"/>
  <c r="S70" i="1" s="1"/>
  <c r="X71" i="1"/>
  <c r="X68" i="1"/>
  <c r="T68" i="1"/>
  <c r="U68" i="1" s="1"/>
  <c r="S68" i="1" s="1"/>
  <c r="X69" i="1"/>
  <c r="X66" i="1"/>
  <c r="T66" i="1"/>
  <c r="U66" i="1" s="1"/>
  <c r="S66" i="1" s="1"/>
  <c r="X67" i="1"/>
  <c r="X64" i="1"/>
  <c r="T64" i="1"/>
  <c r="U64" i="1" s="1"/>
  <c r="S64" i="1" s="1"/>
  <c r="X65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X84" i="1"/>
  <c r="T84" i="1"/>
  <c r="U84" i="1" s="1"/>
  <c r="S84" i="1" s="1"/>
  <c r="X82" i="1"/>
  <c r="T82" i="1"/>
  <c r="U82" i="1" s="1"/>
  <c r="S82" i="1" s="1"/>
  <c r="W42" i="1"/>
  <c r="W40" i="1"/>
  <c r="W38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X85" i="1"/>
  <c r="X83" i="1"/>
  <c r="W78" i="1"/>
  <c r="W76" i="1"/>
  <c r="W74" i="1"/>
  <c r="W72" i="1"/>
  <c r="W70" i="1"/>
  <c r="W68" i="1"/>
  <c r="W66" i="1"/>
  <c r="W64" i="1"/>
  <c r="W77" i="1"/>
  <c r="W75" i="1"/>
  <c r="W73" i="1"/>
  <c r="W71" i="1"/>
  <c r="W69" i="1"/>
  <c r="W67" i="1"/>
  <c r="W65" i="1"/>
  <c r="W63" i="1"/>
  <c r="W62" i="1"/>
  <c r="W61" i="1"/>
  <c r="W60" i="1"/>
  <c r="W59" i="1"/>
  <c r="W58" i="1"/>
  <c r="W57" i="1"/>
  <c r="W56" i="1"/>
  <c r="W55" i="1"/>
  <c r="W54" i="1"/>
  <c r="W53" i="1"/>
  <c r="W52" i="1"/>
  <c r="T27" i="1"/>
  <c r="U27" i="1" s="1"/>
  <c r="S27" i="1" s="1"/>
  <c r="X27" i="1"/>
  <c r="T63" i="1"/>
  <c r="U63" i="1" s="1"/>
  <c r="S63" i="1" s="1"/>
  <c r="X63" i="1"/>
  <c r="T62" i="1"/>
  <c r="U62" i="1" s="1"/>
  <c r="S62" i="1" s="1"/>
  <c r="X62" i="1"/>
  <c r="T61" i="1"/>
  <c r="U61" i="1" s="1"/>
  <c r="S61" i="1" s="1"/>
  <c r="X61" i="1"/>
  <c r="T60" i="1"/>
  <c r="U60" i="1" s="1"/>
  <c r="S60" i="1" s="1"/>
  <c r="X60" i="1"/>
  <c r="T59" i="1"/>
  <c r="U59" i="1" s="1"/>
  <c r="S59" i="1" s="1"/>
  <c r="X59" i="1"/>
  <c r="T58" i="1"/>
  <c r="U58" i="1" s="1"/>
  <c r="S58" i="1" s="1"/>
  <c r="X58" i="1"/>
  <c r="T57" i="1"/>
  <c r="U57" i="1" s="1"/>
  <c r="S57" i="1" s="1"/>
  <c r="X57" i="1"/>
  <c r="T56" i="1"/>
  <c r="U56" i="1" s="1"/>
  <c r="S56" i="1" s="1"/>
  <c r="X56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X51" i="1"/>
  <c r="X50" i="1"/>
  <c r="X45" i="1"/>
  <c r="X44" i="1"/>
  <c r="X43" i="1"/>
  <c r="T33" i="1"/>
  <c r="U33" i="1" s="1"/>
  <c r="S33" i="1" s="1"/>
  <c r="X33" i="1"/>
  <c r="T25" i="1"/>
  <c r="U25" i="1" s="1"/>
  <c r="S25" i="1" s="1"/>
  <c r="X25" i="1"/>
  <c r="W18" i="1"/>
  <c r="AA51" i="1"/>
  <c r="W51" i="1" s="1"/>
  <c r="AA50" i="1"/>
  <c r="W50" i="1" s="1"/>
  <c r="AA49" i="1"/>
  <c r="W49" i="1" s="1"/>
  <c r="AA48" i="1"/>
  <c r="W48" i="1" s="1"/>
  <c r="AA47" i="1"/>
  <c r="W47" i="1" s="1"/>
  <c r="AA45" i="1"/>
  <c r="W45" i="1" s="1"/>
  <c r="AA44" i="1"/>
  <c r="W44" i="1" s="1"/>
  <c r="AA43" i="1"/>
  <c r="W43" i="1" s="1"/>
  <c r="W37" i="1"/>
  <c r="W36" i="1"/>
  <c r="T29" i="1"/>
  <c r="U29" i="1" s="1"/>
  <c r="S29" i="1" s="1"/>
  <c r="X29" i="1"/>
  <c r="T21" i="1"/>
  <c r="U21" i="1" s="1"/>
  <c r="S21" i="1" s="1"/>
  <c r="X21" i="1"/>
  <c r="T19" i="1"/>
  <c r="U19" i="1" s="1"/>
  <c r="S19" i="1" s="1"/>
  <c r="X19" i="1"/>
  <c r="W14" i="1"/>
  <c r="W41" i="1"/>
  <c r="W39" i="1"/>
  <c r="T37" i="1"/>
  <c r="U37" i="1" s="1"/>
  <c r="S37" i="1" s="1"/>
  <c r="X37" i="1"/>
  <c r="T36" i="1"/>
  <c r="U36" i="1" s="1"/>
  <c r="S36" i="1" s="1"/>
  <c r="X36" i="1"/>
  <c r="T31" i="1"/>
  <c r="U31" i="1" s="1"/>
  <c r="S31" i="1" s="1"/>
  <c r="X31" i="1"/>
  <c r="T23" i="1"/>
  <c r="U23" i="1" s="1"/>
  <c r="S23" i="1" s="1"/>
  <c r="X23" i="1"/>
  <c r="AA33" i="1"/>
  <c r="W33" i="1" s="1"/>
  <c r="AA31" i="1"/>
  <c r="W31" i="1" s="1"/>
  <c r="AA29" i="1"/>
  <c r="W29" i="1" s="1"/>
  <c r="AA27" i="1"/>
  <c r="W27" i="1" s="1"/>
  <c r="AA25" i="1"/>
  <c r="W25" i="1" s="1"/>
  <c r="AA23" i="1"/>
  <c r="W23" i="1" s="1"/>
  <c r="AA21" i="1"/>
  <c r="W21" i="1" s="1"/>
  <c r="AA19" i="1"/>
  <c r="W19" i="1" s="1"/>
  <c r="AA15" i="1"/>
  <c r="W15" i="1" s="1"/>
  <c r="AA34" i="1"/>
  <c r="W34" i="1" s="1"/>
  <c r="AA32" i="1"/>
  <c r="W32" i="1" s="1"/>
  <c r="AA30" i="1"/>
  <c r="W30" i="1" s="1"/>
  <c r="AA28" i="1"/>
  <c r="W28" i="1" s="1"/>
  <c r="AA26" i="1"/>
  <c r="W26" i="1" s="1"/>
  <c r="AA24" i="1"/>
  <c r="W24" i="1" s="1"/>
  <c r="AA22" i="1"/>
  <c r="W22" i="1" s="1"/>
  <c r="W20" i="1"/>
  <c r="W17" i="1"/>
  <c r="T35" i="1"/>
  <c r="U35" i="1" s="1"/>
  <c r="S35" i="1" s="1"/>
  <c r="X35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S22" i="1" s="1"/>
  <c r="X22" i="1"/>
  <c r="T20" i="1"/>
  <c r="U20" i="1" s="1"/>
  <c r="S20" i="1" s="1"/>
  <c r="X20" i="1"/>
  <c r="W16" i="1"/>
  <c r="X18" i="1"/>
  <c r="X17" i="1"/>
  <c r="X16" i="1"/>
  <c r="X15" i="1"/>
  <c r="AE28" i="3"/>
  <c r="R13" i="3"/>
  <c r="AD21" i="3"/>
  <c r="AD23" i="3"/>
  <c r="S13" i="3"/>
  <c r="AD20" i="3"/>
  <c r="AE11" i="3"/>
  <c r="AE29" i="3"/>
  <c r="AE20" i="3"/>
  <c r="AE23" i="3"/>
  <c r="AD17" i="3"/>
  <c r="S9" i="3"/>
  <c r="S29" i="3"/>
  <c r="S7" i="3"/>
  <c r="R28" i="3"/>
  <c r="R20" i="3"/>
  <c r="R9" i="3"/>
  <c r="R29" i="3"/>
  <c r="R7" i="3"/>
  <c r="S19" i="3"/>
  <c r="T17" i="3"/>
  <c r="S30" i="3"/>
  <c r="R10" i="3"/>
  <c r="S14" i="3"/>
  <c r="R19" i="3"/>
  <c r="T24" i="3"/>
  <c r="AD29" i="3"/>
  <c r="AD8" i="3"/>
  <c r="AE16" i="3"/>
  <c r="AE12" i="3"/>
  <c r="AE26" i="3"/>
  <c r="T10" i="3"/>
  <c r="AD24" i="3"/>
  <c r="T18" i="3"/>
  <c r="AD16" i="3"/>
  <c r="AE15" i="3"/>
  <c r="T15" i="3"/>
  <c r="AD13" i="3"/>
  <c r="AD12" i="3"/>
  <c r="AD9" i="3"/>
  <c r="T16" i="3"/>
  <c r="AE8" i="3"/>
  <c r="AC26" i="3"/>
  <c r="T26" i="3"/>
  <c r="AC29" i="3"/>
  <c r="T29" i="3"/>
  <c r="AC30" i="3"/>
  <c r="T30" i="3"/>
  <c r="AC28" i="3"/>
  <c r="T28" i="3"/>
  <c r="AC31" i="3"/>
  <c r="T31" i="3"/>
  <c r="AC22" i="3"/>
  <c r="T22" i="3"/>
  <c r="AC19" i="3"/>
  <c r="T19" i="3"/>
  <c r="AC11" i="3"/>
  <c r="AC12" i="3"/>
  <c r="AC27" i="3"/>
  <c r="AC25" i="3"/>
  <c r="AC8" i="3"/>
  <c r="AC14" i="3"/>
  <c r="Y28" i="3"/>
  <c r="Y22" i="3"/>
  <c r="Y19" i="3"/>
  <c r="Y11" i="3"/>
  <c r="Y24" i="3"/>
  <c r="Y10" i="3"/>
  <c r="Y18" i="3"/>
  <c r="Y15" i="3"/>
  <c r="Y17" i="3"/>
  <c r="Y29" i="3"/>
  <c r="Y30" i="3"/>
  <c r="Y31" i="3"/>
  <c r="Y16" i="3"/>
  <c r="Y9" i="3"/>
  <c r="Y7" i="3"/>
  <c r="Y21" i="3"/>
  <c r="Y20" i="3"/>
  <c r="Y23" i="3"/>
  <c r="Y26" i="3"/>
  <c r="Y12" i="3"/>
  <c r="Y27" i="3"/>
  <c r="Y25" i="3"/>
  <c r="Y8" i="3"/>
  <c r="Y14" i="3"/>
  <c r="T9" i="3"/>
  <c r="AE31" i="3"/>
  <c r="AE27" i="3"/>
  <c r="AD26" i="3"/>
  <c r="AE25" i="3"/>
  <c r="T7" i="3"/>
  <c r="AD22" i="3"/>
  <c r="AD19" i="3"/>
  <c r="AE18" i="3"/>
  <c r="T21" i="3"/>
  <c r="AD15" i="3"/>
  <c r="AE14" i="3"/>
  <c r="T20" i="3"/>
  <c r="AD11" i="3"/>
  <c r="AE10" i="3"/>
  <c r="T23" i="3"/>
  <c r="AD28" i="3"/>
  <c r="AD31" i="3"/>
  <c r="AE30" i="3"/>
  <c r="AD27" i="3"/>
  <c r="AD25" i="3"/>
  <c r="AE24" i="3"/>
  <c r="AE21" i="3"/>
  <c r="AD18" i="3"/>
  <c r="AE17" i="3"/>
  <c r="AD14" i="3"/>
  <c r="AE13" i="3"/>
  <c r="AD10" i="3"/>
  <c r="AE9" i="3"/>
  <c r="Y13" i="3"/>
  <c r="T13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N26" i="3" l="1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16" i="3" l="1"/>
  <c r="N12" i="3"/>
  <c r="N9" i="3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27" i="3" l="1"/>
  <c r="N31" i="3"/>
  <c r="N21" i="3"/>
  <c r="N24" i="3"/>
  <c r="N7" i="3"/>
  <c r="N10" i="3"/>
  <c r="N22" i="3"/>
  <c r="N14" i="3"/>
  <c r="N20" i="3"/>
  <c r="N19" i="3"/>
  <c r="N17" i="3"/>
  <c r="N30" i="3"/>
  <c r="N25" i="3"/>
  <c r="N15" i="3"/>
  <c r="N23" i="3"/>
  <c r="N29" i="3"/>
  <c r="N28" i="3"/>
  <c r="N18" i="3"/>
  <c r="N8" i="3"/>
  <c r="N11" i="3"/>
  <c r="N13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<sst xmlns="http://schemas.openxmlformats.org/spreadsheetml/2006/main" count="2868" uniqueCount="1117">
  <si>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</si>
  <si>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</si>
  <si>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</si>
  <si>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</si>
  <si>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</si>
  <si>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</si>
  <si>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</si>
  <si>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</si>
  <si>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</si>
  <si>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</si>
  <si>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</si>
  <si>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</si>
  <si>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</si>
  <si>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</si>
  <si>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</si>
  <si>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</si>
  <si>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</si>
  <si>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</si>
  <si>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</si>
  <si>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</si>
  <si>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</si>
  <si>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</si>
  <si>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</si>
  <si>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</si>
  <si>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</si>
  <si>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</si>
  <si>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</si>
  <si>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</si>
  <si>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</si>
  <si>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</si>
  <si>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</si>
  <si>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</si>
  <si>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</si>
  <si>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</si>
  <si>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</si>
  <si>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</si>
  <si>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</si>
  <si>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</si>
  <si>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</si>
  <si>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</si>
  <si>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</si>
  <si>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</si>
  <si>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</si>
  <si>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</si>
  <si>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</si>
  <si>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</si>
  <si>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</si>
  <si>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</si>
  <si>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</si>
  <si>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</si>
  <si>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</si>
  <si>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</si>
  <si>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</si>
  <si>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</si>
  <si>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</si>
  <si>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</si>
  <si>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</si>
  <si>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</si>
  <si>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</si>
  <si>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</si>
  <si>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</si>
  <si>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</si>
  <si>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</si>
  <si>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</si>
  <si>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</si>
  <si>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</si>
  <si>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</si>
  <si>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</si>
  <si>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</si>
  <si>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</si>
  <si>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</si>
  <si>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</si>
  <si>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</si>
  <si>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</si>
  <si>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</si>
  <si>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</si>
  <si>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</si>
  <si>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</si>
  <si>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</si>
  <si>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</si>
  <si>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</si>
  <si>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</si>
  <si>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</si>
  <si>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</si>
  <si>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</si>
  <si>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</si>
  <si>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</si>
  <si>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</si>
  <si>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</si>
  <si>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</si>
  <si>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</si>
  <si>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</si>
  <si>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</si>
  <si>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</si>
  <si>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</si>
  <si>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</si>
  <si>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</si>
  <si>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</si>
  <si>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</si>
  <si>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</si>
  <si>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</si>
  <si>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</si>
  <si>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</si>
  <si>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</si>
  <si>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</si>
  <si>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</si>
  <si>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</si>
  <si>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</si>
  <si>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</si>
  <si>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</si>
  <si>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</si>
  <si>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</si>
  <si>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</si>
  <si>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</si>
  <si>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</si>
  <si>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</si>
  <si>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</si>
  <si>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</si>
  <si>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</si>
  <si>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</si>
  <si>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</si>
  <si>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</si>
  <si>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</si>
  <si>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</si>
  <si>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</si>
  <si>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</si>
  <si>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</si>
  <si>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</si>
  <si>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</si>
  <si>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</si>
  <si>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</si>
  <si>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</si>
  <si>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</si>
  <si>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</si>
  <si>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</si>
  <si>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</si>
  <si>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</si>
  <si>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</si>
  <si>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</si>
  <si>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</si>
  <si>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</si>
  <si>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</si>
  <si>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</si>
  <si>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</si>
  <si>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</si>
  <si>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</si>
  <si>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</si>
  <si>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</si>
  <si>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</si>
  <si>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</si>
  <si>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</si>
  <si>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</si>
  <si>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</si>
  <si>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</si>
  <si>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</si>
  <si>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</si>
  <si>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</si>
  <si>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</si>
  <si>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</si>
  <si>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</si>
  <si>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</si>
  <si>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</si>
  <si>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</si>
  <si>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</si>
  <si>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</si>
  <si>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</si>
  <si>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</si>
  <si>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</si>
  <si>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</si>
  <si>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</si>
  <si>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</si>
  <si>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</si>
  <si>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</si>
  <si>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</si>
  <si>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</si>
  <si>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</si>
  <si>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</si>
  <si>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</si>
  <si>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</si>
  <si>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</si>
  <si>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</si>
  <si>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</si>
  <si>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</si>
  <si>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</si>
  <si>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</si>
  <si>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</si>
  <si>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</si>
  <si>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</si>
  <si>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</si>
  <si>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</si>
  <si>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</si>
  <si>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</si>
  <si>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</si>
  <si>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</si>
  <si>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</si>
  <si>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</si>
  <si>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</si>
  <si>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</si>
  <si>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</si>
  <si>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</si>
  <si>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</si>
  <si>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</si>
  <si>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</si>
  <si>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</si>
  <si>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</si>
  <si>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</si>
  <si>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</si>
  <si>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</si>
  <si>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</si>
  <si>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</si>
  <si>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</si>
  <si>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</si>
  <si>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</si>
  <si>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</si>
  <si>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</si>
  <si>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</si>
  <si>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</si>
  <si>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</si>
  <si>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</si>
  <si>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</si>
  <si>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</si>
  <si>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</si>
  <si>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</si>
  <si>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</si>
  <si>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</si>
  <si>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</si>
  <si>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</si>
  <si>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</si>
  <si>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</si>
  <si>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</si>
  <si>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</si>
  <si>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</si>
  <si>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</si>
  <si>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</si>
  <si>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</si>
  <si>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</si>
  <si>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</si>
  <si>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</si>
  <si>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</si>
  <si>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</si>
  <si>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</si>
  <si>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</si>
  <si>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</si>
  <si>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</si>
  <si>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</si>
  <si>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</si>
  <si>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</si>
  <si>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</si>
  <si>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</si>
  <si>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</si>
  <si>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</si>
  <si>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</si>
  <si>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</si>
  <si>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</si>
  <si>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</si>
  <si>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</si>
  <si>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</si>
  <si>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</si>
  <si>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</si>
  <si>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</si>
  <si>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</si>
  <si>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</si>
  <si>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</si>
  <si>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</si>
  <si>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</si>
  <si>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</si>
  <si>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</si>
  <si>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</si>
  <si>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</si>
  <si>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</si>
  <si>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</si>
  <si>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</si>
  <si>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</si>
  <si>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</si>
  <si>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</si>
  <si>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</si>
  <si>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</si>
  <si>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</si>
  <si>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</si>
  <si>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</si>
  <si>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</si>
  <si>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</si>
  <si>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</si>
  <si>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</si>
  <si>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</si>
  <si>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</si>
  <si>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</si>
  <si>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</si>
  <si>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</si>
  <si>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</si>
  <si>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</si>
  <si>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</si>
  <si>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</si>
  <si>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</si>
  <si>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</si>
  <si>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</si>
  <si>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</si>
  <si>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</si>
  <si>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</si>
  <si>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</si>
  <si>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</si>
  <si>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</si>
  <si>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</si>
  <si>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</si>
  <si>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</si>
  <si>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</si>
  <si>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</si>
  <si>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</si>
  <si>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</si>
  <si>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</si>
  <si>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</si>
  <si>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</si>
  <si>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</si>
  <si>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</si>
  <si>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</si>
  <si>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</si>
  <si>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</si>
  <si>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</si>
  <si>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</si>
  <si>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</si>
  <si>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</si>
  <si>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</si>
  <si>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</si>
  <si>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</si>
  <si>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</si>
  <si>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</si>
  <si>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</si>
  <si>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</si>
  <si>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</si>
  <si>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</si>
  <si>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</si>
  <si>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</si>
  <si>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</si>
  <si>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</si>
  <si>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</si>
  <si>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</si>
  <si>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</si>
  <si>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</si>
  <si>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</si>
  <si>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</si>
  <si>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</si>
  <si>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</si>
  <si>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</si>
  <si>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</si>
  <si>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</si>
  <si>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</si>
  <si>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</si>
  <si>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</si>
  <si>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</si>
  <si>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</si>
  <si>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</si>
  <si>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</si>
  <si>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</si>
  <si>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</si>
  <si>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</si>
  <si>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</si>
  <si>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</si>
  <si>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</si>
  <si>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</si>
  <si>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</si>
  <si>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</si>
  <si>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</si>
  <si>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</si>
  <si>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</si>
  <si>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</si>
  <si>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</si>
  <si>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</si>
  <si>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</si>
  <si>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</si>
  <si>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</si>
  <si>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</si>
  <si>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</si>
  <si>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</si>
  <si>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</si>
  <si>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</si>
  <si>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</si>
  <si>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</si>
  <si>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</si>
  <si>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</si>
  <si>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</si>
  <si>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</si>
  <si>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</si>
  <si>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</si>
  <si>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</si>
  <si>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</si>
  <si>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</si>
  <si>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</si>
  <si>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</si>
  <si>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</si>
  <si>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</si>
  <si>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</si>
  <si>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</si>
  <si>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</si>
  <si>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</si>
  <si>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</si>
  <si>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</si>
  <si>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</si>
  <si>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</si>
  <si>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</si>
  <si>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</si>
  <si>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</si>
  <si>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</si>
  <si>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</si>
  <si>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</si>
  <si>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</si>
  <si>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</si>
  <si>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</si>
  <si>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</si>
  <si>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</si>
  <si>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</si>
  <si>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</si>
  <si>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</si>
  <si>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</si>
  <si>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</si>
  <si>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</si>
  <si>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</si>
  <si>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</si>
  <si>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</si>
  <si>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</si>
  <si>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</si>
  <si>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</si>
  <si>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</si>
  <si>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</si>
  <si>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</si>
  <si>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</si>
  <si>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</si>
  <si>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</si>
  <si>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</si>
  <si>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</si>
  <si>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</si>
  <si>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</si>
  <si>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</si>
  <si>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</si>
  <si>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</si>
  <si>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</si>
  <si>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</si>
  <si>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</si>
  <si>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</si>
  <si>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</si>
  <si>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</si>
  <si>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</si>
  <si>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</si>
  <si>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</si>
  <si>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</si>
  <si>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</si>
  <si>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</si>
  <si>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</si>
  <si>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</si>
  <si>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</si>
  <si>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</si>
  <si>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</si>
  <si>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</si>
  <si>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</si>
  <si>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</si>
  <si>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</si>
  <si>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</si>
  <si>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</si>
  <si>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</si>
  <si>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</si>
  <si>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</si>
  <si>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</si>
  <si>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</si>
  <si>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</si>
  <si>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204:196</t>
  </si>
  <si>
    <t>Wi-MAX data drop</t>
  </si>
  <si>
    <t>HAMMOND</t>
  </si>
  <si>
    <t>JUSTYNN</t>
  </si>
  <si>
    <t>313-17</t>
  </si>
  <si>
    <t>204:515</t>
  </si>
  <si>
    <t>rtdc.l.rtdc.4054:itc</t>
  </si>
  <si>
    <t>rtdc.l.rtdc.4053:itc</t>
  </si>
  <si>
    <t>rtdc.l.rtdc.4014:itc</t>
  </si>
  <si>
    <t>rtdc.l.rtdc.4013:itc</t>
  </si>
  <si>
    <t>clear-day</t>
  </si>
  <si>
    <t>204:442</t>
  </si>
  <si>
    <t>204:233270</t>
  </si>
  <si>
    <t>204:191</t>
  </si>
  <si>
    <t>204:520</t>
  </si>
  <si>
    <t>204:189</t>
  </si>
  <si>
    <t>rtdc.l.rtdc.4009:itc</t>
  </si>
  <si>
    <t>LESTER</t>
  </si>
  <si>
    <t>LAMAR</t>
  </si>
  <si>
    <t>NEKESHA</t>
  </si>
  <si>
    <t>204:201</t>
  </si>
  <si>
    <t>204:508</t>
  </si>
  <si>
    <t>rtdc.l.rtdc.4044:itc</t>
  </si>
  <si>
    <t>rtdc.l.rtdc.4043:itc</t>
  </si>
  <si>
    <t>204:194</t>
  </si>
  <si>
    <t>DAVIS</t>
  </si>
  <si>
    <t>204:198</t>
  </si>
  <si>
    <t>204:517</t>
  </si>
  <si>
    <t>204:457</t>
  </si>
  <si>
    <t>204:462</t>
  </si>
  <si>
    <t>204:221</t>
  </si>
  <si>
    <t>204:233314</t>
  </si>
  <si>
    <t>204:183</t>
  </si>
  <si>
    <t>204:232984</t>
  </si>
  <si>
    <t>204:233261</t>
  </si>
  <si>
    <t>204:150</t>
  </si>
  <si>
    <t>rtdc.l.rtdc.4021:itc</t>
  </si>
  <si>
    <t>204:158</t>
  </si>
  <si>
    <t>204:504</t>
  </si>
  <si>
    <t>204:233295</t>
  </si>
  <si>
    <t>204:232953</t>
  </si>
  <si>
    <t>204:482</t>
  </si>
  <si>
    <t>204:232938</t>
  </si>
  <si>
    <t>204:233293</t>
  </si>
  <si>
    <t>204:232959</t>
  </si>
  <si>
    <t>TRACK WARRANT AUTHORITY</t>
  </si>
  <si>
    <t>Form based authority (4)</t>
  </si>
  <si>
    <t>rtdc.l.rtdc.4058:itc</t>
  </si>
  <si>
    <t>STEWART</t>
  </si>
  <si>
    <t>DAVID</t>
  </si>
  <si>
    <t>204:145</t>
  </si>
  <si>
    <t>204:233289</t>
  </si>
  <si>
    <t>204:451</t>
  </si>
  <si>
    <t>204:233266</t>
  </si>
  <si>
    <t>204:232961</t>
  </si>
  <si>
    <t>204:497</t>
  </si>
  <si>
    <t>204:449</t>
  </si>
  <si>
    <t>204:200</t>
  </si>
  <si>
    <t>204:232936</t>
  </si>
  <si>
    <t>204:441</t>
  </si>
  <si>
    <t>204:138</t>
  </si>
  <si>
    <t>204:540</t>
  </si>
  <si>
    <t>204:557</t>
  </si>
  <si>
    <t>204:232943</t>
  </si>
  <si>
    <t>300:23299</t>
  </si>
  <si>
    <t>204:169</t>
  </si>
  <si>
    <t>SPECTOR</t>
  </si>
  <si>
    <t>DAVIDSON</t>
  </si>
  <si>
    <t>YANAI</t>
  </si>
  <si>
    <t>IAN</t>
  </si>
  <si>
    <t>LEVERE</t>
  </si>
  <si>
    <t>CRAIG</t>
  </si>
  <si>
    <t>ROBINSON</t>
  </si>
  <si>
    <t>KADDIBA</t>
  </si>
  <si>
    <t>204:233312</t>
  </si>
  <si>
    <t>204:232998</t>
  </si>
  <si>
    <t>204:214</t>
  </si>
  <si>
    <t>204:152</t>
  </si>
  <si>
    <t>204:231</t>
  </si>
  <si>
    <t>204:232977</t>
  </si>
  <si>
    <t>204:539</t>
  </si>
  <si>
    <t>204:437</t>
  </si>
  <si>
    <t>204:495</t>
  </si>
  <si>
    <t>204:233310</t>
  </si>
  <si>
    <t>204:460</t>
  </si>
  <si>
    <t>204:232934</t>
  </si>
  <si>
    <t>204:232932</t>
  </si>
  <si>
    <t>204:243</t>
  </si>
  <si>
    <t>204:232940</t>
  </si>
  <si>
    <t>204:252</t>
  </si>
  <si>
    <t>204:232969</t>
  </si>
  <si>
    <t>204:233238</t>
  </si>
  <si>
    <t>204:232957</t>
  </si>
  <si>
    <t>204:212</t>
  </si>
  <si>
    <t>204:531</t>
  </si>
  <si>
    <t>204:232976</t>
  </si>
  <si>
    <t>300:23304</t>
  </si>
  <si>
    <t>300:23308</t>
  </si>
  <si>
    <t>204:588</t>
  </si>
  <si>
    <t>300:58613</t>
  </si>
  <si>
    <t>204:135</t>
  </si>
  <si>
    <t>300:58929</t>
  </si>
  <si>
    <t>300:58656</t>
  </si>
  <si>
    <t>204:133</t>
  </si>
  <si>
    <t>300:58623</t>
  </si>
  <si>
    <t>300:58933</t>
  </si>
  <si>
    <t>204:164</t>
  </si>
  <si>
    <t>rtdc.l.rtdc.4031:itc</t>
  </si>
  <si>
    <t>244-19</t>
  </si>
  <si>
    <t>Early Arrival</t>
  </si>
  <si>
    <t>rtdc.l.rtdc.4039:itc</t>
  </si>
  <si>
    <t>rtdc.l.rtdc.4040:itc</t>
  </si>
  <si>
    <t>rtdc.l.rtdc.4057:itc</t>
  </si>
  <si>
    <t>rtdc.l.rtdc.4032:itc</t>
  </si>
  <si>
    <t>FORTUNATO</t>
  </si>
  <si>
    <t>FRANK</t>
  </si>
  <si>
    <t>NEWELL</t>
  </si>
  <si>
    <t>WEST</t>
  </si>
  <si>
    <t>BRYAN</t>
  </si>
  <si>
    <t>ZEWDU</t>
  </si>
  <si>
    <t>DEREJE</t>
  </si>
  <si>
    <t>242-19</t>
  </si>
  <si>
    <t>307-19</t>
  </si>
  <si>
    <t>309-19</t>
  </si>
  <si>
    <t>311-19</t>
  </si>
  <si>
    <t>partly-cloudy-night</t>
  </si>
  <si>
    <t>Partly Cloudy</t>
  </si>
  <si>
    <t>204:477</t>
  </si>
  <si>
    <t>204:147</t>
  </si>
  <si>
    <t>204:216</t>
  </si>
  <si>
    <t>204:444</t>
  </si>
  <si>
    <t>204:233317</t>
  </si>
  <si>
    <t>204:211</t>
  </si>
  <si>
    <t>204:464</t>
  </si>
  <si>
    <t>204:149</t>
  </si>
  <si>
    <t>204:447</t>
  </si>
  <si>
    <t>204:232994</t>
  </si>
  <si>
    <t>204:234</t>
  </si>
  <si>
    <t>204:232972</t>
  </si>
  <si>
    <t>204:453</t>
  </si>
  <si>
    <t>204:233291</t>
  </si>
  <si>
    <t>204:232980</t>
  </si>
  <si>
    <t>204:232902</t>
  </si>
  <si>
    <t>204:488</t>
  </si>
  <si>
    <t>204:233305</t>
  </si>
  <si>
    <t>204:446</t>
  </si>
  <si>
    <t>204:232945</t>
  </si>
  <si>
    <t>204:498</t>
  </si>
  <si>
    <t>204:232917</t>
  </si>
  <si>
    <t>204:491</t>
  </si>
  <si>
    <t>204:233276</t>
  </si>
  <si>
    <t>204:207</t>
  </si>
  <si>
    <t>204:232923</t>
  </si>
  <si>
    <t>204:245</t>
  </si>
  <si>
    <t>204:240</t>
  </si>
  <si>
    <t>204:233259</t>
  </si>
  <si>
    <t>204:209</t>
  </si>
  <si>
    <t>204:232919</t>
  </si>
  <si>
    <t>204:553</t>
  </si>
  <si>
    <t>204:233247</t>
  </si>
  <si>
    <t>204:232930</t>
  </si>
  <si>
    <t>204:254</t>
  </si>
  <si>
    <t>204:233195</t>
  </si>
  <si>
    <t>204:232946</t>
  </si>
  <si>
    <t>204:233193</t>
  </si>
  <si>
    <t>204:529</t>
  </si>
  <si>
    <t>204:555</t>
  </si>
  <si>
    <t>300:23295</t>
  </si>
  <si>
    <t>204:1188</t>
  </si>
  <si>
    <t>300:23312</t>
  </si>
  <si>
    <t>300:58624</t>
  </si>
  <si>
    <t>204:120</t>
  </si>
  <si>
    <t>204:137</t>
  </si>
  <si>
    <t>300:58675</t>
  </si>
  <si>
    <t>300:58971</t>
  </si>
  <si>
    <t>300:58636</t>
  </si>
  <si>
    <t>204:148</t>
  </si>
  <si>
    <t>300:23656</t>
  </si>
  <si>
    <t>204:142</t>
  </si>
  <si>
    <t>300:28793</t>
  </si>
  <si>
    <t>:.+((SYSTEM_STATE.+slice.+state.+changed )|(ment ac)|(multiple cpu faults)|(system.+state.+changed )|(\[timeout)|(PRM\|1\|D)|(kpr)|(kdp)|(train st.+moving)|(\|gpps)|(penalty))</t>
  </si>
  <si>
    <t>Observed poor GPS @ DUS</t>
  </si>
  <si>
    <t>204:233329</t>
  </si>
  <si>
    <t>300:58939</t>
  </si>
  <si>
    <t>204:157</t>
  </si>
  <si>
    <t>102-20</t>
  </si>
  <si>
    <t>901-20</t>
  </si>
  <si>
    <t>802-20</t>
  </si>
  <si>
    <t>121-20</t>
  </si>
  <si>
    <t>129-20</t>
  </si>
  <si>
    <t>126-20</t>
  </si>
  <si>
    <t>810-20</t>
  </si>
  <si>
    <t>130-20</t>
  </si>
  <si>
    <t>153-20</t>
  </si>
  <si>
    <t>rtdc.l.rtdc.4020:itc</t>
  </si>
  <si>
    <t>163-20</t>
  </si>
  <si>
    <t>50-20</t>
  </si>
  <si>
    <t>819-20</t>
  </si>
  <si>
    <t>171-20</t>
  </si>
  <si>
    <t>63-20</t>
  </si>
  <si>
    <t>58-20</t>
  </si>
  <si>
    <t>64-20</t>
  </si>
  <si>
    <t>187-20</t>
  </si>
  <si>
    <t>59-20</t>
  </si>
  <si>
    <t>904-20</t>
  </si>
  <si>
    <t>828-20</t>
  </si>
  <si>
    <t>224-20</t>
  </si>
  <si>
    <t>232-20</t>
  </si>
  <si>
    <t>309-20</t>
  </si>
  <si>
    <t>BONDS</t>
  </si>
  <si>
    <t>REYNALDO</t>
  </si>
  <si>
    <t>101-20</t>
  </si>
  <si>
    <t>71-20</t>
  </si>
  <si>
    <t>302-20</t>
  </si>
  <si>
    <t>72-20</t>
  </si>
  <si>
    <t>rtdc.l.rtdc.4019:itc</t>
  </si>
  <si>
    <t>304-20</t>
  </si>
  <si>
    <t>103-20</t>
  </si>
  <si>
    <t>306-20</t>
  </si>
  <si>
    <t>105-20</t>
  </si>
  <si>
    <t>107-20</t>
  </si>
  <si>
    <t>rtdc.l.rtdc.4025:itc</t>
  </si>
  <si>
    <t>308-20</t>
  </si>
  <si>
    <t>rtdc.l.rtdc.4026:itc</t>
  </si>
  <si>
    <t>109-20</t>
  </si>
  <si>
    <t>104-20</t>
  </si>
  <si>
    <t>310-20</t>
  </si>
  <si>
    <t>111-20</t>
  </si>
  <si>
    <t>ROCHA</t>
  </si>
  <si>
    <t>YAOTL</t>
  </si>
  <si>
    <t>113-20</t>
  </si>
  <si>
    <t>800-20</t>
  </si>
  <si>
    <t>106-20</t>
  </si>
  <si>
    <t>108-20</t>
  </si>
  <si>
    <t>312-20</t>
  </si>
  <si>
    <t>HUFFSMITH</t>
  </si>
  <si>
    <t>MONTY</t>
  </si>
  <si>
    <t>115-20</t>
  </si>
  <si>
    <t>801-20</t>
  </si>
  <si>
    <t>902-20</t>
  </si>
  <si>
    <t>GEBRETEKLE</t>
  </si>
  <si>
    <t>DAGNEW</t>
  </si>
  <si>
    <t>110-20</t>
  </si>
  <si>
    <t>117-20</t>
  </si>
  <si>
    <t>119-20</t>
  </si>
  <si>
    <t>114-20</t>
  </si>
  <si>
    <t>112-20</t>
  </si>
  <si>
    <t>803-20</t>
  </si>
  <si>
    <t>123-20</t>
  </si>
  <si>
    <t>116-20</t>
  </si>
  <si>
    <t>804-20</t>
  </si>
  <si>
    <t>118-20</t>
  </si>
  <si>
    <t>805-20</t>
  </si>
  <si>
    <t>125-20</t>
  </si>
  <si>
    <t>120-20</t>
  </si>
  <si>
    <t>127-20</t>
  </si>
  <si>
    <t>806-20</t>
  </si>
  <si>
    <t>122-20</t>
  </si>
  <si>
    <t>807-20</t>
  </si>
  <si>
    <t>124-20</t>
  </si>
  <si>
    <t>131-20</t>
  </si>
  <si>
    <t>808-20</t>
  </si>
  <si>
    <t>809-20</t>
  </si>
  <si>
    <t>133-20</t>
  </si>
  <si>
    <t>128-20</t>
  </si>
  <si>
    <t>135-20</t>
  </si>
  <si>
    <t>811-20</t>
  </si>
  <si>
    <t>137-20</t>
  </si>
  <si>
    <t>132-20</t>
  </si>
  <si>
    <t>139-20</t>
  </si>
  <si>
    <t>812-20</t>
  </si>
  <si>
    <t>903-20</t>
  </si>
  <si>
    <t>141-20</t>
  </si>
  <si>
    <t>134-20</t>
  </si>
  <si>
    <t>136-20</t>
  </si>
  <si>
    <t>143-20</t>
  </si>
  <si>
    <t>813-20</t>
  </si>
  <si>
    <t>138-20</t>
  </si>
  <si>
    <t>60-20</t>
  </si>
  <si>
    <t>145-20</t>
  </si>
  <si>
    <t>51-20</t>
  </si>
  <si>
    <t>PELLITIER</t>
  </si>
  <si>
    <t>GEORGE</t>
  </si>
  <si>
    <t>55-20</t>
  </si>
  <si>
    <t>ROMERO</t>
  </si>
  <si>
    <t>CHAD</t>
  </si>
  <si>
    <t>147-20</t>
  </si>
  <si>
    <t>140-20</t>
  </si>
  <si>
    <t>142-20</t>
  </si>
  <si>
    <t>814-20</t>
  </si>
  <si>
    <t>149-20</t>
  </si>
  <si>
    <t>151-20</t>
  </si>
  <si>
    <t>146-20</t>
  </si>
  <si>
    <t>144-20</t>
  </si>
  <si>
    <t>815-20</t>
  </si>
  <si>
    <t>148-20</t>
  </si>
  <si>
    <t>155-20</t>
  </si>
  <si>
    <t>150-20</t>
  </si>
  <si>
    <t>816-20</t>
  </si>
  <si>
    <t>157-20</t>
  </si>
  <si>
    <t>152-20</t>
  </si>
  <si>
    <t>159-20</t>
  </si>
  <si>
    <t>77-20</t>
  </si>
  <si>
    <t>DE LA ROSA</t>
  </si>
  <si>
    <t>ALEX</t>
  </si>
  <si>
    <t>817-20</t>
  </si>
  <si>
    <t>156-20</t>
  </si>
  <si>
    <t>161-20</t>
  </si>
  <si>
    <t>154-20</t>
  </si>
  <si>
    <t>818-20</t>
  </si>
  <si>
    <t>165-20</t>
  </si>
  <si>
    <t>158-20</t>
  </si>
  <si>
    <t>160-20</t>
  </si>
  <si>
    <t>56-20</t>
  </si>
  <si>
    <t>167-20</t>
  </si>
  <si>
    <t>KILLION</t>
  </si>
  <si>
    <t>162-20</t>
  </si>
  <si>
    <t>169-20</t>
  </si>
  <si>
    <t>166-20</t>
  </si>
  <si>
    <t>164-20</t>
  </si>
  <si>
    <t>820-20</t>
  </si>
  <si>
    <t>173-20</t>
  </si>
  <si>
    <t>HOLCOMB</t>
  </si>
  <si>
    <t>KAMDEN</t>
  </si>
  <si>
    <t>168-20</t>
  </si>
  <si>
    <t>175-20</t>
  </si>
  <si>
    <t>821-20</t>
  </si>
  <si>
    <t>170-20</t>
  </si>
  <si>
    <t>177-20</t>
  </si>
  <si>
    <t>172-20</t>
  </si>
  <si>
    <t>179-20</t>
  </si>
  <si>
    <t>822-20</t>
  </si>
  <si>
    <t>181-20</t>
  </si>
  <si>
    <t>174-20</t>
  </si>
  <si>
    <t>176-20</t>
  </si>
  <si>
    <t>SANTIZO</t>
  </si>
  <si>
    <t>D. EDY</t>
  </si>
  <si>
    <t>183-20</t>
  </si>
  <si>
    <t>823-20</t>
  </si>
  <si>
    <t>178-20</t>
  </si>
  <si>
    <t>180-20</t>
  </si>
  <si>
    <t>185-20</t>
  </si>
  <si>
    <t>182-20</t>
  </si>
  <si>
    <t>824-20</t>
  </si>
  <si>
    <t>189-20</t>
  </si>
  <si>
    <t>184-20</t>
  </si>
  <si>
    <t>191-20</t>
  </si>
  <si>
    <t>825-20</t>
  </si>
  <si>
    <t>193-20</t>
  </si>
  <si>
    <t>186-20</t>
  </si>
  <si>
    <t>190-20</t>
  </si>
  <si>
    <t>188-20</t>
  </si>
  <si>
    <t>195-20</t>
  </si>
  <si>
    <t>826-20</t>
  </si>
  <si>
    <t>827-20</t>
  </si>
  <si>
    <t>197-20</t>
  </si>
  <si>
    <t>192-20</t>
  </si>
  <si>
    <t>199-20</t>
  </si>
  <si>
    <t>194-20</t>
  </si>
  <si>
    <t>829-20</t>
  </si>
  <si>
    <t>201-20</t>
  </si>
  <si>
    <t>196-20</t>
  </si>
  <si>
    <t>203-20</t>
  </si>
  <si>
    <t>81-20</t>
  </si>
  <si>
    <t>830-20</t>
  </si>
  <si>
    <t>831-20</t>
  </si>
  <si>
    <t>198-20</t>
  </si>
  <si>
    <t>205-20</t>
  </si>
  <si>
    <t>200-20</t>
  </si>
  <si>
    <t>207-20</t>
  </si>
  <si>
    <t>832-20</t>
  </si>
  <si>
    <t>833-20</t>
  </si>
  <si>
    <t>202-20</t>
  </si>
  <si>
    <t>83-20</t>
  </si>
  <si>
    <t>204-20</t>
  </si>
  <si>
    <t>209-20</t>
  </si>
  <si>
    <t>211-20</t>
  </si>
  <si>
    <t>834-20</t>
  </si>
  <si>
    <t>835-20</t>
  </si>
  <si>
    <t>206-20</t>
  </si>
  <si>
    <t>213-20</t>
  </si>
  <si>
    <t>74-20</t>
  </si>
  <si>
    <t>208-20</t>
  </si>
  <si>
    <t>836-20</t>
  </si>
  <si>
    <t>215-20</t>
  </si>
  <si>
    <t>837-20</t>
  </si>
  <si>
    <t>210-20</t>
  </si>
  <si>
    <t>217-20</t>
  </si>
  <si>
    <t>212-20</t>
  </si>
  <si>
    <t>219-20</t>
  </si>
  <si>
    <t>838-20</t>
  </si>
  <si>
    <t>839-20</t>
  </si>
  <si>
    <t>214-20</t>
  </si>
  <si>
    <t>301-20</t>
  </si>
  <si>
    <t>906-20</t>
  </si>
  <si>
    <t>216-20</t>
  </si>
  <si>
    <t>221-20</t>
  </si>
  <si>
    <t>218-20</t>
  </si>
  <si>
    <t>841-20</t>
  </si>
  <si>
    <t>303-20</t>
  </si>
  <si>
    <t>220-20</t>
  </si>
  <si>
    <t>223-20</t>
  </si>
  <si>
    <t>840-20</t>
  </si>
  <si>
    <t>305-20</t>
  </si>
  <si>
    <t>222-20</t>
  </si>
  <si>
    <t>225-20</t>
  </si>
  <si>
    <t>843-20</t>
  </si>
  <si>
    <t>227-20</t>
  </si>
  <si>
    <t>842-20</t>
  </si>
  <si>
    <t>229-20</t>
  </si>
  <si>
    <t>226-20</t>
  </si>
  <si>
    <t>845-20</t>
  </si>
  <si>
    <t>228-20</t>
  </si>
  <si>
    <t>844-20</t>
  </si>
  <si>
    <t>231-20</t>
  </si>
  <si>
    <t>233-20</t>
  </si>
  <si>
    <t>230-20</t>
  </si>
  <si>
    <t>847-20</t>
  </si>
  <si>
    <t>235-20</t>
  </si>
  <si>
    <t>846-20</t>
  </si>
  <si>
    <t>234-20</t>
  </si>
  <si>
    <t>237-20</t>
  </si>
  <si>
    <t>849-20</t>
  </si>
  <si>
    <t>236-20</t>
  </si>
  <si>
    <t>239-20</t>
  </si>
  <si>
    <t>908-20</t>
  </si>
  <si>
    <t>241-20</t>
  </si>
  <si>
    <t>238-20</t>
  </si>
  <si>
    <t>243-20</t>
  </si>
  <si>
    <t>240-20</t>
  </si>
  <si>
    <t>313-20</t>
  </si>
  <si>
    <t>242-20</t>
  </si>
  <si>
    <t>307-20</t>
  </si>
  <si>
    <t>244-20</t>
  </si>
  <si>
    <t>311-20</t>
  </si>
  <si>
    <t>300-21</t>
  </si>
  <si>
    <t>precipAccumulation</t>
  </si>
  <si>
    <t>precipType</t>
  </si>
  <si>
    <t>rain</t>
  </si>
  <si>
    <t>snow</t>
  </si>
  <si>
    <t>204:888</t>
  </si>
  <si>
    <t>204:233280</t>
  </si>
  <si>
    <t>204:1507</t>
  </si>
  <si>
    <t>204:233395</t>
  </si>
  <si>
    <t>204:232990</t>
  </si>
  <si>
    <t>204:232975</t>
  </si>
  <si>
    <t>204:156</t>
  </si>
  <si>
    <t>204:233264</t>
  </si>
  <si>
    <t>204:500</t>
  </si>
  <si>
    <t>204:233004</t>
  </si>
  <si>
    <t>204:229</t>
  </si>
  <si>
    <t>204:232962</t>
  </si>
  <si>
    <t>204:759</t>
  </si>
  <si>
    <t>204:233286</t>
  </si>
  <si>
    <t>204:232965</t>
  </si>
  <si>
    <t>204:139</t>
  </si>
  <si>
    <t>204:526</t>
  </si>
  <si>
    <t>204:232987</t>
  </si>
  <si>
    <t>204:469</t>
  </si>
  <si>
    <t>204:232963</t>
  </si>
  <si>
    <t>204:544</t>
  </si>
  <si>
    <t>204:233323</t>
  </si>
  <si>
    <t>204:232993</t>
  </si>
  <si>
    <t>204:136</t>
  </si>
  <si>
    <t>204:233298</t>
  </si>
  <si>
    <t>204:232974</t>
  </si>
  <si>
    <t>204:232988</t>
  </si>
  <si>
    <t>204:233299</t>
  </si>
  <si>
    <t>204:187</t>
  </si>
  <si>
    <t>204:418</t>
  </si>
  <si>
    <t>204:233322</t>
  </si>
  <si>
    <t>204:141</t>
  </si>
  <si>
    <t>204:233023</t>
  </si>
  <si>
    <t>204:1162</t>
  </si>
  <si>
    <t>204:233244</t>
  </si>
  <si>
    <t>204:232925</t>
  </si>
  <si>
    <t>204:233226</t>
  </si>
  <si>
    <t>204:232905</t>
  </si>
  <si>
    <t>204:178</t>
  </si>
  <si>
    <t>204:486</t>
  </si>
  <si>
    <t>204:223</t>
  </si>
  <si>
    <t>204:128272</t>
  </si>
  <si>
    <t>204:127788</t>
  </si>
  <si>
    <t>204:233339</t>
  </si>
  <si>
    <t>204:560</t>
  </si>
  <si>
    <t>204:233332</t>
  </si>
  <si>
    <t>204:232981</t>
  </si>
  <si>
    <t>204:233210</t>
  </si>
  <si>
    <t>204:427</t>
  </si>
  <si>
    <t>204:233204</t>
  </si>
  <si>
    <t>204:232892</t>
  </si>
  <si>
    <t>204:289</t>
  </si>
  <si>
    <t>204:506</t>
  </si>
  <si>
    <t>204:205</t>
  </si>
  <si>
    <t>204:519</t>
  </si>
  <si>
    <t>204:233285</t>
  </si>
  <si>
    <t>204:233284</t>
  </si>
  <si>
    <t>204:232966</t>
  </si>
  <si>
    <t>204:535</t>
  </si>
  <si>
    <t>204:233283</t>
  </si>
  <si>
    <t>204:232952</t>
  </si>
  <si>
    <t>204:282</t>
  </si>
  <si>
    <t>204:233300</t>
  </si>
  <si>
    <t>204:132</t>
  </si>
  <si>
    <t>204:466</t>
  </si>
  <si>
    <t>204:233251</t>
  </si>
  <si>
    <t>204:580</t>
  </si>
  <si>
    <t>204:233151</t>
  </si>
  <si>
    <t>204:232840</t>
  </si>
  <si>
    <t>204:233199</t>
  </si>
  <si>
    <t>204:232877</t>
  </si>
  <si>
    <t>204:233347</t>
  </si>
  <si>
    <t>204:233013</t>
  </si>
  <si>
    <t>204:232970</t>
  </si>
  <si>
    <t>204:233249</t>
  </si>
  <si>
    <t>204:262</t>
  </si>
  <si>
    <t>204:480</t>
  </si>
  <si>
    <t>204:233217</t>
  </si>
  <si>
    <t>204:232942</t>
  </si>
  <si>
    <t>204:233255</t>
  </si>
  <si>
    <t>204:232871</t>
  </si>
  <si>
    <t>204:232926</t>
  </si>
  <si>
    <t>204:233263</t>
  </si>
  <si>
    <t>204:218</t>
  </si>
  <si>
    <t>204:232960</t>
  </si>
  <si>
    <t>204:566</t>
  </si>
  <si>
    <t>204:232873</t>
  </si>
  <si>
    <t>204:571</t>
  </si>
  <si>
    <t>204:233272</t>
  </si>
  <si>
    <t>204:233178</t>
  </si>
  <si>
    <t>204:232852</t>
  </si>
  <si>
    <t>204:251</t>
  </si>
  <si>
    <t>204:573</t>
  </si>
  <si>
    <t>204:233234</t>
  </si>
  <si>
    <t>204:232908</t>
  </si>
  <si>
    <t>204:271</t>
  </si>
  <si>
    <t>204:533</t>
  </si>
  <si>
    <t>204:227</t>
  </si>
  <si>
    <t>204:3211</t>
  </si>
  <si>
    <t>300:23580</t>
  </si>
  <si>
    <t>204:256</t>
  </si>
  <si>
    <t>300:19789</t>
  </si>
  <si>
    <t>300:23306</t>
  </si>
  <si>
    <t>300:23160</t>
  </si>
  <si>
    <t>300:23334</t>
  </si>
  <si>
    <t>204:551</t>
  </si>
  <si>
    <t>300:22559</t>
  </si>
  <si>
    <t>300:23762</t>
  </si>
  <si>
    <t>300:22667</t>
  </si>
  <si>
    <t>300:23512</t>
  </si>
  <si>
    <t>204:119</t>
  </si>
  <si>
    <t>300:23301</t>
  </si>
  <si>
    <t>300:63955</t>
  </si>
  <si>
    <t>300:29991</t>
  </si>
  <si>
    <t>300:64284</t>
  </si>
  <si>
    <t>300:29500</t>
  </si>
  <si>
    <t>300:39599</t>
  </si>
  <si>
    <t>300:39239</t>
  </si>
  <si>
    <t>300:28786</t>
  </si>
  <si>
    <t>300:112184</t>
  </si>
  <si>
    <t>204:884</t>
  </si>
  <si>
    <t>300:25757</t>
  </si>
  <si>
    <t>300:112509</t>
  </si>
  <si>
    <t>204:1214</t>
  </si>
  <si>
    <t>300:112574</t>
  </si>
  <si>
    <t>204:1498</t>
  </si>
  <si>
    <t>204:3536</t>
  </si>
  <si>
    <t>204:3223</t>
  </si>
  <si>
    <t>204:1081</t>
  </si>
  <si>
    <t>300:112580</t>
  </si>
  <si>
    <t>300:30362</t>
  </si>
  <si>
    <t>300:112576</t>
  </si>
  <si>
    <t>204:972</t>
  </si>
  <si>
    <t>300:112506</t>
  </si>
  <si>
    <t>204:1461</t>
  </si>
  <si>
    <t>300:23346</t>
  </si>
  <si>
    <t>300:112269</t>
  </si>
  <si>
    <t>204:699</t>
  </si>
  <si>
    <t>204:493</t>
  </si>
  <si>
    <t>204:3546</t>
  </si>
  <si>
    <t>204:3213</t>
  </si>
  <si>
    <t>204:1182</t>
  </si>
  <si>
    <t>204:2199</t>
  </si>
  <si>
    <t>204:1175</t>
  </si>
  <si>
    <t>300:5581</t>
  </si>
  <si>
    <t>300:5351</t>
  </si>
  <si>
    <t>300:58660</t>
  </si>
  <si>
    <t>204:176</t>
  </si>
  <si>
    <t>300:58995</t>
  </si>
  <si>
    <t>204:4653</t>
  </si>
  <si>
    <t>300:58655</t>
  </si>
  <si>
    <t>204:117</t>
  </si>
  <si>
    <t>300:58653</t>
  </si>
  <si>
    <t>300:58961</t>
  </si>
  <si>
    <t>204:1484</t>
  </si>
  <si>
    <t>300:58651</t>
  </si>
  <si>
    <t>204:455</t>
  </si>
  <si>
    <t>300:58975</t>
  </si>
  <si>
    <t>300:58658</t>
  </si>
  <si>
    <t>204:421</t>
  </si>
  <si>
    <t>300:58969</t>
  </si>
  <si>
    <t>300:58649</t>
  </si>
  <si>
    <t>204:432</t>
  </si>
  <si>
    <t>300:58965</t>
  </si>
  <si>
    <t>204:410</t>
  </si>
  <si>
    <t>300:58958</t>
  </si>
  <si>
    <t>300:58647</t>
  </si>
  <si>
    <t>204:175</t>
  </si>
  <si>
    <t>300:58956</t>
  </si>
  <si>
    <t>300:58640</t>
  </si>
  <si>
    <t>204:166</t>
  </si>
  <si>
    <t>204:146</t>
  </si>
  <si>
    <t>300:58619</t>
  </si>
  <si>
    <t>204:1145</t>
  </si>
  <si>
    <t>300:58641</t>
  </si>
  <si>
    <t>300:58914</t>
  </si>
  <si>
    <t>300:58600</t>
  </si>
  <si>
    <t>300:58645</t>
  </si>
  <si>
    <t>204:450</t>
  </si>
  <si>
    <t>300:58948</t>
  </si>
  <si>
    <t>300:58611</t>
  </si>
  <si>
    <t>300:30190</t>
  </si>
  <si>
    <t>300:23385</t>
  </si>
  <si>
    <t>300:24226</t>
  </si>
  <si>
    <t>300:23644</t>
  </si>
  <si>
    <t>300:28755</t>
  </si>
  <si>
    <t>300:28795</t>
  </si>
  <si>
    <t>start /low /b %USERPROFILE%\Documents\GitHub\eaglep3\Utilities\DownloadLogsFromS3.py --loco 4020 --day 2017-12-20</t>
  </si>
  <si>
    <t>start /low /b %USERPROFILE%\Documents\GitHub\eaglep3\Utilities\DownloadLogsFromS3.py --loco 4039 --day 2017-12-20</t>
  </si>
  <si>
    <t>start /low /b %USERPROFILE%\Documents\GitHub\eaglep3\Utilities\DownloadLogsFromS3.py --loco 4054 --day 2017-12-20</t>
  </si>
  <si>
    <t>start /low /b %USERPROFILE%\Documents\GitHub\eaglep3\Utilities\DownloadLogsFromS3.py --loco 4052 --day 2017-12-20</t>
  </si>
  <si>
    <t>start /low /b %USERPROFILE%\Documents\GitHub\eaglep3\Utilities\DownloadLogsFromS3.py --loco 4061 --day 2017-12-20</t>
  </si>
  <si>
    <t>start /low /b %USERPROFILE%\Documents\GitHub\eaglep3\Utilities\DownloadLogsFromS3.py --loco 4061 --day 2017-12-21</t>
  </si>
  <si>
    <t>start /low /b %USERPROFILE%\Documents\GitHub\eaglep3\Utilities\DownloadLogsFromS3.py --loco 4009 --day 2017-12-20</t>
  </si>
  <si>
    <t>start /low /b %USERPROFILE%\Documents\GitHub\eaglep3\Utilities\DownloadLogsFromS3.py --loco 4062 --day 2017-12-20</t>
  </si>
  <si>
    <t>start /low /b %USERPROFILE%\Documents\GitHub\eaglep3\Utilities\DownloadLogsFromS3.py --loco 4058 --day 2017-12-20</t>
  </si>
  <si>
    <t>start /low /b %USERPROFILE%\Documents\GitHub\eaglep3\Utilities\DownloadLogsFromS3.py --loco 4010 --day 2017-12-20</t>
  </si>
  <si>
    <t>300:112187</t>
  </si>
  <si>
    <t>204:889</t>
  </si>
  <si>
    <t>300:112258</t>
  </si>
  <si>
    <t>204:904</t>
  </si>
  <si>
    <t>204:1197</t>
  </si>
  <si>
    <t>300:112264</t>
  </si>
  <si>
    <t>204:771</t>
  </si>
  <si>
    <t>300:112195</t>
  </si>
  <si>
    <t>204:708</t>
  </si>
  <si>
    <t>204:182</t>
  </si>
  <si>
    <t>Onboard in-route failure</t>
  </si>
  <si>
    <t>Minor Onboard in-route failure caused BOS to send cut out</t>
  </si>
  <si>
    <t>Form C</t>
  </si>
  <si>
    <t>Minor Onboard in-route failure</t>
  </si>
  <si>
    <t>Poor GPS @ Wewatta</t>
  </si>
  <si>
    <t>58690 - mistakenly attributed as red fence signal unknown</t>
  </si>
  <si>
    <t>Early Arrival, 58699 - mistakenly attributed as unhealthy crossing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</si>
</sst>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38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43089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43089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COUNTIFS($N$13:$N$9581,"&gt;0",$AG$13:$AG$9581,I1)</f>
        <v>142</v>
      </c>
      <c r="K5" s="39"/>
      <c r="L5" s="171"/>
      <c r="M5" s="40">
        <f>AVERAGEIFS($N$13:$N$9581,$AG$13:$AG$9581,I1)</f>
        <v>37.156338028160491</v>
      </c>
      <c r="N5" s="38">
        <f t="array" ref="N5">MIN(IF($AG$13:$AG$9581=I1,IF(ISNUMBER($N$13:$N$9581),IF($N$13:$N$9581&gt;0,$N$13:$N$9581))))</f>
        <v>34.066666667349637</v>
      </c>
      <c r="O5" s="3">
        <f t="array" ref="O5">MAX(IF($AG$13:$AG$9581=I1,IF(ISNUMBER($N$13:$N$9581),IF($N$13:$N$9581&gt;0,$N$13:$N$9581))))</f>
        <v>42.250000006752089</v>
      </c>
      <c r="P5" s="2"/>
      <c r="R5" s="162" t="s">
        <v>17</v>
      </c>
      <c r="S5" s="206">
        <f>COUNTIFS($N$13:$N$9581,"&gt;0",$AG$13:$AG$9581,R1)</f>
        <v>49</v>
      </c>
      <c r="T5" s="171"/>
      <c r="U5" s="194"/>
      <c r="V5" s="210">
        <f>AVERAGEIFS($N$13:$N$9581,$AG$13:$AG$9581,R1)</f>
        <v>14.219727891506817</v>
      </c>
      <c r="W5" s="211">
        <f t="array" ref="W5">MIN(IF($AG$13:$AG$9581=R1,IF(ISNUMBER($N$13:$N$9581),IF($N$13:$N$9581&gt;0,$N$13:$N$9581))))</f>
        <v>11.466666664928198</v>
      </c>
      <c r="X5" s="199">
        <f t="array" ref="X5">MAX(IF($AG$13:$AG$9581=R1,IF(ISNUMBER($N$13:$N$9581),IF($N$13:$N$9581&gt;0,$N$13:$N$9581))))</f>
        <v>23.533333333907649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COUNT($O$13:$O$339)</f>
        <v>0</v>
      </c>
      <c r="K6" s="39"/>
      <c r="L6" s="171"/>
      <c r="M6" s="40">
        <f>IFERROR(AVERAGE($O$13:$O$339),0)</f>
        <v>0</v>
      </c>
      <c r="N6" s="38">
        <f>MIN($O$13:$O$339)</f>
        <v>0</v>
      </c>
      <c r="O6" s="3">
        <f>MAX($O$13:$O$339)</f>
        <v>0</v>
      </c>
      <c r="P6" s="2"/>
      <c r="R6" s="163" t="s">
        <v>43</v>
      </c>
      <c r="S6" s="206">
        <f>COUNT($O$13:$O$339)</f>
        <v>0</v>
      </c>
      <c r="T6" s="171"/>
      <c r="U6" s="194"/>
      <c r="V6" s="210">
        <f>IFERROR(AVERAGE($O$13:$O$339),0)</f>
        <v>0</v>
      </c>
      <c r="W6" s="211">
        <f>MIN($O$13:$O$339)</f>
        <v>0</v>
      </c>
      <c r="X6" s="199">
        <f>MAX($O$13:$O$339)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COUNTIFS($P$13:$P$9581,"&gt;0",$AG$13:$AG$9581,I1)</f>
        <v>2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COUNTIFS($P$13:$P$9581,"&gt;0",$AG$13:$AG$9581,R1)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71"/>
      <c r="M8" s="40">
        <f>M5</f>
        <v>37.156338028160491</v>
      </c>
      <c r="N8" s="38">
        <f>N5</f>
        <v>34.066666667349637</v>
      </c>
      <c r="O8" s="3">
        <f>O5</f>
        <v>42.250000006752089</v>
      </c>
      <c r="P8" s="2"/>
      <c r="R8" s="162" t="s">
        <v>16</v>
      </c>
      <c r="S8" s="206">
        <f>S5</f>
        <v>49</v>
      </c>
      <c r="T8" s="171"/>
      <c r="U8" s="194"/>
      <c r="V8" s="210">
        <f>V5</f>
        <v>14.219727891506817</v>
      </c>
      <c r="W8" s="211">
        <f>W5</f>
        <v>11.466666664928198</v>
      </c>
      <c r="X8" s="199">
        <f>X5</f>
        <v>23.533333333907649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50" t="str">
        <f>"Eagle P3 System Performance - "&amp;TEXT(Variables!A2,"yyyy-mm-dd")</f>
        <v>Eagle P3 System Performance - 2017-12-20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AVERAGE(S13:S132)</f>
        <v>0.99159663865546221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674</v>
      </c>
      <c r="B13" s="7">
        <v>4010</v>
      </c>
      <c r="C13" s="21" t="s">
        <v>192</v>
      </c>
      <c r="D13" s="21" t="s">
        <v>903</v>
      </c>
      <c r="E13" s="13">
        <v>43089.130833333336</v>
      </c>
      <c r="F13" s="13">
        <v>43089.135648148149</v>
      </c>
      <c r="G13" s="7">
        <v>82</v>
      </c>
      <c r="H13" s="21" t="s">
        <v>904</v>
      </c>
      <c r="I13" s="13">
        <v>43089.161712962959</v>
      </c>
      <c r="J13" s="7">
        <v>0</v>
      </c>
      <c r="K13" s="89" t="str">
        <f t="shared" ref="K13:K76" si="0">IF(ISEVEN(B13),(B13-1)&amp;"/"&amp;B13,B13&amp;"/"&amp;(B13+1))</f>
        <v>4009/4010</v>
      </c>
      <c r="L13" s="184" t="str">
        <f>VLOOKUP(A13,'Trips&amp;Operators'!$C$1:$G$99911,5,FALSE)</f>
        <v>BONDS REYNALDO</v>
      </c>
      <c r="M13" s="6">
        <f t="shared" ref="M13:M76" si="1">I13-F13</f>
        <v>2.6064814810524695E-2</v>
      </c>
      <c r="N13" s="7">
        <f t="shared" ref="N13:N45" si="2">24*60*SUM($M13:$M13)</f>
        <v>37.53333332715556</v>
      </c>
      <c r="O13" s="7"/>
      <c r="P13" s="7"/>
      <c r="Q13" s="22"/>
      <c r="R13" s="166"/>
      <c r="S13" s="249">
        <f t="shared" ref="S13:S44" si="3">1/IF(AG13="EC",12,1)*SUM(U13:U13)</f>
        <v>1</v>
      </c>
      <c r="T13" s="173" t="str">
        <f t="shared" ref="T13:T76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-20T02:08:24-0700',mode:absolute,to:'2017-12-20T04:52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" s="203" t="str">
        <f>IF(AA13&lt;VLOOKUP(AG13,Variables!$AC$3:$AD$8,2,FALSE),"Y","N")</f>
        <v>N</v>
      </c>
      <c r="X13" s="203" t="e">
        <f t="shared" ref="X13:X45" si="6">VALUE(LEFT(AD13,4))-VALUE(LEFT(AD12,4))</f>
        <v>#VALUE!</v>
      </c>
      <c r="Y13" s="203">
        <f t="shared" ref="Y13:Y45" si="7">RIGHT(D13,LEN(D13)-4)/10000</f>
        <v>8.8800000000000004E-2</v>
      </c>
      <c r="Z13" s="203">
        <f t="shared" ref="Z13:Z45" si="8">RIGHT(H13,LEN(H13)-4)/10000</f>
        <v>23.327999999999999</v>
      </c>
      <c r="AA13" s="203">
        <f t="shared" ref="AA13:AA76" si="9">ABS(Z13-Y13)</f>
        <v>23.2392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s3://rtdc.mdm.uploadarchive.raw/RTDC4010/ "%USERPROFILE%\AppData\Local\Temp\OnboardLogs"\RTDC4010\2017-12-20 --exclude "*" --recursive --include "*20171220*" &amp; "%USERPROFILE%\Documents\GitHub\mrs-test-scripts\Headless Mode &amp; Sideloading\WalkAndUnGZ.bat" "%USERPROFILE%\AppData\Local\Temp\OnboardLogs"\RTDC4010\2017-12-20 &amp; aws s3 cp s3://rtdc.mdm.uploadarchive.raw/RTDC4010/ "%USERPROFILE%\AppData\Local\Temp\OnboardLogs"\RTDC4010\2017-12-21 --exclude "*" --recursive --include "*20171221*" &amp; "%USERPROFILE%\Documents\GitHub\mrs-test-scripts\Headless Mode &amp; Sideloading\WalkAndUnGZ.bat" "%USERPROFILE%\AppData\Local\Temp\OnboardLogs"\RTDC4010\2017-12-21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/stypes="app*4010*20171220*" /stext=" 10:.+((SYSTEM_STATE.+slice.+state.+changed )|(ment ac)|(multiple cpu faults)|(system.+state.+changed )|(\[timeout)|(PRM\|1\|D)|(kpr)|(kdp)|(train st.+moving)|(\|gpps)|(penalty))"</v>
      </c>
      <c r="AG13" s="181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4010 --swversion DE.1.0.9.0 --startMP 204:888 --initTime 2017-12-20T03:08:24 --startdatetime 2017-12-20T03:15:20 --delay 82 --endMP 204:233280 --enddatetime 2017-12-20T03:52:52 --enforcementcount 0 &gt;&gt;%USERPROFILE%\Documents\GitHub\eaglep3-reporting\EC\2017-12-20-refined-times.txt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{"issue":{"subject":"","project_id":79,"tracker_id":40,"status_id":1,"priority_id":2,"assigned_to_id":338,"start_date":"2017-12-20","description":"","custom_fields":[{"id":1,"name":"Subdivision","value":"EC"},{"id":4,"name":"Milepost","value":"23.328"},{"id":17,"name":"Train ID","value":"101-20"},{"id":16,"name":"Locomotive ID","value":"4010"},{"id":130,"name":"Impact","value":""},{"id":150,"name":"Time of Event (Mountain Time)","value":"03:52:52"},{"id":151,"name":"Denver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4010 --day 2017-12-20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10:52:52"},{"id":29,"name":"Sharepoint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-20T02:08:24-0700',mode:absolute,to:'2017-12-20T04:52:52-0700'))&amp;_a=(columns:!('Message%20ID',Summary),filters:!(),index:'emp_*',interval:auto,query:(query_string:(analyze_wildcard:!t,query:'%22rtdc.l.rtdc.4010%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9" t="s">
        <v>648</v>
      </c>
      <c r="B14" s="225">
        <v>4009</v>
      </c>
      <c r="C14" s="227" t="s">
        <v>192</v>
      </c>
      <c r="D14" s="227" t="s">
        <v>517</v>
      </c>
      <c r="E14" s="226">
        <v>43089.171446759261</v>
      </c>
      <c r="F14" s="226">
        <v>43089.175219907411</v>
      </c>
      <c r="G14" s="225">
        <v>60</v>
      </c>
      <c r="H14" s="227" t="s">
        <v>595</v>
      </c>
      <c r="I14" s="226">
        <v>43089.202638888892</v>
      </c>
      <c r="J14" s="225">
        <v>0</v>
      </c>
      <c r="K14" s="237" t="str">
        <f t="shared" si="0"/>
        <v>4009/4010</v>
      </c>
      <c r="L14" s="245" t="str">
        <f>VLOOKUP(A14,'Trips&amp;Operators'!$C$1:$G$99911,5,FALSE)</f>
        <v>BONDS REYNALDO</v>
      </c>
      <c r="M14" s="224">
        <f t="shared" si="1"/>
        <v>2.7418981480877846E-2</v>
      </c>
      <c r="N14" s="225">
        <f t="shared" si="2"/>
        <v>39.483333332464099</v>
      </c>
      <c r="O14" s="225"/>
      <c r="P14" s="225"/>
      <c r="Q14" s="228"/>
      <c r="R14" s="242"/>
      <c r="S14" s="249">
        <f t="shared" si="3"/>
        <v>1</v>
      </c>
      <c r="T14" s="242" t="str">
        <f t="shared" si="4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 t="shared" si="5"/>
        <v>https://d0f6bd738d7f1b3e5a7ca70fe4ff75f0.us-east-1.aws.found.io/app/kibana#/discover/Steve-Slow-Train-Analysis-(2080s-and-2083s)?_g=(refreshInterval:(display:Off,pause:!f,section:0,value:0),time:(from:'2017-12-20T03:06:53-0700',mode:absolute,to:'2017-12-20T05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" s="247" t="str">
        <f>IF(AA14&lt;VLOOKUP(AG14,Variables!$AC$3:$AD$8,2,FALSE),"Y","N")</f>
        <v>N</v>
      </c>
      <c r="X14" s="247">
        <f t="shared" si="6"/>
        <v>1</v>
      </c>
      <c r="Y14" s="247">
        <f t="shared" si="7"/>
        <v>23.296099999999999</v>
      </c>
      <c r="Z14" s="247">
        <f t="shared" si="8"/>
        <v>2.1100000000000001E-2</v>
      </c>
      <c r="AA14" s="247">
        <f t="shared" si="9"/>
        <v>23.274999999999999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10"/>
        <v>102</v>
      </c>
      <c r="AE14" s="235" t="str">
        <f t="shared" si="11"/>
        <v>aws s3 cp s3://rtdc.mdm.uploadarchive.raw/RTDC4009/ "%USERPROFILE%\AppData\Local\Temp\OnboardLogs"\RTDC4009\2017-12-20 --exclude "*" --recursive --include "*20171220*" &amp; "%USERPROFILE%\Documents\GitHub\mrs-test-scripts\Headless Mode &amp; Sideloading\WalkAndUnGZ.bat" "%USERPROFILE%\AppData\Local\Temp\OnboardLogs"\RTDC4009\2017-12-20 &amp; aws s3 cp s3://rtdc.mdm.uploadarchive.raw/RTDC4009/ "%USERPROFILE%\AppData\Local\Temp\OnboardLogs"\RTDC4009\2017-12-21 --exclude "*" --recursive --include "*20171221*" &amp; "%USERPROFILE%\Documents\GitHub\mrs-test-scripts\Headless Mode &amp; Sideloading\WalkAndUnGZ.bat" "%USERPROFILE%\AppData\Local\Temp\OnboardLogs"\RTDC4009\2017-12-21</v>
      </c>
      <c r="AF14" s="234" t="str">
        <f t="shared" si="12"/>
        <v>"C:\Program Files (x86)\AstroGrep\AstroGrep.exe" /e /r /s /spath="%USERPROFILE%\AppData\Local\Temp\OnboardLogs" /stypes="app*4009*20171220*" /stext=" 11:.+((SYSTEM_STATE.+slice.+state.+changed )|(ment ac)|(multiple cpu faults)|(system.+state.+changed )|(\[timeout)|(PRM\|1\|D)|(kpr)|(kdp)|(train st.+moving)|(\|gpps)|(penalty))"</v>
      </c>
      <c r="AG14" s="244" t="str">
        <f t="shared" si="13"/>
        <v>EC</v>
      </c>
      <c r="AH14" s="236" t="str">
        <f t="shared" ref="AH14:AH78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4009 --swversion DE.1.0.9.0 --startMP 204:232961 --initTime 2017-12-20T04:06:53 --startdatetime 2017-12-20T04:12:19 --delay 60 --endMP 204:211 --enddatetime 2017-12-20T04:51:48 --enforcementcount 0 &gt;&gt;%USERPROFILE%\Documents\GitHub\eaglep3-reporting\EC\2017-12-20-refined-times.txt</v>
      </c>
      <c r="AI14" s="238" t="str">
        <f t="shared" ref="AI14:AI78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{"issue":{"subject":"","project_id":79,"tracker_id":40,"status_id":1,"priority_id":2,"assigned_to_id":338,"start_date":"2017-12-20","description":"","custom_fields":[{"id":1,"name":"Subdivision","value":"EC"},{"id":4,"name":"Milepost","value":"0.0211"},{"id":17,"name":"Train ID","value":"102-20"},{"id":16,"name":"Locomotive ID","value":"4009"},{"id":130,"name":"Impact","value":""},{"id":150,"name":"Time of Event (Mountain Time)","value":"04:51:48"},{"id":151,"name":"Denver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8" si="21">"start /low /b "&amp;dls3logs&amp;" --loco "&amp;B14&amp;" --day "&amp;TEXT(F14,"YYYY-MM-DD")</f>
        <v>start /low /b %USERPROFILE%\Documents\GitHub\eaglep3\Utilities\DownloadLogsFromS3.py --loco 4009 --day 2017-12-20</v>
      </c>
      <c r="AN14" s="241" t="str">
        <f t="shared" ref="AN14:AN78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11:51:48"},{"id":29,"name":"Sharepoint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8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-20T03:06:53-0700',mode:absolute,to:'2017-12-20T05:51:48-0700'))&amp;_a=(columns:!('Message%20ID',Summary),filters:!(),index:'emp_*',interval:auto,query:(query_string:(analyze_wildcard:!t,query:'%22rtdc.l.rtdc.4009%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9" t="s">
        <v>680</v>
      </c>
      <c r="B15" s="225">
        <v>4062</v>
      </c>
      <c r="C15" s="227" t="s">
        <v>192</v>
      </c>
      <c r="D15" s="227" t="s">
        <v>905</v>
      </c>
      <c r="E15" s="226">
        <v>43089.161886574075</v>
      </c>
      <c r="F15" s="226">
        <v>43089.164097222223</v>
      </c>
      <c r="G15" s="225">
        <v>72</v>
      </c>
      <c r="H15" s="227" t="s">
        <v>906</v>
      </c>
      <c r="I15" s="226">
        <v>43089.190069444441</v>
      </c>
      <c r="J15" s="225">
        <v>0</v>
      </c>
      <c r="K15" s="237" t="str">
        <f t="shared" si="0"/>
        <v>4061/4062</v>
      </c>
      <c r="L15" s="245" t="str">
        <f>VLOOKUP(A15,'Trips&amp;Operators'!$C$1:$G$99911,5,FALSE)</f>
        <v>THOMPSON LESTER</v>
      </c>
      <c r="M15" s="224">
        <f t="shared" si="1"/>
        <v>2.5972222218115348E-2</v>
      </c>
      <c r="N15" s="225">
        <f t="shared" si="2"/>
        <v>37.399999994086102</v>
      </c>
      <c r="O15" s="225"/>
      <c r="P15" s="225"/>
      <c r="Q15" s="228"/>
      <c r="R15" s="242"/>
      <c r="S15" s="249">
        <f t="shared" si="3"/>
        <v>1</v>
      </c>
      <c r="T15" s="242" t="str">
        <f t="shared" si="4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 t="shared" si="5"/>
        <v>https://d0f6bd738d7f1b3e5a7ca70fe4ff75f0.us-east-1.aws.found.io/app/kibana#/discover/Steve-Slow-Train-Analysis-(2080s-and-2083s)?_g=(refreshInterval:(display:Off,pause:!f,section:0,value:0),time:(from:'2017-12-20T02:53:07-0700',mode:absolute,to:'2017-12-20T05:33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" s="247" t="str">
        <f>IF(AA15&lt;VLOOKUP(AG15,Variables!$AC$3:$AD$8,2,FALSE),"Y","N")</f>
        <v>N</v>
      </c>
      <c r="X15" s="247">
        <f t="shared" si="6"/>
        <v>1</v>
      </c>
      <c r="Y15" s="247">
        <f t="shared" si="7"/>
        <v>0.1507</v>
      </c>
      <c r="Z15" s="247">
        <f t="shared" si="8"/>
        <v>23.339500000000001</v>
      </c>
      <c r="AA15" s="247">
        <f t="shared" si="9"/>
        <v>23.188800000000001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10"/>
        <v>103</v>
      </c>
      <c r="AE15" s="235" t="str">
        <f t="shared" si="11"/>
        <v>aws s3 cp s3://rtdc.mdm.uploadarchive.raw/RTDC4062/ "%USERPROFILE%\AppData\Local\Temp\OnboardLogs"\RTDC4062\2017-12-20 --exclude "*" --recursive --include "*20171220*" &amp; "%USERPROFILE%\Documents\GitHub\mrs-test-scripts\Headless Mode &amp; Sideloading\WalkAndUnGZ.bat" "%USERPROFILE%\AppData\Local\Temp\OnboardLogs"\RTDC4062\2017-12-20 &amp; aws s3 cp s3://rtdc.mdm.uploadarchive.raw/RTDC4062/ "%USERPROFILE%\AppData\Local\Temp\OnboardLogs"\RTDC4062\2017-12-21 --exclude "*" --recursive --include "*20171221*" &amp; "%USERPROFILE%\Documents\GitHub\mrs-test-scripts\Headless Mode &amp; Sideloading\WalkAndUnGZ.bat" "%USERPROFILE%\AppData\Local\Temp\OnboardLogs"\RTDC4062\2017-12-21</v>
      </c>
      <c r="AF15" s="234" t="str">
        <f t="shared" si="12"/>
        <v>"C:\Program Files (x86)\AstroGrep\AstroGrep.exe" /e /r /s /spath="%USERPROFILE%\AppData\Local\Temp\OnboardLogs" /stypes="app*4062*20171220*" /stext=" 11:.+((SYSTEM_STATE.+slice.+state.+changed )|(ment ac)|(multiple cpu faults)|(system.+state.+changed )|(\[timeout)|(PRM\|1\|D)|(kpr)|(kdp)|(train st.+moving)|(\|gpps)|(penalty))"</v>
      </c>
      <c r="AG15" s="244" t="str">
        <f t="shared" si="13"/>
        <v>EC</v>
      </c>
      <c r="AH15" s="236" t="str">
        <f t="shared" si="19"/>
        <v>"%USERPROFILE%\Documents\GitHub\eaglep3\Utilities\RefineRTDCRunTimes.py" --tripid 103-20 --locoid 4062 --swversion DE.1.0.9.0 --startMP 204:1507 --initTime 2017-12-20T03:53:07 --startdatetime 2017-12-20T03:56:18 --delay 72 --endMP 204:233395 --enddatetime 2017-12-20T04:33:42 --enforcementcount 0 &gt;&gt;%USERPROFILE%\Documents\GitHub\eaglep3-reporting\EC\2017-12-20-refined-times.txt</v>
      </c>
      <c r="AI15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{"issue":{"subject":"","project_id":79,"tracker_id":40,"status_id":1,"priority_id":2,"assigned_to_id":338,"start_date":"2017-12-20","description":"","custom_fields":[{"id":1,"name":"Subdivision","value":"EC"},{"id":4,"name":"Milepost","value":"23.3395"},{"id":17,"name":"Train ID","value":"103-20"},{"id":16,"name":"Locomotive ID","value":"4062"},{"id":130,"name":"Impact","value":""},{"id":150,"name":"Time of Event (Mountain Time)","value":"04:33:42"},{"id":151,"name":"Denver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21"/>
        <v>start /low /b %USERPROFILE%\Documents\GitHub\eaglep3\Utilities\DownloadLogsFromS3.py --loco 4062 --day 2017-12-20</v>
      </c>
      <c r="AN15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11:33:42"},{"id":29,"name":"Sharepoint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23"/>
        <v>https://d0f6bd738d7f1b3e5a7ca70fe4ff75f0.us-east-1.aws.found.io/app/kibana#/discover/Steve-Slow-Train-Analysis-(2080s-and-2083s)?_g=(refreshInterval:(display:Off,pause:!f,section:0,value:0),time:(from:'2017-12-20T02:53:07-0700',mode:absolute,to:'2017-12-20T05:33:42-0700'))&amp;_a=(columns:!('Message%20ID',Summary),filters:!(),index:'emp_*',interval:auto,query:(query_string:(analyze_wildcard:!t,query:'%22rtdc.l.rtdc.4062%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9" t="s">
        <v>688</v>
      </c>
      <c r="B16" s="225">
        <v>4061</v>
      </c>
      <c r="C16" s="227" t="s">
        <v>192</v>
      </c>
      <c r="D16" s="227" t="s">
        <v>907</v>
      </c>
      <c r="E16" s="226">
        <v>43089.194710648146</v>
      </c>
      <c r="F16" s="226">
        <v>43089.196759259263</v>
      </c>
      <c r="G16" s="225">
        <v>106</v>
      </c>
      <c r="H16" s="227" t="s">
        <v>478</v>
      </c>
      <c r="I16" s="226">
        <v>43089.224212962959</v>
      </c>
      <c r="J16" s="225">
        <v>0</v>
      </c>
      <c r="K16" s="237" t="str">
        <f t="shared" si="0"/>
        <v>4061/4062</v>
      </c>
      <c r="L16" s="245" t="str">
        <f>VLOOKUP(A16,'Trips&amp;Operators'!$C$1:$G$99911,5,FALSE)</f>
        <v>THOMPSON LESTER</v>
      </c>
      <c r="M16" s="224">
        <f t="shared" si="1"/>
        <v>2.7453703696664888E-2</v>
      </c>
      <c r="N16" s="225">
        <f t="shared" si="2"/>
        <v>39.533333323197439</v>
      </c>
      <c r="O16" s="225"/>
      <c r="P16" s="225"/>
      <c r="Q16" s="228"/>
      <c r="R16" s="242"/>
      <c r="S16" s="249">
        <f t="shared" si="3"/>
        <v>1</v>
      </c>
      <c r="T16" s="242" t="str">
        <f t="shared" si="4"/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 t="shared" si="5"/>
        <v>https://d0f6bd738d7f1b3e5a7ca70fe4ff75f0.us-east-1.aws.found.io/app/kibana#/discover/Steve-Slow-Train-Analysis-(2080s-and-2083s)?_g=(refreshInterval:(display:Off,pause:!f,section:0,value:0),time:(from:'2017-12-20T03:40:23-0700',mode:absolute,to:'2017-12-20T06:22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" s="247" t="str">
        <f>IF(AA16&lt;VLOOKUP(AG16,Variables!$AC$3:$AD$8,2,FALSE),"Y","N")</f>
        <v>N</v>
      </c>
      <c r="X16" s="247">
        <f t="shared" si="6"/>
        <v>1</v>
      </c>
      <c r="Y16" s="247">
        <f t="shared" si="7"/>
        <v>23.298999999999999</v>
      </c>
      <c r="Z16" s="247">
        <f t="shared" si="8"/>
        <v>1.89E-2</v>
      </c>
      <c r="AA16" s="247">
        <f t="shared" si="9"/>
        <v>23.280100000000001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10"/>
        <v>104</v>
      </c>
      <c r="AE16" s="235" t="str">
        <f t="shared" si="11"/>
        <v>aws s3 cp s3://rtdc.mdm.uploadarchive.raw/RTDC4061/ "%USERPROFILE%\AppData\Local\Temp\OnboardLogs"\RTDC4061\2017-12-20 --exclude "*" --recursive --include "*20171220*" &amp; "%USERPROFILE%\Documents\GitHub\mrs-test-scripts\Headless Mode &amp; Sideloading\WalkAndUnGZ.bat" "%USERPROFILE%\AppData\Local\Temp\OnboardLogs"\RTDC4061\2017-12-20 &amp; aws s3 cp s3://rtdc.mdm.uploadarchive.raw/RTDC4061/ "%USERPROFILE%\AppData\Local\Temp\OnboardLogs"\RTDC4061\2017-12-21 --exclude "*" --recursive --include "*20171221*" &amp; "%USERPROFILE%\Documents\GitHub\mrs-test-scripts\Headless Mode &amp; Sideloading\WalkAndUnGZ.bat" "%USERPROFILE%\AppData\Local\Temp\OnboardLogs"\RTDC4061\2017-12-21</v>
      </c>
      <c r="AF16" s="234" t="str">
        <f t="shared" si="12"/>
        <v>"C:\Program Files (x86)\AstroGrep\AstroGrep.exe" /e /r /s /spath="%USERPROFILE%\AppData\Local\Temp\OnboardLogs" /stypes="app*4061*20171220*" /stext=" 12:.+((SYSTEM_STATE.+slice.+state.+changed )|(ment ac)|(multiple cpu faults)|(system.+state.+changed )|(\[timeout)|(PRM\|1\|D)|(kpr)|(kdp)|(train st.+moving)|(\|gpps)|(penalty))"</v>
      </c>
      <c r="AG16" s="244" t="str">
        <f t="shared" si="13"/>
        <v>EC</v>
      </c>
      <c r="AH16" s="236" t="str">
        <f t="shared" si="19"/>
        <v>"%USERPROFILE%\Documents\GitHub\eaglep3\Utilities\RefineRTDCRunTimes.py" --tripid 104-20 --locoid 4061 --swversion DE.1.0.9.0 --startMP 204:232990 --initTime 2017-12-20T04:40:23 --startdatetime 2017-12-20T04:43:20 --delay 106 --endMP 204:189 --enddatetime 2017-12-20T05:22:52 --enforcementcount 0 &gt;&gt;%USERPROFILE%\Documents\GitHub\eaglep3-reporting\EC\2017-12-20-refined-times.txt</v>
      </c>
      <c r="AI16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{"issue":{"subject":"","project_id":79,"tracker_id":40,"status_id":1,"priority_id":2,"assigned_to_id":338,"start_date":"2017-12-20","description":"","custom_fields":[{"id":1,"name":"Subdivision","value":"EC"},{"id":4,"name":"Milepost","value":"0.0189"},{"id":17,"name":"Train ID","value":"104-20"},{"id":16,"name":"Locomotive ID","value":"4061"},{"id":130,"name":"Impact","value":""},{"id":150,"name":"Time of Event (Mountain Time)","value":"05:22:52"},{"id":151,"name":"Denver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21"/>
        <v>start /low /b %USERPROFILE%\Documents\GitHub\eaglep3\Utilities\DownloadLogsFromS3.py --loco 4061 --day 2017-12-20</v>
      </c>
      <c r="AN16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12:22:52"},{"id":29,"name":"Sharepoint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23"/>
        <v>https://d0f6bd738d7f1b3e5a7ca70fe4ff75f0.us-east-1.aws.found.io/app/kibana#/discover/Steve-Slow-Train-Analysis-(2080s-and-2083s)?_g=(refreshInterval:(display:Off,pause:!f,section:0,value:0),time:(from:'2017-12-20T03:40:23-0700',mode:absolute,to:'2017-12-20T06:22:52-0700'))&amp;_a=(columns:!('Message%20ID',Summary),filters:!(),index:'emp_*',interval:auto,query:(query_string:(analyze_wildcard:!t,query:'%22rtdc.l.rtdc.4061%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9" t="s">
        <v>682</v>
      </c>
      <c r="B17" s="225">
        <v>4020</v>
      </c>
      <c r="C17" s="227" t="s">
        <v>192</v>
      </c>
      <c r="D17" s="227" t="s">
        <v>518</v>
      </c>
      <c r="E17" s="226">
        <v>43089.168032407404</v>
      </c>
      <c r="F17" s="226">
        <v>43089.17728009259</v>
      </c>
      <c r="G17" s="225">
        <v>53</v>
      </c>
      <c r="H17" s="227" t="s">
        <v>502</v>
      </c>
      <c r="I17" s="226">
        <v>43089.201354166667</v>
      </c>
      <c r="J17" s="225">
        <v>0</v>
      </c>
      <c r="K17" s="237" t="str">
        <f t="shared" si="0"/>
        <v>4019/4020</v>
      </c>
      <c r="L17" s="245" t="str">
        <f>VLOOKUP(A17,'Trips&amp;Operators'!$C$1:$G$99911,5,FALSE)</f>
        <v>YORK EDGAR</v>
      </c>
      <c r="M17" s="224">
        <f t="shared" si="1"/>
        <v>2.4074074077361729E-2</v>
      </c>
      <c r="N17" s="225">
        <f t="shared" si="2"/>
        <v>34.66666667140089</v>
      </c>
      <c r="O17" s="225"/>
      <c r="P17" s="225"/>
      <c r="Q17" s="228"/>
      <c r="R17" s="242"/>
      <c r="S17" s="249">
        <f t="shared" si="3"/>
        <v>1</v>
      </c>
      <c r="T17" s="242" t="str">
        <f t="shared" si="4"/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 t="shared" si="5"/>
        <v>https://d0f6bd738d7f1b3e5a7ca70fe4ff75f0.us-east-1.aws.found.io/app/kibana#/discover/Steve-Slow-Train-Analysis-(2080s-and-2083s)?_g=(refreshInterval:(display:Off,pause:!f,section:0,value:0),time:(from:'2017-12-20T03:01:58-0700',mode:absolute,to:'2017-12-20T05:49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247" t="str">
        <f>IF(AA17&lt;VLOOKUP(AG17,Variables!$AC$3:$AD$8,2,FALSE),"Y","N")</f>
        <v>N</v>
      </c>
      <c r="X17" s="247">
        <f t="shared" si="6"/>
        <v>1</v>
      </c>
      <c r="Y17" s="247">
        <f t="shared" si="7"/>
        <v>4.9700000000000001E-2</v>
      </c>
      <c r="Z17" s="247">
        <f t="shared" si="8"/>
        <v>23.329499999999999</v>
      </c>
      <c r="AA17" s="247">
        <f t="shared" si="9"/>
        <v>23.279799999999998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10"/>
        <v>105</v>
      </c>
      <c r="AE17" s="235" t="str">
        <f t="shared" si="11"/>
        <v>aws s3 cp s3://rtdc.mdm.uploadarchive.raw/RTDC4020/ "%USERPROFILE%\AppData\Local\Temp\OnboardLogs"\RTDC4020\2017-12-20 --exclude "*" --recursive --include "*20171220*" &amp; "%USERPROFILE%\Documents\GitHub\mrs-test-scripts\Headless Mode &amp; Sideloading\WalkAndUnGZ.bat" "%USERPROFILE%\AppData\Local\Temp\OnboardLogs"\RTDC4020\2017-12-20 &amp; aws s3 cp s3://rtdc.mdm.uploadarchive.raw/RTDC4020/ "%USERPROFILE%\AppData\Local\Temp\OnboardLogs"\RTDC4020\2017-12-21 --exclude "*" --recursive --include "*20171221*" &amp; "%USERPROFILE%\Documents\GitHub\mrs-test-scripts\Headless Mode &amp; Sideloading\WalkAndUnGZ.bat" "%USERPROFILE%\AppData\Local\Temp\OnboardLogs"\RTDC4020\2017-12-21</v>
      </c>
      <c r="AF17" s="234" t="str">
        <f t="shared" si="12"/>
        <v>"C:\Program Files (x86)\AstroGrep\AstroGrep.exe" /e /r /s /spath="%USERPROFILE%\AppData\Local\Temp\OnboardLogs" /stypes="app*4020*20171220*" /stext=" 11:.+((SYSTEM_STATE.+slice.+state.+changed )|(ment ac)|(multiple cpu faults)|(system.+state.+changed )|(\[timeout)|(PRM\|1\|D)|(kpr)|(kdp)|(train st.+moving)|(\|gpps)|(penalty))"</v>
      </c>
      <c r="AG17" s="244" t="str">
        <f t="shared" si="13"/>
        <v>EC</v>
      </c>
      <c r="AH17" s="236" t="str">
        <f t="shared" si="19"/>
        <v>"%USERPROFILE%\Documents\GitHub\eaglep3\Utilities\RefineRTDCRunTimes.py" --tripid 105-20 --locoid 4020 --swversion DE.1.0.9.0 --startMP 204:497 --initTime 2017-12-20T04:01:58 --startdatetime 2017-12-20T04:15:17 --delay 53 --endMP 204:233295 --enddatetime 2017-12-20T04:49:57 --enforcementcount 0 &gt;&gt;%USERPROFILE%\Documents\GitHub\eaglep3-reporting\EC\2017-12-20-refined-times.txt</v>
      </c>
      <c r="AI17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{"issue":{"subject":"","project_id":79,"tracker_id":40,"status_id":1,"priority_id":2,"assigned_to_id":338,"start_date":"2017-12-20","description":"","custom_fields":[{"id":1,"name":"Subdivision","value":"EC"},{"id":4,"name":"Milepost","value":"23.3295"},{"id":17,"name":"Train ID","value":"105-20"},{"id":16,"name":"Locomotive ID","value":"4020"},{"id":130,"name":"Impact","value":""},{"id":150,"name":"Time of Event (Mountain Time)","value":"04:49:57"},{"id":151,"name":"Denver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21"/>
        <v>start /low /b %USERPROFILE%\Documents\GitHub\eaglep3\Utilities\DownloadLogsFromS3.py --loco 4020 --day 2017-12-20</v>
      </c>
      <c r="AN17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11:49:57"},{"id":29,"name":"Sharepoint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23"/>
        <v>https://d0f6bd738d7f1b3e5a7ca70fe4ff75f0.us-east-1.aws.found.io/app/kibana#/discover/Steve-Slow-Train-Analysis-(2080s-and-2083s)?_g=(refreshInterval:(display:Off,pause:!f,section:0,value:0),time:(from:'2017-12-20T03:01:58-0700',mode:absolute,to:'2017-12-20T05:49:57-0700'))&amp;_a=(columns:!('Message%20ID',Summary),filters:!(),index:'emp_*',interval:auto,query:(query_string:(analyze_wildcard:!t,query:'%22rtdc.l.rtdc.4020%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9" t="s">
        <v>695</v>
      </c>
      <c r="B18" s="225">
        <v>4019</v>
      </c>
      <c r="C18" s="227" t="s">
        <v>192</v>
      </c>
      <c r="D18" s="227" t="s">
        <v>908</v>
      </c>
      <c r="E18" s="226">
        <v>43089.21334490741</v>
      </c>
      <c r="F18" s="226">
        <v>43089.216874999998</v>
      </c>
      <c r="G18" s="225">
        <v>71</v>
      </c>
      <c r="H18" s="227" t="s">
        <v>909</v>
      </c>
      <c r="I18" s="226">
        <v>43089.242928240739</v>
      </c>
      <c r="J18" s="225">
        <v>0</v>
      </c>
      <c r="K18" s="237" t="str">
        <f t="shared" si="0"/>
        <v>4019/4020</v>
      </c>
      <c r="L18" s="245" t="str">
        <f>VLOOKUP(A18,'Trips&amp;Operators'!$C$1:$G$99911,5,FALSE)</f>
        <v>YORK EDGAR</v>
      </c>
      <c r="M18" s="224">
        <f t="shared" si="1"/>
        <v>2.6053240741021E-2</v>
      </c>
      <c r="N18" s="225">
        <f t="shared" si="2"/>
        <v>37.51666666707024</v>
      </c>
      <c r="O18" s="225"/>
      <c r="P18" s="225"/>
      <c r="Q18" s="228"/>
      <c r="R18" s="242"/>
      <c r="S18" s="249">
        <f t="shared" si="3"/>
        <v>1</v>
      </c>
      <c r="T18" s="242" t="str">
        <f t="shared" si="4"/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5"/>
        <v>https://d0f6bd738d7f1b3e5a7ca70fe4ff75f0.us-east-1.aws.found.io/app/kibana#/discover/Steve-Slow-Train-Analysis-(2080s-and-2083s)?_g=(refreshInterval:(display:Off,pause:!f,section:0,value:0),time:(from:'2017-12-20T04:07:13-0700',mode:absolute,to:'2017-12-20T06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247" t="str">
        <f>IF(AA18&lt;VLOOKUP(AG18,Variables!$AC$3:$AD$8,2,FALSE),"Y","N")</f>
        <v>N</v>
      </c>
      <c r="X18" s="247">
        <f t="shared" si="6"/>
        <v>1</v>
      </c>
      <c r="Y18" s="247">
        <f t="shared" si="7"/>
        <v>23.297499999999999</v>
      </c>
      <c r="Z18" s="247">
        <f t="shared" si="8"/>
        <v>1.5599999999999999E-2</v>
      </c>
      <c r="AA18" s="247">
        <f t="shared" si="9"/>
        <v>23.2819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10"/>
        <v>106</v>
      </c>
      <c r="AE18" s="235" t="str">
        <f t="shared" si="11"/>
        <v>aws s3 cp s3://rtdc.mdm.uploadarchive.raw/RTDC4019/ "%USERPROFILE%\AppData\Local\Temp\OnboardLogs"\RTDC4019\2017-12-20 --exclude "*" --recursive --include "*20171220*" &amp; "%USERPROFILE%\Documents\GitHub\mrs-test-scripts\Headless Mode &amp; Sideloading\WalkAndUnGZ.bat" "%USERPROFILE%\AppData\Local\Temp\OnboardLogs"\RTDC4019\2017-12-20 &amp; aws s3 cp s3://rtdc.mdm.uploadarchive.raw/RTDC4019/ "%USERPROFILE%\AppData\Local\Temp\OnboardLogs"\RTDC4019\2017-12-21 --exclude "*" --recursive --include "*20171221*" &amp; "%USERPROFILE%\Documents\GitHub\mrs-test-scripts\Headless Mode &amp; Sideloading\WalkAndUnGZ.bat" "%USERPROFILE%\AppData\Local\Temp\OnboardLogs"\RTDC4019\2017-12-21</v>
      </c>
      <c r="AF18" s="234" t="str">
        <f t="shared" si="12"/>
        <v>"C:\Program Files (x86)\AstroGrep\AstroGrep.exe" /e /r /s /spath="%USERPROFILE%\AppData\Local\Temp\OnboardLogs" /stypes="app*4019*20171220*" /stext=" 12:.+((SYSTEM_STATE.+slice.+state.+changed )|(ment ac)|(multiple cpu faults)|(system.+state.+changed )|(\[timeout)|(PRM\|1\|D)|(kpr)|(kdp)|(train st.+moving)|(\|gpps)|(penalty))"</v>
      </c>
      <c r="AG18" s="244" t="str">
        <f t="shared" si="13"/>
        <v>EC</v>
      </c>
      <c r="AH18" s="236" t="str">
        <f t="shared" si="19"/>
        <v>"%USERPROFILE%\Documents\GitHub\eaglep3\Utilities\RefineRTDCRunTimes.py" --tripid 106-20 --locoid 4019 --swversion DE.1.0.9.0 --startMP 204:232975 --initTime 2017-12-20T05:07:13 --startdatetime 2017-12-20T05:12:18 --delay 71 --endMP 204:156 --enddatetime 2017-12-20T05:49:49 --enforcementcount 0 &gt;&gt;%USERPROFILE%\Documents\GitHub\eaglep3-reporting\EC\2017-12-20-refined-times.txt</v>
      </c>
      <c r="AI18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{"issue":{"subject":"","project_id":79,"tracker_id":40,"status_id":1,"priority_id":2,"assigned_to_id":338,"start_date":"2017-12-20","description":"","custom_fields":[{"id":1,"name":"Subdivision","value":"EC"},{"id":4,"name":"Milepost","value":"0.0156"},{"id":17,"name":"Train ID","value":"106-20"},{"id":16,"name":"Locomotive ID","value":"4019"},{"id":130,"name":"Impact","value":""},{"id":150,"name":"Time of Event (Mountain Time)","value":"05:49:49"},{"id":151,"name":"Denver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21"/>
        <v>start /low /b %USERPROFILE%\Documents\GitHub\eaglep3\Utilities\DownloadLogsFromS3.py --loco 4019 --day 2017-12-20</v>
      </c>
      <c r="AN18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12:49:49"},{"id":29,"name":"Sharepoint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23"/>
        <v>https://d0f6bd738d7f1b3e5a7ca70fe4ff75f0.us-east-1.aws.found.io/app/kibana#/discover/Steve-Slow-Train-Analysis-(2080s-and-2083s)?_g=(refreshInterval:(display:Off,pause:!f,section:0,value:0),time:(from:'2017-12-20T04:07:13-0700',mode:absolute,to:'2017-12-20T06:49:49-0700'))&amp;_a=(columns:!('Message%20ID',Summary),filters:!(),index:'emp_*',interval:auto,query:(query_string:(analyze_wildcard:!t,query:'%22rtdc.l.rtdc.4019%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9" t="s">
        <v>683</v>
      </c>
      <c r="B19" s="225">
        <v>4058</v>
      </c>
      <c r="C19" s="227" t="s">
        <v>192</v>
      </c>
      <c r="D19" s="227" t="s">
        <v>518</v>
      </c>
      <c r="E19" s="226">
        <v>43089.176979166667</v>
      </c>
      <c r="F19" s="226">
        <v>43089.187719907408</v>
      </c>
      <c r="G19" s="225">
        <v>76</v>
      </c>
      <c r="H19" s="227" t="s">
        <v>910</v>
      </c>
      <c r="I19" s="226">
        <v>43089.214155092595</v>
      </c>
      <c r="J19" s="225">
        <v>0</v>
      </c>
      <c r="K19" s="237" t="str">
        <f t="shared" si="0"/>
        <v>4057/4058</v>
      </c>
      <c r="L19" s="245" t="str">
        <f>VLOOKUP(A19,'Trips&amp;Operators'!$C$1:$G$99911,5,FALSE)</f>
        <v>DAVIDSON DAVID</v>
      </c>
      <c r="M19" s="224">
        <f t="shared" si="1"/>
        <v>2.6435185187438037E-2</v>
      </c>
      <c r="N19" s="225">
        <f t="shared" si="2"/>
        <v>38.066666669910774</v>
      </c>
      <c r="O19" s="225"/>
      <c r="P19" s="225"/>
      <c r="Q19" s="228"/>
      <c r="R19" s="242"/>
      <c r="S19" s="249">
        <f t="shared" si="3"/>
        <v>1</v>
      </c>
      <c r="T19" s="242" t="str">
        <f t="shared" si="4"/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5"/>
        <v>https://d0f6bd738d7f1b3e5a7ca70fe4ff75f0.us-east-1.aws.found.io/app/kibana#/discover/Steve-Slow-Train-Analysis-(2080s-and-2083s)?_g=(refreshInterval:(display:Off,pause:!f,section:0,value:0),time:(from:'2017-12-20T03:14:51-0700',mode:absolute,to:'2017-12-20T06:08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" s="247" t="str">
        <f>IF(AA19&lt;VLOOKUP(AG19,Variables!$AC$3:$AD$8,2,FALSE),"Y","N")</f>
        <v>N</v>
      </c>
      <c r="X19" s="247">
        <f t="shared" si="6"/>
        <v>1</v>
      </c>
      <c r="Y19" s="247">
        <f t="shared" si="7"/>
        <v>4.9700000000000001E-2</v>
      </c>
      <c r="Z19" s="247">
        <f t="shared" si="8"/>
        <v>23.3264</v>
      </c>
      <c r="AA19" s="247">
        <f t="shared" si="9"/>
        <v>23.276699999999998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10"/>
        <v>107</v>
      </c>
      <c r="AE19" s="235" t="str">
        <f t="shared" si="11"/>
        <v>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 &amp; aws s3 cp s3://rtdc.mdm.uploadarchive.raw/RTDC4058/ "%USERPROFILE%\AppData\Local\Temp\OnboardLogs"\RTDC4058\2017-12-21 --exclude "*" --recursive --include "*20171221*" &amp; "%USERPROFILE%\Documents\GitHub\mrs-test-scripts\Headless Mode &amp; Sideloading\WalkAndUnGZ.bat" "%USERPROFILE%\AppData\Local\Temp\OnboardLogs"\RTDC4058\2017-12-21</v>
      </c>
      <c r="AF19" s="234" t="str">
        <f t="shared" si="12"/>
        <v>"C:\Program Files (x86)\AstroGrep\AstroGrep.exe" /e /r /s /spath="%USERPROFILE%\AppData\Local\Temp\OnboardLogs" /stypes="app*4058*20171220*" /stext=" 12:.+((SYSTEM_STATE.+slice.+state.+changed )|(ment ac)|(multiple cpu faults)|(system.+state.+changed )|(\[timeout)|(PRM\|1\|D)|(kpr)|(kdp)|(train st.+moving)|(\|gpps)|(penalty))"</v>
      </c>
      <c r="AG19" s="244" t="str">
        <f t="shared" si="13"/>
        <v>EC</v>
      </c>
      <c r="AH19" s="236" t="str">
        <f t="shared" si="19"/>
        <v>"%USERPROFILE%\Documents\GitHub\eaglep3\Utilities\RefineRTDCRunTimes.py" --tripid 107-20 --locoid 4058 --swversion DE.1.0.9.0 --startMP 204:497 --initTime 2017-12-20T04:14:51 --startdatetime 2017-12-20T04:30:19 --delay 76 --endMP 204:233264 --enddatetime 2017-12-20T05:08:23 --enforcementcount 0 &gt;&gt;%USERPROFILE%\Documents\GitHub\eaglep3-reporting\EC\2017-12-20-refined-times.txt</v>
      </c>
      <c r="AI19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{"issue":{"subject":"","project_id":79,"tracker_id":40,"status_id":1,"priority_id":2,"assigned_to_id":338,"start_date":"2017-12-20","description":"","custom_fields":[{"id":1,"name":"Subdivision","value":"EC"},{"id":4,"name":"Milepost","value":"23.3264"},{"id":17,"name":"Train ID","value":"107-20"},{"id":16,"name":"Locomotive ID","value":"4058"},{"id":130,"name":"Impact","value":""},{"id":150,"name":"Time of Event (Mountain Time)","value":"05:08:23"},{"id":151,"name":"Denver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21"/>
        <v>start /low /b %USERPROFILE%\Documents\GitHub\eaglep3\Utilities\DownloadLogsFromS3.py --loco 4058 --day 2017-12-20</v>
      </c>
      <c r="AN19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12:08:23"},{"id":29,"name":"Sharepoint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23"/>
        <v>https://d0f6bd738d7f1b3e5a7ca70fe4ff75f0.us-east-1.aws.found.io/app/kibana#/discover/Steve-Slow-Train-Analysis-(2080s-and-2083s)?_g=(refreshInterval:(display:Off,pause:!f,section:0,value:0),time:(from:'2017-12-20T03:14:51-0700',mode:absolute,to:'2017-12-20T06:08:23-0700'))&amp;_a=(columns:!('Message%20ID',Summary),filters:!(),index:'emp_*',interval:auto,query:(query_string:(analyze_wildcard:!t,query:'%22rtdc.l.rtdc.4058%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9" t="s">
        <v>696</v>
      </c>
      <c r="B20" s="225">
        <v>4057</v>
      </c>
      <c r="C20" s="227" t="s">
        <v>192</v>
      </c>
      <c r="D20" s="227" t="s">
        <v>609</v>
      </c>
      <c r="E20" s="226">
        <v>43089.215497685182</v>
      </c>
      <c r="F20" s="226">
        <v>43089.227314814816</v>
      </c>
      <c r="G20" s="225">
        <v>380</v>
      </c>
      <c r="H20" s="227" t="s">
        <v>600</v>
      </c>
      <c r="I20" s="226">
        <v>43089.25409722222</v>
      </c>
      <c r="J20" s="225">
        <v>0</v>
      </c>
      <c r="K20" s="237" t="str">
        <f t="shared" si="0"/>
        <v>4057/4058</v>
      </c>
      <c r="L20" s="245" t="str">
        <f>VLOOKUP(A20,'Trips&amp;Operators'!$C$1:$G$99911,5,FALSE)</f>
        <v>DAVIDSON DAVID</v>
      </c>
      <c r="M20" s="224">
        <f t="shared" si="1"/>
        <v>2.6782407403516117E-2</v>
      </c>
      <c r="N20" s="225">
        <f t="shared" si="2"/>
        <v>38.566666661063209</v>
      </c>
      <c r="O20" s="225"/>
      <c r="P20" s="225"/>
      <c r="Q20" s="228"/>
      <c r="R20" s="242"/>
      <c r="S20" s="249">
        <f t="shared" si="3"/>
        <v>1</v>
      </c>
      <c r="T20" s="242" t="str">
        <f t="shared" si="4"/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 t="shared" si="5"/>
        <v>https://d0f6bd738d7f1b3e5a7ca70fe4ff75f0.us-east-1.aws.found.io/app/kibana#/discover/Steve-Slow-Train-Analysis-(2080s-and-2083s)?_g=(refreshInterval:(display:Off,pause:!f,section:0,value:0),time:(from:'2017-12-20T04:10:19-0700',mode:absolute,to:'2017-12-20T07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" s="247" t="str">
        <f>IF(AA20&lt;VLOOKUP(AG20,Variables!$AC$3:$AD$8,2,FALSE),"Y","N")</f>
        <v>N</v>
      </c>
      <c r="X20" s="247">
        <f t="shared" si="6"/>
        <v>1</v>
      </c>
      <c r="Y20" s="247">
        <f t="shared" si="7"/>
        <v>23.294499999999999</v>
      </c>
      <c r="Z20" s="247">
        <f t="shared" si="8"/>
        <v>2.3400000000000001E-2</v>
      </c>
      <c r="AA20" s="247">
        <f t="shared" si="9"/>
        <v>23.271100000000001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10"/>
        <v>108</v>
      </c>
      <c r="AE20" s="235" t="str">
        <f t="shared" si="11"/>
        <v>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 &amp; aws s3 cp s3://rtdc.mdm.uploadarchive.raw/RTDC4057/ "%USERPROFILE%\AppData\Local\Temp\OnboardLogs"\RTDC4057\2017-12-21 --exclude "*" --recursive --include "*20171221*" &amp; "%USERPROFILE%\Documents\GitHub\mrs-test-scripts\Headless Mode &amp; Sideloading\WalkAndUnGZ.bat" "%USERPROFILE%\AppData\Local\Temp\OnboardLogs"\RTDC4057\2017-12-21</v>
      </c>
      <c r="AF20" s="234" t="str">
        <f t="shared" si="12"/>
        <v>"C:\Program Files (x86)\AstroGrep\AstroGrep.exe" /e /r /s /spath="%USERPROFILE%\AppData\Local\Temp\OnboardLogs" /stypes="app*4057*20171220*" /stext=" 13:.+((SYSTEM_STATE.+slice.+state.+changed )|(ment ac)|(multiple cpu faults)|(system.+state.+changed )|(\[timeout)|(PRM\|1\|D)|(kpr)|(kdp)|(train st.+moving)|(\|gpps)|(penalty))"</v>
      </c>
      <c r="AG20" s="244" t="str">
        <f t="shared" si="13"/>
        <v>EC</v>
      </c>
      <c r="AH20" s="236" t="str">
        <f t="shared" si="19"/>
        <v>"%USERPROFILE%\Documents\GitHub\eaglep3\Utilities\RefineRTDCRunTimes.py" --tripid 108-20 --locoid 4057 --swversion DE.1.0.9.0 --startMP 204:232945 --initTime 2017-12-20T05:10:19 --startdatetime 2017-12-20T05:27:20 --delay 380 --endMP 204:234 --enddatetime 2017-12-20T06:05:54 --enforcementcount 0 &gt;&gt;%USERPROFILE%\Documents\GitHub\eaglep3-reporting\EC\2017-12-20-refined-times.txt</v>
      </c>
      <c r="AI20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{"issue":{"subject":"","project_id":79,"tracker_id":40,"status_id":1,"priority_id":2,"assigned_to_id":338,"start_date":"2017-12-20","description":"","custom_fields":[{"id":1,"name":"Subdivision","value":"EC"},{"id":4,"name":"Milepost","value":"0.0234"},{"id":17,"name":"Train ID","value":"108-20"},{"id":16,"name":"Locomotive ID","value":"4057"},{"id":130,"name":"Impact","value":""},{"id":150,"name":"Time of Event (Mountain Time)","value":"06:05:54"},{"id":151,"name":"Denver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21"/>
        <v>start /low /b %USERPROFILE%\Documents\GitHub\eaglep3\Utilities\DownloadLogsFromS3.py --loco 4057 --day 2017-12-20</v>
      </c>
      <c r="AN20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13:05:54"},{"id":29,"name":"Sharepoint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23"/>
        <v>https://d0f6bd738d7f1b3e5a7ca70fe4ff75f0.us-east-1.aws.found.io/app/kibana#/discover/Steve-Slow-Train-Analysis-(2080s-and-2083s)?_g=(refreshInterval:(display:Off,pause:!f,section:0,value:0),time:(from:'2017-12-20T04:10:19-0700',mode:absolute,to:'2017-12-20T07:05:54-0700'))&amp;_a=(columns:!('Message%20ID',Summary),filters:!(),index:'emp_*',interval:auto,query:(query_string:(analyze_wildcard:!t,query:'%22rtdc.l.rtdc.4057%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9" t="s">
        <v>687</v>
      </c>
      <c r="B21" s="225">
        <v>4026</v>
      </c>
      <c r="C21" s="227" t="s">
        <v>192</v>
      </c>
      <c r="D21" s="227" t="s">
        <v>911</v>
      </c>
      <c r="E21" s="226">
        <v>43089.193414351852</v>
      </c>
      <c r="F21" s="226">
        <v>43089.198194444441</v>
      </c>
      <c r="G21" s="225">
        <v>74</v>
      </c>
      <c r="H21" s="227" t="s">
        <v>537</v>
      </c>
      <c r="I21" s="226">
        <v>43089.222662037035</v>
      </c>
      <c r="J21" s="225">
        <v>0</v>
      </c>
      <c r="K21" s="237" t="str">
        <f t="shared" si="0"/>
        <v>4025/4026</v>
      </c>
      <c r="L21" s="245" t="str">
        <f>VLOOKUP(A21,'Trips&amp;Operators'!$C$1:$G$99911,5,FALSE)</f>
        <v>LOPES KIMBERLY</v>
      </c>
      <c r="M21" s="224">
        <f t="shared" si="1"/>
        <v>2.4467592593282461E-2</v>
      </c>
      <c r="N21" s="225">
        <f t="shared" si="2"/>
        <v>35.233333334326744</v>
      </c>
      <c r="O21" s="225"/>
      <c r="P21" s="225"/>
      <c r="Q21" s="228"/>
      <c r="R21" s="242"/>
      <c r="S21" s="249">
        <f t="shared" si="3"/>
        <v>1</v>
      </c>
      <c r="T21" s="242" t="str">
        <f t="shared" si="4"/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 t="shared" si="5"/>
        <v>https://d0f6bd738d7f1b3e5a7ca70fe4ff75f0.us-east-1.aws.found.io/app/kibana#/discover/Steve-Slow-Train-Analysis-(2080s-and-2083s)?_g=(refreshInterval:(display:Off,pause:!f,section:0,value:0),time:(from:'2017-12-20T03:38:31-0700',mode:absolute,to:'2017-12-20T06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" s="247" t="str">
        <f>IF(AA21&lt;VLOOKUP(AG21,Variables!$AC$3:$AD$8,2,FALSE),"Y","N")</f>
        <v>N</v>
      </c>
      <c r="X21" s="247">
        <f t="shared" si="6"/>
        <v>1</v>
      </c>
      <c r="Y21" s="247">
        <f t="shared" si="7"/>
        <v>0.05</v>
      </c>
      <c r="Z21" s="247">
        <f t="shared" si="8"/>
        <v>23.331199999999999</v>
      </c>
      <c r="AA21" s="247">
        <f t="shared" si="9"/>
        <v>23.281199999999998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10"/>
        <v>109</v>
      </c>
      <c r="AE21" s="235" t="str">
        <f t="shared" si="11"/>
        <v>aws s3 cp s3://rtdc.mdm.uploadarchive.raw/RTDC4026/ "%USERPROFILE%\AppData\Local\Temp\OnboardLogs"\RTDC4026\2017-12-20 --exclude "*" --recursive --include "*20171220*" &amp; "%USERPROFILE%\Documents\GitHub\mrs-test-scripts\Headless Mode &amp; Sideloading\WalkAndUnGZ.bat" "%USERPROFILE%\AppData\Local\Temp\OnboardLogs"\RTDC4026\2017-12-20 &amp; aws s3 cp s3://rtdc.mdm.uploadarchive.raw/RTDC4026/ "%USERPROFILE%\AppData\Local\Temp\OnboardLogs"\RTDC4026\2017-12-21 --exclude "*" --recursive --include "*20171221*" &amp; "%USERPROFILE%\Documents\GitHub\mrs-test-scripts\Headless Mode &amp; Sideloading\WalkAndUnGZ.bat" "%USERPROFILE%\AppData\Local\Temp\OnboardLogs"\RTDC4026\2017-12-21</v>
      </c>
      <c r="AF21" s="234" t="str">
        <f t="shared" si="12"/>
        <v>"C:\Program Files (x86)\AstroGrep\AstroGrep.exe" /e /r /s /spath="%USERPROFILE%\AppData\Local\Temp\OnboardLogs" /stypes="app*4026*20171220*" /stext=" 12:.+((SYSTEM_STATE.+slice.+state.+changed )|(ment ac)|(multiple cpu faults)|(system.+state.+changed )|(\[timeout)|(PRM\|1\|D)|(kpr)|(kdp)|(train st.+moving)|(\|gpps)|(penalty))"</v>
      </c>
      <c r="AG21" s="244" t="str">
        <f t="shared" si="13"/>
        <v>EC</v>
      </c>
      <c r="AH21" s="236" t="str">
        <f t="shared" si="19"/>
        <v>"%USERPROFILE%\Documents\GitHub\eaglep3\Utilities\RefineRTDCRunTimes.py" --tripid 109-20 --locoid 4026 --swversion DE.1.0.9.0 --startMP 204:500 --initTime 2017-12-20T04:38:31 --startdatetime 2017-12-20T04:45:24 --delay 74 --endMP 204:233312 --enddatetime 2017-12-20T05:20:38 --enforcementcount 0 &gt;&gt;%USERPROFILE%\Documents\GitHub\eaglep3-reporting\EC\2017-12-20-refined-times.txt</v>
      </c>
      <c r="AI21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{"issue":{"subject":"","project_id":79,"tracker_id":40,"status_id":1,"priority_id":2,"assigned_to_id":338,"start_date":"2017-12-20","description":"","custom_fields":[{"id":1,"name":"Subdivision","value":"EC"},{"id":4,"name":"Milepost","value":"23.3312"},{"id":17,"name":"Train ID","value":"109-20"},{"id":16,"name":"Locomotive ID","value":"4026"},{"id":130,"name":"Impact","value":""},{"id":150,"name":"Time of Event (Mountain Time)","value":"05:20:38"},{"id":151,"name":"Denver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21"/>
        <v>start /low /b %USERPROFILE%\Documents\GitHub\eaglep3\Utilities\DownloadLogsFromS3.py --loco 4026 --day 2017-12-20</v>
      </c>
      <c r="AN21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12:20:38"},{"id":29,"name":"Sharepoint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23"/>
        <v>https://d0f6bd738d7f1b3e5a7ca70fe4ff75f0.us-east-1.aws.found.io/app/kibana#/discover/Steve-Slow-Train-Analysis-(2080s-and-2083s)?_g=(refreshInterval:(display:Off,pause:!f,section:0,value:0),time:(from:'2017-12-20T03:38:31-0700',mode:absolute,to:'2017-12-20T06:20:38-0700'))&amp;_a=(columns:!('Message%20ID',Summary),filters:!(),index:'emp_*',interval:auto,query:(query_string:(analyze_wildcard:!t,query:'%22rtdc.l.rtdc.4026%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9" t="s">
        <v>705</v>
      </c>
      <c r="B22" s="225">
        <v>4025</v>
      </c>
      <c r="C22" s="227" t="s">
        <v>192</v>
      </c>
      <c r="D22" s="227" t="s">
        <v>542</v>
      </c>
      <c r="E22" s="226">
        <v>43089.233993055554</v>
      </c>
      <c r="F22" s="226">
        <v>43089.237685185188</v>
      </c>
      <c r="G22" s="225">
        <v>60</v>
      </c>
      <c r="H22" s="227" t="s">
        <v>476</v>
      </c>
      <c r="I22" s="226">
        <v>43089.263275462959</v>
      </c>
      <c r="J22" s="225">
        <v>0</v>
      </c>
      <c r="K22" s="237" t="str">
        <f t="shared" si="0"/>
        <v>4025/4026</v>
      </c>
      <c r="L22" s="245" t="str">
        <f>VLOOKUP(A22,'Trips&amp;Operators'!$C$1:$G$99911,5,FALSE)</f>
        <v>LOPES KIMBERLY</v>
      </c>
      <c r="M22" s="224">
        <f t="shared" si="1"/>
        <v>2.5590277771698311E-2</v>
      </c>
      <c r="N22" s="225">
        <f t="shared" si="2"/>
        <v>36.849999991245568</v>
      </c>
      <c r="O22" s="225"/>
      <c r="P22" s="225"/>
      <c r="Q22" s="228"/>
      <c r="R22" s="242"/>
      <c r="S22" s="249">
        <f t="shared" si="3"/>
        <v>1</v>
      </c>
      <c r="T22" s="242" t="str">
        <f t="shared" si="4"/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5"/>
        <v>https://d0f6bd738d7f1b3e5a7ca70fe4ff75f0.us-east-1.aws.found.io/app/kibana#/discover/Steve-Slow-Train-Analysis-(2080s-and-2083s)?_g=(refreshInterval:(display:Off,pause:!f,section:0,value:0),time:(from:'2017-12-20T04:36:57-0700',mode:absolute,to:'2017-12-20T07:19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" s="247" t="str">
        <f>IF(AA22&lt;VLOOKUP(AG22,Variables!$AC$3:$AD$8,2,FALSE),"Y","N")</f>
        <v>N</v>
      </c>
      <c r="X22" s="247">
        <f t="shared" si="6"/>
        <v>1</v>
      </c>
      <c r="Y22" s="247">
        <f t="shared" si="7"/>
        <v>23.297699999999999</v>
      </c>
      <c r="Z22" s="247">
        <f t="shared" si="8"/>
        <v>1.9099999999999999E-2</v>
      </c>
      <c r="AA22" s="247">
        <f t="shared" si="9"/>
        <v>23.278599999999997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10"/>
        <v>110</v>
      </c>
      <c r="AE22" s="235" t="str">
        <f t="shared" si="11"/>
        <v>aws s3 cp s3://rtdc.mdm.uploadarchive.raw/RTDC4025/ "%USERPROFILE%\AppData\Local\Temp\OnboardLogs"\RTDC4025\2017-12-20 --exclude "*" --recursive --include "*20171220*" &amp; "%USERPROFILE%\Documents\GitHub\mrs-test-scripts\Headless Mode &amp; Sideloading\WalkAndUnGZ.bat" "%USERPROFILE%\AppData\Local\Temp\OnboardLogs"\RTDC4025\2017-12-20 &amp; aws s3 cp s3://rtdc.mdm.uploadarchive.raw/RTDC4025/ "%USERPROFILE%\AppData\Local\Temp\OnboardLogs"\RTDC4025\2017-12-21 --exclude "*" --recursive --include "*20171221*" &amp; "%USERPROFILE%\Documents\GitHub\mrs-test-scripts\Headless Mode &amp; Sideloading\WalkAndUnGZ.bat" "%USERPROFILE%\AppData\Local\Temp\OnboardLogs"\RTDC4025\2017-12-21</v>
      </c>
      <c r="AF22" s="234" t="str">
        <f t="shared" si="12"/>
        <v>"C:\Program Files (x86)\AstroGrep\AstroGrep.exe" /e /r /s /spath="%USERPROFILE%\AppData\Local\Temp\OnboardLogs" /stypes="app*4025*20171220*" /stext=" 13:.+((SYSTEM_STATE.+slice.+state.+changed )|(ment ac)|(multiple cpu faults)|(system.+state.+changed )|(\[timeout)|(PRM\|1\|D)|(kpr)|(kdp)|(train st.+moving)|(\|gpps)|(penalty))"</v>
      </c>
      <c r="AG22" s="244" t="str">
        <f t="shared" si="13"/>
        <v>EC</v>
      </c>
      <c r="AH22" s="236" t="str">
        <f t="shared" si="19"/>
        <v>"%USERPROFILE%\Documents\GitHub\eaglep3\Utilities\RefineRTDCRunTimes.py" --tripid 110-20 --locoid 4025 --swversion DE.1.0.9.0 --startMP 204:232977 --initTime 2017-12-20T05:36:57 --startdatetime 2017-12-20T05:42:16 --delay 60 --endMP 204:191 --enddatetime 2017-12-20T06:19:07 --enforcementcount 0 &gt;&gt;%USERPROFILE%\Documents\GitHub\eaglep3-reporting\EC\2017-12-20-refined-times.txt</v>
      </c>
      <c r="AI22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{"issue":{"subject":"","project_id":79,"tracker_id":40,"status_id":1,"priority_id":2,"assigned_to_id":338,"start_date":"2017-12-20","description":"","custom_fields":[{"id":1,"name":"Subdivision","value":"EC"},{"id":4,"name":"Milepost","value":"0.0191"},{"id":17,"name":"Train ID","value":"110-20"},{"id":16,"name":"Locomotive ID","value":"4025"},{"id":130,"name":"Impact","value":""},{"id":150,"name":"Time of Event (Mountain Time)","value":"06:19:07"},{"id":151,"name":"Denver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21"/>
        <v>start /low /b %USERPROFILE%\Documents\GitHub\eaglep3\Utilities\DownloadLogsFromS3.py --loco 4025 --day 2017-12-20</v>
      </c>
      <c r="AN22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13:19:07"},{"id":29,"name":"Sharepoint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23"/>
        <v>https://d0f6bd738d7f1b3e5a7ca70fe4ff75f0.us-east-1.aws.found.io/app/kibana#/discover/Steve-Slow-Train-Analysis-(2080s-and-2083s)?_g=(refreshInterval:(display:Off,pause:!f,section:0,value:0),time:(from:'2017-12-20T04:36:57-0700',mode:absolute,to:'2017-12-20T07:19:07-0700'))&amp;_a=(columns:!('Message%20ID',Summary),filters:!(),index:'emp_*',interval:auto,query:(query_string:(analyze_wildcard:!t,query:'%22rtdc.l.rtdc.4025%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9" t="s">
        <v>690</v>
      </c>
      <c r="B23" s="225">
        <v>4010</v>
      </c>
      <c r="C23" s="227" t="s">
        <v>192</v>
      </c>
      <c r="D23" s="227" t="s">
        <v>590</v>
      </c>
      <c r="E23" s="226">
        <v>43089.204039351855</v>
      </c>
      <c r="F23" s="226">
        <v>43089.208495370367</v>
      </c>
      <c r="G23" s="225">
        <v>61</v>
      </c>
      <c r="H23" s="227" t="s">
        <v>594</v>
      </c>
      <c r="I23" s="226">
        <v>43089.233090277776</v>
      </c>
      <c r="J23" s="225">
        <v>0</v>
      </c>
      <c r="K23" s="237" t="str">
        <f t="shared" si="0"/>
        <v>4009/4010</v>
      </c>
      <c r="L23" s="245" t="str">
        <f>VLOOKUP(A23,'Trips&amp;Operators'!$C$1:$G$99911,5,FALSE)</f>
        <v>ROCHA YAOTL</v>
      </c>
      <c r="M23" s="224">
        <f t="shared" si="1"/>
        <v>2.4594907408754807E-2</v>
      </c>
      <c r="N23" s="225">
        <f t="shared" si="2"/>
        <v>35.416666668606922</v>
      </c>
      <c r="O23" s="225"/>
      <c r="P23" s="225"/>
      <c r="Q23" s="228"/>
      <c r="R23" s="242"/>
      <c r="S23" s="249">
        <f t="shared" si="3"/>
        <v>1</v>
      </c>
      <c r="T23" s="242" t="str">
        <f t="shared" si="4"/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 t="shared" si="5"/>
        <v>https://d0f6bd738d7f1b3e5a7ca70fe4ff75f0.us-east-1.aws.found.io/app/kibana#/discover/Steve-Slow-Train-Analysis-(2080s-and-2083s)?_g=(refreshInterval:(display:Off,pause:!f,section:0,value:0),time:(from:'2017-12-20T03:53:49-0700',mode:absolute,to:'2017-12-20T06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" s="247" t="str">
        <f>IF(AA23&lt;VLOOKUP(AG23,Variables!$AC$3:$AD$8,2,FALSE),"Y","N")</f>
        <v>N</v>
      </c>
      <c r="X23" s="247">
        <f t="shared" si="6"/>
        <v>1</v>
      </c>
      <c r="Y23" s="247">
        <f t="shared" si="7"/>
        <v>4.7699999999999999E-2</v>
      </c>
      <c r="Z23" s="247">
        <f t="shared" si="8"/>
        <v>23.331700000000001</v>
      </c>
      <c r="AA23" s="247">
        <f t="shared" si="9"/>
        <v>23.284000000000002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10"/>
        <v>111</v>
      </c>
      <c r="AE23" s="235" t="str">
        <f t="shared" si="11"/>
        <v>aws s3 cp s3://rtdc.mdm.uploadarchive.raw/RTDC4010/ "%USERPROFILE%\AppData\Local\Temp\OnboardLogs"\RTDC4010\2017-12-20 --exclude "*" --recursive --include "*20171220*" &amp; "%USERPROFILE%\Documents\GitHub\mrs-test-scripts\Headless Mode &amp; Sideloading\WalkAndUnGZ.bat" "%USERPROFILE%\AppData\Local\Temp\OnboardLogs"\RTDC4010\2017-12-20 &amp; aws s3 cp s3://rtdc.mdm.uploadarchive.raw/RTDC4010/ "%USERPROFILE%\AppData\Local\Temp\OnboardLogs"\RTDC4010\2017-12-21 --exclude "*" --recursive --include "*20171221*" &amp; "%USERPROFILE%\Documents\GitHub\mrs-test-scripts\Headless Mode &amp; Sideloading\WalkAndUnGZ.bat" "%USERPROFILE%\AppData\Local\Temp\OnboardLogs"\RTDC4010\2017-12-21</v>
      </c>
      <c r="AF23" s="234" t="str">
        <f t="shared" si="12"/>
        <v>"C:\Program Files (x86)\AstroGrep\AstroGrep.exe" /e /r /s /spath="%USERPROFILE%\AppData\Local\Temp\OnboardLogs" /stypes="app*4010*20171220*" /stext=" 12:.+((SYSTEM_STATE.+slice.+state.+changed )|(ment ac)|(multiple cpu faults)|(system.+state.+changed )|(\[timeout)|(PRM\|1\|D)|(kpr)|(kdp)|(train st.+moving)|(\|gpps)|(penalty))"</v>
      </c>
      <c r="AG23" s="244" t="str">
        <f t="shared" si="13"/>
        <v>EC</v>
      </c>
      <c r="AH23" s="236" t="str">
        <f t="shared" si="19"/>
        <v>"%USERPROFILE%\Documents\GitHub\eaglep3\Utilities\RefineRTDCRunTimes.py" --tripid 111-20 --locoid 4010 --swversion DE.1.0.9.0 --startMP 204:477 --initTime 2017-12-20T04:53:49 --startdatetime 2017-12-20T05:00:14 --delay 61 --endMP 204:233317 --enddatetime 2017-12-20T05:35:39 --enforcementcount 0 &gt;&gt;%USERPROFILE%\Documents\GitHub\eaglep3-reporting\EC\2017-12-20-refined-times.txt</v>
      </c>
      <c r="AI23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{"issue":{"subject":"","project_id":79,"tracker_id":40,"status_id":1,"priority_id":2,"assigned_to_id":338,"start_date":"2017-12-20","description":"","custom_fields":[{"id":1,"name":"Subdivision","value":"EC"},{"id":4,"name":"Milepost","value":"23.3317"},{"id":17,"name":"Train ID","value":"111-20"},{"id":16,"name":"Locomotive ID","value":"4010"},{"id":130,"name":"Impact","value":""},{"id":150,"name":"Time of Event (Mountain Time)","value":"05:35:39"},{"id":151,"name":"Denver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21"/>
        <v>start /low /b %USERPROFILE%\Documents\GitHub\eaglep3\Utilities\DownloadLogsFromS3.py --loco 4010 --day 2017-12-20</v>
      </c>
      <c r="AN23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12:35:39"},{"id":29,"name":"Sharepoint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23"/>
        <v>https://d0f6bd738d7f1b3e5a7ca70fe4ff75f0.us-east-1.aws.found.io/app/kibana#/discover/Steve-Slow-Train-Analysis-(2080s-and-2083s)?_g=(refreshInterval:(display:Off,pause:!f,section:0,value:0),time:(from:'2017-12-20T03:53:49-0700',mode:absolute,to:'2017-12-20T06:35:39-0700'))&amp;_a=(columns:!('Message%20ID',Summary),filters:!(),index:'emp_*',interval:auto,query:(query_string:(analyze_wildcard:!t,query:'%22rtdc.l.rtdc.4010%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9" t="s">
        <v>709</v>
      </c>
      <c r="B24" s="225">
        <v>4009</v>
      </c>
      <c r="C24" s="227" t="s">
        <v>192</v>
      </c>
      <c r="D24" s="227" t="s">
        <v>912</v>
      </c>
      <c r="E24" s="226">
        <v>43089.244143518517</v>
      </c>
      <c r="F24" s="226">
        <v>43089.248124999998</v>
      </c>
      <c r="G24" s="225">
        <v>168</v>
      </c>
      <c r="H24" s="227" t="s">
        <v>498</v>
      </c>
      <c r="I24" s="226">
        <v>43089.273865740739</v>
      </c>
      <c r="J24" s="225">
        <v>0</v>
      </c>
      <c r="K24" s="237" t="str">
        <f t="shared" si="0"/>
        <v>4009/4010</v>
      </c>
      <c r="L24" s="245" t="str">
        <f>VLOOKUP(A24,'Trips&amp;Operators'!$C$1:$G$99911,5,FALSE)</f>
        <v>ROCHA YAOTL</v>
      </c>
      <c r="M24" s="224">
        <f t="shared" si="1"/>
        <v>2.5740740740729962E-2</v>
      </c>
      <c r="N24" s="225">
        <f t="shared" si="2"/>
        <v>37.066666666651145</v>
      </c>
      <c r="O24" s="225"/>
      <c r="P24" s="225"/>
      <c r="Q24" s="228"/>
      <c r="R24" s="242"/>
      <c r="S24" s="249">
        <f t="shared" si="3"/>
        <v>1</v>
      </c>
      <c r="T24" s="242" t="str">
        <f t="shared" si="4"/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5"/>
        <v>https://d0f6bd738d7f1b3e5a7ca70fe4ff75f0.us-east-1.aws.found.io/app/kibana#/discover/Steve-Slow-Train-Analysis-(2080s-and-2083s)?_g=(refreshInterval:(display:Off,pause:!f,section:0,value:0),time:(from:'2017-12-20T04:51:34-0700',mode:absolute,to:'2017-12-20T07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" s="247" t="str">
        <f>IF(AA24&lt;VLOOKUP(AG24,Variables!$AC$3:$AD$8,2,FALSE),"Y","N")</f>
        <v>N</v>
      </c>
      <c r="X24" s="247">
        <f t="shared" si="6"/>
        <v>1</v>
      </c>
      <c r="Y24" s="247">
        <f t="shared" si="7"/>
        <v>23.3004</v>
      </c>
      <c r="Z24" s="247">
        <f t="shared" si="8"/>
        <v>1.4999999999999999E-2</v>
      </c>
      <c r="AA24" s="247">
        <f t="shared" si="9"/>
        <v>23.285399999999999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10"/>
        <v>112</v>
      </c>
      <c r="AE24" s="235" t="str">
        <f t="shared" si="11"/>
        <v>aws s3 cp s3://rtdc.mdm.uploadarchive.raw/RTDC4009/ "%USERPROFILE%\AppData\Local\Temp\OnboardLogs"\RTDC4009\2017-12-20 --exclude "*" --recursive --include "*20171220*" &amp; "%USERPROFILE%\Documents\GitHub\mrs-test-scripts\Headless Mode &amp; Sideloading\WalkAndUnGZ.bat" "%USERPROFILE%\AppData\Local\Temp\OnboardLogs"\RTDC4009\2017-12-20 &amp; aws s3 cp s3://rtdc.mdm.uploadarchive.raw/RTDC4009/ "%USERPROFILE%\AppData\Local\Temp\OnboardLogs"\RTDC4009\2017-12-21 --exclude "*" --recursive --include "*20171221*" &amp; "%USERPROFILE%\Documents\GitHub\mrs-test-scripts\Headless Mode &amp; Sideloading\WalkAndUnGZ.bat" "%USERPROFILE%\AppData\Local\Temp\OnboardLogs"\RTDC4009\2017-12-21</v>
      </c>
      <c r="AF24" s="234" t="str">
        <f t="shared" si="12"/>
        <v>"C:\Program Files (x86)\AstroGrep\AstroGrep.exe" /e /r /s /spath="%USERPROFILE%\AppData\Local\Temp\OnboardLogs" /stypes="app*4009*20171220*" /stext=" 13:.+((SYSTEM_STATE.+slice.+state.+changed )|(ment ac)|(multiple cpu faults)|(system.+state.+changed )|(\[timeout)|(PRM\|1\|D)|(kpr)|(kdp)|(train st.+moving)|(\|gpps)|(penalty))"</v>
      </c>
      <c r="AG24" s="244" t="str">
        <f t="shared" si="13"/>
        <v>EC</v>
      </c>
      <c r="AH24" s="236" t="str">
        <f t="shared" si="19"/>
        <v>"%USERPROFILE%\Documents\GitHub\eaglep3\Utilities\RefineRTDCRunTimes.py" --tripid 112-20 --locoid 4009 --swversion DE.1.0.9.0 --startMP 204:233004 --initTime 2017-12-20T05:51:34 --startdatetime 2017-12-20T05:57:18 --delay 168 --endMP 204:150 --enddatetime 2017-12-20T06:34:22 --enforcementcount 0 &gt;&gt;%USERPROFILE%\Documents\GitHub\eaglep3-reporting\EC\2017-12-20-refined-times.txt</v>
      </c>
      <c r="AI24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{"issue":{"subject":"","project_id":79,"tracker_id":40,"status_id":1,"priority_id":2,"assigned_to_id":338,"start_date":"2017-12-20","description":"","custom_fields":[{"id":1,"name":"Subdivision","value":"EC"},{"id":4,"name":"Milepost","value":"0.015"},{"id":17,"name":"Train ID","value":"112-20"},{"id":16,"name":"Locomotive ID","value":"4009"},{"id":130,"name":"Impact","value":""},{"id":150,"name":"Time of Event (Mountain Time)","value":"06:34:22"},{"id":151,"name":"Denver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21"/>
        <v>start /low /b %USERPROFILE%\Documents\GitHub\eaglep3\Utilities\DownloadLogsFromS3.py --loco 4009 --day 2017-12-20</v>
      </c>
      <c r="AN24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13:34:22"},{"id":29,"name":"Sharepoint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23"/>
        <v>https://d0f6bd738d7f1b3e5a7ca70fe4ff75f0.us-east-1.aws.found.io/app/kibana#/discover/Steve-Slow-Train-Analysis-(2080s-and-2083s)?_g=(refreshInterval:(display:Off,pause:!f,section:0,value:0),time:(from:'2017-12-20T04:51:34-0700',mode:absolute,to:'2017-12-20T07:34:22-0700'))&amp;_a=(columns:!('Message%20ID',Summary),filters:!(),index:'emp_*',interval:auto,query:(query_string:(analyze_wildcard:!t,query:'%22rtdc.l.rtdc.4009%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9" t="s">
        <v>693</v>
      </c>
      <c r="B25" s="225">
        <v>4050</v>
      </c>
      <c r="C25" s="227" t="s">
        <v>192</v>
      </c>
      <c r="D25" s="227" t="s">
        <v>596</v>
      </c>
      <c r="E25" s="226">
        <v>43089.209131944444</v>
      </c>
      <c r="F25" s="226">
        <v>43089.219004629631</v>
      </c>
      <c r="G25" s="225">
        <v>68</v>
      </c>
      <c r="H25" s="227" t="s">
        <v>607</v>
      </c>
      <c r="I25" s="226">
        <v>43089.243252314816</v>
      </c>
      <c r="J25" s="225">
        <v>0</v>
      </c>
      <c r="K25" s="237" t="str">
        <f t="shared" si="0"/>
        <v>4049/4050</v>
      </c>
      <c r="L25" s="245" t="str">
        <f>VLOOKUP(A25,'Trips&amp;Operators'!$C$1:$G$99911,5,FALSE)</f>
        <v>YANAI IAN</v>
      </c>
      <c r="M25" s="224">
        <f t="shared" si="1"/>
        <v>2.4247685185400769E-2</v>
      </c>
      <c r="N25" s="225">
        <f t="shared" si="2"/>
        <v>34.916666666977108</v>
      </c>
      <c r="O25" s="225"/>
      <c r="P25" s="225"/>
      <c r="Q25" s="228"/>
      <c r="R25" s="242"/>
      <c r="S25" s="249">
        <f t="shared" si="3"/>
        <v>1</v>
      </c>
      <c r="T25" s="242" t="str">
        <f t="shared" si="4"/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 t="shared" si="5"/>
        <v>https://d0f6bd738d7f1b3e5a7ca70fe4ff75f0.us-east-1.aws.found.io/app/kibana#/discover/Steve-Slow-Train-Analysis-(2080s-and-2083s)?_g=(refreshInterval:(display:Off,pause:!f,section:0,value:0),time:(from:'2017-12-20T04:01:09-0700',mode:absolute,to:'2017-12-20T06:50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5" s="247" t="str">
        <f>IF(AA25&lt;VLOOKUP(AG25,Variables!$AC$3:$AD$8,2,FALSE),"Y","N")</f>
        <v>N</v>
      </c>
      <c r="X25" s="247">
        <f t="shared" si="6"/>
        <v>1</v>
      </c>
      <c r="Y25" s="247">
        <f t="shared" si="7"/>
        <v>4.6399999999999997E-2</v>
      </c>
      <c r="Z25" s="247">
        <f t="shared" si="8"/>
        <v>23.330500000000001</v>
      </c>
      <c r="AA25" s="247">
        <f t="shared" si="9"/>
        <v>23.284100000000002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 t="shared" si="10"/>
        <v>113</v>
      </c>
      <c r="AE25" s="235" t="str">
        <f t="shared" si="11"/>
        <v>aws s3 cp s3://rtdc.mdm.uploadarchive.raw/RTDC4050/ "%USERPROFILE%\AppData\Local\Temp\OnboardLogs"\RTDC4050\2017-12-20 --exclude "*" --recursive --include "*20171220*" &amp; "%USERPROFILE%\Documents\GitHub\mrs-test-scripts\Headless Mode &amp; Sideloading\WalkAndUnGZ.bat" "%USERPROFILE%\AppData\Local\Temp\OnboardLogs"\RTDC4050\2017-12-20 &amp; aws s3 cp s3://rtdc.mdm.uploadarchive.raw/RTDC4050/ "%USERPROFILE%\AppData\Local\Temp\OnboardLogs"\RTDC4050\2017-12-21 --exclude "*" --recursive --include "*20171221*" &amp; "%USERPROFILE%\Documents\GitHub\mrs-test-scripts\Headless Mode &amp; Sideloading\WalkAndUnGZ.bat" "%USERPROFILE%\AppData\Local\Temp\OnboardLogs"\RTDC4050\2017-12-21</v>
      </c>
      <c r="AF25" s="234" t="str">
        <f t="shared" si="12"/>
        <v>"C:\Program Files (x86)\AstroGrep\AstroGrep.exe" /e /r /s /spath="%USERPROFILE%\AppData\Local\Temp\OnboardLogs" /stypes="app*4050*20171220*" /stext=" 12:.+((SYSTEM_STATE.+slice.+state.+changed )|(ment ac)|(multiple cpu faults)|(system.+state.+changed )|(\[timeout)|(PRM\|1\|D)|(kpr)|(kdp)|(train st.+moving)|(\|gpps)|(penalty))"</v>
      </c>
      <c r="AG25" s="244" t="str">
        <f t="shared" si="13"/>
        <v>EC</v>
      </c>
      <c r="AH25" s="236" t="str">
        <f t="shared" si="19"/>
        <v>"%USERPROFILE%\Documents\GitHub\eaglep3\Utilities\RefineRTDCRunTimes.py" --tripid 113-20 --locoid 4050 --swversion DE.1.0.9.0 --startMP 204:464 --initTime 2017-12-20T05:01:09 --startdatetime 2017-12-20T05:15:22 --delay 68 --endMP 204:233305 --enddatetime 2017-12-20T05:50:17 --enforcementcount 0 &gt;&gt;%USERPROFILE%\Documents\GitHub\eaglep3-reporting\EC\2017-12-20-refined-times.txt</v>
      </c>
      <c r="AI25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{"issue":{"subject":"","project_id":79,"tracker_id":40,"status_id":1,"priority_id":2,"assigned_to_id":338,"start_date":"2017-12-20","description":"","custom_fields":[{"id":1,"name":"Subdivision","value":"EC"},{"id":4,"name":"Milepost","value":"23.3305"},{"id":17,"name":"Train ID","value":"113-20"},{"id":16,"name":"Locomotive ID","value":"4050"},{"id":130,"name":"Impact","value":""},{"id":150,"name":"Time of Event (Mountain Time)","value":"05:50:17"},{"id":151,"name":"Denver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21"/>
        <v>start /low /b %USERPROFILE%\Documents\GitHub\eaglep3\Utilities\DownloadLogsFromS3.py --loco 4050 --day 2017-12-20</v>
      </c>
      <c r="AN25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12:50:17"},{"id":29,"name":"Sharepoint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23"/>
        <v>https://d0f6bd738d7f1b3e5a7ca70fe4ff75f0.us-east-1.aws.found.io/app/kibana#/discover/Steve-Slow-Train-Analysis-(2080s-and-2083s)?_g=(refreshInterval:(display:Off,pause:!f,section:0,value:0),time:(from:'2017-12-20T04:01:09-0700',mode:absolute,to:'2017-12-20T06:50:17-0700'))&amp;_a=(columns:!('Message%20ID',Summary),filters:!(),index:'emp_*',interval:auto,query:(query_string:(analyze_wildcard:!t,query:'%22rtdc.l.rtdc.4050%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9" t="s">
        <v>708</v>
      </c>
      <c r="B26" s="225">
        <v>4049</v>
      </c>
      <c r="C26" s="227" t="s">
        <v>192</v>
      </c>
      <c r="D26" s="227" t="s">
        <v>604</v>
      </c>
      <c r="E26" s="226">
        <v>43089.244571759256</v>
      </c>
      <c r="F26" s="226">
        <v>43089.25849537037</v>
      </c>
      <c r="G26" s="225">
        <v>69</v>
      </c>
      <c r="H26" s="227" t="s">
        <v>913</v>
      </c>
      <c r="I26" s="226">
        <v>43089.285069444442</v>
      </c>
      <c r="J26" s="225">
        <v>0</v>
      </c>
      <c r="K26" s="237" t="str">
        <f t="shared" si="0"/>
        <v>4049/4050</v>
      </c>
      <c r="L26" s="245" t="str">
        <f>VLOOKUP(A26,'Trips&amp;Operators'!$C$1:$G$99911,5,FALSE)</f>
        <v>YANAI IAN</v>
      </c>
      <c r="M26" s="224">
        <f t="shared" si="1"/>
        <v>2.6574074072414078E-2</v>
      </c>
      <c r="N26" s="225">
        <f t="shared" si="2"/>
        <v>38.266666664276272</v>
      </c>
      <c r="O26" s="225"/>
      <c r="P26" s="225"/>
      <c r="Q26" s="228"/>
      <c r="R26" s="242"/>
      <c r="S26" s="249">
        <f t="shared" si="3"/>
        <v>1</v>
      </c>
      <c r="T26" s="242" t="str">
        <f t="shared" si="4"/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5"/>
        <v>https://d0f6bd738d7f1b3e5a7ca70fe4ff75f0.us-east-1.aws.found.io/app/kibana#/discover/Steve-Slow-Train-Analysis-(2080s-and-2083s)?_g=(refreshInterval:(display:Off,pause:!f,section:0,value:0),time:(from:'2017-12-20T04:52:11-0700',mode:absolute,to:'2017-12-20T07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" s="247" t="str">
        <f>IF(AA26&lt;VLOOKUP(AG26,Variables!$AC$3:$AD$8,2,FALSE),"Y","N")</f>
        <v>N</v>
      </c>
      <c r="X26" s="247">
        <f t="shared" si="6"/>
        <v>1</v>
      </c>
      <c r="Y26" s="247">
        <f t="shared" si="7"/>
        <v>23.297999999999998</v>
      </c>
      <c r="Z26" s="247">
        <f t="shared" si="8"/>
        <v>2.29E-2</v>
      </c>
      <c r="AA26" s="247">
        <f t="shared" si="9"/>
        <v>23.275099999999998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10"/>
        <v>114</v>
      </c>
      <c r="AE26" s="235" t="str">
        <f t="shared" si="11"/>
        <v>aws s3 cp s3://rtdc.mdm.uploadarchive.raw/RTDC4049/ "%USERPROFILE%\AppData\Local\Temp\OnboardLogs"\RTDC4049\2017-12-20 --exclude "*" --recursive --include "*20171220*" &amp; "%USERPROFILE%\Documents\GitHub\mrs-test-scripts\Headless Mode &amp; Sideloading\WalkAndUnGZ.bat" "%USERPROFILE%\AppData\Local\Temp\OnboardLogs"\RTDC4049\2017-12-20 &amp; aws s3 cp s3://rtdc.mdm.uploadarchive.raw/RTDC4049/ "%USERPROFILE%\AppData\Local\Temp\OnboardLogs"\RTDC4049\2017-12-21 --exclude "*" --recursive --include "*20171221*" &amp; "%USERPROFILE%\Documents\GitHub\mrs-test-scripts\Headless Mode &amp; Sideloading\WalkAndUnGZ.bat" "%USERPROFILE%\AppData\Local\Temp\OnboardLogs"\RTDC4049\2017-12-21</v>
      </c>
      <c r="AF26" s="234" t="str">
        <f t="shared" si="12"/>
        <v>"C:\Program Files (x86)\AstroGrep\AstroGrep.exe" /e /r /s /spath="%USERPROFILE%\AppData\Local\Temp\OnboardLogs" /stypes="app*4049*20171220*" /stext=" 13:.+((SYSTEM_STATE.+slice.+state.+changed )|(ment ac)|(multiple cpu faults)|(system.+state.+changed )|(\[timeout)|(PRM\|1\|D)|(kpr)|(kdp)|(train st.+moving)|(\|gpps)|(penalty))"</v>
      </c>
      <c r="AG26" s="244" t="str">
        <f t="shared" si="13"/>
        <v>EC</v>
      </c>
      <c r="AH26" s="236" t="str">
        <f t="shared" si="19"/>
        <v>"%USERPROFILE%\Documents\GitHub\eaglep3\Utilities\RefineRTDCRunTimes.py" --tripid 114-20 --locoid 4049 --swversion DE.1.0.9.0 --startMP 204:232980 --initTime 2017-12-20T05:52:11 --startdatetime 2017-12-20T06:12:14 --delay 69 --endMP 204:229 --enddatetime 2017-12-20T06:50:30 --enforcementcount 0 &gt;&gt;%USERPROFILE%\Documents\GitHub\eaglep3-reporting\EC\2017-12-20-refined-times.txt</v>
      </c>
      <c r="AI26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{"issue":{"subject":"","project_id":79,"tracker_id":40,"status_id":1,"priority_id":2,"assigned_to_id":338,"start_date":"2017-12-20","description":"","custom_fields":[{"id":1,"name":"Subdivision","value":"EC"},{"id":4,"name":"Milepost","value":"0.0229"},{"id":17,"name":"Train ID","value":"114-20"},{"id":16,"name":"Locomotive ID","value":"4049"},{"id":130,"name":"Impact","value":""},{"id":150,"name":"Time of Event (Mountain Time)","value":"06:50:30"},{"id":151,"name":"Denver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21"/>
        <v>start /low /b %USERPROFILE%\Documents\GitHub\eaglep3\Utilities\DownloadLogsFromS3.py --loco 4049 --day 2017-12-20</v>
      </c>
      <c r="AN26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13:50:30"},{"id":29,"name":"Sharepoint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23"/>
        <v>https://d0f6bd738d7f1b3e5a7ca70fe4ff75f0.us-east-1.aws.found.io/app/kibana#/discover/Steve-Slow-Train-Analysis-(2080s-and-2083s)?_g=(refreshInterval:(display:Off,pause:!f,section:0,value:0),time:(from:'2017-12-20T04:52:11-0700',mode:absolute,to:'2017-12-20T07:50:30-0700'))&amp;_a=(columns:!('Message%20ID',Summary),filters:!(),index:'emp_*',interval:auto,query:(query_string:(analyze_wildcard:!t,query:'%22rtdc.l.rtdc.4049%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9" t="s">
        <v>700</v>
      </c>
      <c r="B27" s="225">
        <v>4062</v>
      </c>
      <c r="C27" s="227" t="s">
        <v>192</v>
      </c>
      <c r="D27" s="227" t="s">
        <v>612</v>
      </c>
      <c r="E27" s="226">
        <v>43089.226817129631</v>
      </c>
      <c r="F27" s="226">
        <v>43089.229375000003</v>
      </c>
      <c r="G27" s="225">
        <v>80</v>
      </c>
      <c r="H27" s="227" t="s">
        <v>904</v>
      </c>
      <c r="I27" s="226">
        <v>43089.254895833335</v>
      </c>
      <c r="J27" s="225">
        <v>0</v>
      </c>
      <c r="K27" s="237" t="str">
        <f t="shared" si="0"/>
        <v>4061/4062</v>
      </c>
      <c r="L27" s="245" t="str">
        <f>VLOOKUP(A27,'Trips&amp;Operators'!$C$1:$G$99911,5,FALSE)</f>
        <v>THOMPSON LESTER</v>
      </c>
      <c r="M27" s="224">
        <f t="shared" si="1"/>
        <v>2.5520833332848269E-2</v>
      </c>
      <c r="N27" s="225">
        <f t="shared" si="2"/>
        <v>36.749999999301508</v>
      </c>
      <c r="O27" s="225"/>
      <c r="P27" s="225"/>
      <c r="Q27" s="228"/>
      <c r="R27" s="242"/>
      <c r="S27" s="249">
        <f t="shared" si="3"/>
        <v>1</v>
      </c>
      <c r="T27" s="242" t="str">
        <f t="shared" si="4"/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5"/>
        <v>https://d0f6bd738d7f1b3e5a7ca70fe4ff75f0.us-east-1.aws.found.io/app/kibana#/discover/Steve-Slow-Train-Analysis-(2080s-and-2083s)?_g=(refreshInterval:(display:Off,pause:!f,section:0,value:0),time:(from:'2017-12-20T04:26:37-0700',mode:absolute,to:'2017-12-20T07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7" s="247" t="str">
        <f>IF(AA27&lt;VLOOKUP(AG27,Variables!$AC$3:$AD$8,2,FALSE),"Y","N")</f>
        <v>N</v>
      </c>
      <c r="X27" s="247">
        <f t="shared" si="6"/>
        <v>1</v>
      </c>
      <c r="Y27" s="247">
        <f t="shared" si="7"/>
        <v>4.9099999999999998E-2</v>
      </c>
      <c r="Z27" s="247">
        <f t="shared" si="8"/>
        <v>23.327999999999999</v>
      </c>
      <c r="AA27" s="247">
        <f t="shared" si="9"/>
        <v>23.2789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 t="shared" si="10"/>
        <v>115</v>
      </c>
      <c r="AE27" s="235" t="str">
        <f t="shared" si="11"/>
        <v>aws s3 cp s3://rtdc.mdm.uploadarchive.raw/RTDC4062/ "%USERPROFILE%\AppData\Local\Temp\OnboardLogs"\RTDC4062\2017-12-20 --exclude "*" --recursive --include "*20171220*" &amp; "%USERPROFILE%\Documents\GitHub\mrs-test-scripts\Headless Mode &amp; Sideloading\WalkAndUnGZ.bat" "%USERPROFILE%\AppData\Local\Temp\OnboardLogs"\RTDC4062\2017-12-20 &amp; aws s3 cp s3://rtdc.mdm.uploadarchive.raw/RTDC4062/ "%USERPROFILE%\AppData\Local\Temp\OnboardLogs"\RTDC4062\2017-12-21 --exclude "*" --recursive --include "*20171221*" &amp; "%USERPROFILE%\Documents\GitHub\mrs-test-scripts\Headless Mode &amp; Sideloading\WalkAndUnGZ.bat" "%USERPROFILE%\AppData\Local\Temp\OnboardLogs"\RTDC4062\2017-12-21</v>
      </c>
      <c r="AF27" s="234" t="str">
        <f t="shared" si="12"/>
        <v>"C:\Program Files (x86)\AstroGrep\AstroGrep.exe" /e /r /s /spath="%USERPROFILE%\AppData\Local\Temp\OnboardLogs" /stypes="app*4062*20171220*" /stext=" 13:.+((SYSTEM_STATE.+slice.+state.+changed )|(ment ac)|(multiple cpu faults)|(system.+state.+changed )|(\[timeout)|(PRM\|1\|D)|(kpr)|(kdp)|(train st.+moving)|(\|gpps)|(penalty))"</v>
      </c>
      <c r="AG27" s="244" t="str">
        <f t="shared" si="13"/>
        <v>EC</v>
      </c>
      <c r="AH27" s="236" t="str">
        <f t="shared" si="19"/>
        <v>"%USERPROFILE%\Documents\GitHub\eaglep3\Utilities\RefineRTDCRunTimes.py" --tripid 115-20 --locoid 4062 --swversion DE.1.0.9.0 --startMP 204:491 --initTime 2017-12-20T05:26:37 --startdatetime 2017-12-20T05:30:18 --delay 80 --endMP 204:233280 --enddatetime 2017-12-20T06:07:03 --enforcementcount 0 &gt;&gt;%USERPROFILE%\Documents\GitHub\eaglep3-reporting\EC\2017-12-20-refined-times.txt</v>
      </c>
      <c r="AI27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{"issue":{"subject":"","project_id":79,"tracker_id":40,"status_id":1,"priority_id":2,"assigned_to_id":338,"start_date":"2017-12-20","description":"","custom_fields":[{"id":1,"name":"Subdivision","value":"EC"},{"id":4,"name":"Milepost","value":"23.328"},{"id":17,"name":"Train ID","value":"115-20"},{"id":16,"name":"Locomotive ID","value":"4062"},{"id":130,"name":"Impact","value":""},{"id":150,"name":"Time of Event (Mountain Time)","value":"06:07:03"},{"id":151,"name":"Denver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21"/>
        <v>start /low /b %USERPROFILE%\Documents\GitHub\eaglep3\Utilities\DownloadLogsFromS3.py --loco 4062 --day 2017-12-20</v>
      </c>
      <c r="AN27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13:07:03"},{"id":29,"name":"Sharepoint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23"/>
        <v>https://d0f6bd738d7f1b3e5a7ca70fe4ff75f0.us-east-1.aws.found.io/app/kibana#/discover/Steve-Slow-Train-Analysis-(2080s-and-2083s)?_g=(refreshInterval:(display:Off,pause:!f,section:0,value:0),time:(from:'2017-12-20T04:26:37-0700',mode:absolute,to:'2017-12-20T07:07:03-0700'))&amp;_a=(columns:!('Message%20ID',Summary),filters:!(),index:'emp_*',interval:auto,query:(query_string:(analyze_wildcard:!t,query:'%22rtdc.l.rtdc.4062%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9" t="s">
        <v>712</v>
      </c>
      <c r="B28" s="225">
        <v>4061</v>
      </c>
      <c r="C28" s="227" t="s">
        <v>192</v>
      </c>
      <c r="D28" s="227" t="s">
        <v>914</v>
      </c>
      <c r="E28" s="226">
        <v>43089.267326388886</v>
      </c>
      <c r="F28" s="226">
        <v>43089.269016203703</v>
      </c>
      <c r="G28" s="225">
        <v>52</v>
      </c>
      <c r="H28" s="227" t="s">
        <v>495</v>
      </c>
      <c r="I28" s="226">
        <v>43089.295983796299</v>
      </c>
      <c r="J28" s="225">
        <v>0</v>
      </c>
      <c r="K28" s="237" t="str">
        <f t="shared" si="0"/>
        <v>4061/4062</v>
      </c>
      <c r="L28" s="245" t="str">
        <f>VLOOKUP(A28,'Trips&amp;Operators'!$C$1:$G$99911,5,FALSE)</f>
        <v>THOMPSON LESTER</v>
      </c>
      <c r="M28" s="224">
        <f t="shared" si="1"/>
        <v>2.6967592595610768E-2</v>
      </c>
      <c r="N28" s="225">
        <f t="shared" si="2"/>
        <v>38.833333337679505</v>
      </c>
      <c r="O28" s="225"/>
      <c r="P28" s="225"/>
      <c r="Q28" s="228"/>
      <c r="R28" s="242"/>
      <c r="S28" s="249">
        <f t="shared" si="3"/>
        <v>1</v>
      </c>
      <c r="T28" s="242" t="str">
        <f t="shared" si="4"/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5"/>
        <v>https://d0f6bd738d7f1b3e5a7ca70fe4ff75f0.us-east-1.aws.found.io/app/kibana#/discover/Steve-Slow-Train-Analysis-(2080s-and-2083s)?_g=(refreshInterval:(display:Off,pause:!f,section:0,value:0),time:(from:'2017-12-20T05:24:57-0700',mode:absolute,to:'2017-12-20T08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8" s="247" t="str">
        <f>IF(AA28&lt;VLOOKUP(AG28,Variables!$AC$3:$AD$8,2,FALSE),"Y","N")</f>
        <v>N</v>
      </c>
      <c r="X28" s="247">
        <f t="shared" si="6"/>
        <v>1</v>
      </c>
      <c r="Y28" s="247">
        <f t="shared" si="7"/>
        <v>23.296199999999999</v>
      </c>
      <c r="Z28" s="247">
        <f t="shared" si="8"/>
        <v>1.83E-2</v>
      </c>
      <c r="AA28" s="247">
        <f t="shared" si="9"/>
        <v>23.277899999999999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10"/>
        <v>116</v>
      </c>
      <c r="AE28" s="235" t="str">
        <f t="shared" si="11"/>
        <v>aws s3 cp s3://rtdc.mdm.uploadarchive.raw/RTDC4061/ "%USERPROFILE%\AppData\Local\Temp\OnboardLogs"\RTDC4061\2017-12-20 --exclude "*" --recursive --include "*20171220*" &amp; "%USERPROFILE%\Documents\GitHub\mrs-test-scripts\Headless Mode &amp; Sideloading\WalkAndUnGZ.bat" "%USERPROFILE%\AppData\Local\Temp\OnboardLogs"\RTDC4061\2017-12-20 &amp; aws s3 cp s3://rtdc.mdm.uploadarchive.raw/RTDC4061/ "%USERPROFILE%\AppData\Local\Temp\OnboardLogs"\RTDC4061\2017-12-21 --exclude "*" --recursive --include "*20171221*" &amp; "%USERPROFILE%\Documents\GitHub\mrs-test-scripts\Headless Mode &amp; Sideloading\WalkAndUnGZ.bat" "%USERPROFILE%\AppData\Local\Temp\OnboardLogs"\RTDC4061\2017-12-21</v>
      </c>
      <c r="AF28" s="234" t="str">
        <f t="shared" si="12"/>
        <v>"C:\Program Files (x86)\AstroGrep\AstroGrep.exe" /e /r /s /spath="%USERPROFILE%\AppData\Local\Temp\OnboardLogs" /stypes="app*4061*20171220*" /stext=" 14:.+((SYSTEM_STATE.+slice.+state.+changed )|(ment ac)|(multiple cpu faults)|(system.+state.+changed )|(\[timeout)|(PRM\|1\|D)|(kpr)|(kdp)|(train st.+moving)|(\|gpps)|(penalty))"</v>
      </c>
      <c r="AG28" s="244" t="str">
        <f t="shared" si="13"/>
        <v>EC</v>
      </c>
      <c r="AH28" s="236" t="str">
        <f t="shared" si="19"/>
        <v>"%USERPROFILE%\Documents\GitHub\eaglep3\Utilities\RefineRTDCRunTimes.py" --tripid 116-20 --locoid 4061 --swversion DE.1.0.9.0 --startMP 204:232962 --initTime 2017-12-20T06:24:57 --startdatetime 2017-12-20T06:27:23 --delay 52 --endMP 204:183 --enddatetime 2017-12-20T07:06:13 --enforcementcount 0 &gt;&gt;%USERPROFILE%\Documents\GitHub\eaglep3-reporting\EC\2017-12-20-refined-times.txt</v>
      </c>
      <c r="AI28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{"issue":{"subject":"","project_id":79,"tracker_id":40,"status_id":1,"priority_id":2,"assigned_to_id":338,"start_date":"2017-12-20","description":"","custom_fields":[{"id":1,"name":"Subdivision","value":"EC"},{"id":4,"name":"Milepost","value":"0.0183"},{"id":17,"name":"Train ID","value":"116-20"},{"id":16,"name":"Locomotive ID","value":"4061"},{"id":130,"name":"Impact","value":""},{"id":150,"name":"Time of Event (Mountain Time)","value":"07:06:13"},{"id":151,"name":"Denver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21"/>
        <v>start /low /b %USERPROFILE%\Documents\GitHub\eaglep3\Utilities\DownloadLogsFromS3.py --loco 4061 --day 2017-12-20</v>
      </c>
      <c r="AN28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14:06:13"},{"id":29,"name":"Sharepoint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23"/>
        <v>https://d0f6bd738d7f1b3e5a7ca70fe4ff75f0.us-east-1.aws.found.io/app/kibana#/discover/Steve-Slow-Train-Analysis-(2080s-and-2083s)?_g=(refreshInterval:(display:Off,pause:!f,section:0,value:0),time:(from:'2017-12-20T05:24:57-0700',mode:absolute,to:'2017-12-20T08:06:13-0700'))&amp;_a=(columns:!('Message%20ID',Summary),filters:!(),index:'emp_*',interval:auto,query:(query_string:(analyze_wildcard:!t,query:'%22rtdc.l.rtdc.4061%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9" t="s">
        <v>706</v>
      </c>
      <c r="B29" s="225">
        <v>4052</v>
      </c>
      <c r="C29" s="227" t="s">
        <v>192</v>
      </c>
      <c r="D29" s="227" t="s">
        <v>915</v>
      </c>
      <c r="E29" s="226">
        <v>43089.234618055554</v>
      </c>
      <c r="F29" s="226">
        <v>43089.240798611114</v>
      </c>
      <c r="G29" s="225">
        <v>65</v>
      </c>
      <c r="H29" s="227" t="s">
        <v>916</v>
      </c>
      <c r="I29" s="226">
        <v>43089.265185185184</v>
      </c>
      <c r="J29" s="225">
        <v>0</v>
      </c>
      <c r="K29" s="237" t="str">
        <f t="shared" si="0"/>
        <v>4051/4052</v>
      </c>
      <c r="L29" s="245" t="str">
        <f>VLOOKUP(A29,'Trips&amp;Operators'!$C$1:$G$99911,5,FALSE)</f>
        <v>HUFFSMITH MONTY</v>
      </c>
      <c r="M29" s="224">
        <f t="shared" si="1"/>
        <v>2.438657407037681E-2</v>
      </c>
      <c r="N29" s="225">
        <f t="shared" si="2"/>
        <v>35.116666661342606</v>
      </c>
      <c r="O29" s="225"/>
      <c r="P29" s="225"/>
      <c r="Q29" s="228"/>
      <c r="R29" s="242" t="s">
        <v>644</v>
      </c>
      <c r="S29" s="249">
        <f t="shared" si="3"/>
        <v>1</v>
      </c>
      <c r="T29" s="242" t="str">
        <f t="shared" si="4"/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5"/>
        <v>https://d0f6bd738d7f1b3e5a7ca70fe4ff75f0.us-east-1.aws.found.io/app/kibana#/discover/Steve-Slow-Train-Analysis-(2080s-and-2083s)?_g=(refreshInterval:(display:Off,pause:!f,section:0,value:0),time:(from:'2017-12-20T04:37:51-0700',mode:absolute,to:'2017-12-20T07:21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9" s="247" t="str">
        <f>IF(AA29&lt;VLOOKUP(AG29,Variables!$AC$3:$AD$8,2,FALSE),"Y","N")</f>
        <v>N</v>
      </c>
      <c r="X29" s="247">
        <f t="shared" si="6"/>
        <v>1</v>
      </c>
      <c r="Y29" s="247">
        <f t="shared" si="7"/>
        <v>7.5899999999999995E-2</v>
      </c>
      <c r="Z29" s="247">
        <f t="shared" si="8"/>
        <v>23.328600000000002</v>
      </c>
      <c r="AA29" s="247">
        <f t="shared" si="9"/>
        <v>23.252700000000001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10"/>
        <v>117</v>
      </c>
      <c r="AE29" s="235" t="str">
        <f t="shared" si="11"/>
        <v>aws s3 cp s3://rtdc.mdm.uploadarchive.raw/RTDC4052/ "%USERPROFILE%\AppData\Local\Temp\OnboardLogs"\RTDC4052\2017-12-20 --exclude "*" --recursive --include "*20171220*" &amp; "%USERPROFILE%\Documents\GitHub\mrs-test-scripts\Headless Mode &amp; Sideloading\WalkAndUnGZ.bat" "%USERPROFILE%\AppData\Local\Temp\OnboardLogs"\RTDC4052\2017-12-20 &amp; aws s3 cp s3://rtdc.mdm.uploadarchive.raw/RTDC4052/ "%USERPROFILE%\AppData\Local\Temp\OnboardLogs"\RTDC4052\2017-12-21 --exclude "*" --recursive --include "*20171221*" &amp; "%USERPROFILE%\Documents\GitHub\mrs-test-scripts\Headless Mode &amp; Sideloading\WalkAndUnGZ.bat" "%USERPROFILE%\AppData\Local\Temp\OnboardLogs"\RTDC4052\2017-12-21</v>
      </c>
      <c r="AF29" s="234" t="str">
        <f t="shared" si="12"/>
        <v>"C:\Program Files (x86)\AstroGrep\AstroGrep.exe" /e /r /s /spath="%USERPROFILE%\AppData\Local\Temp\OnboardLogs" /stypes="app*4052*20171220*" /stext=" 13:.+((SYSTEM_STATE.+slice.+state.+changed )|(ment ac)|(multiple cpu faults)|(system.+state.+changed )|(\[timeout)|(PRM\|1\|D)|(kpr)|(kdp)|(train st.+moving)|(\|gpps)|(penalty))"</v>
      </c>
      <c r="AG29" s="244" t="str">
        <f t="shared" si="13"/>
        <v>EC</v>
      </c>
      <c r="AH29" s="236" t="str">
        <f t="shared" si="19"/>
        <v>"%USERPROFILE%\Documents\GitHub\eaglep3\Utilities\RefineRTDCRunTimes.py" --tripid 117-20 --locoid 4052 --swversion DE.1.0.9.0 --startMP 204:759 --initTime 2017-12-20T05:37:51 --startdatetime 2017-12-20T05:46:45 --delay 65 --endMP 204:233286 --enddatetime 2017-12-20T06:21:52 --enforcementcount 0 &gt;&gt;%USERPROFILE%\Documents\GitHub\eaglep3-reporting\EC\2017-12-20-refined-times.txt</v>
      </c>
      <c r="AI29" s="238" t="str">
        <f t="shared" si="20"/>
        <v>echo {"issue":{"subject":"Observed poor GPS @ DUS","project_id":79,"tracker_id":40,"status_id":1,"priority_id":2,"assigned_to_id":338,"start_date":"2017-12-20","description":"","custom_fields":[{"id":1,"name":"Subdivision","value":"EC"},{"id":4,"name":"Milepost","value":"23.3286"},{"id":17,"name":"Train ID","value":"117-20"},{"id":16,"name":"Locomotive ID","value":"4052"},{"id":130,"name":"Impact","value":""},{"id":150,"name":"Time of Event (Mountain Time)","value":"06:21:52"},{"id":151,"name":"Denver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21"/>
        <v>start /low /b %USERPROFILE%\Documents\GitHub\eaglep3\Utilities\DownloadLogsFromS3.py --loco 4052 --day 2017-12-20</v>
      </c>
      <c r="AN29" s="241" t="str">
        <f t="shared" si="22"/>
        <v>echo {"issue":{"subject":"Observed poor GPS @ DUS","project_id":30,"tracker_id":4,"status_id":1,"priority_id":1,"assigned_to_id":10,"start_date":"2017-12-20","description":"","custom_fields":[{"id":30,"name":"Category","value":"Issue"},{"id":3,"name":"Functional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13:21:52"},{"id":29,"name":"Sharepoint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23"/>
        <v>https://d0f6bd738d7f1b3e5a7ca70fe4ff75f0.us-east-1.aws.found.io/app/kibana#/discover/Steve-Slow-Train-Analysis-(2080s-and-2083s)?_g=(refreshInterval:(display:Off,pause:!f,section:0,value:0),time:(from:'2017-12-20T04:37:51-0700',mode:absolute,to:'2017-12-20T07:21:52-0700'))&amp;_a=(columns:!('Message%20ID',Summary),filters:!(),index:'emp_*',interval:auto,query:(query_string:(analyze_wildcard:!t,query:'%22rtdc.l.rtdc.4052%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9" t="s">
        <v>714</v>
      </c>
      <c r="B30" s="225">
        <v>4051</v>
      </c>
      <c r="C30" s="227" t="s">
        <v>192</v>
      </c>
      <c r="D30" s="227" t="s">
        <v>917</v>
      </c>
      <c r="E30" s="226">
        <v>43089.268449074072</v>
      </c>
      <c r="F30" s="226">
        <v>43089.279374999998</v>
      </c>
      <c r="G30" s="225">
        <v>47</v>
      </c>
      <c r="H30" s="227" t="s">
        <v>918</v>
      </c>
      <c r="I30" s="226">
        <v>43089.30736111111</v>
      </c>
      <c r="J30" s="225">
        <v>0</v>
      </c>
      <c r="K30" s="237" t="str">
        <f t="shared" si="0"/>
        <v>4051/4052</v>
      </c>
      <c r="L30" s="245" t="str">
        <f>VLOOKUP(A30,'Trips&amp;Operators'!$C$1:$G$99911,5,FALSE)</f>
        <v>HUFFSMITH MONTY</v>
      </c>
      <c r="M30" s="224">
        <f t="shared" si="1"/>
        <v>2.7986111112113576E-2</v>
      </c>
      <c r="N30" s="225">
        <f t="shared" si="2"/>
        <v>40.30000000144355</v>
      </c>
      <c r="O30" s="225"/>
      <c r="P30" s="225"/>
      <c r="Q30" s="228"/>
      <c r="R30" s="242"/>
      <c r="S30" s="249">
        <f t="shared" si="3"/>
        <v>1</v>
      </c>
      <c r="T30" s="242" t="str">
        <f t="shared" si="4"/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5"/>
        <v>https://d0f6bd738d7f1b3e5a7ca70fe4ff75f0.us-east-1.aws.found.io/app/kibana#/discover/Steve-Slow-Train-Analysis-(2080s-and-2083s)?_g=(refreshInterval:(display:Off,pause:!f,section:0,value:0),time:(from:'2017-12-20T05:26:34-0700',mode:absolute,to:'2017-12-20T08:22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0" s="247" t="str">
        <f>IF(AA30&lt;VLOOKUP(AG30,Variables!$AC$3:$AD$8,2,FALSE),"Y","N")</f>
        <v>N</v>
      </c>
      <c r="X30" s="247">
        <f t="shared" si="6"/>
        <v>1</v>
      </c>
      <c r="Y30" s="247">
        <f t="shared" si="7"/>
        <v>23.296500000000002</v>
      </c>
      <c r="Z30" s="247">
        <f t="shared" si="8"/>
        <v>1.3899999999999999E-2</v>
      </c>
      <c r="AA30" s="247">
        <f t="shared" si="9"/>
        <v>23.282600000000002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10"/>
        <v>118</v>
      </c>
      <c r="AE30" s="235" t="str">
        <f t="shared" si="11"/>
        <v>aws s3 cp s3://rtdc.mdm.uploadarchive.raw/RTDC4051/ "%USERPROFILE%\AppData\Local\Temp\OnboardLogs"\RTDC4051\2017-12-20 --exclude "*" --recursive --include "*20171220*" &amp; "%USERPROFILE%\Documents\GitHub\mrs-test-scripts\Headless Mode &amp; Sideloading\WalkAndUnGZ.bat" "%USERPROFILE%\AppData\Local\Temp\OnboardLogs"\RTDC4051\2017-12-20 &amp; aws s3 cp s3://rtdc.mdm.uploadarchive.raw/RTDC4051/ "%USERPROFILE%\AppData\Local\Temp\OnboardLogs"\RTDC4051\2017-12-21 --exclude "*" --recursive --include "*20171221*" &amp; "%USERPROFILE%\Documents\GitHub\mrs-test-scripts\Headless Mode &amp; Sideloading\WalkAndUnGZ.bat" "%USERPROFILE%\AppData\Local\Temp\OnboardLogs"\RTDC4051\2017-12-21</v>
      </c>
      <c r="AF30" s="234" t="str">
        <f t="shared" si="12"/>
        <v>"C:\Program Files (x86)\AstroGrep\AstroGrep.exe" /e /r /s /spath="%USERPROFILE%\AppData\Local\Temp\OnboardLogs" /stypes="app*4051*20171220*" /stext=" 14:.+((SYSTEM_STATE.+slice.+state.+changed )|(ment ac)|(multiple cpu faults)|(system.+state.+changed )|(\[timeout)|(PRM\|1\|D)|(kpr)|(kdp)|(train st.+moving)|(\|gpps)|(penalty))"</v>
      </c>
      <c r="AG30" s="244" t="str">
        <f t="shared" si="13"/>
        <v>EC</v>
      </c>
      <c r="AH30" s="236" t="str">
        <f t="shared" si="19"/>
        <v>"%USERPROFILE%\Documents\GitHub\eaglep3\Utilities\RefineRTDCRunTimes.py" --tripid 118-20 --locoid 4051 --swversion DE.1.0.9.0 --startMP 204:232965 --initTime 2017-12-20T06:26:34 --startdatetime 2017-12-20T06:42:18 --delay 47 --endMP 204:139 --enddatetime 2017-12-20T07:22:36 --enforcementcount 0 &gt;&gt;%USERPROFILE%\Documents\GitHub\eaglep3-reporting\EC\2017-12-20-refined-times.txt</v>
      </c>
      <c r="AI30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{"issue":{"subject":"","project_id":79,"tracker_id":40,"status_id":1,"priority_id":2,"assigned_to_id":338,"start_date":"2017-12-20","description":"","custom_fields":[{"id":1,"name":"Subdivision","value":"EC"},{"id":4,"name":"Milepost","value":"0.0139"},{"id":17,"name":"Train ID","value":"118-20"},{"id":16,"name":"Locomotive ID","value":"4051"},{"id":130,"name":"Impact","value":""},{"id":150,"name":"Time of Event (Mountain Time)","value":"07:22:36"},{"id":151,"name":"Denver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21"/>
        <v>start /low /b %USERPROFILE%\Documents\GitHub\eaglep3\Utilities\DownloadLogsFromS3.py --loco 4051 --day 2017-12-20</v>
      </c>
      <c r="AN30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14:22:36"},{"id":29,"name":"Sharepoint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23"/>
        <v>https://d0f6bd738d7f1b3e5a7ca70fe4ff75f0.us-east-1.aws.found.io/app/kibana#/discover/Steve-Slow-Train-Analysis-(2080s-and-2083s)?_g=(refreshInterval:(display:Off,pause:!f,section:0,value:0),time:(from:'2017-12-20T05:26:34-0700',mode:absolute,to:'2017-12-20T08:22:36-0700'))&amp;_a=(columns:!('Message%20ID',Summary),filters:!(),index:'emp_*',interval:auto,query:(query_string:(analyze_wildcard:!t,query:'%22rtdc.l.rtdc.4051%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9" t="s">
        <v>707</v>
      </c>
      <c r="B31" s="225">
        <v>4020</v>
      </c>
      <c r="C31" s="227" t="s">
        <v>192</v>
      </c>
      <c r="D31" s="227" t="s">
        <v>547</v>
      </c>
      <c r="E31" s="226">
        <v>43089.243888888886</v>
      </c>
      <c r="F31" s="226">
        <v>43089.250300925924</v>
      </c>
      <c r="G31" s="225">
        <v>51</v>
      </c>
      <c r="H31" s="227" t="s">
        <v>514</v>
      </c>
      <c r="I31" s="226">
        <v>43089.274664351855</v>
      </c>
      <c r="J31" s="225">
        <v>0</v>
      </c>
      <c r="K31" s="237" t="str">
        <f t="shared" si="0"/>
        <v>4019/4020</v>
      </c>
      <c r="L31" s="245" t="str">
        <f>VLOOKUP(A31,'Trips&amp;Operators'!$C$1:$G$99911,5,FALSE)</f>
        <v>YORK EDGAR</v>
      </c>
      <c r="M31" s="224">
        <f t="shared" si="1"/>
        <v>2.436342593136942E-2</v>
      </c>
      <c r="N31" s="225">
        <f t="shared" si="2"/>
        <v>35.083333341171965</v>
      </c>
      <c r="O31" s="225"/>
      <c r="P31" s="225"/>
      <c r="Q31" s="228"/>
      <c r="R31" s="242"/>
      <c r="S31" s="249">
        <f t="shared" si="3"/>
        <v>1</v>
      </c>
      <c r="T31" s="242" t="str">
        <f t="shared" si="4"/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5"/>
        <v>https://d0f6bd738d7f1b3e5a7ca70fe4ff75f0.us-east-1.aws.found.io/app/kibana#/discover/Steve-Slow-Train-Analysis-(2080s-and-2083s)?_g=(refreshInterval:(display:Off,pause:!f,section:0,value:0),time:(from:'2017-12-20T04:51:12-0700',mode:absolute,to:'2017-12-20T07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247" t="str">
        <f>IF(AA31&lt;VLOOKUP(AG31,Variables!$AC$3:$AD$8,2,FALSE),"Y","N")</f>
        <v>N</v>
      </c>
      <c r="X31" s="247">
        <f t="shared" si="6"/>
        <v>1</v>
      </c>
      <c r="Y31" s="247">
        <f t="shared" si="7"/>
        <v>4.5999999999999999E-2</v>
      </c>
      <c r="Z31" s="247">
        <f t="shared" si="8"/>
        <v>23.328900000000001</v>
      </c>
      <c r="AA31" s="247">
        <f t="shared" si="9"/>
        <v>23.282900000000001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10"/>
        <v>119</v>
      </c>
      <c r="AE31" s="235" t="str">
        <f t="shared" si="11"/>
        <v>aws s3 cp s3://rtdc.mdm.uploadarchive.raw/RTDC4020/ "%USERPROFILE%\AppData\Local\Temp\OnboardLogs"\RTDC4020\2017-12-20 --exclude "*" --recursive --include "*20171220*" &amp; "%USERPROFILE%\Documents\GitHub\mrs-test-scripts\Headless Mode &amp; Sideloading\WalkAndUnGZ.bat" "%USERPROFILE%\AppData\Local\Temp\OnboardLogs"\RTDC4020\2017-12-20 &amp; aws s3 cp s3://rtdc.mdm.uploadarchive.raw/RTDC4020/ "%USERPROFILE%\AppData\Local\Temp\OnboardLogs"\RTDC4020\2017-12-21 --exclude "*" --recursive --include "*20171221*" &amp; "%USERPROFILE%\Documents\GitHub\mrs-test-scripts\Headless Mode &amp; Sideloading\WalkAndUnGZ.bat" "%USERPROFILE%\AppData\Local\Temp\OnboardLogs"\RTDC4020\2017-12-21</v>
      </c>
      <c r="AF31" s="234" t="str">
        <f t="shared" si="12"/>
        <v>"C:\Program Files (x86)\AstroGrep\AstroGrep.exe" /e /r /s /spath="%USERPROFILE%\AppData\Local\Temp\OnboardLogs" /stypes="app*4020*20171220*" /stext=" 13:.+((SYSTEM_STATE.+slice.+state.+changed )|(ment ac)|(multiple cpu faults)|(system.+state.+changed )|(\[timeout)|(PRM\|1\|D)|(kpr)|(kdp)|(train st.+moving)|(\|gpps)|(penalty))"</v>
      </c>
      <c r="AG31" s="244" t="str">
        <f t="shared" si="13"/>
        <v>EC</v>
      </c>
      <c r="AH31" s="236" t="str">
        <f t="shared" si="19"/>
        <v>"%USERPROFILE%\Documents\GitHub\eaglep3\Utilities\RefineRTDCRunTimes.py" --tripid 119-20 --locoid 4020 --swversion DE.1.0.9.0 --startMP 204:460 --initTime 2017-12-20T05:51:12 --startdatetime 2017-12-20T06:00:26 --delay 51 --endMP 204:233289 --enddatetime 2017-12-20T06:35:31 --enforcementcount 0 &gt;&gt;%USERPROFILE%\Documents\GitHub\eaglep3-reporting\EC\2017-12-20-refined-times.txt</v>
      </c>
      <c r="AI31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{"issue":{"subject":"","project_id":79,"tracker_id":40,"status_id":1,"priority_id":2,"assigned_to_id":338,"start_date":"2017-12-20","description":"","custom_fields":[{"id":1,"name":"Subdivision","value":"EC"},{"id":4,"name":"Milepost","value":"23.3289"},{"id":17,"name":"Train ID","value":"119-20"},{"id":16,"name":"Locomotive ID","value":"4020"},{"id":130,"name":"Impact","value":""},{"id":150,"name":"Time of Event (Mountain Time)","value":"06:35:31"},{"id":151,"name":"Denver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21"/>
        <v>start /low /b %USERPROFILE%\Documents\GitHub\eaglep3\Utilities\DownloadLogsFromS3.py --loco 4020 --day 2017-12-20</v>
      </c>
      <c r="AN31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13:35:31"},{"id":29,"name":"Sharepoint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23"/>
        <v>https://d0f6bd738d7f1b3e5a7ca70fe4ff75f0.us-east-1.aws.found.io/app/kibana#/discover/Steve-Slow-Train-Analysis-(2080s-and-2083s)?_g=(refreshInterval:(display:Off,pause:!f,section:0,value:0),time:(from:'2017-12-20T04:51:12-0700',mode:absolute,to:'2017-12-20T07:35:31-0700'))&amp;_a=(columns:!('Message%20ID',Summary),filters:!(),index:'emp_*',interval:auto,query:(query_string:(analyze_wildcard:!t,query:'%22rtdc.l.rtdc.4020%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9" t="s">
        <v>717</v>
      </c>
      <c r="B32" s="225">
        <v>4019</v>
      </c>
      <c r="C32" s="227" t="s">
        <v>192</v>
      </c>
      <c r="D32" s="227" t="s">
        <v>558</v>
      </c>
      <c r="E32" s="226">
        <v>43089.275763888887</v>
      </c>
      <c r="F32" s="226">
        <v>43089.289814814816</v>
      </c>
      <c r="G32" s="225">
        <v>129</v>
      </c>
      <c r="H32" s="227" t="s">
        <v>909</v>
      </c>
      <c r="I32" s="226">
        <v>43089.31490740741</v>
      </c>
      <c r="J32" s="225">
        <v>0</v>
      </c>
      <c r="K32" s="237" t="str">
        <f t="shared" si="0"/>
        <v>4019/4020</v>
      </c>
      <c r="L32" s="245" t="str">
        <f>VLOOKUP(A32,'Trips&amp;Operators'!$C$1:$G$99911,5,FALSE)</f>
        <v>YORK EDGAR</v>
      </c>
      <c r="M32" s="224">
        <f t="shared" si="1"/>
        <v>2.5092592593864538E-2</v>
      </c>
      <c r="N32" s="225">
        <f t="shared" si="2"/>
        <v>36.133333335164934</v>
      </c>
      <c r="O32" s="225"/>
      <c r="P32" s="225"/>
      <c r="Q32" s="228"/>
      <c r="R32" s="242"/>
      <c r="S32" s="249">
        <f t="shared" si="3"/>
        <v>1</v>
      </c>
      <c r="T32" s="242" t="str">
        <f t="shared" si="4"/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5"/>
        <v>https://d0f6bd738d7f1b3e5a7ca70fe4ff75f0.us-east-1.aws.found.io/app/kibana#/discover/Steve-Slow-Train-Analysis-(2080s-and-2083s)?_g=(refreshInterval:(display:Off,pause:!f,section:0,value:0),time:(from:'2017-12-20T05:37:06-0700',mode:absolute,to:'2017-12-20T08:33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247" t="str">
        <f>IF(AA32&lt;VLOOKUP(AG32,Variables!$AC$3:$AD$8,2,FALSE),"Y","N")</f>
        <v>N</v>
      </c>
      <c r="X32" s="247">
        <f t="shared" si="6"/>
        <v>1</v>
      </c>
      <c r="Y32" s="247">
        <f t="shared" si="7"/>
        <v>23.297599999999999</v>
      </c>
      <c r="Z32" s="247">
        <f t="shared" si="8"/>
        <v>1.5599999999999999E-2</v>
      </c>
      <c r="AA32" s="247">
        <f t="shared" si="9"/>
        <v>23.282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10"/>
        <v>120</v>
      </c>
      <c r="AE32" s="235" t="str">
        <f t="shared" si="11"/>
        <v>aws s3 cp s3://rtdc.mdm.uploadarchive.raw/RTDC4019/ "%USERPROFILE%\AppData\Local\Temp\OnboardLogs"\RTDC4019\2017-12-20 --exclude "*" --recursive --include "*20171220*" &amp; "%USERPROFILE%\Documents\GitHub\mrs-test-scripts\Headless Mode &amp; Sideloading\WalkAndUnGZ.bat" "%USERPROFILE%\AppData\Local\Temp\OnboardLogs"\RTDC4019\2017-12-20 &amp; aws s3 cp s3://rtdc.mdm.uploadarchive.raw/RTDC4019/ "%USERPROFILE%\AppData\Local\Temp\OnboardLogs"\RTDC4019\2017-12-21 --exclude "*" --recursive --include "*20171221*" &amp; "%USERPROFILE%\Documents\GitHub\mrs-test-scripts\Headless Mode &amp; Sideloading\WalkAndUnGZ.bat" "%USERPROFILE%\AppData\Local\Temp\OnboardLogs"\RTDC4019\2017-12-21</v>
      </c>
      <c r="AF32" s="234" t="str">
        <f t="shared" si="12"/>
        <v>"C:\Program Files (x86)\AstroGrep\AstroGrep.exe" /e /r /s /spath="%USERPROFILE%\AppData\Local\Temp\OnboardLogs" /stypes="app*4019*20171220*" /stext=" 14:.+((SYSTEM_STATE.+slice.+state.+changed )|(ment ac)|(multiple cpu faults)|(system.+state.+changed )|(\[timeout)|(PRM\|1\|D)|(kpr)|(kdp)|(train st.+moving)|(\|gpps)|(penalty))"</v>
      </c>
      <c r="AG32" s="244" t="str">
        <f t="shared" si="13"/>
        <v>EC</v>
      </c>
      <c r="AH32" s="236" t="str">
        <f t="shared" si="19"/>
        <v>"%USERPROFILE%\Documents\GitHub\eaglep3\Utilities\RefineRTDCRunTimes.py" --tripid 120-20 --locoid 4019 --swversion DE.1.0.9.0 --startMP 204:232976 --initTime 2017-12-20T06:37:06 --startdatetime 2017-12-20T06:57:20 --delay 129 --endMP 204:156 --enddatetime 2017-12-20T07:33:28 --enforcementcount 0 &gt;&gt;%USERPROFILE%\Documents\GitHub\eaglep3-reporting\EC\2017-12-20-refined-times.txt</v>
      </c>
      <c r="AI32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{"issue":{"subject":"","project_id":79,"tracker_id":40,"status_id":1,"priority_id":2,"assigned_to_id":338,"start_date":"2017-12-20","description":"","custom_fields":[{"id":1,"name":"Subdivision","value":"EC"},{"id":4,"name":"Milepost","value":"0.0156"},{"id":17,"name":"Train ID","value":"120-20"},{"id":16,"name":"Locomotive ID","value":"4019"},{"id":130,"name":"Impact","value":""},{"id":150,"name":"Time of Event (Mountain Time)","value":"07:33:28"},{"id":151,"name":"Denver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21"/>
        <v>start /low /b %USERPROFILE%\Documents\GitHub\eaglep3\Utilities\DownloadLogsFromS3.py --loco 4019 --day 2017-12-20</v>
      </c>
      <c r="AN32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14:33:28"},{"id":29,"name":"Sharepoint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23"/>
        <v>https://d0f6bd738d7f1b3e5a7ca70fe4ff75f0.us-east-1.aws.found.io/app/kibana#/discover/Steve-Slow-Train-Analysis-(2080s-and-2083s)?_g=(refreshInterval:(display:Off,pause:!f,section:0,value:0),time:(from:'2017-12-20T05:37:06-0700',mode:absolute,to:'2017-12-20T08:33:28-0700'))&amp;_a=(columns:!('Message%20ID',Summary),filters:!(),index:'emp_*',interval:auto,query:(query_string:(analyze_wildcard:!t,query:'%22rtdc.l.rtdc.4019%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9" t="s">
        <v>651</v>
      </c>
      <c r="B33" s="225">
        <v>4058</v>
      </c>
      <c r="C33" s="227" t="s">
        <v>192</v>
      </c>
      <c r="D33" s="227" t="s">
        <v>919</v>
      </c>
      <c r="E33" s="226">
        <v>43089.255752314813</v>
      </c>
      <c r="F33" s="226">
        <v>43089.260648148149</v>
      </c>
      <c r="G33" s="225">
        <v>81</v>
      </c>
      <c r="H33" s="227" t="s">
        <v>622</v>
      </c>
      <c r="I33" s="226">
        <v>43089.28765046296</v>
      </c>
      <c r="J33" s="225">
        <v>0</v>
      </c>
      <c r="K33" s="237" t="str">
        <f t="shared" si="0"/>
        <v>4057/4058</v>
      </c>
      <c r="L33" s="245" t="str">
        <f>VLOOKUP(A33,'Trips&amp;Operators'!$C$1:$G$99911,5,FALSE)</f>
        <v>DAVIDSON DAVID</v>
      </c>
      <c r="M33" s="224">
        <f t="shared" si="1"/>
        <v>2.700231481139781E-2</v>
      </c>
      <c r="N33" s="225">
        <f t="shared" si="2"/>
        <v>38.883333328412846</v>
      </c>
      <c r="O33" s="225"/>
      <c r="P33" s="225"/>
      <c r="Q33" s="228"/>
      <c r="R33" s="242"/>
      <c r="S33" s="249">
        <f t="shared" si="3"/>
        <v>1</v>
      </c>
      <c r="T33" s="242" t="str">
        <f t="shared" si="4"/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5"/>
        <v>https://d0f6bd738d7f1b3e5a7ca70fe4ff75f0.us-east-1.aws.found.io/app/kibana#/discover/Steve-Slow-Train-Analysis-(2080s-and-2083s)?_g=(refreshInterval:(display:Off,pause:!f,section:0,value:0),time:(from:'2017-12-20T05:08:17-0700',mode:absolute,to:'2017-12-20T07:54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3" s="247" t="str">
        <f>IF(AA33&lt;VLOOKUP(AG33,Variables!$AC$3:$AD$8,2,FALSE),"Y","N")</f>
        <v>N</v>
      </c>
      <c r="X33" s="247">
        <f t="shared" si="6"/>
        <v>1</v>
      </c>
      <c r="Y33" s="247">
        <f t="shared" si="7"/>
        <v>5.2600000000000001E-2</v>
      </c>
      <c r="Z33" s="247">
        <f t="shared" si="8"/>
        <v>23.3247</v>
      </c>
      <c r="AA33" s="247">
        <f t="shared" si="9"/>
        <v>23.272099999999998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10"/>
        <v>121</v>
      </c>
      <c r="AE33" s="235" t="str">
        <f t="shared" si="11"/>
        <v>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 &amp; aws s3 cp s3://rtdc.mdm.uploadarchive.raw/RTDC4058/ "%USERPROFILE%\AppData\Local\Temp\OnboardLogs"\RTDC4058\2017-12-21 --exclude "*" --recursive --include "*20171221*" &amp; "%USERPROFILE%\Documents\GitHub\mrs-test-scripts\Headless Mode &amp; Sideloading\WalkAndUnGZ.bat" "%USERPROFILE%\AppData\Local\Temp\OnboardLogs"\RTDC4058\2017-12-21</v>
      </c>
      <c r="AF33" s="234" t="str">
        <f t="shared" si="12"/>
        <v>"C:\Program Files (x86)\AstroGrep\AstroGrep.exe" /e /r /s /spath="%USERPROFILE%\AppData\Local\Temp\OnboardLogs" /stypes="app*4058*20171220*" /stext=" 13:.+((SYSTEM_STATE.+slice.+state.+changed )|(ment ac)|(multiple cpu faults)|(system.+state.+changed )|(\[timeout)|(PRM\|1\|D)|(kpr)|(kdp)|(train st.+moving)|(\|gpps)|(penalty))"</v>
      </c>
      <c r="AG33" s="244" t="str">
        <f t="shared" si="13"/>
        <v>EC</v>
      </c>
      <c r="AH33" s="236" t="str">
        <f t="shared" si="19"/>
        <v>"%USERPROFILE%\Documents\GitHub\eaglep3\Utilities\RefineRTDCRunTimes.py" --tripid 121-20 --locoid 4058 --swversion DE.1.0.9.0 --startMP 204:526 --initTime 2017-12-20T06:08:17 --startdatetime 2017-12-20T06:15:20 --delay 81 --endMP 204:233247 --enddatetime 2017-12-20T06:54:13 --enforcementcount 0 &gt;&gt;%USERPROFILE%\Documents\GitHub\eaglep3-reporting\EC\2017-12-20-refined-times.txt</v>
      </c>
      <c r="AI33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{"issue":{"subject":"","project_id":79,"tracker_id":40,"status_id":1,"priority_id":2,"assigned_to_id":338,"start_date":"2017-12-20","description":"","custom_fields":[{"id":1,"name":"Subdivision","value":"EC"},{"id":4,"name":"Milepost","value":"23.3247"},{"id":17,"name":"Train ID","value":"121-20"},{"id":16,"name":"Locomotive ID","value":"4058"},{"id":130,"name":"Impact","value":""},{"id":150,"name":"Time of Event (Mountain Time)","value":"06:54:13"},{"id":151,"name":"Denver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21"/>
        <v>start /low /b %USERPROFILE%\Documents\GitHub\eaglep3\Utilities\DownloadLogsFromS3.py --loco 4058 --day 2017-12-20</v>
      </c>
      <c r="AN33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13:54:13"},{"id":29,"name":"Sharepoint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23"/>
        <v>https://d0f6bd738d7f1b3e5a7ca70fe4ff75f0.us-east-1.aws.found.io/app/kibana#/discover/Steve-Slow-Train-Analysis-(2080s-and-2083s)?_g=(refreshInterval:(display:Off,pause:!f,section:0,value:0),time:(from:'2017-12-20T05:08:17-0700',mode:absolute,to:'2017-12-20T07:54:13-0700'))&amp;_a=(columns:!('Message%20ID',Summary),filters:!(),index:'emp_*',interval:auto,query:(query_string:(analyze_wildcard:!t,query:'%22rtdc.l.rtdc.4058%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9" t="s">
        <v>720</v>
      </c>
      <c r="B34" s="225">
        <v>4057</v>
      </c>
      <c r="C34" s="227" t="s">
        <v>192</v>
      </c>
      <c r="D34" s="227" t="s">
        <v>626</v>
      </c>
      <c r="E34" s="226">
        <v>43089.289085648146</v>
      </c>
      <c r="F34" s="226">
        <v>43089.30023148148</v>
      </c>
      <c r="G34" s="225">
        <v>65</v>
      </c>
      <c r="H34" s="227" t="s">
        <v>556</v>
      </c>
      <c r="I34" s="226">
        <v>43089.327581018515</v>
      </c>
      <c r="J34" s="225">
        <v>0</v>
      </c>
      <c r="K34" s="237" t="str">
        <f t="shared" si="0"/>
        <v>4057/4058</v>
      </c>
      <c r="L34" s="245" t="str">
        <f>VLOOKUP(A34,'Trips&amp;Operators'!$C$1:$G$99911,5,FALSE)</f>
        <v>DAVIDSON DAVID</v>
      </c>
      <c r="M34" s="224">
        <f t="shared" si="1"/>
        <v>2.7349537034751847E-2</v>
      </c>
      <c r="N34" s="225">
        <f t="shared" si="2"/>
        <v>39.38333333004266</v>
      </c>
      <c r="O34" s="225"/>
      <c r="P34" s="225"/>
      <c r="Q34" s="228"/>
      <c r="R34" s="242"/>
      <c r="S34" s="249">
        <f t="shared" si="3"/>
        <v>1</v>
      </c>
      <c r="T34" s="242" t="str">
        <f t="shared" si="4"/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5"/>
        <v>https://d0f6bd738d7f1b3e5a7ca70fe4ff75f0.us-east-1.aws.found.io/app/kibana#/discover/Steve-Slow-Train-Analysis-(2080s-and-2083s)?_g=(refreshInterval:(display:Off,pause:!f,section:0,value:0),time:(from:'2017-12-20T05:56:17-0700',mode:absolute,to:'2017-12-20T08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4" s="247" t="str">
        <f>IF(AA34&lt;VLOOKUP(AG34,Variables!$AC$3:$AD$8,2,FALSE),"Y","N")</f>
        <v>N</v>
      </c>
      <c r="X34" s="247">
        <f t="shared" si="6"/>
        <v>1</v>
      </c>
      <c r="Y34" s="247">
        <f t="shared" si="7"/>
        <v>23.294599999999999</v>
      </c>
      <c r="Z34" s="247">
        <f t="shared" si="8"/>
        <v>2.12E-2</v>
      </c>
      <c r="AA34" s="247">
        <f t="shared" si="9"/>
        <v>23.273399999999999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 t="shared" si="10"/>
        <v>122</v>
      </c>
      <c r="AE34" s="235" t="str">
        <f t="shared" si="11"/>
        <v>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 &amp; aws s3 cp s3://rtdc.mdm.uploadarchive.raw/RTDC4057/ "%USERPROFILE%\AppData\Local\Temp\OnboardLogs"\RTDC4057\2017-12-21 --exclude "*" --recursive --include "*20171221*" &amp; "%USERPROFILE%\Documents\GitHub\mrs-test-scripts\Headless Mode &amp; Sideloading\WalkAndUnGZ.bat" "%USERPROFILE%\AppData\Local\Temp\OnboardLogs"\RTDC4057\2017-12-21</v>
      </c>
      <c r="AF34" s="234" t="str">
        <f t="shared" si="12"/>
        <v>"C:\Program Files (x86)\AstroGrep\AstroGrep.exe" /e /r /s /spath="%USERPROFILE%\AppData\Local\Temp\OnboardLogs" /stypes="app*4057*20171220*" /stext=" 14:.+((SYSTEM_STATE.+slice.+state.+changed )|(ment ac)|(multiple cpu faults)|(system.+state.+changed )|(\[timeout)|(PRM\|1\|D)|(kpr)|(kdp)|(train st.+moving)|(\|gpps)|(penalty))"</v>
      </c>
      <c r="AG34" s="244" t="str">
        <f t="shared" si="13"/>
        <v>EC</v>
      </c>
      <c r="AH34" s="236" t="str">
        <f t="shared" si="19"/>
        <v>"%USERPROFILE%\Documents\GitHub\eaglep3\Utilities\RefineRTDCRunTimes.py" --tripid 122-20 --locoid 4057 --swversion DE.1.0.9.0 --startMP 204:232946 --initTime 2017-12-20T06:56:17 --startdatetime 2017-12-20T07:12:20 --delay 65 --endMP 204:212 --enddatetime 2017-12-20T07:51:43 --enforcementcount 0 &gt;&gt;%USERPROFILE%\Documents\GitHub\eaglep3-reporting\EC\2017-12-20-refined-times.txt</v>
      </c>
      <c r="AI34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{"issue":{"subject":"","project_id":79,"tracker_id":40,"status_id":1,"priority_id":2,"assigned_to_id":338,"start_date":"2017-12-20","description":"","custom_fields":[{"id":1,"name":"Subdivision","value":"EC"},{"id":4,"name":"Milepost","value":"0.0212"},{"id":17,"name":"Train ID","value":"122-20"},{"id":16,"name":"Locomotive ID","value":"4057"},{"id":130,"name":"Impact","value":""},{"id":150,"name":"Time of Event (Mountain Time)","value":"07:51:43"},{"id":151,"name":"Denver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21"/>
        <v>start /low /b %USERPROFILE%\Documents\GitHub\eaglep3\Utilities\DownloadLogsFromS3.py --loco 4057 --day 2017-12-20</v>
      </c>
      <c r="AN34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14:51:43"},{"id":29,"name":"Sharepoint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23"/>
        <v>https://d0f6bd738d7f1b3e5a7ca70fe4ff75f0.us-east-1.aws.found.io/app/kibana#/discover/Steve-Slow-Train-Analysis-(2080s-and-2083s)?_g=(refreshInterval:(display:Off,pause:!f,section:0,value:0),time:(from:'2017-12-20T05:56:17-0700',mode:absolute,to:'2017-12-20T08:51:43-0700'))&amp;_a=(columns:!('Message%20ID',Summary),filters:!(),index:'emp_*',interval:auto,query:(query_string:(analyze_wildcard:!t,query:'%22rtdc.l.rtdc.4057%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9" t="s">
        <v>711</v>
      </c>
      <c r="B35" s="225">
        <v>4026</v>
      </c>
      <c r="C35" s="227" t="s">
        <v>192</v>
      </c>
      <c r="D35" s="227" t="s">
        <v>468</v>
      </c>
      <c r="E35" s="226">
        <v>43089.265034722222</v>
      </c>
      <c r="F35" s="226">
        <v>43089.271192129629</v>
      </c>
      <c r="G35" s="225">
        <v>77</v>
      </c>
      <c r="H35" s="227" t="s">
        <v>546</v>
      </c>
      <c r="I35" s="226">
        <v>43089.295636574076</v>
      </c>
      <c r="J35" s="225">
        <v>0</v>
      </c>
      <c r="K35" s="237" t="str">
        <f t="shared" si="0"/>
        <v>4025/4026</v>
      </c>
      <c r="L35" s="245" t="str">
        <f>VLOOKUP(A35,'Trips&amp;Operators'!$C$1:$G$99911,5,FALSE)</f>
        <v>LOPES KIMBERLY</v>
      </c>
      <c r="M35" s="224">
        <f t="shared" si="1"/>
        <v>2.4444444446999114E-2</v>
      </c>
      <c r="N35" s="225">
        <f t="shared" si="2"/>
        <v>35.200000003678724</v>
      </c>
      <c r="O35" s="225"/>
      <c r="P35" s="225"/>
      <c r="Q35" s="228"/>
      <c r="R35" s="242"/>
      <c r="S35" s="249">
        <f t="shared" si="3"/>
        <v>1</v>
      </c>
      <c r="T35" s="242" t="str">
        <f t="shared" si="4"/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 t="shared" si="5"/>
        <v>https://d0f6bd738d7f1b3e5a7ca70fe4ff75f0.us-east-1.aws.found.io/app/kibana#/discover/Steve-Slow-Train-Analysis-(2080s-and-2083s)?_g=(refreshInterval:(display:Off,pause:!f,section:0,value:0),time:(from:'2017-12-20T05:21:39-0700',mode:absolute,to:'2017-12-20T08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5" s="247" t="str">
        <f>IF(AA35&lt;VLOOKUP(AG35,Variables!$AC$3:$AD$8,2,FALSE),"Y","N")</f>
        <v>N</v>
      </c>
      <c r="X35" s="247">
        <f t="shared" si="6"/>
        <v>1</v>
      </c>
      <c r="Y35" s="247">
        <f t="shared" si="7"/>
        <v>5.1499999999999997E-2</v>
      </c>
      <c r="Z35" s="247">
        <f t="shared" si="8"/>
        <v>23.331</v>
      </c>
      <c r="AA35" s="247">
        <f t="shared" si="9"/>
        <v>23.279499999999999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10"/>
        <v>123</v>
      </c>
      <c r="AE35" s="235" t="str">
        <f t="shared" si="11"/>
        <v>aws s3 cp s3://rtdc.mdm.uploadarchive.raw/RTDC4026/ "%USERPROFILE%\AppData\Local\Temp\OnboardLogs"\RTDC4026\2017-12-20 --exclude "*" --recursive --include "*20171220*" &amp; "%USERPROFILE%\Documents\GitHub\mrs-test-scripts\Headless Mode &amp; Sideloading\WalkAndUnGZ.bat" "%USERPROFILE%\AppData\Local\Temp\OnboardLogs"\RTDC4026\2017-12-20 &amp; aws s3 cp s3://rtdc.mdm.uploadarchive.raw/RTDC4026/ "%USERPROFILE%\AppData\Local\Temp\OnboardLogs"\RTDC4026\2017-12-21 --exclude "*" --recursive --include "*20171221*" &amp; "%USERPROFILE%\Documents\GitHub\mrs-test-scripts\Headless Mode &amp; Sideloading\WalkAndUnGZ.bat" "%USERPROFILE%\AppData\Local\Temp\OnboardLogs"\RTDC4026\2017-12-21</v>
      </c>
      <c r="AF35" s="234" t="str">
        <f t="shared" si="12"/>
        <v>"C:\Program Files (x86)\AstroGrep\AstroGrep.exe" /e /r /s /spath="%USERPROFILE%\AppData\Local\Temp\OnboardLogs" /stypes="app*4026*20171220*" /stext=" 14:.+((SYSTEM_STATE.+slice.+state.+changed )|(ment ac)|(multiple cpu faults)|(system.+state.+changed )|(\[timeout)|(PRM\|1\|D)|(kpr)|(kdp)|(train st.+moving)|(\|gpps)|(penalty))"</v>
      </c>
      <c r="AG35" s="244" t="str">
        <f t="shared" si="13"/>
        <v>EC</v>
      </c>
      <c r="AH35" s="236" t="str">
        <f t="shared" si="19"/>
        <v>"%USERPROFILE%\Documents\GitHub\eaglep3\Utilities\RefineRTDCRunTimes.py" --tripid 123-20 --locoid 4026 --swversion DE.1.0.9.0 --startMP 204:515 --initTime 2017-12-20T06:21:39 --startdatetime 2017-12-20T06:30:31 --delay 77 --endMP 204:233310 --enddatetime 2017-12-20T07:05:43 --enforcementcount 0 &gt;&gt;%USERPROFILE%\Documents\GitHub\eaglep3-reporting\EC\2017-12-20-refined-times.txt</v>
      </c>
      <c r="AI35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{"issue":{"subject":"","project_id":79,"tracker_id":40,"status_id":1,"priority_id":2,"assigned_to_id":338,"start_date":"2017-12-20","description":"","custom_fields":[{"id":1,"name":"Subdivision","value":"EC"},{"id":4,"name":"Milepost","value":"23.331"},{"id":17,"name":"Train ID","value":"123-20"},{"id":16,"name":"Locomotive ID","value":"4026"},{"id":130,"name":"Impact","value":""},{"id":150,"name":"Time of Event (Mountain Time)","value":"07:05:43"},{"id":151,"name":"Denver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21"/>
        <v>start /low /b %USERPROFILE%\Documents\GitHub\eaglep3\Utilities\DownloadLogsFromS3.py --loco 4026 --day 2017-12-20</v>
      </c>
      <c r="AN35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14:05:43"},{"id":29,"name":"Sharepoint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23"/>
        <v>https://d0f6bd738d7f1b3e5a7ca70fe4ff75f0.us-east-1.aws.found.io/app/kibana#/discover/Steve-Slow-Train-Analysis-(2080s-and-2083s)?_g=(refreshInterval:(display:Off,pause:!f,section:0,value:0),time:(from:'2017-12-20T05:21:39-0700',mode:absolute,to:'2017-12-20T08:05:43-0700'))&amp;_a=(columns:!('Message%20ID',Summary),filters:!(),index:'emp_*',interval:auto,query:(query_string:(analyze_wildcard:!t,query:'%22rtdc.l.rtdc.4026%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9" t="s">
        <v>722</v>
      </c>
      <c r="B36" s="225">
        <v>4025</v>
      </c>
      <c r="C36" s="227" t="s">
        <v>192</v>
      </c>
      <c r="D36" s="227" t="s">
        <v>920</v>
      </c>
      <c r="E36" s="226">
        <v>43089.304884259262</v>
      </c>
      <c r="F36" s="226">
        <v>43089.310868055552</v>
      </c>
      <c r="G36" s="225">
        <v>92</v>
      </c>
      <c r="H36" s="227" t="s">
        <v>478</v>
      </c>
      <c r="I36" s="226">
        <v>43089.336331018516</v>
      </c>
      <c r="J36" s="225">
        <v>0</v>
      </c>
      <c r="K36" s="237" t="str">
        <f t="shared" si="0"/>
        <v>4025/4026</v>
      </c>
      <c r="L36" s="245" t="str">
        <f>VLOOKUP(A36,'Trips&amp;Operators'!$C$1:$G$99911,5,FALSE)</f>
        <v>LOPES KIMBERLY</v>
      </c>
      <c r="M36" s="224">
        <f t="shared" si="1"/>
        <v>2.5462962963501923E-2</v>
      </c>
      <c r="N36" s="225">
        <f t="shared" si="2"/>
        <v>36.666666667442769</v>
      </c>
      <c r="O36" s="225"/>
      <c r="P36" s="225"/>
      <c r="Q36" s="228"/>
      <c r="R36" s="242"/>
      <c r="S36" s="249">
        <f t="shared" si="3"/>
        <v>1</v>
      </c>
      <c r="T36" s="242" t="str">
        <f t="shared" si="4"/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5"/>
        <v>https://d0f6bd738d7f1b3e5a7ca70fe4ff75f0.us-east-1.aws.found.io/app/kibana#/discover/Steve-Slow-Train-Analysis-(2080s-and-2083s)?_g=(refreshInterval:(display:Off,pause:!f,section:0,value:0),time:(from:'2017-12-20T06:19:02-0700',mode:absolute,to:'2017-12-20T09:04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6" s="247" t="str">
        <f>IF(AA36&lt;VLOOKUP(AG36,Variables!$AC$3:$AD$8,2,FALSE),"Y","N")</f>
        <v>N</v>
      </c>
      <c r="X36" s="247">
        <f t="shared" si="6"/>
        <v>1</v>
      </c>
      <c r="Y36" s="247">
        <f t="shared" si="7"/>
        <v>23.2987</v>
      </c>
      <c r="Z36" s="247">
        <f t="shared" si="8"/>
        <v>1.89E-2</v>
      </c>
      <c r="AA36" s="247">
        <f t="shared" si="9"/>
        <v>23.279800000000002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10"/>
        <v>124</v>
      </c>
      <c r="AE36" s="235" t="str">
        <f t="shared" si="11"/>
        <v>aws s3 cp s3://rtdc.mdm.uploadarchive.raw/RTDC4025/ "%USERPROFILE%\AppData\Local\Temp\OnboardLogs"\RTDC4025\2017-12-20 --exclude "*" --recursive --include "*20171220*" &amp; "%USERPROFILE%\Documents\GitHub\mrs-test-scripts\Headless Mode &amp; Sideloading\WalkAndUnGZ.bat" "%USERPROFILE%\AppData\Local\Temp\OnboardLogs"\RTDC4025\2017-12-20 &amp; aws s3 cp s3://rtdc.mdm.uploadarchive.raw/RTDC4025/ "%USERPROFILE%\AppData\Local\Temp\OnboardLogs"\RTDC4025\2017-12-21 --exclude "*" --recursive --include "*20171221*" &amp; "%USERPROFILE%\Documents\GitHub\mrs-test-scripts\Headless Mode &amp; Sideloading\WalkAndUnGZ.bat" "%USERPROFILE%\AppData\Local\Temp\OnboardLogs"\RTDC4025\2017-12-21</v>
      </c>
      <c r="AF36" s="234" t="str">
        <f t="shared" si="12"/>
        <v>"C:\Program Files (x86)\AstroGrep\AstroGrep.exe" /e /r /s /spath="%USERPROFILE%\AppData\Local\Temp\OnboardLogs" /stypes="app*4025*20171220*" /stext=" 15:.+((SYSTEM_STATE.+slice.+state.+changed )|(ment ac)|(multiple cpu faults)|(system.+state.+changed )|(\[timeout)|(PRM\|1\|D)|(kpr)|(kdp)|(train st.+moving)|(\|gpps)|(penalty))"</v>
      </c>
      <c r="AG36" s="244" t="str">
        <f t="shared" si="13"/>
        <v>EC</v>
      </c>
      <c r="AH36" s="236" t="str">
        <f t="shared" si="19"/>
        <v>"%USERPROFILE%\Documents\GitHub\eaglep3\Utilities\RefineRTDCRunTimes.py" --tripid 124-20 --locoid 4025 --swversion DE.1.0.9.0 --startMP 204:232987 --initTime 2017-12-20T07:19:02 --startdatetime 2017-12-20T07:27:39 --delay 92 --endMP 204:189 --enddatetime 2017-12-20T08:04:19 --enforcementcount 0 &gt;&gt;%USERPROFILE%\Documents\GitHub\eaglep3-reporting\EC\2017-12-20-refined-times.txt</v>
      </c>
      <c r="AI36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{"issue":{"subject":"","project_id":79,"tracker_id":40,"status_id":1,"priority_id":2,"assigned_to_id":338,"start_date":"2017-12-20","description":"","custom_fields":[{"id":1,"name":"Subdivision","value":"EC"},{"id":4,"name":"Milepost","value":"0.0189"},{"id":17,"name":"Train ID","value":"124-20"},{"id":16,"name":"Locomotive ID","value":"4025"},{"id":130,"name":"Impact","value":""},{"id":150,"name":"Time of Event (Mountain Time)","value":"08:04:19"},{"id":151,"name":"Denver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21"/>
        <v>start /low /b %USERPROFILE%\Documents\GitHub\eaglep3\Utilities\DownloadLogsFromS3.py --loco 4025 --day 2017-12-20</v>
      </c>
      <c r="AN36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15:04:19"},{"id":29,"name":"Sharepoint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23"/>
        <v>https://d0f6bd738d7f1b3e5a7ca70fe4ff75f0.us-east-1.aws.found.io/app/kibana#/discover/Steve-Slow-Train-Analysis-(2080s-and-2083s)?_g=(refreshInterval:(display:Off,pause:!f,section:0,value:0),time:(from:'2017-12-20T06:19:02-0700',mode:absolute,to:'2017-12-20T09:04:19-0700'))&amp;_a=(columns:!('Message%20ID',Summary),filters:!(),index:'emp_*',interval:auto,query:(query_string:(analyze_wildcard:!t,query:'%22rtdc.l.rtdc.4025%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9" t="s">
        <v>716</v>
      </c>
      <c r="B37" s="225">
        <v>4010</v>
      </c>
      <c r="C37" s="227" t="s">
        <v>192</v>
      </c>
      <c r="D37" s="227" t="s">
        <v>921</v>
      </c>
      <c r="E37" s="226">
        <v>43089.275451388887</v>
      </c>
      <c r="F37" s="226">
        <v>43089.281481481485</v>
      </c>
      <c r="G37" s="225">
        <v>73</v>
      </c>
      <c r="H37" s="227" t="s">
        <v>516</v>
      </c>
      <c r="I37" s="226">
        <v>43089.306863425925</v>
      </c>
      <c r="J37" s="225">
        <v>0</v>
      </c>
      <c r="K37" s="237" t="str">
        <f t="shared" si="0"/>
        <v>4009/4010</v>
      </c>
      <c r="L37" s="245" t="str">
        <f>VLOOKUP(A37,'Trips&amp;Operators'!$C$1:$G$99911,5,FALSE)</f>
        <v>BONDS REYNALDO</v>
      </c>
      <c r="M37" s="224">
        <f t="shared" si="1"/>
        <v>2.5381944440596271E-2</v>
      </c>
      <c r="N37" s="225">
        <f t="shared" si="2"/>
        <v>36.549999994458631</v>
      </c>
      <c r="O37" s="225"/>
      <c r="P37" s="225"/>
      <c r="Q37" s="228"/>
      <c r="R37" s="242"/>
      <c r="S37" s="249">
        <f t="shared" si="3"/>
        <v>1</v>
      </c>
      <c r="T37" s="242" t="str">
        <f t="shared" si="4"/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5"/>
        <v>https://d0f6bd738d7f1b3e5a7ca70fe4ff75f0.us-east-1.aws.found.io/app/kibana#/discover/Steve-Slow-Train-Analysis-(2080s-and-2083s)?_g=(refreshInterval:(display:Off,pause:!f,section:0,value:0),time:(from:'2017-12-20T05:36:39-0700',mode:absolute,to:'2017-12-20T08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7" s="247" t="str">
        <f>IF(AA37&lt;VLOOKUP(AG37,Variables!$AC$3:$AD$8,2,FALSE),"Y","N")</f>
        <v>N</v>
      </c>
      <c r="X37" s="247">
        <f t="shared" si="6"/>
        <v>1</v>
      </c>
      <c r="Y37" s="247">
        <f t="shared" si="7"/>
        <v>4.6899999999999997E-2</v>
      </c>
      <c r="Z37" s="247">
        <f t="shared" si="8"/>
        <v>23.326599999999999</v>
      </c>
      <c r="AA37" s="247">
        <f t="shared" si="9"/>
        <v>23.279699999999998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10"/>
        <v>125</v>
      </c>
      <c r="AE37" s="235" t="str">
        <f t="shared" si="11"/>
        <v>aws s3 cp s3://rtdc.mdm.uploadarchive.raw/RTDC4010/ "%USERPROFILE%\AppData\Local\Temp\OnboardLogs"\RTDC4010\2017-12-20 --exclude "*" --recursive --include "*20171220*" &amp; "%USERPROFILE%\Documents\GitHub\mrs-test-scripts\Headless Mode &amp; Sideloading\WalkAndUnGZ.bat" "%USERPROFILE%\AppData\Local\Temp\OnboardLogs"\RTDC4010\2017-12-20 &amp; aws s3 cp s3://rtdc.mdm.uploadarchive.raw/RTDC4010/ "%USERPROFILE%\AppData\Local\Temp\OnboardLogs"\RTDC4010\2017-12-21 --exclude "*" --recursive --include "*20171221*" &amp; "%USERPROFILE%\Documents\GitHub\mrs-test-scripts\Headless Mode &amp; Sideloading\WalkAndUnGZ.bat" "%USERPROFILE%\AppData\Local\Temp\OnboardLogs"\RTDC4010\2017-12-21</v>
      </c>
      <c r="AF37" s="234" t="str">
        <f t="shared" si="12"/>
        <v>"C:\Program Files (x86)\AstroGrep\AstroGrep.exe" /e /r /s /spath="%USERPROFILE%\AppData\Local\Temp\OnboardLogs" /stypes="app*4010*20171220*" /stext=" 14:.+((SYSTEM_STATE.+slice.+state.+changed )|(ment ac)|(multiple cpu faults)|(system.+state.+changed )|(\[timeout)|(PRM\|1\|D)|(kpr)|(kdp)|(train st.+moving)|(\|gpps)|(penalty))"</v>
      </c>
      <c r="AG37" s="244" t="str">
        <f t="shared" si="13"/>
        <v>EC</v>
      </c>
      <c r="AH37" s="236" t="str">
        <f t="shared" si="19"/>
        <v>"%USERPROFILE%\Documents\GitHub\eaglep3\Utilities\RefineRTDCRunTimes.py" --tripid 125-20 --locoid 4010 --swversion DE.1.0.9.0 --startMP 204:469 --initTime 2017-12-20T06:36:39 --startdatetime 2017-12-20T06:45:20 --delay 73 --endMP 204:233266 --enddatetime 2017-12-20T07:21:53 --enforcementcount 0 &gt;&gt;%USERPROFILE%\Documents\GitHub\eaglep3-reporting\EC\2017-12-20-refined-times.txt</v>
      </c>
      <c r="AI37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{"issue":{"subject":"","project_id":79,"tracker_id":40,"status_id":1,"priority_id":2,"assigned_to_id":338,"start_date":"2017-12-20","description":"","custom_fields":[{"id":1,"name":"Subdivision","value":"EC"},{"id":4,"name":"Milepost","value":"23.3266"},{"id":17,"name":"Train ID","value":"125-20"},{"id":16,"name":"Locomotive ID","value":"4010"},{"id":130,"name":"Impact","value":""},{"id":150,"name":"Time of Event (Mountain Time)","value":"07:21:53"},{"id":151,"name":"Denver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21"/>
        <v>start /low /b %USERPROFILE%\Documents\GitHub\eaglep3\Utilities\DownloadLogsFromS3.py --loco 4010 --day 2017-12-20</v>
      </c>
      <c r="AN37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14:21:53"},{"id":29,"name":"Sharepoint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23"/>
        <v>https://d0f6bd738d7f1b3e5a7ca70fe4ff75f0.us-east-1.aws.found.io/app/kibana#/discover/Steve-Slow-Train-Analysis-(2080s-and-2083s)?_g=(refreshInterval:(display:Off,pause:!f,section:0,value:0),time:(from:'2017-12-20T05:36:39-0700',mode:absolute,to:'2017-12-20T08:21:53-0700'))&amp;_a=(columns:!('Message%20ID',Summary),filters:!(),index:'emp_*',interval:auto,query:(query_string:(analyze_wildcard:!t,query:'%22rtdc.l.rtdc.4010%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9" t="s">
        <v>653</v>
      </c>
      <c r="B38" s="225">
        <v>4009</v>
      </c>
      <c r="C38" s="227" t="s">
        <v>192</v>
      </c>
      <c r="D38" s="227" t="s">
        <v>922</v>
      </c>
      <c r="E38" s="226">
        <v>43089.316817129627</v>
      </c>
      <c r="F38" s="226">
        <v>43089.321168981478</v>
      </c>
      <c r="G38" s="225">
        <v>64</v>
      </c>
      <c r="H38" s="227" t="s">
        <v>463</v>
      </c>
      <c r="I38" s="226">
        <v>43089.348009259258</v>
      </c>
      <c r="J38" s="225">
        <v>0</v>
      </c>
      <c r="K38" s="237" t="str">
        <f t="shared" si="0"/>
        <v>4009/4010</v>
      </c>
      <c r="L38" s="245" t="str">
        <f>VLOOKUP(A38,'Trips&amp;Operators'!$C$1:$G$99911,5,FALSE)</f>
        <v>BONDS REYNALDO</v>
      </c>
      <c r="M38" s="224">
        <f t="shared" si="1"/>
        <v>2.6840277780138422E-2</v>
      </c>
      <c r="N38" s="225">
        <f t="shared" si="2"/>
        <v>38.650000003399327</v>
      </c>
      <c r="O38" s="225"/>
      <c r="P38" s="225"/>
      <c r="Q38" s="228"/>
      <c r="R38" s="242"/>
      <c r="S38" s="249">
        <f t="shared" si="3"/>
        <v>1</v>
      </c>
      <c r="T38" s="242" t="str">
        <f t="shared" si="4"/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5"/>
        <v>https://d0f6bd738d7f1b3e5a7ca70fe4ff75f0.us-east-1.aws.found.io/app/kibana#/discover/Steve-Slow-Train-Analysis-(2080s-and-2083s)?_g=(refreshInterval:(display:Off,pause:!f,section:0,value:0),time:(from:'2017-12-20T06:36:13-0700',mode:absolute,to:'2017-12-20T09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8" s="247" t="str">
        <f>IF(AA38&lt;VLOOKUP(AG38,Variables!$AC$3:$AD$8,2,FALSE),"Y","N")</f>
        <v>N</v>
      </c>
      <c r="X38" s="247">
        <f t="shared" si="6"/>
        <v>1</v>
      </c>
      <c r="Y38" s="247">
        <f t="shared" si="7"/>
        <v>23.296299999999999</v>
      </c>
      <c r="Z38" s="247">
        <f t="shared" si="8"/>
        <v>1.9599999999999999E-2</v>
      </c>
      <c r="AA38" s="247">
        <f t="shared" si="9"/>
        <v>23.276699999999998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 t="shared" si="10"/>
        <v>126</v>
      </c>
      <c r="AE38" s="235" t="str">
        <f t="shared" si="11"/>
        <v>aws s3 cp s3://rtdc.mdm.uploadarchive.raw/RTDC4009/ "%USERPROFILE%\AppData\Local\Temp\OnboardLogs"\RTDC4009\2017-12-20 --exclude "*" --recursive --include "*20171220*" &amp; "%USERPROFILE%\Documents\GitHub\mrs-test-scripts\Headless Mode &amp; Sideloading\WalkAndUnGZ.bat" "%USERPROFILE%\AppData\Local\Temp\OnboardLogs"\RTDC4009\2017-12-20 &amp; aws s3 cp s3://rtdc.mdm.uploadarchive.raw/RTDC4009/ "%USERPROFILE%\AppData\Local\Temp\OnboardLogs"\RTDC4009\2017-12-21 --exclude "*" --recursive --include "*20171221*" &amp; "%USERPROFILE%\Documents\GitHub\mrs-test-scripts\Headless Mode &amp; Sideloading\WalkAndUnGZ.bat" "%USERPROFILE%\AppData\Local\Temp\OnboardLogs"\RTDC4009\2017-12-21</v>
      </c>
      <c r="AF38" s="234" t="str">
        <f t="shared" si="12"/>
        <v>"C:\Program Files (x86)\AstroGrep\AstroGrep.exe" /e /r /s /spath="%USERPROFILE%\AppData\Local\Temp\OnboardLogs" /stypes="app*4009*20171220*" /stext=" 15:.+((SYSTEM_STATE.+slice.+state.+changed )|(ment ac)|(multiple cpu faults)|(system.+state.+changed )|(\[timeout)|(PRM\|1\|D)|(kpr)|(kdp)|(train st.+moving)|(\|gpps)|(penalty))"</v>
      </c>
      <c r="AG38" s="244" t="str">
        <f t="shared" si="13"/>
        <v>EC</v>
      </c>
      <c r="AH38" s="236" t="str">
        <f t="shared" si="19"/>
        <v>"%USERPROFILE%\Documents\GitHub\eaglep3\Utilities\RefineRTDCRunTimes.py" --tripid 126-20 --locoid 4009 --swversion DE.1.0.9.0 --startMP 204:232963 --initTime 2017-12-20T07:36:13 --startdatetime 2017-12-20T07:42:29 --delay 64 --endMP 204:196 --enddatetime 2017-12-20T08:21:08 --enforcementcount 0 &gt;&gt;%USERPROFILE%\Documents\GitHub\eaglep3-reporting\EC\2017-12-20-refined-times.txt</v>
      </c>
      <c r="AI38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{"issue":{"subject":"","project_id":79,"tracker_id":40,"status_id":1,"priority_id":2,"assigned_to_id":338,"start_date":"2017-12-20","description":"","custom_fields":[{"id":1,"name":"Subdivision","value":"EC"},{"id":4,"name":"Milepost","value":"0.0196"},{"id":17,"name":"Train ID","value":"126-20"},{"id":16,"name":"Locomotive ID","value":"4009"},{"id":130,"name":"Impact","value":""},{"id":150,"name":"Time of Event (Mountain Time)","value":"08:21:08"},{"id":151,"name":"Denver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21"/>
        <v>start /low /b %USERPROFILE%\Documents\GitHub\eaglep3\Utilities\DownloadLogsFromS3.py --loco 4009 --day 2017-12-20</v>
      </c>
      <c r="AN38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15:21:08"},{"id":29,"name":"Sharepoint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23"/>
        <v>https://d0f6bd738d7f1b3e5a7ca70fe4ff75f0.us-east-1.aws.found.io/app/kibana#/discover/Steve-Slow-Train-Analysis-(2080s-and-2083s)?_g=(refreshInterval:(display:Off,pause:!f,section:0,value:0),time:(from:'2017-12-20T06:36:13-0700',mode:absolute,to:'2017-12-20T09:21:08-0700'))&amp;_a=(columns:!('Message%20ID',Summary),filters:!(),index:'emp_*',interval:auto,query:(query_string:(analyze_wildcard:!t,query:'%22rtdc.l.rtdc.4009%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9" t="s">
        <v>718</v>
      </c>
      <c r="B39" s="225">
        <v>4050</v>
      </c>
      <c r="C39" s="227" t="s">
        <v>192</v>
      </c>
      <c r="D39" s="227" t="s">
        <v>923</v>
      </c>
      <c r="E39" s="226">
        <v>43089.286319444444</v>
      </c>
      <c r="F39" s="226">
        <v>43089.291898148149</v>
      </c>
      <c r="G39" s="225">
        <v>52</v>
      </c>
      <c r="H39" s="227" t="s">
        <v>537</v>
      </c>
      <c r="I39" s="226">
        <v>43089.316574074073</v>
      </c>
      <c r="J39" s="225">
        <v>0</v>
      </c>
      <c r="K39" s="237" t="str">
        <f t="shared" si="0"/>
        <v>4049/4050</v>
      </c>
      <c r="L39" s="245" t="str">
        <f>VLOOKUP(A39,'Trips&amp;Operators'!$C$1:$G$99911,5,FALSE)</f>
        <v>YANAI IAN</v>
      </c>
      <c r="M39" s="224">
        <f t="shared" si="1"/>
        <v>2.4675925924384501E-2</v>
      </c>
      <c r="N39" s="225">
        <f t="shared" si="2"/>
        <v>35.533333331113681</v>
      </c>
      <c r="O39" s="225"/>
      <c r="P39" s="225"/>
      <c r="Q39" s="228"/>
      <c r="R39" s="242"/>
      <c r="S39" s="249">
        <f t="shared" si="3"/>
        <v>1</v>
      </c>
      <c r="T39" s="242" t="str">
        <f t="shared" si="4"/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5"/>
        <v>https://d0f6bd738d7f1b3e5a7ca70fe4ff75f0.us-east-1.aws.found.io/app/kibana#/discover/Steve-Slow-Train-Analysis-(2080s-and-2083s)?_g=(refreshInterval:(display:Off,pause:!f,section:0,value:0),time:(from:'2017-12-20T05:52:18-0700',mode:absolute,to:'2017-12-20T08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9" s="247" t="str">
        <f>IF(AA39&lt;VLOOKUP(AG39,Variables!$AC$3:$AD$8,2,FALSE),"Y","N")</f>
        <v>N</v>
      </c>
      <c r="X39" s="247">
        <f t="shared" si="6"/>
        <v>1</v>
      </c>
      <c r="Y39" s="247">
        <f t="shared" si="7"/>
        <v>5.4399999999999997E-2</v>
      </c>
      <c r="Z39" s="247">
        <f t="shared" si="8"/>
        <v>23.331199999999999</v>
      </c>
      <c r="AA39" s="247">
        <f t="shared" si="9"/>
        <v>23.276799999999998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10"/>
        <v>127</v>
      </c>
      <c r="AE39" s="235" t="str">
        <f t="shared" si="11"/>
        <v>aws s3 cp s3://rtdc.mdm.uploadarchive.raw/RTDC4050/ "%USERPROFILE%\AppData\Local\Temp\OnboardLogs"\RTDC4050\2017-12-20 --exclude "*" --recursive --include "*20171220*" &amp; "%USERPROFILE%\Documents\GitHub\mrs-test-scripts\Headless Mode &amp; Sideloading\WalkAndUnGZ.bat" "%USERPROFILE%\AppData\Local\Temp\OnboardLogs"\RTDC4050\2017-12-20 &amp; aws s3 cp s3://rtdc.mdm.uploadarchive.raw/RTDC4050/ "%USERPROFILE%\AppData\Local\Temp\OnboardLogs"\RTDC4050\2017-12-21 --exclude "*" --recursive --include "*20171221*" &amp; "%USERPROFILE%\Documents\GitHub\mrs-test-scripts\Headless Mode &amp; Sideloading\WalkAndUnGZ.bat" "%USERPROFILE%\AppData\Local\Temp\OnboardLogs"\RTDC4050\2017-12-21</v>
      </c>
      <c r="AF39" s="234" t="str">
        <f t="shared" si="12"/>
        <v>"C:\Program Files (x86)\AstroGrep\AstroGrep.exe" /e /r /s /spath="%USERPROFILE%\AppData\Local\Temp\OnboardLogs" /stypes="app*4050*20171220*" /stext=" 14:.+((SYSTEM_STATE.+slice.+state.+changed )|(ment ac)|(multiple cpu faults)|(system.+state.+changed )|(\[timeout)|(PRM\|1\|D)|(kpr)|(kdp)|(train st.+moving)|(\|gpps)|(penalty))"</v>
      </c>
      <c r="AG39" s="244" t="str">
        <f t="shared" si="13"/>
        <v>EC</v>
      </c>
      <c r="AH39" s="236" t="str">
        <f t="shared" si="19"/>
        <v>"%USERPROFILE%\Documents\GitHub\eaglep3\Utilities\RefineRTDCRunTimes.py" --tripid 127-20 --locoid 4050 --swversion DE.1.0.9.0 --startMP 204:544 --initTime 2017-12-20T06:52:18 --startdatetime 2017-12-20T07:00:20 --delay 52 --endMP 204:233312 --enddatetime 2017-12-20T07:35:52 --enforcementcount 0 &gt;&gt;%USERPROFILE%\Documents\GitHub\eaglep3-reporting\EC\2017-12-20-refined-times.txt</v>
      </c>
      <c r="AI39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{"issue":{"subject":"","project_id":79,"tracker_id":40,"status_id":1,"priority_id":2,"assigned_to_id":338,"start_date":"2017-12-20","description":"","custom_fields":[{"id":1,"name":"Subdivision","value":"EC"},{"id":4,"name":"Milepost","value":"23.3312"},{"id":17,"name":"Train ID","value":"127-20"},{"id":16,"name":"Locomotive ID","value":"4050"},{"id":130,"name":"Impact","value":""},{"id":150,"name":"Time of Event (Mountain Time)","value":"07:35:52"},{"id":151,"name":"Denver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21"/>
        <v>start /low /b %USERPROFILE%\Documents\GitHub\eaglep3\Utilities\DownloadLogsFromS3.py --loco 4050 --day 2017-12-20</v>
      </c>
      <c r="AN39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14:35:52"},{"id":29,"name":"Sharepoint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23"/>
        <v>https://d0f6bd738d7f1b3e5a7ca70fe4ff75f0.us-east-1.aws.found.io/app/kibana#/discover/Steve-Slow-Train-Analysis-(2080s-and-2083s)?_g=(refreshInterval:(display:Off,pause:!f,section:0,value:0),time:(from:'2017-12-20T05:52:18-0700',mode:absolute,to:'2017-12-20T08:35:52-0700'))&amp;_a=(columns:!('Message%20ID',Summary),filters:!(),index:'emp_*',interval:auto,query:(query_string:(analyze_wildcard:!t,query:'%22rtdc.l.rtdc.4050%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9" t="s">
        <v>727</v>
      </c>
      <c r="B40" s="225">
        <v>4049</v>
      </c>
      <c r="C40" s="227" t="s">
        <v>192</v>
      </c>
      <c r="D40" s="227" t="s">
        <v>920</v>
      </c>
      <c r="E40" s="226">
        <v>43089.317708333336</v>
      </c>
      <c r="F40" s="226">
        <v>43089.331423611111</v>
      </c>
      <c r="G40" s="225">
        <v>58</v>
      </c>
      <c r="H40" s="227" t="s">
        <v>523</v>
      </c>
      <c r="I40" s="226">
        <v>43089.356921296298</v>
      </c>
      <c r="J40" s="225">
        <v>0</v>
      </c>
      <c r="K40" s="237" t="str">
        <f t="shared" si="0"/>
        <v>4049/4050</v>
      </c>
      <c r="L40" s="245" t="str">
        <f>VLOOKUP(A40,'Trips&amp;Operators'!$C$1:$G$99911,5,FALSE)</f>
        <v>YANAI IAN</v>
      </c>
      <c r="M40" s="224">
        <f t="shared" si="1"/>
        <v>2.5497685186564922E-2</v>
      </c>
      <c r="N40" s="225">
        <f t="shared" si="2"/>
        <v>36.716666668653488</v>
      </c>
      <c r="O40" s="225"/>
      <c r="P40" s="225"/>
      <c r="Q40" s="228"/>
      <c r="R40" s="242"/>
      <c r="S40" s="249">
        <f t="shared" si="3"/>
        <v>1</v>
      </c>
      <c r="T40" s="242" t="str">
        <f t="shared" si="4"/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5"/>
        <v>https://d0f6bd738d7f1b3e5a7ca70fe4ff75f0.us-east-1.aws.found.io/app/kibana#/discover/Steve-Slow-Train-Analysis-(2080s-and-2083s)?_g=(refreshInterval:(display:Off,pause:!f,section:0,value:0),time:(from:'2017-12-20T06:37:30-0700',mode:absolute,to:'2017-12-20T09:33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0" s="247" t="str">
        <f>IF(AA40&lt;VLOOKUP(AG40,Variables!$AC$3:$AD$8,2,FALSE),"Y","N")</f>
        <v>N</v>
      </c>
      <c r="X40" s="247">
        <f t="shared" si="6"/>
        <v>1</v>
      </c>
      <c r="Y40" s="247">
        <f t="shared" si="7"/>
        <v>23.2987</v>
      </c>
      <c r="Z40" s="247">
        <f t="shared" si="8"/>
        <v>1.38E-2</v>
      </c>
      <c r="AA40" s="247">
        <f t="shared" si="9"/>
        <v>23.2849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10"/>
        <v>128</v>
      </c>
      <c r="AE40" s="235" t="str">
        <f t="shared" si="11"/>
        <v>aws s3 cp s3://rtdc.mdm.uploadarchive.raw/RTDC4049/ "%USERPROFILE%\AppData\Local\Temp\OnboardLogs"\RTDC4049\2017-12-20 --exclude "*" --recursive --include "*20171220*" &amp; "%USERPROFILE%\Documents\GitHub\mrs-test-scripts\Headless Mode &amp; Sideloading\WalkAndUnGZ.bat" "%USERPROFILE%\AppData\Local\Temp\OnboardLogs"\RTDC4049\2017-12-20 &amp; aws s3 cp s3://rtdc.mdm.uploadarchive.raw/RTDC4049/ "%USERPROFILE%\AppData\Local\Temp\OnboardLogs"\RTDC4049\2017-12-21 --exclude "*" --recursive --include "*20171221*" &amp; "%USERPROFILE%\Documents\GitHub\mrs-test-scripts\Headless Mode &amp; Sideloading\WalkAndUnGZ.bat" "%USERPROFILE%\AppData\Local\Temp\OnboardLogs"\RTDC4049\2017-12-21</v>
      </c>
      <c r="AF40" s="234" t="str">
        <f t="shared" si="12"/>
        <v>"C:\Program Files (x86)\AstroGrep\AstroGrep.exe" /e /r /s /spath="%USERPROFILE%\AppData\Local\Temp\OnboardLogs" /stypes="app*4049*20171220*" /stext=" 15:.+((SYSTEM_STATE.+slice.+state.+changed )|(ment ac)|(multiple cpu faults)|(system.+state.+changed )|(\[timeout)|(PRM\|1\|D)|(kpr)|(kdp)|(train st.+moving)|(\|gpps)|(penalty))"</v>
      </c>
      <c r="AG40" s="244" t="str">
        <f t="shared" si="13"/>
        <v>EC</v>
      </c>
      <c r="AH40" s="236" t="str">
        <f t="shared" si="19"/>
        <v>"%USERPROFILE%\Documents\GitHub\eaglep3\Utilities\RefineRTDCRunTimes.py" --tripid 128-20 --locoid 4049 --swversion DE.1.0.9.0 --startMP 204:232987 --initTime 2017-12-20T07:37:30 --startdatetime 2017-12-20T07:57:15 --delay 58 --endMP 204:138 --enddatetime 2017-12-20T08:33:58 --enforcementcount 0 &gt;&gt;%USERPROFILE%\Documents\GitHub\eaglep3-reporting\EC\2017-12-20-refined-times.txt</v>
      </c>
      <c r="AI40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{"issue":{"subject":"","project_id":79,"tracker_id":40,"status_id":1,"priority_id":2,"assigned_to_id":338,"start_date":"2017-12-20","description":"","custom_fields":[{"id":1,"name":"Subdivision","value":"EC"},{"id":4,"name":"Milepost","value":"0.0138"},{"id":17,"name":"Train ID","value":"128-20"},{"id":16,"name":"Locomotive ID","value":"4049"},{"id":130,"name":"Impact","value":""},{"id":150,"name":"Time of Event (Mountain Time)","value":"08:33:58"},{"id":151,"name":"Denver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21"/>
        <v>start /low /b %USERPROFILE%\Documents\GitHub\eaglep3\Utilities\DownloadLogsFromS3.py --loco 4049 --day 2017-12-20</v>
      </c>
      <c r="AN40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15:33:58"},{"id":29,"name":"Sharepoint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23"/>
        <v>https://d0f6bd738d7f1b3e5a7ca70fe4ff75f0.us-east-1.aws.found.io/app/kibana#/discover/Steve-Slow-Train-Analysis-(2080s-and-2083s)?_g=(refreshInterval:(display:Off,pause:!f,section:0,value:0),time:(from:'2017-12-20T06:37:30-0700',mode:absolute,to:'2017-12-20T09:33:58-0700'))&amp;_a=(columns:!('Message%20ID',Summary),filters:!(),index:'emp_*',interval:auto,query:(query_string:(analyze_wildcard:!t,query:'%22rtdc.l.rtdc.4049%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9" t="s">
        <v>652</v>
      </c>
      <c r="B41" s="225">
        <v>4062</v>
      </c>
      <c r="C41" s="227" t="s">
        <v>192</v>
      </c>
      <c r="D41" s="227" t="s">
        <v>606</v>
      </c>
      <c r="E41" s="226">
        <v>43089.299837962964</v>
      </c>
      <c r="F41" s="226">
        <v>43089.302395833336</v>
      </c>
      <c r="G41" s="225">
        <v>51</v>
      </c>
      <c r="H41" s="227" t="s">
        <v>916</v>
      </c>
      <c r="I41" s="226">
        <v>43089.327037037037</v>
      </c>
      <c r="J41" s="225">
        <v>0</v>
      </c>
      <c r="K41" s="237" t="str">
        <f t="shared" si="0"/>
        <v>4061/4062</v>
      </c>
      <c r="L41" s="245" t="str">
        <f>VLOOKUP(A41,'Trips&amp;Operators'!$C$1:$G$99911,5,FALSE)</f>
        <v>THOMPSON LESTER</v>
      </c>
      <c r="M41" s="224">
        <f t="shared" si="1"/>
        <v>2.4641203701321501E-2</v>
      </c>
      <c r="N41" s="225">
        <f t="shared" si="2"/>
        <v>35.483333329902962</v>
      </c>
      <c r="O41" s="225"/>
      <c r="P41" s="225"/>
      <c r="Q41" s="228"/>
      <c r="R41" s="242"/>
      <c r="S41" s="249">
        <f t="shared" si="3"/>
        <v>1</v>
      </c>
      <c r="T41" s="242" t="str">
        <f t="shared" si="4"/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5"/>
        <v>https://d0f6bd738d7f1b3e5a7ca70fe4ff75f0.us-east-1.aws.found.io/app/kibana#/discover/Steve-Slow-Train-Analysis-(2080s-and-2083s)?_g=(refreshInterval:(display:Off,pause:!f,section:0,value:0),time:(from:'2017-12-20T06:11:46-0700',mode:absolute,to:'2017-12-20T08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1" s="247" t="str">
        <f>IF(AA41&lt;VLOOKUP(AG41,Variables!$AC$3:$AD$8,2,FALSE),"Y","N")</f>
        <v>N</v>
      </c>
      <c r="X41" s="247">
        <f t="shared" si="6"/>
        <v>1</v>
      </c>
      <c r="Y41" s="247">
        <f t="shared" si="7"/>
        <v>4.8800000000000003E-2</v>
      </c>
      <c r="Z41" s="247">
        <f t="shared" si="8"/>
        <v>23.328600000000002</v>
      </c>
      <c r="AA41" s="247">
        <f t="shared" si="9"/>
        <v>23.279800000000002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 t="shared" si="10"/>
        <v>129</v>
      </c>
      <c r="AE41" s="235" t="str">
        <f t="shared" si="11"/>
        <v>aws s3 cp s3://rtdc.mdm.uploadarchive.raw/RTDC4062/ "%USERPROFILE%\AppData\Local\Temp\OnboardLogs"\RTDC4062\2017-12-20 --exclude "*" --recursive --include "*20171220*" &amp; "%USERPROFILE%\Documents\GitHub\mrs-test-scripts\Headless Mode &amp; Sideloading\WalkAndUnGZ.bat" "%USERPROFILE%\AppData\Local\Temp\OnboardLogs"\RTDC4062\2017-12-20 &amp; aws s3 cp s3://rtdc.mdm.uploadarchive.raw/RTDC4062/ "%USERPROFILE%\AppData\Local\Temp\OnboardLogs"\RTDC4062\2017-12-21 --exclude "*" --recursive --include "*20171221*" &amp; "%USERPROFILE%\Documents\GitHub\mrs-test-scripts\Headless Mode &amp; Sideloading\WalkAndUnGZ.bat" "%USERPROFILE%\AppData\Local\Temp\OnboardLogs"\RTDC4062\2017-12-21</v>
      </c>
      <c r="AF41" s="234" t="str">
        <f t="shared" si="12"/>
        <v>"C:\Program Files (x86)\AstroGrep\AstroGrep.exe" /e /r /s /spath="%USERPROFILE%\AppData\Local\Temp\OnboardLogs" /stypes="app*4062*20171220*" /stext=" 14:.+((SYSTEM_STATE.+slice.+state.+changed )|(ment ac)|(multiple cpu faults)|(system.+state.+changed )|(\[timeout)|(PRM\|1\|D)|(kpr)|(kdp)|(train st.+moving)|(\|gpps)|(penalty))"</v>
      </c>
      <c r="AG41" s="244" t="str">
        <f t="shared" si="13"/>
        <v>EC</v>
      </c>
      <c r="AH41" s="236" t="str">
        <f t="shared" si="19"/>
        <v>"%USERPROFILE%\Documents\GitHub\eaglep3\Utilities\RefineRTDCRunTimes.py" --tripid 129-20 --locoid 4062 --swversion DE.1.0.9.0 --startMP 204:488 --initTime 2017-12-20T07:11:46 --startdatetime 2017-12-20T07:15:27 --delay 51 --endMP 204:233286 --enddatetime 2017-12-20T07:50:56 --enforcementcount 0 &gt;&gt;%USERPROFILE%\Documents\GitHub\eaglep3-reporting\EC\2017-12-20-refined-times.txt</v>
      </c>
      <c r="AI41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{"issue":{"subject":"","project_id":79,"tracker_id":40,"status_id":1,"priority_id":2,"assigned_to_id":338,"start_date":"2017-12-20","description":"","custom_fields":[{"id":1,"name":"Subdivision","value":"EC"},{"id":4,"name":"Milepost","value":"23.3286"},{"id":17,"name":"Train ID","value":"129-20"},{"id":16,"name":"Locomotive ID","value":"4062"},{"id":130,"name":"Impact","value":""},{"id":150,"name":"Time of Event (Mountain Time)","value":"07:50:56"},{"id":151,"name":"Denver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21"/>
        <v>start /low /b %USERPROFILE%\Documents\GitHub\eaglep3\Utilities\DownloadLogsFromS3.py --loco 4062 --day 2017-12-20</v>
      </c>
      <c r="AN41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14:50:56"},{"id":29,"name":"Sharepoint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23"/>
        <v>https://d0f6bd738d7f1b3e5a7ca70fe4ff75f0.us-east-1.aws.found.io/app/kibana#/discover/Steve-Slow-Train-Analysis-(2080s-and-2083s)?_g=(refreshInterval:(display:Off,pause:!f,section:0,value:0),time:(from:'2017-12-20T06:11:46-0700',mode:absolute,to:'2017-12-20T08:50:56-0700'))&amp;_a=(columns:!('Message%20ID',Summary),filters:!(),index:'emp_*',interval:auto,query:(query_string:(analyze_wildcard:!t,query:'%22rtdc.l.rtdc.4062%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9" t="s">
        <v>655</v>
      </c>
      <c r="B42" s="225">
        <v>4061</v>
      </c>
      <c r="C42" s="227" t="s">
        <v>192</v>
      </c>
      <c r="D42" s="227" t="s">
        <v>922</v>
      </c>
      <c r="E42" s="226">
        <v>43089.34</v>
      </c>
      <c r="F42" s="226">
        <v>43089.341863425929</v>
      </c>
      <c r="G42" s="225">
        <v>58</v>
      </c>
      <c r="H42" s="227" t="s">
        <v>619</v>
      </c>
      <c r="I42" s="226">
        <v>43089.368483796294</v>
      </c>
      <c r="J42" s="225">
        <v>0</v>
      </c>
      <c r="K42" s="237" t="str">
        <f t="shared" si="0"/>
        <v>4061/4062</v>
      </c>
      <c r="L42" s="245" t="str">
        <f>VLOOKUP(A42,'Trips&amp;Operators'!$C$1:$G$99911,5,FALSE)</f>
        <v>THOMPSON LESTER</v>
      </c>
      <c r="M42" s="224">
        <f t="shared" si="1"/>
        <v>2.6620370364980772E-2</v>
      </c>
      <c r="N42" s="225">
        <f t="shared" si="2"/>
        <v>38.333333325572312</v>
      </c>
      <c r="O42" s="225"/>
      <c r="P42" s="225"/>
      <c r="Q42" s="228"/>
      <c r="R42" s="242"/>
      <c r="S42" s="249">
        <f t="shared" si="3"/>
        <v>1</v>
      </c>
      <c r="T42" s="242" t="str">
        <f t="shared" si="4"/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5"/>
        <v>https://d0f6bd738d7f1b3e5a7ca70fe4ff75f0.us-east-1.aws.found.io/app/kibana#/discover/Steve-Slow-Train-Analysis-(2080s-and-2083s)?_g=(refreshInterval:(display:Off,pause:!f,section:0,value:0),time:(from:'2017-12-20T07:09:36-0700',mode:absolute,to:'2017-12-20T09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2" s="247" t="str">
        <f>IF(AA42&lt;VLOOKUP(AG42,Variables!$AC$3:$AD$8,2,FALSE),"Y","N")</f>
        <v>N</v>
      </c>
      <c r="X42" s="247">
        <f t="shared" si="6"/>
        <v>1</v>
      </c>
      <c r="Y42" s="247">
        <f t="shared" si="7"/>
        <v>23.296299999999999</v>
      </c>
      <c r="Z42" s="247">
        <f t="shared" si="8"/>
        <v>2.0899999999999998E-2</v>
      </c>
      <c r="AA42" s="247">
        <f t="shared" si="9"/>
        <v>23.275399999999998</v>
      </c>
      <c r="AB42" s="233" t="str">
        <f>VLOOKUP(A42,Enforcements!$C$7:$K$9,8,0)</f>
        <v>Bulletin (2)</v>
      </c>
      <c r="AC42" s="232" t="str">
        <f>VLOOKUP(A42,Enforcements!$C$7:$E$9,3,0)</f>
        <v>GRADE CROSSING</v>
      </c>
      <c r="AD42" s="243">
        <f t="shared" si="10"/>
        <v>130</v>
      </c>
      <c r="AE42" s="235" t="str">
        <f t="shared" si="11"/>
        <v>aws s3 cp s3://rtdc.mdm.uploadarchive.raw/RTDC4061/ "%USERPROFILE%\AppData\Local\Temp\OnboardLogs"\RTDC4061\2017-12-20 --exclude "*" --recursive --include "*20171220*" &amp; "%USERPROFILE%\Documents\GitHub\mrs-test-scripts\Headless Mode &amp; Sideloading\WalkAndUnGZ.bat" "%USERPROFILE%\AppData\Local\Temp\OnboardLogs"\RTDC4061\2017-12-20 &amp; aws s3 cp s3://rtdc.mdm.uploadarchive.raw/RTDC4061/ "%USERPROFILE%\AppData\Local\Temp\OnboardLogs"\RTDC4061\2017-12-21 --exclude "*" --recursive --include "*20171221*" &amp; "%USERPROFILE%\Documents\GitHub\mrs-test-scripts\Headless Mode &amp; Sideloading\WalkAndUnGZ.bat" "%USERPROFILE%\AppData\Local\Temp\OnboardLogs"\RTDC4061\2017-12-21</v>
      </c>
      <c r="AF42" s="234" t="str">
        <f t="shared" si="12"/>
        <v>"C:\Program Files (x86)\AstroGrep\AstroGrep.exe" /e /r /s /spath="%USERPROFILE%\AppData\Local\Temp\OnboardLogs" /stypes="app*4061*20171220*" /stext=" 15:.+((SYSTEM_STATE.+slice.+state.+changed )|(ment ac)|(multiple cpu faults)|(system.+state.+changed )|(\[timeout)|(PRM\|1\|D)|(kpr)|(kdp)|(train st.+moving)|(\|gpps)|(penalty))"</v>
      </c>
      <c r="AG42" s="244" t="str">
        <f t="shared" si="13"/>
        <v>EC</v>
      </c>
      <c r="AH42" s="236" t="str">
        <f t="shared" si="19"/>
        <v>"%USERPROFILE%\Documents\GitHub\eaglep3\Utilities\RefineRTDCRunTimes.py" --tripid 130-20 --locoid 4061 --swversion DE.1.0.9.0 --startMP 204:232963 --initTime 2017-12-20T08:09:36 --startdatetime 2017-12-20T08:12:17 --delay 58 --endMP 204:209 --enddatetime 2017-12-20T08:50:37 --enforcementcount 0 &gt;&gt;%USERPROFILE%\Documents\GitHub\eaglep3-reporting\EC\2017-12-20-refined-times.txt</v>
      </c>
      <c r="AI42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{"issue":{"subject":"","project_id":79,"tracker_id":40,"status_id":1,"priority_id":2,"assigned_to_id":338,"start_date":"2017-12-20","description":"","custom_fields":[{"id":1,"name":"Subdivision","value":"EC"},{"id":4,"name":"Milepost","value":"0.0209"},{"id":17,"name":"Train ID","value":"130-20"},{"id":16,"name":"Locomotive ID","value":"4061"},{"id":130,"name":"Impact","value":""},{"id":150,"name":"Time of Event (Mountain Time)","value":"08:50:37"},{"id":151,"name":"Denver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21"/>
        <v>start /low /b %USERPROFILE%\Documents\GitHub\eaglep3\Utilities\DownloadLogsFromS3.py --loco 4061 --day 2017-12-20</v>
      </c>
      <c r="AN42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15:50:37"},{"id":29,"name":"Sharepoint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23"/>
        <v>https://d0f6bd738d7f1b3e5a7ca70fe4ff75f0.us-east-1.aws.found.io/app/kibana#/discover/Steve-Slow-Train-Analysis-(2080s-and-2083s)?_g=(refreshInterval:(display:Off,pause:!f,section:0,value:0),time:(from:'2017-12-20T07:09:36-0700',mode:absolute,to:'2017-12-20T09:50:37-0700'))&amp;_a=(columns:!('Message%20ID',Summary),filters:!(),index:'emp_*',interval:auto,query:(query_string:(analyze_wildcard:!t,query:'%22rtdc.l.rtdc.4061%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9" t="s">
        <v>723</v>
      </c>
      <c r="B43" s="225">
        <v>4052</v>
      </c>
      <c r="C43" s="227" t="s">
        <v>192</v>
      </c>
      <c r="D43" s="227" t="s">
        <v>602</v>
      </c>
      <c r="E43" s="226">
        <v>43089.30878472222</v>
      </c>
      <c r="F43" s="226">
        <v>43089.312685185185</v>
      </c>
      <c r="G43" s="225">
        <v>51</v>
      </c>
      <c r="H43" s="227" t="s">
        <v>924</v>
      </c>
      <c r="I43" s="226">
        <v>43089.337708333333</v>
      </c>
      <c r="J43" s="225">
        <v>0</v>
      </c>
      <c r="K43" s="237" t="str">
        <f t="shared" si="0"/>
        <v>4051/4052</v>
      </c>
      <c r="L43" s="245" t="str">
        <f>VLOOKUP(A43,'Trips&amp;Operators'!$C$1:$G$99911,5,FALSE)</f>
        <v>HUFFSMITH MONTY</v>
      </c>
      <c r="M43" s="224">
        <f t="shared" si="1"/>
        <v>2.5023148147738539E-2</v>
      </c>
      <c r="N43" s="225">
        <f t="shared" si="2"/>
        <v>36.033333332743496</v>
      </c>
      <c r="O43" s="225"/>
      <c r="P43" s="225"/>
      <c r="Q43" s="228"/>
      <c r="R43" s="242"/>
      <c r="S43" s="249">
        <f t="shared" si="3"/>
        <v>1</v>
      </c>
      <c r="T43" s="242" t="str">
        <f t="shared" si="4"/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5"/>
        <v>https://d0f6bd738d7f1b3e5a7ca70fe4ff75f0.us-east-1.aws.found.io/app/kibana#/discover/Steve-Slow-Train-Analysis-(2080s-and-2083s)?_g=(refreshInterval:(display:Off,pause:!f,section:0,value:0),time:(from:'2017-12-20T06:24:39-0700',mode:absolute,to:'2017-12-20T09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3" s="247" t="str">
        <f>IF(AA43&lt;VLOOKUP(AG43,Variables!$AC$3:$AD$8,2,FALSE),"Y","N")</f>
        <v>N</v>
      </c>
      <c r="X43" s="247">
        <f t="shared" si="6"/>
        <v>1</v>
      </c>
      <c r="Y43" s="247">
        <f t="shared" si="7"/>
        <v>4.53E-2</v>
      </c>
      <c r="Z43" s="247">
        <f t="shared" si="8"/>
        <v>23.3323</v>
      </c>
      <c r="AA43" s="247">
        <f t="shared" si="9"/>
        <v>23.286999999999999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10"/>
        <v>131</v>
      </c>
      <c r="AE43" s="235" t="str">
        <f t="shared" si="11"/>
        <v>aws s3 cp s3://rtdc.mdm.uploadarchive.raw/RTDC4052/ "%USERPROFILE%\AppData\Local\Temp\OnboardLogs"\RTDC4052\2017-12-20 --exclude "*" --recursive --include "*20171220*" &amp; "%USERPROFILE%\Documents\GitHub\mrs-test-scripts\Headless Mode &amp; Sideloading\WalkAndUnGZ.bat" "%USERPROFILE%\AppData\Local\Temp\OnboardLogs"\RTDC4052\2017-12-20 &amp; aws s3 cp s3://rtdc.mdm.uploadarchive.raw/RTDC4052/ "%USERPROFILE%\AppData\Local\Temp\OnboardLogs"\RTDC4052\2017-12-21 --exclude "*" --recursive --include "*20171221*" &amp; "%USERPROFILE%\Documents\GitHub\mrs-test-scripts\Headless Mode &amp; Sideloading\WalkAndUnGZ.bat" "%USERPROFILE%\AppData\Local\Temp\OnboardLogs"\RTDC4052\2017-12-21</v>
      </c>
      <c r="AF43" s="234" t="str">
        <f t="shared" si="12"/>
        <v>"C:\Program Files (x86)\AstroGrep\AstroGrep.exe" /e /r /s /spath="%USERPROFILE%\AppData\Local\Temp\OnboardLogs" /stypes="app*4052*20171220*" /stext=" 15:.+((SYSTEM_STATE.+slice.+state.+changed )|(ment ac)|(multiple cpu faults)|(system.+state.+changed )|(\[timeout)|(PRM\|1\|D)|(kpr)|(kdp)|(train st.+moving)|(\|gpps)|(penalty))"</v>
      </c>
      <c r="AG43" s="244" t="str">
        <f t="shared" si="13"/>
        <v>EC</v>
      </c>
      <c r="AH43" s="236" t="str">
        <f t="shared" si="19"/>
        <v>"%USERPROFILE%\Documents\GitHub\eaglep3\Utilities\RefineRTDCRunTimes.py" --tripid 131-20 --locoid 4052 --swversion DE.1.0.9.0 --startMP 204:453 --initTime 2017-12-20T07:24:39 --startdatetime 2017-12-20T07:30:16 --delay 51 --endMP 204:233323 --enddatetime 2017-12-20T08:06:18 --enforcementcount 0 &gt;&gt;%USERPROFILE%\Documents\GitHub\eaglep3-reporting\EC\2017-12-20-refined-times.txt</v>
      </c>
      <c r="AI43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{"issue":{"subject":"","project_id":79,"tracker_id":40,"status_id":1,"priority_id":2,"assigned_to_id":338,"start_date":"2017-12-20","description":"","custom_fields":[{"id":1,"name":"Subdivision","value":"EC"},{"id":4,"name":"Milepost","value":"23.3323"},{"id":17,"name":"Train ID","value":"131-20"},{"id":16,"name":"Locomotive ID","value":"4052"},{"id":130,"name":"Impact","value":""},{"id":150,"name":"Time of Event (Mountain Time)","value":"08:06:18"},{"id":151,"name":"Denver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21"/>
        <v>start /low /b %USERPROFILE%\Documents\GitHub\eaglep3\Utilities\DownloadLogsFromS3.py --loco 4052 --day 2017-12-20</v>
      </c>
      <c r="AN43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15:06:18"},{"id":29,"name":"Sharepoint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23"/>
        <v>https://d0f6bd738d7f1b3e5a7ca70fe4ff75f0.us-east-1.aws.found.io/app/kibana#/discover/Steve-Slow-Train-Analysis-(2080s-and-2083s)?_g=(refreshInterval:(display:Off,pause:!f,section:0,value:0),time:(from:'2017-12-20T06:24:39-0700',mode:absolute,to:'2017-12-20T09:06:18-0700'))&amp;_a=(columns:!('Message%20ID',Summary),filters:!(),index:'emp_*',interval:auto,query:(query_string:(analyze_wildcard:!t,query:'%22rtdc.l.rtdc.4052%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9" t="s">
        <v>731</v>
      </c>
      <c r="B44" s="225">
        <v>4051</v>
      </c>
      <c r="C44" s="227" t="s">
        <v>192</v>
      </c>
      <c r="D44" s="227" t="s">
        <v>925</v>
      </c>
      <c r="E44" s="226">
        <v>43089.339675925927</v>
      </c>
      <c r="F44" s="226">
        <v>43089.352430555555</v>
      </c>
      <c r="G44" s="225">
        <v>50</v>
      </c>
      <c r="H44" s="227" t="s">
        <v>926</v>
      </c>
      <c r="I44" s="226">
        <v>43089.378842592596</v>
      </c>
      <c r="J44" s="225">
        <v>0</v>
      </c>
      <c r="K44" s="237" t="str">
        <f t="shared" si="0"/>
        <v>4051/4052</v>
      </c>
      <c r="L44" s="245" t="str">
        <f>VLOOKUP(A44,'Trips&amp;Operators'!$C$1:$G$99911,5,FALSE)</f>
        <v>HUFFSMITH MONTY</v>
      </c>
      <c r="M44" s="224">
        <f t="shared" si="1"/>
        <v>2.641203704115469E-2</v>
      </c>
      <c r="N44" s="225">
        <f t="shared" si="2"/>
        <v>38.033333339262754</v>
      </c>
      <c r="O44" s="225"/>
      <c r="P44" s="225"/>
      <c r="Q44" s="228"/>
      <c r="R44" s="242"/>
      <c r="S44" s="249">
        <f t="shared" si="3"/>
        <v>1</v>
      </c>
      <c r="T44" s="242" t="str">
        <f t="shared" si="4"/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5"/>
        <v>https://d0f6bd738d7f1b3e5a7ca70fe4ff75f0.us-east-1.aws.found.io/app/kibana#/discover/Steve-Slow-Train-Analysis-(2080s-and-2083s)?_g=(refreshInterval:(display:Off,pause:!f,section:0,value:0),time:(from:'2017-12-20T07:09:08-0700',mode:absolute,to:'2017-12-20T10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4" s="247" t="str">
        <f>IF(AA44&lt;VLOOKUP(AG44,Variables!$AC$3:$AD$8,2,FALSE),"Y","N")</f>
        <v>N</v>
      </c>
      <c r="X44" s="247">
        <f t="shared" si="6"/>
        <v>1</v>
      </c>
      <c r="Y44" s="247">
        <f t="shared" si="7"/>
        <v>23.299299999999999</v>
      </c>
      <c r="Z44" s="247">
        <f t="shared" si="8"/>
        <v>1.3599999999999999E-2</v>
      </c>
      <c r="AA44" s="247">
        <f t="shared" si="9"/>
        <v>23.285699999999999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10"/>
        <v>132</v>
      </c>
      <c r="AE44" s="235" t="str">
        <f t="shared" si="11"/>
        <v>aws s3 cp s3://rtdc.mdm.uploadarchive.raw/RTDC4051/ "%USERPROFILE%\AppData\Local\Temp\OnboardLogs"\RTDC4051\2017-12-20 --exclude "*" --recursive --include "*20171220*" &amp; "%USERPROFILE%\Documents\GitHub\mrs-test-scripts\Headless Mode &amp; Sideloading\WalkAndUnGZ.bat" "%USERPROFILE%\AppData\Local\Temp\OnboardLogs"\RTDC4051\2017-12-20 &amp; aws s3 cp s3://rtdc.mdm.uploadarchive.raw/RTDC4051/ "%USERPROFILE%\AppData\Local\Temp\OnboardLogs"\RTDC4051\2017-12-21 --exclude "*" --recursive --include "*20171221*" &amp; "%USERPROFILE%\Documents\GitHub\mrs-test-scripts\Headless Mode &amp; Sideloading\WalkAndUnGZ.bat" "%USERPROFILE%\AppData\Local\Temp\OnboardLogs"\RTDC4051\2017-12-21</v>
      </c>
      <c r="AF44" s="234" t="str">
        <f t="shared" si="12"/>
        <v>"C:\Program Files (x86)\AstroGrep\AstroGrep.exe" /e /r /s /spath="%USERPROFILE%\AppData\Local\Temp\OnboardLogs" /stypes="app*4051*20171220*" /stext=" 16:.+((SYSTEM_STATE.+slice.+state.+changed )|(ment ac)|(multiple cpu faults)|(system.+state.+changed )|(\[timeout)|(PRM\|1\|D)|(kpr)|(kdp)|(train st.+moving)|(\|gpps)|(penalty))"</v>
      </c>
      <c r="AG44" s="244" t="str">
        <f t="shared" si="13"/>
        <v>EC</v>
      </c>
      <c r="AH44" s="236" t="str">
        <f t="shared" si="19"/>
        <v>"%USERPROFILE%\Documents\GitHub\eaglep3\Utilities\RefineRTDCRunTimes.py" --tripid 132-20 --locoid 4051 --swversion DE.1.0.9.0 --startMP 204:232993 --initTime 2017-12-20T08:09:08 --startdatetime 2017-12-20T08:27:30 --delay 50 --endMP 204:136 --enddatetime 2017-12-20T09:05:32 --enforcementcount 0 &gt;&gt;%USERPROFILE%\Documents\GitHub\eaglep3-reporting\EC\2017-12-20-refined-times.txt</v>
      </c>
      <c r="AI44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{"issue":{"subject":"","project_id":79,"tracker_id":40,"status_id":1,"priority_id":2,"assigned_to_id":338,"start_date":"2017-12-20","description":"","custom_fields":[{"id":1,"name":"Subdivision","value":"EC"},{"id":4,"name":"Milepost","value":"0.0136"},{"id":17,"name":"Train ID","value":"132-20"},{"id":16,"name":"Locomotive ID","value":"4051"},{"id":130,"name":"Impact","value":""},{"id":150,"name":"Time of Event (Mountain Time)","value":"09:05:32"},{"id":151,"name":"Denver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21"/>
        <v>start /low /b %USERPROFILE%\Documents\GitHub\eaglep3\Utilities\DownloadLogsFromS3.py --loco 4051 --day 2017-12-20</v>
      </c>
      <c r="AN44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16:05:32"},{"id":29,"name":"Sharepoint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23"/>
        <v>https://d0f6bd738d7f1b3e5a7ca70fe4ff75f0.us-east-1.aws.found.io/app/kibana#/discover/Steve-Slow-Train-Analysis-(2080s-and-2083s)?_g=(refreshInterval:(display:Off,pause:!f,section:0,value:0),time:(from:'2017-12-20T07:09:08-0700',mode:absolute,to:'2017-12-20T10:05:32-0700'))&amp;_a=(columns:!('Message%20ID',Summary),filters:!(),index:'emp_*',interval:auto,query:(query_string:(analyze_wildcard:!t,query:'%22rtdc.l.rtdc.4051%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9" t="s">
        <v>726</v>
      </c>
      <c r="B45" s="225">
        <v>4020</v>
      </c>
      <c r="C45" s="227" t="s">
        <v>192</v>
      </c>
      <c r="D45" s="227" t="s">
        <v>593</v>
      </c>
      <c r="E45" s="226">
        <v>43089.31659722222</v>
      </c>
      <c r="F45" s="226">
        <v>43089.32309027778</v>
      </c>
      <c r="G45" s="225">
        <v>62</v>
      </c>
      <c r="H45" s="227" t="s">
        <v>506</v>
      </c>
      <c r="I45" s="226">
        <v>43089.346747685187</v>
      </c>
      <c r="J45" s="225">
        <v>0</v>
      </c>
      <c r="K45" s="237" t="str">
        <f t="shared" si="0"/>
        <v>4019/4020</v>
      </c>
      <c r="L45" s="245" t="str">
        <f>VLOOKUP(A45,'Trips&amp;Operators'!$C$1:$G$99911,5,FALSE)</f>
        <v>YORK EDGAR</v>
      </c>
      <c r="M45" s="224">
        <f t="shared" si="1"/>
        <v>2.3657407407881692E-2</v>
      </c>
      <c r="N45" s="225">
        <f t="shared" si="2"/>
        <v>34.066666667349637</v>
      </c>
      <c r="O45" s="225"/>
      <c r="P45" s="225"/>
      <c r="Q45" s="228"/>
      <c r="R45" s="242"/>
      <c r="S45" s="249">
        <f t="shared" ref="S45:S75" si="24">1/IF(AG45="EC",12,1)*SUM(U45:U45)</f>
        <v>1</v>
      </c>
      <c r="T45" s="242" t="str">
        <f t="shared" si="4"/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5"/>
        <v>https://d0f6bd738d7f1b3e5a7ca70fe4ff75f0.us-east-1.aws.found.io/app/kibana#/discover/Steve-Slow-Train-Analysis-(2080s-and-2083s)?_g=(refreshInterval:(display:Off,pause:!f,section:0,value:0),time:(from:'2017-12-20T06:35:54-0700',mode:absolute,to:'2017-12-20T09:19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5" s="247" t="str">
        <f>IF(AA45&lt;VLOOKUP(AG45,Variables!$AC$3:$AD$8,2,FALSE),"Y","N")</f>
        <v>N</v>
      </c>
      <c r="X45" s="247">
        <f t="shared" si="6"/>
        <v>1</v>
      </c>
      <c r="Y45" s="247">
        <f t="shared" si="7"/>
        <v>4.4400000000000002E-2</v>
      </c>
      <c r="Z45" s="247">
        <f t="shared" si="8"/>
        <v>23.3293</v>
      </c>
      <c r="AA45" s="247">
        <f t="shared" si="9"/>
        <v>23.2849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si="10"/>
        <v>133</v>
      </c>
      <c r="AE45" s="235" t="str">
        <f t="shared" si="11"/>
        <v>aws s3 cp s3://rtdc.mdm.uploadarchive.raw/RTDC4020/ "%USERPROFILE%\AppData\Local\Temp\OnboardLogs"\RTDC4020\2017-12-20 --exclude "*" --recursive --include "*20171220*" &amp; "%USERPROFILE%\Documents\GitHub\mrs-test-scripts\Headless Mode &amp; Sideloading\WalkAndUnGZ.bat" "%USERPROFILE%\AppData\Local\Temp\OnboardLogs"\RTDC4020\2017-12-20 &amp; aws s3 cp s3://rtdc.mdm.uploadarchive.raw/RTDC4020/ "%USERPROFILE%\AppData\Local\Temp\OnboardLogs"\RTDC4020\2017-12-21 --exclude "*" --recursive --include "*20171221*" &amp; "%USERPROFILE%\Documents\GitHub\mrs-test-scripts\Headless Mode &amp; Sideloading\WalkAndUnGZ.bat" "%USERPROFILE%\AppData\Local\Temp\OnboardLogs"\RTDC4020\2017-12-21</v>
      </c>
      <c r="AF45" s="234" t="str">
        <f t="shared" si="12"/>
        <v>"C:\Program Files (x86)\AstroGrep\AstroGrep.exe" /e /r /s /spath="%USERPROFILE%\AppData\Local\Temp\OnboardLogs" /stypes="app*4020*20171220*" /stext=" 15:.+((SYSTEM_STATE.+slice.+state.+changed )|(ment ac)|(multiple cpu faults)|(system.+state.+changed )|(\[timeout)|(PRM\|1\|D)|(kpr)|(kdp)|(train st.+moving)|(\|gpps)|(penalty))"</v>
      </c>
      <c r="AG45" s="244" t="str">
        <f t="shared" si="13"/>
        <v>EC</v>
      </c>
      <c r="AH45" s="236" t="str">
        <f t="shared" si="19"/>
        <v>"%USERPROFILE%\Documents\GitHub\eaglep3\Utilities\RefineRTDCRunTimes.py" --tripid 133-20 --locoid 4020 --swversion DE.1.0.9.0 --startMP 204:444 --initTime 2017-12-20T07:35:54 --startdatetime 2017-12-20T07:45:15 --delay 62 --endMP 204:233293 --enddatetime 2017-12-20T08:19:19 --enforcementcount 0 &gt;&gt;%USERPROFILE%\Documents\GitHub\eaglep3-reporting\EC\2017-12-20-refined-times.txt</v>
      </c>
      <c r="AI45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{"issue":{"subject":"","project_id":79,"tracker_id":40,"status_id":1,"priority_id":2,"assigned_to_id":338,"start_date":"2017-12-20","description":"","custom_fields":[{"id":1,"name":"Subdivision","value":"EC"},{"id":4,"name":"Milepost","value":"23.3293"},{"id":17,"name":"Train ID","value":"133-20"},{"id":16,"name":"Locomotive ID","value":"4020"},{"id":130,"name":"Impact","value":""},{"id":150,"name":"Time of Event (Mountain Time)","value":"08:19:19"},{"id":151,"name":"Denver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21"/>
        <v>start /low /b %USERPROFILE%\Documents\GitHub\eaglep3\Utilities\DownloadLogsFromS3.py --loco 4020 --day 2017-12-20</v>
      </c>
      <c r="AN45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15:19:19"},{"id":29,"name":"Sharepoint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23"/>
        <v>https://d0f6bd738d7f1b3e5a7ca70fe4ff75f0.us-east-1.aws.found.io/app/kibana#/discover/Steve-Slow-Train-Analysis-(2080s-and-2083s)?_g=(refreshInterval:(display:Off,pause:!f,section:0,value:0),time:(from:'2017-12-20T06:35:54-0700',mode:absolute,to:'2017-12-20T09:19:19-0700'))&amp;_a=(columns:!('Message%20ID',Summary),filters:!(),index:'emp_*',interval:auto,query:(query_string:(analyze_wildcard:!t,query:'%22rtdc.l.rtdc.4020%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9" t="s">
        <v>736</v>
      </c>
      <c r="B46" s="225">
        <v>4019</v>
      </c>
      <c r="C46" s="227" t="s">
        <v>192</v>
      </c>
      <c r="D46" s="227" t="s">
        <v>593</v>
      </c>
      <c r="E46" s="226">
        <v>43089.31659722222</v>
      </c>
      <c r="F46" s="226">
        <v>43089.362673611111</v>
      </c>
      <c r="G46" s="225">
        <v>62</v>
      </c>
      <c r="H46" s="227" t="s">
        <v>506</v>
      </c>
      <c r="I46" s="226">
        <v>43089.372187499997</v>
      </c>
      <c r="J46" s="225">
        <v>0</v>
      </c>
      <c r="K46" s="237" t="str">
        <f t="shared" si="0"/>
        <v>4019/4020</v>
      </c>
      <c r="L46" s="245" t="str">
        <f>VLOOKUP(A46,'Trips&amp;Operators'!$C$1:$G$99911,5,FALSE)</f>
        <v>YORK EDGAR</v>
      </c>
      <c r="M46" s="224">
        <f t="shared" si="1"/>
        <v>9.5138888864312321E-3</v>
      </c>
      <c r="N46" s="225"/>
      <c r="O46" s="225"/>
      <c r="P46" s="225">
        <f>24*60*SUM($M46:$M46)</f>
        <v>13.699999996460974</v>
      </c>
      <c r="Q46" s="228"/>
      <c r="R46" s="242" t="s">
        <v>1110</v>
      </c>
      <c r="S46" s="249">
        <f t="shared" si="24"/>
        <v>0</v>
      </c>
      <c r="T46" s="242" t="str">
        <f t="shared" si="4"/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0</v>
      </c>
      <c r="V46" s="248" t="str">
        <f t="shared" si="5"/>
        <v>https://d0f6bd738d7f1b3e5a7ca70fe4ff75f0.us-east-1.aws.found.io/app/kibana#/discover/Steve-Slow-Train-Analysis-(2080s-and-2083s)?_g=(refreshInterval:(display:Off,pause:!f,section:0,value:0),time:(from:'2017-12-20T06:35:54-0700',mode:absolute,to:'2017-12-20T09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6" s="247" t="str">
        <f>IF(AA46&lt;VLOOKUP(AG46,Variables!$AC$3:$AD$8,2,FALSE),"Y","N")</f>
        <v>Y</v>
      </c>
      <c r="X46" s="247">
        <f t="shared" ref="X46:X49" si="25">VALUE(LEFT(AD46,4))-VALUE(LEFT(AD45,4))</f>
        <v>1</v>
      </c>
      <c r="Y46" s="247">
        <v>23.299299999999999</v>
      </c>
      <c r="Z46" s="247">
        <v>12.66</v>
      </c>
      <c r="AA46" s="247">
        <f t="shared" si="9"/>
        <v>10.639299999999999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10"/>
        <v>134</v>
      </c>
      <c r="AE46" s="235" t="str">
        <f t="shared" si="11"/>
        <v>aws s3 cp s3://rtdc.mdm.uploadarchive.raw/RTDC4019/ "%USERPROFILE%\AppData\Local\Temp\OnboardLogs"\RTDC4019\2017-12-20 --exclude "*" --recursive --include "*20171220*" &amp; "%USERPROFILE%\Documents\GitHub\mrs-test-scripts\Headless Mode &amp; Sideloading\WalkAndUnGZ.bat" "%USERPROFILE%\AppData\Local\Temp\OnboardLogs"\RTDC4019\2017-12-20 &amp; aws s3 cp s3://rtdc.mdm.uploadarchive.raw/RTDC4019/ "%USERPROFILE%\AppData\Local\Temp\OnboardLogs"\RTDC4019\2017-12-21 --exclude "*" --recursive --include "*20171221*" &amp; "%USERPROFILE%\Documents\GitHub\mrs-test-scripts\Headless Mode &amp; Sideloading\WalkAndUnGZ.bat" "%USERPROFILE%\AppData\Local\Temp\OnboardLogs"\RTDC4019\2017-12-21</v>
      </c>
      <c r="AF46" s="234" t="str">
        <f t="shared" si="12"/>
        <v>"C:\Program Files (x86)\AstroGrep\AstroGrep.exe" /e /r /s /spath="%USERPROFILE%\AppData\Local\Temp\OnboardLogs" /stypes="app*4019*20171220*" /stext=" 15:.+((SYSTEM_STATE.+slice.+state.+changed )|(ment ac)|(multiple cpu faults)|(system.+state.+changed )|(\[timeout)|(PRM\|1\|D)|(kpr)|(kdp)|(train st.+moving)|(\|gpps)|(penalty))"</v>
      </c>
      <c r="AG46" s="244" t="str">
        <f t="shared" si="13"/>
        <v>EC</v>
      </c>
      <c r="AH46" s="236" t="str">
        <f t="shared" ref="AH46" si="26">refinertdcruntimes&amp;" --tripid "&amp;A46&amp;" --locoid "&amp;B46&amp;" --swversion "&amp;C46&amp;" --startMP "&amp;D46&amp;" --initTime "&amp;TEXT(E46,"yyyy-mm-ddTHH:MM:SS")&amp;" --startdatetime "&amp;TEXT(F46,"yyyy-mm-ddTHH:MM:SS")&amp;" --delay "&amp;G46&amp;" --endMP "&amp;H46&amp;" --enddatetime "&amp;TEXT(I46,"yyyy-mm-ddTHH:MM:SS")&amp;" --enforcementcount "&amp;J46&amp;IF(outputrefinedruntimes," &gt;&gt;"&amp;RefinedRTDCRunTimesOutputFile,"")</f>
        <v>"%USERPROFILE%\Documents\GitHub\eaglep3\Utilities\RefineRTDCRunTimes.py" --tripid 134-20 --locoid 4019 --swversion DE.1.0.9.0 --startMP 204:444 --initTime 2017-12-20T07:35:54 --startdatetime 2017-12-20T08:42:15 --delay 62 --endMP 204:233293 --enddatetime 2017-12-20T08:55:57 --enforcementcount 0 &gt;&gt;%USERPROFILE%\Documents\GitHub\eaglep3-reporting\EC\2017-12-20-refined-times.txt</v>
      </c>
      <c r="AI46" s="238" t="str">
        <f t="shared" ref="AI46" si="27">"echo {""issue"":{""subject"":"""&amp;R46&amp;""",""project_id"":79,""tracker_id"":40,""status_id"":"&amp;redmine_status&amp;",""priority_id"":"&amp;redmine_priority&amp;",""assigned_to_id"":"&amp;redmine_assignee&amp;",""start_date"":"""&amp;TEXT(I46,"YYYY-mm-dd")&amp;""",""description"":"""&amp;AJ46&amp;""",""custom_fields"":[{""id"":1,""name"":""Subdivision"",""value"":"""&amp;AG46&amp;"""},{""id"":4,""name"":""Milepost"",""value"":"""&amp;Z46&amp;"""},{""id"":17,""name"":""Train ID"",""value"":"""&amp;A46&amp;"""},{""id"":16,""name"":""Locomotive ID"",""value"":"""&amp;B46&amp;"""},{""id"":130,""name"":""Impact"",""value"":"""&amp;AK46&amp;"""},{""id"":150,""name"":""Time of Event (Mountain Time)"",""value"":"""&amp;TEXT(I46,"hh:mm:ss")&amp;"""},{""id"":151,""name"":""Denver Issue ID"",""value"":"""&amp;"""},{""id"":178,""name"":""Operational Impact"",""value"":"""&amp;redmine_op_impact&amp;"""},{""id"":179,""name"":""Denver Segment Assigned"",""value"":"""&amp;AL46&amp;"""}]}}"&amp;" | curl --insecure -X POST -H ""Content-Type: application/json"" -H ""X-Redmine-API-Key: "&amp;redm_api_key&amp;""" "&amp;redm_url&amp;" --data @-"</f>
        <v>echo {"issue":{"subject":"Onboard in-route failure","project_id":79,"tracker_id":40,"status_id":1,"priority_id":2,"assigned_to_id":338,"start_date":"2017-12-20","description":"","custom_fields":[{"id":1,"name":"Subdivision","value":"EC"},{"id":4,"name":"Milepost","value":"12.66"},{"id":17,"name":"Train ID","value":"134-20"},{"id":16,"name":"Locomotive ID","value":"4019"},{"id":130,"name":"Impact","value":""},{"id":150,"name":"Time of Event (Mountain Time)","value":"08:55:57"},{"id":151,"name":"Denver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ref="AM46" si="28">"start /low /b "&amp;dls3logs&amp;" --loco "&amp;B46&amp;" --day "&amp;TEXT(F46,"YYYY-MM-DD")</f>
        <v>start /low /b %USERPROFILE%\Documents\GitHub\eaglep3\Utilities\DownloadLogsFromS3.py --loco 4019 --day 2017-12-20</v>
      </c>
      <c r="AN46" s="241" t="str">
        <f t="shared" ref="AN46" si="29">"echo {""issue"":{""subject"":"""&amp;R46&amp;""",""project_id"":30,""tracker_id"":4,""status_id"":"&amp;redmine_status_wcr&amp;",""priority_id"":"&amp;redmine_priority_wcr&amp;",""assigned_to_id"":"&amp;redmine_assignee_wcr&amp;",""start_date"":"""&amp;TEXT(I46-utc_offset/24,"YYYY-mm-dd")&amp;""",""description"":"""&amp;AJ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15:55:57"},{"id":29,"name":"Sharepoint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ref="AO46" si="30"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Message%20ID',Summary),filters:!(),index:'emp_*',interval:auto,query:"&amp;"(query_string:(analyze_wildcard:!t,query:'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-12-20T06:35:54-0700',mode:absolute,to:'2017-12-20T09:55:57-0700'))&amp;_a=(columns:!('Message%20ID',Summary),filters:!(),index:'emp_*',interval:auto,query:(query_string:(analyze_wildcard:!t,query:'%22rtdc.l.rtdc.4019%22')),sort:!(Time.ISO8601,asc))</v>
      </c>
      <c r="AP46" s="223"/>
      <c r="AQ46" s="223"/>
      <c r="AR46" s="223"/>
      <c r="AS46" s="223"/>
      <c r="AT46" s="223"/>
      <c r="AU46" s="223"/>
      <c r="AV46" s="223"/>
      <c r="AW46" s="223"/>
      <c r="AX46" s="223"/>
      <c r="AY46" s="223"/>
      <c r="AZ46" s="223"/>
      <c r="BA46" s="223"/>
      <c r="BB46" s="223"/>
      <c r="BC46" s="223"/>
      <c r="BD46" s="223"/>
      <c r="BE46" s="223"/>
      <c r="BF46" s="223"/>
      <c r="BG46" s="223"/>
      <c r="BH46" s="223"/>
      <c r="BI46" s="223"/>
      <c r="BJ46" s="223"/>
      <c r="BK46" s="223"/>
      <c r="BL46" s="223"/>
      <c r="BM46" s="223"/>
      <c r="BN46" s="223"/>
      <c r="BO46" s="223"/>
      <c r="BP46" s="223"/>
      <c r="BQ46" s="223"/>
      <c r="BR46" s="223"/>
      <c r="BS46" s="223"/>
      <c r="BT46" s="223"/>
      <c r="BU46" s="223"/>
      <c r="BV46" s="223"/>
      <c r="BW46" s="223"/>
      <c r="BX46" s="223"/>
      <c r="BY46" s="223"/>
      <c r="BZ46" s="223"/>
      <c r="CA46" s="223"/>
      <c r="CB46" s="223"/>
      <c r="CC46" s="223"/>
      <c r="CD46" s="223"/>
      <c r="CE46" s="223"/>
      <c r="CF46" s="223"/>
      <c r="CG46" s="223"/>
      <c r="CH46" s="223"/>
      <c r="CI46" s="223"/>
      <c r="CJ46" s="223"/>
      <c r="CK46" s="223"/>
      <c r="CL46" s="223"/>
      <c r="CM46" s="223"/>
    </row>
    <row r="47" spans="1:91" s="1" customFormat="1" x14ac:dyDescent="0.25">
      <c r="A47" s="229" t="s">
        <v>728</v>
      </c>
      <c r="B47" s="225">
        <v>4058</v>
      </c>
      <c r="C47" s="227" t="s">
        <v>192</v>
      </c>
      <c r="D47" s="227" t="s">
        <v>557</v>
      </c>
      <c r="E47" s="226">
        <v>43089.330659722225</v>
      </c>
      <c r="F47" s="226">
        <v>43089.333611111113</v>
      </c>
      <c r="G47" s="225">
        <v>52</v>
      </c>
      <c r="H47" s="227" t="s">
        <v>927</v>
      </c>
      <c r="I47" s="226">
        <v>43089.358877314815</v>
      </c>
      <c r="J47" s="225">
        <v>0</v>
      </c>
      <c r="K47" s="237" t="str">
        <f t="shared" si="0"/>
        <v>4057/4058</v>
      </c>
      <c r="L47" s="245" t="str">
        <f>VLOOKUP(A47,'Trips&amp;Operators'!$C$1:$G$99911,5,FALSE)</f>
        <v>DAVIDSON DAVID</v>
      </c>
      <c r="M47" s="224">
        <f t="shared" si="1"/>
        <v>2.5266203701903578E-2</v>
      </c>
      <c r="N47" s="225">
        <f t="shared" ref="N47:N74" si="31">24*60*SUM($M47:$M47)</f>
        <v>36.383333330741152</v>
      </c>
      <c r="O47" s="225"/>
      <c r="P47" s="225"/>
      <c r="Q47" s="228"/>
      <c r="R47" s="242"/>
      <c r="S47" s="249">
        <f t="shared" si="24"/>
        <v>1</v>
      </c>
      <c r="T47" s="242" t="str">
        <f t="shared" si="4"/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5"/>
        <v>https://d0f6bd738d7f1b3e5a7ca70fe4ff75f0.us-east-1.aws.found.io/app/kibana#/discover/Steve-Slow-Train-Analysis-(2080s-and-2083s)?_g=(refreshInterval:(display:Off,pause:!f,section:0,value:0),time:(from:'2017-12-20T06:56:09-0700',mode:absolute,to:'2017-12-20T09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7" s="247" t="str">
        <f>IF(AA47&lt;VLOOKUP(AG47,Variables!$AC$3:$AD$8,2,FALSE),"Y","N")</f>
        <v>N</v>
      </c>
      <c r="X47" s="247">
        <f t="shared" si="25"/>
        <v>1</v>
      </c>
      <c r="Y47" s="247">
        <f t="shared" ref="Y47:Y78" si="32">RIGHT(D47,LEN(D47)-4)/10000</f>
        <v>5.3100000000000001E-2</v>
      </c>
      <c r="Z47" s="247">
        <f t="shared" ref="Z47:Z78" si="33">RIGHT(H47,LEN(H47)-4)/10000</f>
        <v>23.329799999999999</v>
      </c>
      <c r="AA47" s="247">
        <f t="shared" si="9"/>
        <v>23.276699999999998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10"/>
        <v>135</v>
      </c>
      <c r="AE47" s="235" t="str">
        <f t="shared" si="11"/>
        <v>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 &amp; aws s3 cp s3://rtdc.mdm.uploadarchive.raw/RTDC4058/ "%USERPROFILE%\AppData\Local\Temp\OnboardLogs"\RTDC4058\2017-12-21 --exclude "*" --recursive --include "*20171221*" &amp; "%USERPROFILE%\Documents\GitHub\mrs-test-scripts\Headless Mode &amp; Sideloading\WalkAndUnGZ.bat" "%USERPROFILE%\AppData\Local\Temp\OnboardLogs"\RTDC4058\2017-12-21</v>
      </c>
      <c r="AF47" s="234" t="str">
        <f t="shared" si="12"/>
        <v>"C:\Program Files (x86)\AstroGrep\AstroGrep.exe" /e /r /s /spath="%USERPROFILE%\AppData\Local\Temp\OnboardLogs" /stypes="app*4058*20171220*" /stext=" 15:.+((SYSTEM_STATE.+slice.+state.+changed )|(ment ac)|(multiple cpu faults)|(system.+state.+changed )|(\[timeout)|(PRM\|1\|D)|(kpr)|(kdp)|(train st.+moving)|(\|gpps)|(penalty))"</v>
      </c>
      <c r="AG47" s="244" t="str">
        <f t="shared" si="13"/>
        <v>EC</v>
      </c>
      <c r="AH47" s="236" t="str">
        <f t="shared" si="19"/>
        <v>"%USERPROFILE%\Documents\GitHub\eaglep3\Utilities\RefineRTDCRunTimes.py" --tripid 135-20 --locoid 4058 --swversion DE.1.0.9.0 --startMP 204:531 --initTime 2017-12-20T07:56:09 --startdatetime 2017-12-20T08:00:24 --delay 52 --endMP 204:233298 --enddatetime 2017-12-20T08:36:47 --enforcementcount 0 &gt;&gt;%USERPROFILE%\Documents\GitHub\eaglep3-reporting\EC\2017-12-20-refined-times.txt</v>
      </c>
      <c r="AI47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{"issue":{"subject":"","project_id":79,"tracker_id":40,"status_id":1,"priority_id":2,"assigned_to_id":338,"start_date":"2017-12-20","description":"","custom_fields":[{"id":1,"name":"Subdivision","value":"EC"},{"id":4,"name":"Milepost","value":"23.3298"},{"id":17,"name":"Train ID","value":"135-20"},{"id":16,"name":"Locomotive ID","value":"4058"},{"id":130,"name":"Impact","value":""},{"id":150,"name":"Time of Event (Mountain Time)","value":"08:36:47"},{"id":151,"name":"Denver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21"/>
        <v>start /low /b %USERPROFILE%\Documents\GitHub\eaglep3\Utilities\DownloadLogsFromS3.py --loco 4058 --day 2017-12-20</v>
      </c>
      <c r="AN47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15:36:47"},{"id":29,"name":"Sharepoint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23"/>
        <v>https://d0f6bd738d7f1b3e5a7ca70fe4ff75f0.us-east-1.aws.found.io/app/kibana#/discover/Steve-Slow-Train-Analysis-(2080s-and-2083s)?_g=(refreshInterval:(display:Off,pause:!f,section:0,value:0),time:(from:'2017-12-20T06:56:09-0700',mode:absolute,to:'2017-12-20T09:36:47-0700'))&amp;_a=(columns:!('Message%20ID',Summary),filters:!(),index:'emp_*',interval:auto,query:(query_string:(analyze_wildcard:!t,query:'%22rtdc.l.rtdc.4058%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9" t="s">
        <v>737</v>
      </c>
      <c r="B48" s="225">
        <v>4057</v>
      </c>
      <c r="C48" s="227" t="s">
        <v>192</v>
      </c>
      <c r="D48" s="227" t="s">
        <v>928</v>
      </c>
      <c r="E48" s="226">
        <v>43089.36037037037</v>
      </c>
      <c r="F48" s="226">
        <v>43089.373182870368</v>
      </c>
      <c r="G48" s="225">
        <v>55</v>
      </c>
      <c r="H48" s="227" t="s">
        <v>539</v>
      </c>
      <c r="I48" s="226">
        <v>43089.400902777779</v>
      </c>
      <c r="J48" s="225">
        <v>0</v>
      </c>
      <c r="K48" s="237" t="str">
        <f t="shared" si="0"/>
        <v>4057/4058</v>
      </c>
      <c r="L48" s="245" t="str">
        <f>VLOOKUP(A48,'Trips&amp;Operators'!$C$1:$G$99911,5,FALSE)</f>
        <v>DAVIDSON DAVID</v>
      </c>
      <c r="M48" s="224">
        <f t="shared" si="1"/>
        <v>2.771990741166519E-2</v>
      </c>
      <c r="N48" s="225">
        <f t="shared" si="31"/>
        <v>39.916666672797874</v>
      </c>
      <c r="O48" s="225"/>
      <c r="P48" s="225"/>
      <c r="Q48" s="228"/>
      <c r="R48" s="242"/>
      <c r="S48" s="249">
        <f t="shared" si="24"/>
        <v>1</v>
      </c>
      <c r="T48" s="242" t="str">
        <f t="shared" si="4"/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 t="shared" si="5"/>
        <v>https://d0f6bd738d7f1b3e5a7ca70fe4ff75f0.us-east-1.aws.found.io/app/kibana#/discover/Steve-Slow-Train-Analysis-(2080s-and-2083s)?_g=(refreshInterval:(display:Off,pause:!f,section:0,value:0),time:(from:'2017-12-20T07:38:56-0700',mode:absolute,to:'2017-12-20T10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8" s="247" t="str">
        <f>IF(AA48&lt;VLOOKUP(AG48,Variables!$AC$3:$AD$8,2,FALSE),"Y","N")</f>
        <v>N</v>
      </c>
      <c r="X48" s="247">
        <f t="shared" si="25"/>
        <v>1</v>
      </c>
      <c r="Y48" s="247">
        <f t="shared" si="32"/>
        <v>23.2974</v>
      </c>
      <c r="Z48" s="247">
        <f t="shared" si="33"/>
        <v>2.1399999999999999E-2</v>
      </c>
      <c r="AA48" s="247">
        <f t="shared" si="9"/>
        <v>23.276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10"/>
        <v>136</v>
      </c>
      <c r="AE48" s="235" t="str">
        <f t="shared" si="11"/>
        <v>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 &amp; aws s3 cp s3://rtdc.mdm.uploadarchive.raw/RTDC4057/ "%USERPROFILE%\AppData\Local\Temp\OnboardLogs"\RTDC4057\2017-12-21 --exclude "*" --recursive --include "*20171221*" &amp; "%USERPROFILE%\Documents\GitHub\mrs-test-scripts\Headless Mode &amp; Sideloading\WalkAndUnGZ.bat" "%USERPROFILE%\AppData\Local\Temp\OnboardLogs"\RTDC4057\2017-12-21</v>
      </c>
      <c r="AF48" s="234" t="str">
        <f t="shared" si="12"/>
        <v>"C:\Program Files (x86)\AstroGrep\AstroGrep.exe" /e /r /s /spath="%USERPROFILE%\AppData\Local\Temp\OnboardLogs" /stypes="app*4057*20171220*" /stext=" 16:.+((SYSTEM_STATE.+slice.+state.+changed )|(ment ac)|(multiple cpu faults)|(system.+state.+changed )|(\[timeout)|(PRM\|1\|D)|(kpr)|(kdp)|(train st.+moving)|(\|gpps)|(penalty))"</v>
      </c>
      <c r="AG48" s="244" t="str">
        <f t="shared" si="13"/>
        <v>EC</v>
      </c>
      <c r="AH48" s="236" t="str">
        <f t="shared" si="19"/>
        <v>"%USERPROFILE%\Documents\GitHub\eaglep3\Utilities\RefineRTDCRunTimes.py" --tripid 136-20 --locoid 4057 --swversion DE.1.0.9.0 --startMP 204:232974 --initTime 2017-12-20T08:38:56 --startdatetime 2017-12-20T08:57:23 --delay 55 --endMP 204:214 --enddatetime 2017-12-20T09:37:18 --enforcementcount 0 &gt;&gt;%USERPROFILE%\Documents\GitHub\eaglep3-reporting\EC\2017-12-20-refined-times.txt</v>
      </c>
      <c r="AI48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{"issue":{"subject":"","project_id":79,"tracker_id":40,"status_id":1,"priority_id":2,"assigned_to_id":338,"start_date":"2017-12-20","description":"","custom_fields":[{"id":1,"name":"Subdivision","value":"EC"},{"id":4,"name":"Milepost","value":"0.0214"},{"id":17,"name":"Train ID","value":"136-20"},{"id":16,"name":"Locomotive ID","value":"4057"},{"id":130,"name":"Impact","value":""},{"id":150,"name":"Time of Event (Mountain Time)","value":"09:37:18"},{"id":151,"name":"Denver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21"/>
        <v>start /low /b %USERPROFILE%\Documents\GitHub\eaglep3\Utilities\DownloadLogsFromS3.py --loco 4057 --day 2017-12-20</v>
      </c>
      <c r="AN48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16:37:18"},{"id":29,"name":"Sharepoint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23"/>
        <v>https://d0f6bd738d7f1b3e5a7ca70fe4ff75f0.us-east-1.aws.found.io/app/kibana#/discover/Steve-Slow-Train-Analysis-(2080s-and-2083s)?_g=(refreshInterval:(display:Off,pause:!f,section:0,value:0),time:(from:'2017-12-20T07:38:56-0700',mode:absolute,to:'2017-12-20T10:37:18-0700'))&amp;_a=(columns:!('Message%20ID',Summary),filters:!(),index:'emp_*',interval:auto,query:(query_string:(analyze_wildcard:!t,query:'%22rtdc.l.rtdc.4057%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9" t="s">
        <v>730</v>
      </c>
      <c r="B49" s="225">
        <v>4026</v>
      </c>
      <c r="C49" s="227" t="s">
        <v>192</v>
      </c>
      <c r="D49" s="227" t="s">
        <v>610</v>
      </c>
      <c r="E49" s="226">
        <v>43089.339085648149</v>
      </c>
      <c r="F49" s="226">
        <v>43089.3440162037</v>
      </c>
      <c r="G49" s="225">
        <v>58</v>
      </c>
      <c r="H49" s="227" t="s">
        <v>916</v>
      </c>
      <c r="I49" s="226">
        <v>43089.367789351854</v>
      </c>
      <c r="J49" s="225">
        <v>0</v>
      </c>
      <c r="K49" s="237" t="str">
        <f t="shared" si="0"/>
        <v>4025/4026</v>
      </c>
      <c r="L49" s="245" t="str">
        <f>VLOOKUP(A49,'Trips&amp;Operators'!$C$1:$G$99911,5,FALSE)</f>
        <v>LOPES KIMBERLY</v>
      </c>
      <c r="M49" s="224">
        <f t="shared" si="1"/>
        <v>2.3773148153850343E-2</v>
      </c>
      <c r="N49" s="225">
        <f t="shared" si="31"/>
        <v>34.233333341544494</v>
      </c>
      <c r="O49" s="225"/>
      <c r="P49" s="225"/>
      <c r="Q49" s="228"/>
      <c r="R49" s="242"/>
      <c r="S49" s="249">
        <f t="shared" si="24"/>
        <v>1</v>
      </c>
      <c r="T49" s="242" t="str">
        <f t="shared" si="4"/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5"/>
        <v>https://d0f6bd738d7f1b3e5a7ca70fe4ff75f0.us-east-1.aws.found.io/app/kibana#/discover/Steve-Slow-Train-Analysis-(2080s-and-2083s)?_g=(refreshInterval:(display:Off,pause:!f,section:0,value:0),time:(from:'2017-12-20T07:08:17-0700',mode:absolute,to:'2017-12-20T09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9" s="247" t="str">
        <f>IF(AA49&lt;VLOOKUP(AG49,Variables!$AC$3:$AD$8,2,FALSE),"Y","N")</f>
        <v>N</v>
      </c>
      <c r="X49" s="247">
        <f t="shared" si="25"/>
        <v>1</v>
      </c>
      <c r="Y49" s="247">
        <f t="shared" si="32"/>
        <v>4.9799999999999997E-2</v>
      </c>
      <c r="Z49" s="247">
        <f t="shared" si="33"/>
        <v>23.328600000000002</v>
      </c>
      <c r="AA49" s="247">
        <f t="shared" si="9"/>
        <v>23.2788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10"/>
        <v>137</v>
      </c>
      <c r="AE49" s="235" t="str">
        <f t="shared" si="11"/>
        <v>aws s3 cp s3://rtdc.mdm.uploadarchive.raw/RTDC4026/ "%USERPROFILE%\AppData\Local\Temp\OnboardLogs"\RTDC4026\2017-12-20 --exclude "*" --recursive --include "*20171220*" &amp; "%USERPROFILE%\Documents\GitHub\mrs-test-scripts\Headless Mode &amp; Sideloading\WalkAndUnGZ.bat" "%USERPROFILE%\AppData\Local\Temp\OnboardLogs"\RTDC4026\2017-12-20 &amp; aws s3 cp s3://rtdc.mdm.uploadarchive.raw/RTDC4026/ "%USERPROFILE%\AppData\Local\Temp\OnboardLogs"\RTDC4026\2017-12-21 --exclude "*" --recursive --include "*20171221*" &amp; "%USERPROFILE%\Documents\GitHub\mrs-test-scripts\Headless Mode &amp; Sideloading\WalkAndUnGZ.bat" "%USERPROFILE%\AppData\Local\Temp\OnboardLogs"\RTDC4026\2017-12-21</v>
      </c>
      <c r="AF49" s="234" t="str">
        <f t="shared" si="12"/>
        <v>"C:\Program Files (x86)\AstroGrep\AstroGrep.exe" /e /r /s /spath="%USERPROFILE%\AppData\Local\Temp\OnboardLogs" /stypes="app*4026*20171220*" /stext=" 15:.+((SYSTEM_STATE.+slice.+state.+changed )|(ment ac)|(multiple cpu faults)|(system.+state.+changed )|(\[timeout)|(PRM\|1\|D)|(kpr)|(kdp)|(train st.+moving)|(\|gpps)|(penalty))"</v>
      </c>
      <c r="AG49" s="244" t="str">
        <f t="shared" si="13"/>
        <v>EC</v>
      </c>
      <c r="AH49" s="236" t="str">
        <f t="shared" si="19"/>
        <v>"%USERPROFILE%\Documents\GitHub\eaglep3\Utilities\RefineRTDCRunTimes.py" --tripid 137-20 --locoid 4026 --swversion DE.1.0.9.0 --startMP 204:498 --initTime 2017-12-20T08:08:17 --startdatetime 2017-12-20T08:15:23 --delay 58 --endMP 204:233286 --enddatetime 2017-12-20T08:49:37 --enforcementcount 0 &gt;&gt;%USERPROFILE%\Documents\GitHub\eaglep3-reporting\EC\2017-12-20-refined-times.txt</v>
      </c>
      <c r="AI49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{"issue":{"subject":"","project_id":79,"tracker_id":40,"status_id":1,"priority_id":2,"assigned_to_id":338,"start_date":"2017-12-20","description":"","custom_fields":[{"id":1,"name":"Subdivision","value":"EC"},{"id":4,"name":"Milepost","value":"23.3286"},{"id":17,"name":"Train ID","value":"137-20"},{"id":16,"name":"Locomotive ID","value":"4026"},{"id":130,"name":"Impact","value":""},{"id":150,"name":"Time of Event (Mountain Time)","value":"08:49:37"},{"id":151,"name":"Denver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21"/>
        <v>start /low /b %USERPROFILE%\Documents\GitHub\eaglep3\Utilities\DownloadLogsFromS3.py --loco 4026 --day 2017-12-20</v>
      </c>
      <c r="AN49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15:49:37"},{"id":29,"name":"Sharepoint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23"/>
        <v>https://d0f6bd738d7f1b3e5a7ca70fe4ff75f0.us-east-1.aws.found.io/app/kibana#/discover/Steve-Slow-Train-Analysis-(2080s-and-2083s)?_g=(refreshInterval:(display:Off,pause:!f,section:0,value:0),time:(from:'2017-12-20T07:08:17-0700',mode:absolute,to:'2017-12-20T09:49:37-0700'))&amp;_a=(columns:!('Message%20ID',Summary),filters:!(),index:'emp_*',interval:auto,query:(query_string:(analyze_wildcard:!t,query:'%22rtdc.l.rtdc.4026%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9" t="s">
        <v>740</v>
      </c>
      <c r="B50" s="225">
        <v>4025</v>
      </c>
      <c r="C50" s="227" t="s">
        <v>192</v>
      </c>
      <c r="D50" s="227" t="s">
        <v>929</v>
      </c>
      <c r="E50" s="226">
        <v>43089.377974537034</v>
      </c>
      <c r="F50" s="226">
        <v>43089.38349537037</v>
      </c>
      <c r="G50" s="225">
        <v>65</v>
      </c>
      <c r="H50" s="227" t="s">
        <v>487</v>
      </c>
      <c r="I50" s="226">
        <v>43089.410532407404</v>
      </c>
      <c r="J50" s="225">
        <v>0</v>
      </c>
      <c r="K50" s="237" t="str">
        <f t="shared" si="0"/>
        <v>4025/4026</v>
      </c>
      <c r="L50" s="245" t="str">
        <f>VLOOKUP(A50,'Trips&amp;Operators'!$C$1:$G$99911,5,FALSE)</f>
        <v>LOPES KIMBERLY</v>
      </c>
      <c r="M50" s="224">
        <f t="shared" si="1"/>
        <v>2.7037037034460809E-2</v>
      </c>
      <c r="N50" s="225">
        <f t="shared" si="31"/>
        <v>38.933333329623565</v>
      </c>
      <c r="O50" s="225"/>
      <c r="P50" s="225"/>
      <c r="Q50" s="228"/>
      <c r="R50" s="242"/>
      <c r="S50" s="249">
        <f t="shared" si="24"/>
        <v>1</v>
      </c>
      <c r="T50" s="242" t="str">
        <f t="shared" si="4"/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5"/>
        <v>https://d0f6bd738d7f1b3e5a7ca70fe4ff75f0.us-east-1.aws.found.io/app/kibana#/discover/Steve-Slow-Train-Analysis-(2080s-and-2083s)?_g=(refreshInterval:(display:Off,pause:!f,section:0,value:0),time:(from:'2017-12-20T08:04:17-0700',mode:absolute,to:'2017-12-20T10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0" s="247" t="str">
        <f>IF(AA50&lt;VLOOKUP(AG50,Variables!$AC$3:$AD$8,2,FALSE),"Y","N")</f>
        <v>N</v>
      </c>
      <c r="X50" s="247">
        <f t="shared" ref="X50:X81" si="34">VALUE(LEFT(AD50,4))-VALUE(LEFT(AD49,4))</f>
        <v>1</v>
      </c>
      <c r="Y50" s="247">
        <f t="shared" si="32"/>
        <v>23.2988</v>
      </c>
      <c r="Z50" s="247">
        <f t="shared" si="33"/>
        <v>1.9400000000000001E-2</v>
      </c>
      <c r="AA50" s="247">
        <f t="shared" si="9"/>
        <v>23.279399999999999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10"/>
        <v>138</v>
      </c>
      <c r="AE50" s="235" t="str">
        <f t="shared" si="11"/>
        <v>aws s3 cp s3://rtdc.mdm.uploadarchive.raw/RTDC4025/ "%USERPROFILE%\AppData\Local\Temp\OnboardLogs"\RTDC4025\2017-12-20 --exclude "*" --recursive --include "*20171220*" &amp; "%USERPROFILE%\Documents\GitHub\mrs-test-scripts\Headless Mode &amp; Sideloading\WalkAndUnGZ.bat" "%USERPROFILE%\AppData\Local\Temp\OnboardLogs"\RTDC4025\2017-12-20 &amp; aws s3 cp s3://rtdc.mdm.uploadarchive.raw/RTDC4025/ "%USERPROFILE%\AppData\Local\Temp\OnboardLogs"\RTDC4025\2017-12-21 --exclude "*" --recursive --include "*20171221*" &amp; "%USERPROFILE%\Documents\GitHub\mrs-test-scripts\Headless Mode &amp; Sideloading\WalkAndUnGZ.bat" "%USERPROFILE%\AppData\Local\Temp\OnboardLogs"\RTDC4025\2017-12-21</v>
      </c>
      <c r="AF50" s="234" t="str">
        <f t="shared" si="12"/>
        <v>"C:\Program Files (x86)\AstroGrep\AstroGrep.exe" /e /r /s /spath="%USERPROFILE%\AppData\Local\Temp\OnboardLogs" /stypes="app*4025*20171220*" /stext=" 16:.+((SYSTEM_STATE.+slice.+state.+changed )|(ment ac)|(multiple cpu faults)|(system.+state.+changed )|(\[timeout)|(PRM\|1\|D)|(kpr)|(kdp)|(train st.+moving)|(\|gpps)|(penalty))"</v>
      </c>
      <c r="AG50" s="244" t="str">
        <f t="shared" si="13"/>
        <v>EC</v>
      </c>
      <c r="AH50" s="236" t="str">
        <f t="shared" si="19"/>
        <v>"%USERPROFILE%\Documents\GitHub\eaglep3\Utilities\RefineRTDCRunTimes.py" --tripid 138-20 --locoid 4025 --swversion DE.1.0.9.0 --startMP 204:232988 --initTime 2017-12-20T09:04:17 --startdatetime 2017-12-20T09:12:14 --delay 65 --endMP 204:194 --enddatetime 2017-12-20T09:51:10 --enforcementcount 0 &gt;&gt;%USERPROFILE%\Documents\GitHub\eaglep3-reporting\EC\2017-12-20-refined-times.txt</v>
      </c>
      <c r="AI50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{"issue":{"subject":"","project_id":79,"tracker_id":40,"status_id":1,"priority_id":2,"assigned_to_id":338,"start_date":"2017-12-20","description":"","custom_fields":[{"id":1,"name":"Subdivision","value":"EC"},{"id":4,"name":"Milepost","value":"0.0194"},{"id":17,"name":"Train ID","value":"138-20"},{"id":16,"name":"Locomotive ID","value":"4025"},{"id":130,"name":"Impact","value":""},{"id":150,"name":"Time of Event (Mountain Time)","value":"09:51:10"},{"id":151,"name":"Denver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21"/>
        <v>start /low /b %USERPROFILE%\Documents\GitHub\eaglep3\Utilities\DownloadLogsFromS3.py --loco 4025 --day 2017-12-20</v>
      </c>
      <c r="AN50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16:51:10"},{"id":29,"name":"Sharepoint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23"/>
        <v>https://d0f6bd738d7f1b3e5a7ca70fe4ff75f0.us-east-1.aws.found.io/app/kibana#/discover/Steve-Slow-Train-Analysis-(2080s-and-2083s)?_g=(refreshInterval:(display:Off,pause:!f,section:0,value:0),time:(from:'2017-12-20T08:04:17-0700',mode:absolute,to:'2017-12-20T10:51:10-0700'))&amp;_a=(columns:!('Message%20ID',Summary),filters:!(),index:'emp_*',interval:auto,query:(query_string:(analyze_wildcard:!t,query:'%22rtdc.l.rtdc.4025%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9" t="s">
        <v>732</v>
      </c>
      <c r="B51" s="225">
        <v>4010</v>
      </c>
      <c r="C51" s="227" t="s">
        <v>192</v>
      </c>
      <c r="D51" s="227" t="s">
        <v>484</v>
      </c>
      <c r="E51" s="226">
        <v>43089.350393518522</v>
      </c>
      <c r="F51" s="226">
        <v>43089.354479166665</v>
      </c>
      <c r="G51" s="225">
        <v>62</v>
      </c>
      <c r="H51" s="227" t="s">
        <v>494</v>
      </c>
      <c r="I51" s="226">
        <v>43089.379733796297</v>
      </c>
      <c r="J51" s="225">
        <v>0</v>
      </c>
      <c r="K51" s="237" t="str">
        <f t="shared" si="0"/>
        <v>4009/4010</v>
      </c>
      <c r="L51" s="245" t="str">
        <f>VLOOKUP(A51,'Trips&amp;Operators'!$C$1:$G$99911,5,FALSE)</f>
        <v>BONDS REYNALDO</v>
      </c>
      <c r="M51" s="224">
        <f t="shared" si="1"/>
        <v>2.5254629632399883E-2</v>
      </c>
      <c r="N51" s="225">
        <f t="shared" si="31"/>
        <v>36.366666670655832</v>
      </c>
      <c r="O51" s="225"/>
      <c r="P51" s="225"/>
      <c r="Q51" s="228"/>
      <c r="R51" s="242"/>
      <c r="S51" s="249">
        <f t="shared" si="24"/>
        <v>1</v>
      </c>
      <c r="T51" s="242" t="str">
        <f t="shared" si="4"/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5"/>
        <v>https://d0f6bd738d7f1b3e5a7ca70fe4ff75f0.us-east-1.aws.found.io/app/kibana#/discover/Steve-Slow-Train-Analysis-(2080s-and-2083s)?_g=(refreshInterval:(display:Off,pause:!f,section:0,value:0),time:(from:'2017-12-20T07:24:34-0700',mode:absolute,to:'2017-12-20T10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1" s="247" t="str">
        <f>IF(AA51&lt;VLOOKUP(AG51,Variables!$AC$3:$AD$8,2,FALSE),"Y","N")</f>
        <v>N</v>
      </c>
      <c r="X51" s="247">
        <f t="shared" si="34"/>
        <v>1</v>
      </c>
      <c r="Y51" s="247">
        <f t="shared" si="32"/>
        <v>5.0799999999999998E-2</v>
      </c>
      <c r="Z51" s="247">
        <f t="shared" si="33"/>
        <v>23.331399999999999</v>
      </c>
      <c r="AA51" s="247">
        <f t="shared" si="9"/>
        <v>23.2806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10"/>
        <v>139</v>
      </c>
      <c r="AE51" s="235" t="str">
        <f t="shared" si="11"/>
        <v>aws s3 cp s3://rtdc.mdm.uploadarchive.raw/RTDC4010/ "%USERPROFILE%\AppData\Local\Temp\OnboardLogs"\RTDC4010\2017-12-20 --exclude "*" --recursive --include "*20171220*" &amp; "%USERPROFILE%\Documents\GitHub\mrs-test-scripts\Headless Mode &amp; Sideloading\WalkAndUnGZ.bat" "%USERPROFILE%\AppData\Local\Temp\OnboardLogs"\RTDC4010\2017-12-20 &amp; aws s3 cp s3://rtdc.mdm.uploadarchive.raw/RTDC4010/ "%USERPROFILE%\AppData\Local\Temp\OnboardLogs"\RTDC4010\2017-12-21 --exclude "*" --recursive --include "*20171221*" &amp; "%USERPROFILE%\Documents\GitHub\mrs-test-scripts\Headless Mode &amp; Sideloading\WalkAndUnGZ.bat" "%USERPROFILE%\AppData\Local\Temp\OnboardLogs"\RTDC4010\2017-12-21</v>
      </c>
      <c r="AF51" s="234" t="str">
        <f t="shared" si="12"/>
        <v>"C:\Program Files (x86)\AstroGrep\AstroGrep.exe" /e /r /s /spath="%USERPROFILE%\AppData\Local\Temp\OnboardLogs" /stypes="app*4010*20171220*" /stext=" 16:.+((SYSTEM_STATE.+slice.+state.+changed )|(ment ac)|(multiple cpu faults)|(system.+state.+changed )|(\[timeout)|(PRM\|1\|D)|(kpr)|(kdp)|(train st.+moving)|(\|gpps)|(penalty))"</v>
      </c>
      <c r="AG51" s="244" t="str">
        <f t="shared" si="13"/>
        <v>EC</v>
      </c>
      <c r="AH51" s="236" t="str">
        <f t="shared" si="19"/>
        <v>"%USERPROFILE%\Documents\GitHub\eaglep3\Utilities\RefineRTDCRunTimes.py" --tripid 139-20 --locoid 4010 --swversion DE.1.0.9.0 --startMP 204:508 --initTime 2017-12-20T08:24:34 --startdatetime 2017-12-20T08:30:27 --delay 62 --endMP 204:233314 --enddatetime 2017-12-20T09:06:49 --enforcementcount 0 &gt;&gt;%USERPROFILE%\Documents\GitHub\eaglep3-reporting\EC\2017-12-20-refined-times.txt</v>
      </c>
      <c r="AI51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{"issue":{"subject":"","project_id":79,"tracker_id":40,"status_id":1,"priority_id":2,"assigned_to_id":338,"start_date":"2017-12-20","description":"","custom_fields":[{"id":1,"name":"Subdivision","value":"EC"},{"id":4,"name":"Milepost","value":"23.3314"},{"id":17,"name":"Train ID","value":"139-20"},{"id":16,"name":"Locomotive ID","value":"4010"},{"id":130,"name":"Impact","value":""},{"id":150,"name":"Time of Event (Mountain Time)","value":"09:06:49"},{"id":151,"name":"Denver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21"/>
        <v>start /low /b %USERPROFILE%\Documents\GitHub\eaglep3\Utilities\DownloadLogsFromS3.py --loco 4010 --day 2017-12-20</v>
      </c>
      <c r="AN51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16:06:49"},{"id":29,"name":"Sharepoint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23"/>
        <v>https://d0f6bd738d7f1b3e5a7ca70fe4ff75f0.us-east-1.aws.found.io/app/kibana#/discover/Steve-Slow-Train-Analysis-(2080s-and-2083s)?_g=(refreshInterval:(display:Off,pause:!f,section:0,value:0),time:(from:'2017-12-20T07:24:34-0700',mode:absolute,to:'2017-12-20T10:06:49-0700'))&amp;_a=(columns:!('Message%20ID',Summary),filters:!(),index:'emp_*',interval:auto,query:(query_string:(analyze_wildcard:!t,query:'%22rtdc.l.rtdc.4010%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9" t="s">
        <v>750</v>
      </c>
      <c r="B52" s="225">
        <v>4009</v>
      </c>
      <c r="C52" s="227" t="s">
        <v>192</v>
      </c>
      <c r="D52" s="227" t="s">
        <v>925</v>
      </c>
      <c r="E52" s="226">
        <v>43089.390127314815</v>
      </c>
      <c r="F52" s="226">
        <v>43089.39403935185</v>
      </c>
      <c r="G52" s="225">
        <v>55</v>
      </c>
      <c r="H52" s="227" t="s">
        <v>489</v>
      </c>
      <c r="I52" s="226">
        <v>43089.419548611113</v>
      </c>
      <c r="J52" s="225">
        <v>0</v>
      </c>
      <c r="K52" s="237" t="str">
        <f t="shared" si="0"/>
        <v>4009/4010</v>
      </c>
      <c r="L52" s="245" t="str">
        <f>VLOOKUP(A52,'Trips&amp;Operators'!$C$1:$G$99911,5,FALSE)</f>
        <v>BONDS REYNALDO</v>
      </c>
      <c r="M52" s="224">
        <f t="shared" si="1"/>
        <v>2.5509259263344575E-2</v>
      </c>
      <c r="N52" s="225">
        <f t="shared" si="31"/>
        <v>36.733333339216188</v>
      </c>
      <c r="O52" s="225"/>
      <c r="P52" s="225"/>
      <c r="Q52" s="228"/>
      <c r="R52" s="242"/>
      <c r="S52" s="249">
        <f t="shared" si="24"/>
        <v>1</v>
      </c>
      <c r="T52" s="242" t="str">
        <f t="shared" si="4"/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5"/>
        <v>https://d0f6bd738d7f1b3e5a7ca70fe4ff75f0.us-east-1.aws.found.io/app/kibana#/discover/Steve-Slow-Train-Analysis-(2080s-and-2083s)?_g=(refreshInterval:(display:Off,pause:!f,section:0,value:0),time:(from:'2017-12-20T08:21:47-0700',mode:absolute,to:'2017-12-20T11:04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2" s="247" t="str">
        <f>IF(AA52&lt;VLOOKUP(AG52,Variables!$AC$3:$AD$8,2,FALSE),"Y","N")</f>
        <v>N</v>
      </c>
      <c r="X52" s="247">
        <f t="shared" si="34"/>
        <v>1</v>
      </c>
      <c r="Y52" s="247">
        <f t="shared" si="32"/>
        <v>23.299299999999999</v>
      </c>
      <c r="Z52" s="247">
        <f t="shared" si="33"/>
        <v>1.9800000000000002E-2</v>
      </c>
      <c r="AA52" s="247">
        <f t="shared" si="9"/>
        <v>23.279499999999999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 t="shared" si="10"/>
        <v>140</v>
      </c>
      <c r="AE52" s="235" t="str">
        <f t="shared" si="11"/>
        <v>aws s3 cp s3://rtdc.mdm.uploadarchive.raw/RTDC4009/ "%USERPROFILE%\AppData\Local\Temp\OnboardLogs"\RTDC4009\2017-12-20 --exclude "*" --recursive --include "*20171220*" &amp; "%USERPROFILE%\Documents\GitHub\mrs-test-scripts\Headless Mode &amp; Sideloading\WalkAndUnGZ.bat" "%USERPROFILE%\AppData\Local\Temp\OnboardLogs"\RTDC4009\2017-12-20 &amp; aws s3 cp s3://rtdc.mdm.uploadarchive.raw/RTDC4009/ "%USERPROFILE%\AppData\Local\Temp\OnboardLogs"\RTDC4009\2017-12-21 --exclude "*" --recursive --include "*20171221*" &amp; "%USERPROFILE%\Documents\GitHub\mrs-test-scripts\Headless Mode &amp; Sideloading\WalkAndUnGZ.bat" "%USERPROFILE%\AppData\Local\Temp\OnboardLogs"\RTDC4009\2017-12-21</v>
      </c>
      <c r="AF52" s="234" t="str">
        <f t="shared" si="12"/>
        <v>"C:\Program Files (x86)\AstroGrep\AstroGrep.exe" /e /r /s /spath="%USERPROFILE%\AppData\Local\Temp\OnboardLogs" /stypes="app*4009*20171220*" /stext=" 17:.+((SYSTEM_STATE.+slice.+state.+changed )|(ment ac)|(multiple cpu faults)|(system.+state.+changed )|(\[timeout)|(PRM\|1\|D)|(kpr)|(kdp)|(train st.+moving)|(\|gpps)|(penalty))"</v>
      </c>
      <c r="AG52" s="244" t="str">
        <f t="shared" si="13"/>
        <v>EC</v>
      </c>
      <c r="AH52" s="236" t="str">
        <f t="shared" si="19"/>
        <v>"%USERPROFILE%\Documents\GitHub\eaglep3\Utilities\RefineRTDCRunTimes.py" --tripid 140-20 --locoid 4009 --swversion DE.1.0.9.0 --startMP 204:232993 --initTime 2017-12-20T09:21:47 --startdatetime 2017-12-20T09:27:25 --delay 55 --endMP 204:198 --enddatetime 2017-12-20T10:04:09 --enforcementcount 0 &gt;&gt;%USERPROFILE%\Documents\GitHub\eaglep3-reporting\EC\2017-12-20-refined-times.txt</v>
      </c>
      <c r="AI52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{"issue":{"subject":"","project_id":79,"tracker_id":40,"status_id":1,"priority_id":2,"assigned_to_id":338,"start_date":"2017-12-20","description":"","custom_fields":[{"id":1,"name":"Subdivision","value":"EC"},{"id":4,"name":"Milepost","value":"0.0198"},{"id":17,"name":"Train ID","value":"140-20"},{"id":16,"name":"Locomotive ID","value":"4009"},{"id":130,"name":"Impact","value":""},{"id":150,"name":"Time of Event (Mountain Time)","value":"10:04:09"},{"id":151,"name":"Denver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21"/>
        <v>start /low /b %USERPROFILE%\Documents\GitHub\eaglep3\Utilities\DownloadLogsFromS3.py --loco 4009 --day 2017-12-20</v>
      </c>
      <c r="AN52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17:04:09"},{"id":29,"name":"Sharepoint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23"/>
        <v>https://d0f6bd738d7f1b3e5a7ca70fe4ff75f0.us-east-1.aws.found.io/app/kibana#/discover/Steve-Slow-Train-Analysis-(2080s-and-2083s)?_g=(refreshInterval:(display:Off,pause:!f,section:0,value:0),time:(from:'2017-12-20T08:21:47-0700',mode:absolute,to:'2017-12-20T11:04:09-0700'))&amp;_a=(columns:!('Message%20ID',Summary),filters:!(),index:'emp_*',interval:auto,query:(query_string:(analyze_wildcard:!t,query:'%22rtdc.l.rtdc.4009%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9" t="s">
        <v>735</v>
      </c>
      <c r="B53" s="225">
        <v>4050</v>
      </c>
      <c r="C53" s="227" t="s">
        <v>192</v>
      </c>
      <c r="D53" s="227" t="s">
        <v>504</v>
      </c>
      <c r="E53" s="226">
        <v>43089.359398148146</v>
      </c>
      <c r="F53" s="226">
        <v>43089.365046296298</v>
      </c>
      <c r="G53" s="225">
        <v>51</v>
      </c>
      <c r="H53" s="227" t="s">
        <v>930</v>
      </c>
      <c r="I53" s="226">
        <v>43089.391377314816</v>
      </c>
      <c r="J53" s="225">
        <v>0</v>
      </c>
      <c r="K53" s="237" t="str">
        <f t="shared" si="0"/>
        <v>4049/4050</v>
      </c>
      <c r="L53" s="245" t="str">
        <f>VLOOKUP(A53,'Trips&amp;Operators'!$C$1:$G$99911,5,FALSE)</f>
        <v>YANAI IAN</v>
      </c>
      <c r="M53" s="224">
        <f t="shared" si="1"/>
        <v>2.6331018518249039E-2</v>
      </c>
      <c r="N53" s="225">
        <f t="shared" si="31"/>
        <v>37.916666666278616</v>
      </c>
      <c r="O53" s="225"/>
      <c r="P53" s="225"/>
      <c r="Q53" s="228"/>
      <c r="R53" s="242"/>
      <c r="S53" s="249">
        <f t="shared" si="24"/>
        <v>1</v>
      </c>
      <c r="T53" s="242" t="str">
        <f t="shared" si="4"/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5"/>
        <v>https://d0f6bd738d7f1b3e5a7ca70fe4ff75f0.us-east-1.aws.found.io/app/kibana#/discover/Steve-Slow-Train-Analysis-(2080s-and-2083s)?_g=(refreshInterval:(display:Off,pause:!f,section:0,value:0),time:(from:'2017-12-20T07:37:32-0700',mode:absolute,to:'2017-12-20T10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3" s="247" t="str">
        <f>IF(AA53&lt;VLOOKUP(AG53,Variables!$AC$3:$AD$8,2,FALSE),"Y","N")</f>
        <v>N</v>
      </c>
      <c r="X53" s="247">
        <f t="shared" si="34"/>
        <v>1</v>
      </c>
      <c r="Y53" s="247">
        <f t="shared" si="32"/>
        <v>4.82E-2</v>
      </c>
      <c r="Z53" s="247">
        <f t="shared" si="33"/>
        <v>23.329899999999999</v>
      </c>
      <c r="AA53" s="247">
        <f t="shared" si="9"/>
        <v>23.281699999999997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 t="shared" si="10"/>
        <v>141</v>
      </c>
      <c r="AE53" s="235" t="str">
        <f t="shared" si="11"/>
        <v>aws s3 cp s3://rtdc.mdm.uploadarchive.raw/RTDC4050/ "%USERPROFILE%\AppData\Local\Temp\OnboardLogs"\RTDC4050\2017-12-20 --exclude "*" --recursive --include "*20171220*" &amp; "%USERPROFILE%\Documents\GitHub\mrs-test-scripts\Headless Mode &amp; Sideloading\WalkAndUnGZ.bat" "%USERPROFILE%\AppData\Local\Temp\OnboardLogs"\RTDC4050\2017-12-20 &amp; aws s3 cp s3://rtdc.mdm.uploadarchive.raw/RTDC4050/ "%USERPROFILE%\AppData\Local\Temp\OnboardLogs"\RTDC4050\2017-12-21 --exclude "*" --recursive --include "*20171221*" &amp; "%USERPROFILE%\Documents\GitHub\mrs-test-scripts\Headless Mode &amp; Sideloading\WalkAndUnGZ.bat" "%USERPROFILE%\AppData\Local\Temp\OnboardLogs"\RTDC4050\2017-12-21</v>
      </c>
      <c r="AF53" s="234" t="str">
        <f t="shared" si="12"/>
        <v>"C:\Program Files (x86)\AstroGrep\AstroGrep.exe" /e /r /s /spath="%USERPROFILE%\AppData\Local\Temp\OnboardLogs" /stypes="app*4050*20171220*" /stext=" 16:.+((SYSTEM_STATE.+slice.+state.+changed )|(ment ac)|(multiple cpu faults)|(system.+state.+changed )|(\[timeout)|(PRM\|1\|D)|(kpr)|(kdp)|(train st.+moving)|(\|gpps)|(penalty))"</v>
      </c>
      <c r="AG53" s="244" t="str">
        <f t="shared" si="13"/>
        <v>EC</v>
      </c>
      <c r="AH53" s="236" t="str">
        <f t="shared" si="19"/>
        <v>"%USERPROFILE%\Documents\GitHub\eaglep3\Utilities\RefineRTDCRunTimes.py" --tripid 141-20 --locoid 4050 --swversion DE.1.0.9.0 --startMP 204:482 --initTime 2017-12-20T08:37:32 --startdatetime 2017-12-20T08:45:40 --delay 51 --endMP 204:233299 --enddatetime 2017-12-20T09:23:35 --enforcementcount 0 &gt;&gt;%USERPROFILE%\Documents\GitHub\eaglep3-reporting\EC\2017-12-20-refined-times.txt</v>
      </c>
      <c r="AI53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{"issue":{"subject":"","project_id":79,"tracker_id":40,"status_id":1,"priority_id":2,"assigned_to_id":338,"start_date":"2017-12-20","description":"","custom_fields":[{"id":1,"name":"Subdivision","value":"EC"},{"id":4,"name":"Milepost","value":"23.3299"},{"id":17,"name":"Train ID","value":"141-20"},{"id":16,"name":"Locomotive ID","value":"4050"},{"id":130,"name":"Impact","value":""},{"id":150,"name":"Time of Event (Mountain Time)","value":"09:23:35"},{"id":151,"name":"Denver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21"/>
        <v>start /low /b %USERPROFILE%\Documents\GitHub\eaglep3\Utilities\DownloadLogsFromS3.py --loco 4050 --day 2017-12-20</v>
      </c>
      <c r="AN53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16:23:35"},{"id":29,"name":"Sharepoint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23"/>
        <v>https://d0f6bd738d7f1b3e5a7ca70fe4ff75f0.us-east-1.aws.found.io/app/kibana#/discover/Steve-Slow-Train-Analysis-(2080s-and-2083s)?_g=(refreshInterval:(display:Off,pause:!f,section:0,value:0),time:(from:'2017-12-20T07:37:32-0700',mode:absolute,to:'2017-12-20T10:23:35-0700'))&amp;_a=(columns:!('Message%20ID',Summary),filters:!(),index:'emp_*',interval:auto,query:(query_string:(analyze_wildcard:!t,query:'%22rtdc.l.rtdc.4050%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9" t="s">
        <v>751</v>
      </c>
      <c r="B54" s="225">
        <v>4049</v>
      </c>
      <c r="C54" s="227" t="s">
        <v>192</v>
      </c>
      <c r="D54" s="227" t="s">
        <v>517</v>
      </c>
      <c r="E54" s="226">
        <v>43089.392592592594</v>
      </c>
      <c r="F54" s="226">
        <v>43089.404340277775</v>
      </c>
      <c r="G54" s="225">
        <v>61</v>
      </c>
      <c r="H54" s="227" t="s">
        <v>463</v>
      </c>
      <c r="I54" s="226">
        <v>43089.43</v>
      </c>
      <c r="J54" s="225">
        <v>0</v>
      </c>
      <c r="K54" s="237" t="str">
        <f t="shared" si="0"/>
        <v>4049/4050</v>
      </c>
      <c r="L54" s="245" t="str">
        <f>VLOOKUP(A54,'Trips&amp;Operators'!$C$1:$G$99911,5,FALSE)</f>
        <v>YANAI IAN</v>
      </c>
      <c r="M54" s="224">
        <f t="shared" si="1"/>
        <v>2.5659722225100268E-2</v>
      </c>
      <c r="N54" s="225">
        <f t="shared" si="31"/>
        <v>36.950000004144385</v>
      </c>
      <c r="O54" s="225"/>
      <c r="P54" s="225"/>
      <c r="Q54" s="228"/>
      <c r="R54" s="242"/>
      <c r="S54" s="249">
        <f t="shared" si="24"/>
        <v>1</v>
      </c>
      <c r="T54" s="242" t="str">
        <f t="shared" si="4"/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 t="shared" si="5"/>
        <v>https://d0f6bd738d7f1b3e5a7ca70fe4ff75f0.us-east-1.aws.found.io/app/kibana#/discover/Steve-Slow-Train-Analysis-(2080s-and-2083s)?_g=(refreshInterval:(display:Off,pause:!f,section:0,value:0),time:(from:'2017-12-20T08:25:20-0700',mode:absolute,to:'2017-12-20T11:19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4" s="247" t="str">
        <f>IF(AA54&lt;VLOOKUP(AG54,Variables!$AC$3:$AD$8,2,FALSE),"Y","N")</f>
        <v>N</v>
      </c>
      <c r="X54" s="247">
        <f t="shared" si="34"/>
        <v>1</v>
      </c>
      <c r="Y54" s="247">
        <f t="shared" si="32"/>
        <v>23.296099999999999</v>
      </c>
      <c r="Z54" s="247">
        <f t="shared" si="33"/>
        <v>1.9599999999999999E-2</v>
      </c>
      <c r="AA54" s="247">
        <f t="shared" si="9"/>
        <v>23.276499999999999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10"/>
        <v>142</v>
      </c>
      <c r="AE54" s="235" t="str">
        <f t="shared" si="11"/>
        <v>aws s3 cp s3://rtdc.mdm.uploadarchive.raw/RTDC4049/ "%USERPROFILE%\AppData\Local\Temp\OnboardLogs"\RTDC4049\2017-12-20 --exclude "*" --recursive --include "*20171220*" &amp; "%USERPROFILE%\Documents\GitHub\mrs-test-scripts\Headless Mode &amp; Sideloading\WalkAndUnGZ.bat" "%USERPROFILE%\AppData\Local\Temp\OnboardLogs"\RTDC4049\2017-12-20 &amp; aws s3 cp s3://rtdc.mdm.uploadarchive.raw/RTDC4049/ "%USERPROFILE%\AppData\Local\Temp\OnboardLogs"\RTDC4049\2017-12-21 --exclude "*" --recursive --include "*20171221*" &amp; "%USERPROFILE%\Documents\GitHub\mrs-test-scripts\Headless Mode &amp; Sideloading\WalkAndUnGZ.bat" "%USERPROFILE%\AppData\Local\Temp\OnboardLogs"\RTDC4049\2017-12-21</v>
      </c>
      <c r="AF54" s="234" t="str">
        <f t="shared" si="12"/>
        <v>"C:\Program Files (x86)\AstroGrep\AstroGrep.exe" /e /r /s /spath="%USERPROFILE%\AppData\Local\Temp\OnboardLogs" /stypes="app*4049*20171220*" /stext=" 17:.+((SYSTEM_STATE.+slice.+state.+changed )|(ment ac)|(multiple cpu faults)|(system.+state.+changed )|(\[timeout)|(PRM\|1\|D)|(kpr)|(kdp)|(train st.+moving)|(\|gpps)|(penalty))"</v>
      </c>
      <c r="AG54" s="244" t="str">
        <f t="shared" si="13"/>
        <v>EC</v>
      </c>
      <c r="AH54" s="236" t="str">
        <f t="shared" si="19"/>
        <v>"%USERPROFILE%\Documents\GitHub\eaglep3\Utilities\RefineRTDCRunTimes.py" --tripid 142-20 --locoid 4049 --swversion DE.1.0.9.0 --startMP 204:232961 --initTime 2017-12-20T09:25:20 --startdatetime 2017-12-20T09:42:15 --delay 61 --endMP 204:196 --enddatetime 2017-12-20T10:19:12 --enforcementcount 0 &gt;&gt;%USERPROFILE%\Documents\GitHub\eaglep3-reporting\EC\2017-12-20-refined-times.txt</v>
      </c>
      <c r="AI54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{"issue":{"subject":"","project_id":79,"tracker_id":40,"status_id":1,"priority_id":2,"assigned_to_id":338,"start_date":"2017-12-20","description":"","custom_fields":[{"id":1,"name":"Subdivision","value":"EC"},{"id":4,"name":"Milepost","value":"0.0196"},{"id":17,"name":"Train ID","value":"142-20"},{"id":16,"name":"Locomotive ID","value":"4049"},{"id":130,"name":"Impact","value":""},{"id":150,"name":"Time of Event (Mountain Time)","value":"10:19:12"},{"id":151,"name":"Denver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21"/>
        <v>start /low /b %USERPROFILE%\Documents\GitHub\eaglep3\Utilities\DownloadLogsFromS3.py --loco 4049 --day 2017-12-20</v>
      </c>
      <c r="AN54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17:19:12"},{"id":29,"name":"Sharepoint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23"/>
        <v>https://d0f6bd738d7f1b3e5a7ca70fe4ff75f0.us-east-1.aws.found.io/app/kibana#/discover/Steve-Slow-Train-Analysis-(2080s-and-2083s)?_g=(refreshInterval:(display:Off,pause:!f,section:0,value:0),time:(from:'2017-12-20T08:25:20-0700',mode:absolute,to:'2017-12-20T11:19:12-0700'))&amp;_a=(columns:!('Message%20ID',Summary),filters:!(),index:'emp_*',interval:auto,query:(query_string:(analyze_wildcard:!t,query:'%22rtdc.l.rtdc.4049%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9" t="s">
        <v>738</v>
      </c>
      <c r="B55" s="225">
        <v>4062</v>
      </c>
      <c r="C55" s="227" t="s">
        <v>192</v>
      </c>
      <c r="D55" s="227" t="s">
        <v>477</v>
      </c>
      <c r="E55" s="226">
        <v>43089.372037037036</v>
      </c>
      <c r="F55" s="226">
        <v>43089.375219907408</v>
      </c>
      <c r="G55" s="225">
        <v>54</v>
      </c>
      <c r="H55" s="227" t="s">
        <v>502</v>
      </c>
      <c r="I55" s="226">
        <v>43089.400092592594</v>
      </c>
      <c r="J55" s="225">
        <v>0</v>
      </c>
      <c r="K55" s="237" t="str">
        <f t="shared" si="0"/>
        <v>4061/4062</v>
      </c>
      <c r="L55" s="245" t="str">
        <f>VLOOKUP(A55,'Trips&amp;Operators'!$C$1:$G$99911,5,FALSE)</f>
        <v>THOMPSON LESTER</v>
      </c>
      <c r="M55" s="224">
        <f t="shared" si="1"/>
        <v>2.4872685185982846E-2</v>
      </c>
      <c r="N55" s="225">
        <f t="shared" si="31"/>
        <v>35.816666667815298</v>
      </c>
      <c r="O55" s="225"/>
      <c r="P55" s="225"/>
      <c r="Q55" s="228"/>
      <c r="R55" s="242"/>
      <c r="S55" s="249">
        <f t="shared" si="24"/>
        <v>1</v>
      </c>
      <c r="T55" s="242" t="str">
        <f t="shared" si="4"/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 t="shared" si="5"/>
        <v>https://d0f6bd738d7f1b3e5a7ca70fe4ff75f0.us-east-1.aws.found.io/app/kibana#/discover/Steve-Slow-Train-Analysis-(2080s-and-2083s)?_g=(refreshInterval:(display:Off,pause:!f,section:0,value:0),time:(from:'2017-12-20T07:55:44-0700',mode:absolute,to:'2017-12-20T10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5" s="247" t="str">
        <f>IF(AA55&lt;VLOOKUP(AG55,Variables!$AC$3:$AD$8,2,FALSE),"Y","N")</f>
        <v>N</v>
      </c>
      <c r="X55" s="247">
        <f t="shared" si="34"/>
        <v>1</v>
      </c>
      <c r="Y55" s="247">
        <f t="shared" si="32"/>
        <v>5.1999999999999998E-2</v>
      </c>
      <c r="Z55" s="247">
        <f t="shared" si="33"/>
        <v>23.329499999999999</v>
      </c>
      <c r="AA55" s="247">
        <f t="shared" si="9"/>
        <v>23.2775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10"/>
        <v>143</v>
      </c>
      <c r="AE55" s="235" t="str">
        <f t="shared" si="11"/>
        <v>aws s3 cp s3://rtdc.mdm.uploadarchive.raw/RTDC4062/ "%USERPROFILE%\AppData\Local\Temp\OnboardLogs"\RTDC4062\2017-12-20 --exclude "*" --recursive --include "*20171220*" &amp; "%USERPROFILE%\Documents\GitHub\mrs-test-scripts\Headless Mode &amp; Sideloading\WalkAndUnGZ.bat" "%USERPROFILE%\AppData\Local\Temp\OnboardLogs"\RTDC4062\2017-12-20 &amp; aws s3 cp s3://rtdc.mdm.uploadarchive.raw/RTDC4062/ "%USERPROFILE%\AppData\Local\Temp\OnboardLogs"\RTDC4062\2017-12-21 --exclude "*" --recursive --include "*20171221*" &amp; "%USERPROFILE%\Documents\GitHub\mrs-test-scripts\Headless Mode &amp; Sideloading\WalkAndUnGZ.bat" "%USERPROFILE%\AppData\Local\Temp\OnboardLogs"\RTDC4062\2017-12-21</v>
      </c>
      <c r="AF55" s="234" t="str">
        <f t="shared" si="12"/>
        <v>"C:\Program Files (x86)\AstroGrep\AstroGrep.exe" /e /r /s /spath="%USERPROFILE%\AppData\Local\Temp\OnboardLogs" /stypes="app*4062*20171220*" /stext=" 16:.+((SYSTEM_STATE.+slice.+state.+changed )|(ment ac)|(multiple cpu faults)|(system.+state.+changed )|(\[timeout)|(PRM\|1\|D)|(kpr)|(kdp)|(train st.+moving)|(\|gpps)|(penalty))"</v>
      </c>
      <c r="AG55" s="244" t="str">
        <f t="shared" si="13"/>
        <v>EC</v>
      </c>
      <c r="AH55" s="236" t="str">
        <f t="shared" si="19"/>
        <v>"%USERPROFILE%\Documents\GitHub\eaglep3\Utilities\RefineRTDCRunTimes.py" --tripid 143-20 --locoid 4062 --swversion DE.1.0.9.0 --startMP 204:520 --initTime 2017-12-20T08:55:44 --startdatetime 2017-12-20T09:00:19 --delay 54 --endMP 204:233295 --enddatetime 2017-12-20T09:36:08 --enforcementcount 0 &gt;&gt;%USERPROFILE%\Documents\GitHub\eaglep3-reporting\EC\2017-12-20-refined-times.txt</v>
      </c>
      <c r="AI55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{"issue":{"subject":"","project_id":79,"tracker_id":40,"status_id":1,"priority_id":2,"assigned_to_id":338,"start_date":"2017-12-20","description":"","custom_fields":[{"id":1,"name":"Subdivision","value":"EC"},{"id":4,"name":"Milepost","value":"23.3295"},{"id":17,"name":"Train ID","value":"143-20"},{"id":16,"name":"Locomotive ID","value":"4062"},{"id":130,"name":"Impact","value":""},{"id":150,"name":"Time of Event (Mountain Time)","value":"09:36:08"},{"id":151,"name":"Denver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21"/>
        <v>start /low /b %USERPROFILE%\Documents\GitHub\eaglep3\Utilities\DownloadLogsFromS3.py --loco 4062 --day 2017-12-20</v>
      </c>
      <c r="AN55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16:36:08"},{"id":29,"name":"Sharepoint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23"/>
        <v>https://d0f6bd738d7f1b3e5a7ca70fe4ff75f0.us-east-1.aws.found.io/app/kibana#/discover/Steve-Slow-Train-Analysis-(2080s-and-2083s)?_g=(refreshInterval:(display:Off,pause:!f,section:0,value:0),time:(from:'2017-12-20T07:55:44-0700',mode:absolute,to:'2017-12-20T10:36:08-0700'))&amp;_a=(columns:!('Message%20ID',Summary),filters:!(),index:'emp_*',interval:auto,query:(query_string:(analyze_wildcard:!t,query:'%22rtdc.l.rtdc.4062%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9" t="s">
        <v>756</v>
      </c>
      <c r="B56" s="225">
        <v>4061</v>
      </c>
      <c r="C56" s="227" t="s">
        <v>192</v>
      </c>
      <c r="D56" s="227" t="s">
        <v>601</v>
      </c>
      <c r="E56" s="226">
        <v>43089.413414351853</v>
      </c>
      <c r="F56" s="226">
        <v>43089.414849537039</v>
      </c>
      <c r="G56" s="225">
        <v>55</v>
      </c>
      <c r="H56" s="227" t="s">
        <v>931</v>
      </c>
      <c r="I56" s="226">
        <v>43089.441041666665</v>
      </c>
      <c r="J56" s="225">
        <v>0</v>
      </c>
      <c r="K56" s="237" t="str">
        <f t="shared" si="0"/>
        <v>4061/4062</v>
      </c>
      <c r="L56" s="245" t="str">
        <f>VLOOKUP(A56,'Trips&amp;Operators'!$C$1:$G$99911,5,FALSE)</f>
        <v>THOMPSON LESTER</v>
      </c>
      <c r="M56" s="224">
        <f t="shared" si="1"/>
        <v>2.619212962599704E-2</v>
      </c>
      <c r="N56" s="225">
        <f t="shared" si="31"/>
        <v>37.716666661435738</v>
      </c>
      <c r="O56" s="225"/>
      <c r="P56" s="225"/>
      <c r="Q56" s="228"/>
      <c r="R56" s="242"/>
      <c r="S56" s="249">
        <f t="shared" si="24"/>
        <v>1</v>
      </c>
      <c r="T56" s="242" t="str">
        <f t="shared" si="4"/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 t="shared" si="5"/>
        <v>https://d0f6bd738d7f1b3e5a7ca70fe4ff75f0.us-east-1.aws.found.io/app/kibana#/discover/Steve-Slow-Train-Analysis-(2080s-and-2083s)?_g=(refreshInterval:(display:Off,pause:!f,section:0,value:0),time:(from:'2017-12-20T08:55:19-0700',mode:absolute,to:'2017-12-20T11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6" s="247" t="str">
        <f>IF(AA56&lt;VLOOKUP(AG56,Variables!$AC$3:$AD$8,2,FALSE),"Y","N")</f>
        <v>N</v>
      </c>
      <c r="X56" s="247">
        <f t="shared" si="34"/>
        <v>1</v>
      </c>
      <c r="Y56" s="247">
        <f t="shared" si="32"/>
        <v>23.2972</v>
      </c>
      <c r="Z56" s="247">
        <f t="shared" si="33"/>
        <v>1.8700000000000001E-2</v>
      </c>
      <c r="AA56" s="247">
        <f t="shared" si="9"/>
        <v>23.278500000000001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 t="shared" si="10"/>
        <v>144</v>
      </c>
      <c r="AE56" s="235" t="str">
        <f t="shared" si="11"/>
        <v>aws s3 cp s3://rtdc.mdm.uploadarchive.raw/RTDC4061/ "%USERPROFILE%\AppData\Local\Temp\OnboardLogs"\RTDC4061\2017-12-20 --exclude "*" --recursive --include "*20171220*" &amp; "%USERPROFILE%\Documents\GitHub\mrs-test-scripts\Headless Mode &amp; Sideloading\WalkAndUnGZ.bat" "%USERPROFILE%\AppData\Local\Temp\OnboardLogs"\RTDC4061\2017-12-20 &amp; aws s3 cp s3://rtdc.mdm.uploadarchive.raw/RTDC4061/ "%USERPROFILE%\AppData\Local\Temp\OnboardLogs"\RTDC4061\2017-12-21 --exclude "*" --recursive --include "*20171221*" &amp; "%USERPROFILE%\Documents\GitHub\mrs-test-scripts\Headless Mode &amp; Sideloading\WalkAndUnGZ.bat" "%USERPROFILE%\AppData\Local\Temp\OnboardLogs"\RTDC4061\2017-12-21</v>
      </c>
      <c r="AF56" s="234" t="str">
        <f t="shared" si="12"/>
        <v>"C:\Program Files (x86)\AstroGrep\AstroGrep.exe" /e /r /s /spath="%USERPROFILE%\AppData\Local\Temp\OnboardLogs" /stypes="app*4061*20171220*" /stext=" 17:.+((SYSTEM_STATE.+slice.+state.+changed )|(ment ac)|(multiple cpu faults)|(system.+state.+changed )|(\[timeout)|(PRM\|1\|D)|(kpr)|(kdp)|(train st.+moving)|(\|gpps)|(penalty))"</v>
      </c>
      <c r="AG56" s="244" t="str">
        <f t="shared" si="13"/>
        <v>EC</v>
      </c>
      <c r="AH56" s="236" t="str">
        <f t="shared" si="19"/>
        <v>"%USERPROFILE%\Documents\GitHub\eaglep3\Utilities\RefineRTDCRunTimes.py" --tripid 144-20 --locoid 4061 --swversion DE.1.0.9.0 --startMP 204:232972 --initTime 2017-12-20T09:55:19 --startdatetime 2017-12-20T09:57:23 --delay 55 --endMP 204:187 --enddatetime 2017-12-20T10:35:06 --enforcementcount 0 &gt;&gt;%USERPROFILE%\Documents\GitHub\eaglep3-reporting\EC\2017-12-20-refined-times.txt</v>
      </c>
      <c r="AI56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{"issue":{"subject":"","project_id":79,"tracker_id":40,"status_id":1,"priority_id":2,"assigned_to_id":338,"start_date":"2017-12-20","description":"","custom_fields":[{"id":1,"name":"Subdivision","value":"EC"},{"id":4,"name":"Milepost","value":"0.0187"},{"id":17,"name":"Train ID","value":"144-20"},{"id":16,"name":"Locomotive ID","value":"4061"},{"id":130,"name":"Impact","value":""},{"id":150,"name":"Time of Event (Mountain Time)","value":"10:35:06"},{"id":151,"name":"Denver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21"/>
        <v>start /low /b %USERPROFILE%\Documents\GitHub\eaglep3\Utilities\DownloadLogsFromS3.py --loco 4061 --day 2017-12-20</v>
      </c>
      <c r="AN56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17:35:06"},{"id":29,"name":"Sharepoint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23"/>
        <v>https://d0f6bd738d7f1b3e5a7ca70fe4ff75f0.us-east-1.aws.found.io/app/kibana#/discover/Steve-Slow-Train-Analysis-(2080s-and-2083s)?_g=(refreshInterval:(display:Off,pause:!f,section:0,value:0),time:(from:'2017-12-20T08:55:19-0700',mode:absolute,to:'2017-12-20T11:35:06-0700'))&amp;_a=(columns:!('Message%20ID',Summary),filters:!(),index:'emp_*',interval:auto,query:(query_string:(analyze_wildcard:!t,query:'%22rtdc.l.rtdc.4061%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9" t="s">
        <v>742</v>
      </c>
      <c r="B57" s="225">
        <v>4052</v>
      </c>
      <c r="C57" s="227" t="s">
        <v>192</v>
      </c>
      <c r="D57" s="227" t="s">
        <v>932</v>
      </c>
      <c r="E57" s="226">
        <v>43089.380347222221</v>
      </c>
      <c r="F57" s="226">
        <v>43089.385659722226</v>
      </c>
      <c r="G57" s="225">
        <v>53</v>
      </c>
      <c r="H57" s="227" t="s">
        <v>933</v>
      </c>
      <c r="I57" s="226">
        <v>43089.410428240742</v>
      </c>
      <c r="J57" s="225">
        <v>0</v>
      </c>
      <c r="K57" s="237" t="str">
        <f t="shared" si="0"/>
        <v>4051/4052</v>
      </c>
      <c r="L57" s="245" t="str">
        <f>VLOOKUP(A57,'Trips&amp;Operators'!$C$1:$G$99911,5,FALSE)</f>
        <v>HUFFSMITH MONTY</v>
      </c>
      <c r="M57" s="224">
        <f t="shared" si="1"/>
        <v>2.4768518516793847E-2</v>
      </c>
      <c r="N57" s="225">
        <f t="shared" si="31"/>
        <v>35.66666666418314</v>
      </c>
      <c r="O57" s="225"/>
      <c r="P57" s="225"/>
      <c r="Q57" s="228"/>
      <c r="R57" s="242"/>
      <c r="S57" s="249">
        <f t="shared" si="24"/>
        <v>1</v>
      </c>
      <c r="T57" s="242" t="str">
        <f t="shared" si="4"/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5"/>
        <v>https://d0f6bd738d7f1b3e5a7ca70fe4ff75f0.us-east-1.aws.found.io/app/kibana#/discover/Steve-Slow-Train-Analysis-(2080s-and-2083s)?_g=(refreshInterval:(display:Off,pause:!f,section:0,value:0),time:(from:'2017-12-20T08:07:42-0700',mode:absolute,to:'2017-12-20T10:51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7" s="247" t="str">
        <f>IF(AA57&lt;VLOOKUP(AG57,Variables!$AC$3:$AD$8,2,FALSE),"Y","N")</f>
        <v>N</v>
      </c>
      <c r="X57" s="247">
        <f t="shared" si="34"/>
        <v>1</v>
      </c>
      <c r="Y57" s="247">
        <f t="shared" si="32"/>
        <v>4.1799999999999997E-2</v>
      </c>
      <c r="Z57" s="247">
        <f t="shared" si="33"/>
        <v>23.3322</v>
      </c>
      <c r="AA57" s="247">
        <f t="shared" si="9"/>
        <v>23.290400000000002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10"/>
        <v>145</v>
      </c>
      <c r="AE57" s="235" t="str">
        <f t="shared" si="11"/>
        <v>aws s3 cp s3://rtdc.mdm.uploadarchive.raw/RTDC4052/ "%USERPROFILE%\AppData\Local\Temp\OnboardLogs"\RTDC4052\2017-12-20 --exclude "*" --recursive --include "*20171220*" &amp; "%USERPROFILE%\Documents\GitHub\mrs-test-scripts\Headless Mode &amp; Sideloading\WalkAndUnGZ.bat" "%USERPROFILE%\AppData\Local\Temp\OnboardLogs"\RTDC4052\2017-12-20 &amp; aws s3 cp s3://rtdc.mdm.uploadarchive.raw/RTDC4052/ "%USERPROFILE%\AppData\Local\Temp\OnboardLogs"\RTDC4052\2017-12-21 --exclude "*" --recursive --include "*20171221*" &amp; "%USERPROFILE%\Documents\GitHub\mrs-test-scripts\Headless Mode &amp; Sideloading\WalkAndUnGZ.bat" "%USERPROFILE%\AppData\Local\Temp\OnboardLogs"\RTDC4052\2017-12-21</v>
      </c>
      <c r="AF57" s="234" t="str">
        <f t="shared" si="12"/>
        <v>"C:\Program Files (x86)\AstroGrep\AstroGrep.exe" /e /r /s /spath="%USERPROFILE%\AppData\Local\Temp\OnboardLogs" /stypes="app*4052*20171220*" /stext=" 16:.+((SYSTEM_STATE.+slice.+state.+changed )|(ment ac)|(multiple cpu faults)|(system.+state.+changed )|(\[timeout)|(PRM\|1\|D)|(kpr)|(kdp)|(train st.+moving)|(\|gpps)|(penalty))"</v>
      </c>
      <c r="AG57" s="244" t="str">
        <f t="shared" si="13"/>
        <v>EC</v>
      </c>
      <c r="AH57" s="236" t="str">
        <f t="shared" si="19"/>
        <v>"%USERPROFILE%\Documents\GitHub\eaglep3\Utilities\RefineRTDCRunTimes.py" --tripid 145-20 --locoid 4052 --swversion DE.1.0.9.0 --startMP 204:418 --initTime 2017-12-20T09:07:42 --startdatetime 2017-12-20T09:15:21 --delay 53 --endMP 204:233322 --enddatetime 2017-12-20T09:51:01 --enforcementcount 0 &gt;&gt;%USERPROFILE%\Documents\GitHub\eaglep3-reporting\EC\2017-12-20-refined-times.txt</v>
      </c>
      <c r="AI57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{"issue":{"subject":"","project_id":79,"tracker_id":40,"status_id":1,"priority_id":2,"assigned_to_id":338,"start_date":"2017-12-20","description":"","custom_fields":[{"id":1,"name":"Subdivision","value":"EC"},{"id":4,"name":"Milepost","value":"23.3322"},{"id":17,"name":"Train ID","value":"145-20"},{"id":16,"name":"Locomotive ID","value":"4052"},{"id":130,"name":"Impact","value":""},{"id":150,"name":"Time of Event (Mountain Time)","value":"09:51:01"},{"id":151,"name":"Denver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21"/>
        <v>start /low /b %USERPROFILE%\Documents\GitHub\eaglep3\Utilities\DownloadLogsFromS3.py --loco 4052 --day 2017-12-20</v>
      </c>
      <c r="AN57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16:51:01"},{"id":29,"name":"Sharepoint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23"/>
        <v>https://d0f6bd738d7f1b3e5a7ca70fe4ff75f0.us-east-1.aws.found.io/app/kibana#/discover/Steve-Slow-Train-Analysis-(2080s-and-2083s)?_g=(refreshInterval:(display:Off,pause:!f,section:0,value:0),time:(from:'2017-12-20T08:07:42-0700',mode:absolute,to:'2017-12-20T10:51:01-0700'))&amp;_a=(columns:!('Message%20ID',Summary),filters:!(),index:'emp_*',interval:auto,query:(query_string:(analyze_wildcard:!t,query:'%22rtdc.l.rtdc.4052%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9" t="s">
        <v>755</v>
      </c>
      <c r="B58" s="225">
        <v>4051</v>
      </c>
      <c r="C58" s="227" t="s">
        <v>192</v>
      </c>
      <c r="D58" s="227" t="s">
        <v>538</v>
      </c>
      <c r="E58" s="226">
        <v>43089.412604166668</v>
      </c>
      <c r="F58" s="226">
        <v>43089.425185185188</v>
      </c>
      <c r="G58" s="225">
        <v>48</v>
      </c>
      <c r="H58" s="227" t="s">
        <v>934</v>
      </c>
      <c r="I58" s="226">
        <v>43089.45171296296</v>
      </c>
      <c r="J58" s="225">
        <v>0</v>
      </c>
      <c r="K58" s="237" t="str">
        <f t="shared" si="0"/>
        <v>4051/4052</v>
      </c>
      <c r="L58" s="245" t="str">
        <f>VLOOKUP(A58,'Trips&amp;Operators'!$C$1:$G$99911,5,FALSE)</f>
        <v>HUFFSMITH MONTY</v>
      </c>
      <c r="M58" s="224">
        <f t="shared" si="1"/>
        <v>2.6527777772571426E-2</v>
      </c>
      <c r="N58" s="225">
        <f t="shared" si="31"/>
        <v>38.199999992502853</v>
      </c>
      <c r="O58" s="225"/>
      <c r="P58" s="225"/>
      <c r="Q58" s="228"/>
      <c r="R58" s="242"/>
      <c r="S58" s="249">
        <f t="shared" si="24"/>
        <v>1</v>
      </c>
      <c r="T58" s="242" t="str">
        <f t="shared" si="4"/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 t="shared" si="5"/>
        <v>https://d0f6bd738d7f1b3e5a7ca70fe4ff75f0.us-east-1.aws.found.io/app/kibana#/discover/Steve-Slow-Train-Analysis-(2080s-and-2083s)?_g=(refreshInterval:(display:Off,pause:!f,section:0,value:0),time:(from:'2017-12-20T08:54:09-0700',mode:absolute,to:'2017-12-20T11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8" s="247" t="str">
        <f>IF(AA58&lt;VLOOKUP(AG58,Variables!$AC$3:$AD$8,2,FALSE),"Y","N")</f>
        <v>N</v>
      </c>
      <c r="X58" s="247">
        <f t="shared" si="34"/>
        <v>1</v>
      </c>
      <c r="Y58" s="247">
        <f t="shared" si="32"/>
        <v>23.299800000000001</v>
      </c>
      <c r="Z58" s="247">
        <f t="shared" si="33"/>
        <v>1.41E-2</v>
      </c>
      <c r="AA58" s="247">
        <f t="shared" si="9"/>
        <v>23.285700000000002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10"/>
        <v>146</v>
      </c>
      <c r="AE58" s="235" t="str">
        <f t="shared" si="11"/>
        <v>aws s3 cp s3://rtdc.mdm.uploadarchive.raw/RTDC4051/ "%USERPROFILE%\AppData\Local\Temp\OnboardLogs"\RTDC4051\2017-12-20 --exclude "*" --recursive --include "*20171220*" &amp; "%USERPROFILE%\Documents\GitHub\mrs-test-scripts\Headless Mode &amp; Sideloading\WalkAndUnGZ.bat" "%USERPROFILE%\AppData\Local\Temp\OnboardLogs"\RTDC4051\2017-12-20 &amp; aws s3 cp s3://rtdc.mdm.uploadarchive.raw/RTDC4051/ "%USERPROFILE%\AppData\Local\Temp\OnboardLogs"\RTDC4051\2017-12-21 --exclude "*" --recursive --include "*20171221*" &amp; "%USERPROFILE%\Documents\GitHub\mrs-test-scripts\Headless Mode &amp; Sideloading\WalkAndUnGZ.bat" "%USERPROFILE%\AppData\Local\Temp\OnboardLogs"\RTDC4051\2017-12-21</v>
      </c>
      <c r="AF58" s="234" t="str">
        <f t="shared" si="12"/>
        <v>"C:\Program Files (x86)\AstroGrep\AstroGrep.exe" /e /r /s /spath="%USERPROFILE%\AppData\Local\Temp\OnboardLogs" /stypes="app*4051*20171220*" /stext=" 17:.+((SYSTEM_STATE.+slice.+state.+changed )|(ment ac)|(multiple cpu faults)|(system.+state.+changed )|(\[timeout)|(PRM\|1\|D)|(kpr)|(kdp)|(train st.+moving)|(\|gpps)|(penalty))"</v>
      </c>
      <c r="AG58" s="244" t="str">
        <f t="shared" si="13"/>
        <v>EC</v>
      </c>
      <c r="AH58" s="236" t="str">
        <f t="shared" si="19"/>
        <v>"%USERPROFILE%\Documents\GitHub\eaglep3\Utilities\RefineRTDCRunTimes.py" --tripid 146-20 --locoid 4051 --swversion DE.1.0.9.0 --startMP 204:232998 --initTime 2017-12-20T09:54:09 --startdatetime 2017-12-20T10:12:16 --delay 48 --endMP 204:141 --enddatetime 2017-12-20T10:50:28 --enforcementcount 0 &gt;&gt;%USERPROFILE%\Documents\GitHub\eaglep3-reporting\EC\2017-12-20-refined-times.txt</v>
      </c>
      <c r="AI58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{"issue":{"subject":"","project_id":79,"tracker_id":40,"status_id":1,"priority_id":2,"assigned_to_id":338,"start_date":"2017-12-20","description":"","custom_fields":[{"id":1,"name":"Subdivision","value":"EC"},{"id":4,"name":"Milepost","value":"0.0141"},{"id":17,"name":"Train ID","value":"146-20"},{"id":16,"name":"Locomotive ID","value":"4051"},{"id":130,"name":"Impact","value":""},{"id":150,"name":"Time of Event (Mountain Time)","value":"10:50:28"},{"id":151,"name":"Denver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21"/>
        <v>start /low /b %USERPROFILE%\Documents\GitHub\eaglep3\Utilities\DownloadLogsFromS3.py --loco 4051 --day 2017-12-20</v>
      </c>
      <c r="AN58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17:50:28"},{"id":29,"name":"Sharepoint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23"/>
        <v>https://d0f6bd738d7f1b3e5a7ca70fe4ff75f0.us-east-1.aws.found.io/app/kibana#/discover/Steve-Slow-Train-Analysis-(2080s-and-2083s)?_g=(refreshInterval:(display:Off,pause:!f,section:0,value:0),time:(from:'2017-12-20T08:54:09-0700',mode:absolute,to:'2017-12-20T11:50:28-0700'))&amp;_a=(columns:!('Message%20ID',Summary),filters:!(),index:'emp_*',interval:auto,query:(query_string:(analyze_wildcard:!t,query:'%22rtdc.l.rtdc.4051%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9" t="s">
        <v>749</v>
      </c>
      <c r="B59" s="225">
        <v>4044</v>
      </c>
      <c r="C59" s="227" t="s">
        <v>192</v>
      </c>
      <c r="D59" s="227" t="s">
        <v>608</v>
      </c>
      <c r="E59" s="226">
        <v>43089.389178240737</v>
      </c>
      <c r="F59" s="226">
        <v>43089.396006944444</v>
      </c>
      <c r="G59" s="225">
        <v>61</v>
      </c>
      <c r="H59" s="227" t="s">
        <v>645</v>
      </c>
      <c r="I59" s="226">
        <v>43089.421597222223</v>
      </c>
      <c r="J59" s="225">
        <v>0</v>
      </c>
      <c r="K59" s="237" t="str">
        <f t="shared" si="0"/>
        <v>4043/4044</v>
      </c>
      <c r="L59" s="245" t="str">
        <f>VLOOKUP(A59,'Trips&amp;Operators'!$C$1:$G$99911,5,FALSE)</f>
        <v>SPECTOR MICHAEL</v>
      </c>
      <c r="M59" s="224">
        <f t="shared" si="1"/>
        <v>2.5590277778974269E-2</v>
      </c>
      <c r="N59" s="225">
        <f t="shared" si="31"/>
        <v>36.850000001722947</v>
      </c>
      <c r="O59" s="225"/>
      <c r="P59" s="225"/>
      <c r="Q59" s="228"/>
      <c r="R59" s="242"/>
      <c r="S59" s="249">
        <f t="shared" si="24"/>
        <v>1</v>
      </c>
      <c r="T59" s="242" t="str">
        <f t="shared" si="4"/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 t="shared" si="5"/>
        <v>https://d0f6bd738d7f1b3e5a7ca70fe4ff75f0.us-east-1.aws.found.io/app/kibana#/discover/Steve-Slow-Train-Analysis-(2080s-and-2083s)?_g=(refreshInterval:(display:Off,pause:!f,section:0,value:0),time:(from:'2017-12-20T08:20:25-0700',mode:absolute,to:'2017-12-20T11:07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9" s="247" t="str">
        <f>IF(AA59&lt;VLOOKUP(AG59,Variables!$AC$3:$AD$8,2,FALSE),"Y","N")</f>
        <v>N</v>
      </c>
      <c r="X59" s="247">
        <f t="shared" si="34"/>
        <v>1</v>
      </c>
      <c r="Y59" s="247">
        <f t="shared" si="32"/>
        <v>4.4600000000000001E-2</v>
      </c>
      <c r="Z59" s="247">
        <f t="shared" si="33"/>
        <v>23.332899999999999</v>
      </c>
      <c r="AA59" s="247">
        <f t="shared" si="9"/>
        <v>23.2883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 t="shared" si="10"/>
        <v>147</v>
      </c>
      <c r="AE59" s="235" t="str">
        <f t="shared" si="11"/>
        <v>aws s3 cp s3://rtdc.mdm.uploadarchive.raw/RTDC4044/ "%USERPROFILE%\AppData\Local\Temp\OnboardLogs"\RTDC4044\2017-12-20 --exclude "*" --recursive --include "*20171220*" &amp; "%USERPROFILE%\Documents\GitHub\mrs-test-scripts\Headless Mode &amp; Sideloading\WalkAndUnGZ.bat" "%USERPROFILE%\AppData\Local\Temp\OnboardLogs"\RTDC4044\2017-12-20 &amp; aws s3 cp s3://rtdc.mdm.uploadarchive.raw/RTDC4044/ "%USERPROFILE%\AppData\Local\Temp\OnboardLogs"\RTDC4044\2017-12-21 --exclude "*" --recursive --include "*20171221*" &amp; "%USERPROFILE%\Documents\GitHub\mrs-test-scripts\Headless Mode &amp; Sideloading\WalkAndUnGZ.bat" "%USERPROFILE%\AppData\Local\Temp\OnboardLogs"\RTDC4044\2017-12-21</v>
      </c>
      <c r="AF59" s="234" t="str">
        <f t="shared" si="12"/>
        <v>"C:\Program Files (x86)\AstroGrep\AstroGrep.exe" /e /r /s /spath="%USERPROFILE%\AppData\Local\Temp\OnboardLogs" /stypes="app*4044*20171220*" /stext=" 17:.+((SYSTEM_STATE.+slice.+state.+changed )|(ment ac)|(multiple cpu faults)|(system.+state.+changed )|(\[timeout)|(PRM\|1\|D)|(kpr)|(kdp)|(train st.+moving)|(\|gpps)|(penalty))"</v>
      </c>
      <c r="AG59" s="244" t="str">
        <f t="shared" si="13"/>
        <v>EC</v>
      </c>
      <c r="AH59" s="236" t="str">
        <f t="shared" si="19"/>
        <v>"%USERPROFILE%\Documents\GitHub\eaglep3\Utilities\RefineRTDCRunTimes.py" --tripid 147-20 --locoid 4044 --swversion DE.1.0.9.0 --startMP 204:446 --initTime 2017-12-20T09:20:25 --startdatetime 2017-12-20T09:30:15 --delay 61 --endMP 204:233329 --enddatetime 2017-12-20T10:07:06 --enforcementcount 0 &gt;&gt;%USERPROFILE%\Documents\GitHub\eaglep3-reporting\EC\2017-12-20-refined-times.txt</v>
      </c>
      <c r="AI59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{"issue":{"subject":"","project_id":79,"tracker_id":40,"status_id":1,"priority_id":2,"assigned_to_id":338,"start_date":"2017-12-20","description":"","custom_fields":[{"id":1,"name":"Subdivision","value":"EC"},{"id":4,"name":"Milepost","value":"23.3329"},{"id":17,"name":"Train ID","value":"147-20"},{"id":16,"name":"Locomotive ID","value":"4044"},{"id":130,"name":"Impact","value":""},{"id":150,"name":"Time of Event (Mountain Time)","value":"10:07:06"},{"id":151,"name":"Denver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21"/>
        <v>start /low /b %USERPROFILE%\Documents\GitHub\eaglep3\Utilities\DownloadLogsFromS3.py --loco 4044 --day 2017-12-20</v>
      </c>
      <c r="AN59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17:07:06"},{"id":29,"name":"Sharepoint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23"/>
        <v>https://d0f6bd738d7f1b3e5a7ca70fe4ff75f0.us-east-1.aws.found.io/app/kibana#/discover/Steve-Slow-Train-Analysis-(2080s-and-2083s)?_g=(refreshInterval:(display:Off,pause:!f,section:0,value:0),time:(from:'2017-12-20T08:20:25-0700',mode:absolute,to:'2017-12-20T11:07:06-0700'))&amp;_a=(columns:!('Message%20ID',Summary),filters:!(),index:'emp_*',interval:auto,query:(query_string:(analyze_wildcard:!t,query:'%22rtdc.l.rtdc.4044%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9" t="s">
        <v>758</v>
      </c>
      <c r="B60" s="225">
        <v>4043</v>
      </c>
      <c r="C60" s="227" t="s">
        <v>192</v>
      </c>
      <c r="D60" s="227" t="s">
        <v>935</v>
      </c>
      <c r="E60" s="226">
        <v>43089.426053240742</v>
      </c>
      <c r="F60" s="226">
        <v>43089.435578703706</v>
      </c>
      <c r="G60" s="225">
        <v>73</v>
      </c>
      <c r="H60" s="227" t="s">
        <v>918</v>
      </c>
      <c r="I60" s="226">
        <v>43089.46199074074</v>
      </c>
      <c r="J60" s="225">
        <v>0</v>
      </c>
      <c r="K60" s="237" t="str">
        <f t="shared" si="0"/>
        <v>4043/4044</v>
      </c>
      <c r="L60" s="245" t="str">
        <f>VLOOKUP(A60,'Trips&amp;Operators'!$C$1:$G$99911,5,FALSE)</f>
        <v>SPECTOR MICHAEL</v>
      </c>
      <c r="M60" s="224">
        <f t="shared" si="1"/>
        <v>2.6412037033878732E-2</v>
      </c>
      <c r="N60" s="225">
        <f t="shared" si="31"/>
        <v>38.033333328785375</v>
      </c>
      <c r="O60" s="225"/>
      <c r="P60" s="225"/>
      <c r="Q60" s="228"/>
      <c r="R60" s="242"/>
      <c r="S60" s="249">
        <f t="shared" si="24"/>
        <v>1</v>
      </c>
      <c r="T60" s="242" t="str">
        <f t="shared" si="4"/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5"/>
        <v>https://d0f6bd738d7f1b3e5a7ca70fe4ff75f0.us-east-1.aws.found.io/app/kibana#/discover/Steve-Slow-Train-Analysis-(2080s-and-2083s)?_g=(refreshInterval:(display:Off,pause:!f,section:0,value:0),time:(from:'2017-12-20T09:13:31-0700',mode:absolute,to:'2017-12-20T12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0" s="247" t="str">
        <f>IF(AA60&lt;VLOOKUP(AG60,Variables!$AC$3:$AD$8,2,FALSE),"Y","N")</f>
        <v>N</v>
      </c>
      <c r="X60" s="247">
        <f t="shared" si="34"/>
        <v>1</v>
      </c>
      <c r="Y60" s="247">
        <f t="shared" si="32"/>
        <v>23.302299999999999</v>
      </c>
      <c r="Z60" s="247">
        <f t="shared" si="33"/>
        <v>1.3899999999999999E-2</v>
      </c>
      <c r="AA60" s="247">
        <f t="shared" si="9"/>
        <v>23.288399999999999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 t="shared" si="10"/>
        <v>148</v>
      </c>
      <c r="AE60" s="235" t="str">
        <f t="shared" si="11"/>
        <v>aws s3 cp s3://rtdc.mdm.uploadarchive.raw/RTDC4043/ "%USERPROFILE%\AppData\Local\Temp\OnboardLogs"\RTDC4043\2017-12-20 --exclude "*" --recursive --include "*20171220*" &amp; "%USERPROFILE%\Documents\GitHub\mrs-test-scripts\Headless Mode &amp; Sideloading\WalkAndUnGZ.bat" "%USERPROFILE%\AppData\Local\Temp\OnboardLogs"\RTDC4043\2017-12-20 &amp; aws s3 cp s3://rtdc.mdm.uploadarchive.raw/RTDC4043/ "%USERPROFILE%\AppData\Local\Temp\OnboardLogs"\RTDC4043\2017-12-21 --exclude "*" --recursive --include "*20171221*" &amp; "%USERPROFILE%\Documents\GitHub\mrs-test-scripts\Headless Mode &amp; Sideloading\WalkAndUnGZ.bat" "%USERPROFILE%\AppData\Local\Temp\OnboardLogs"\RTDC4043\2017-12-21</v>
      </c>
      <c r="AF60" s="234" t="str">
        <f t="shared" si="12"/>
        <v>"C:\Program Files (x86)\AstroGrep\AstroGrep.exe" /e /r /s /spath="%USERPROFILE%\AppData\Local\Temp\OnboardLogs" /stypes="app*4043*20171220*" /stext=" 18:.+((SYSTEM_STATE.+slice.+state.+changed )|(ment ac)|(multiple cpu faults)|(system.+state.+changed )|(\[timeout)|(PRM\|1\|D)|(kpr)|(kdp)|(train st.+moving)|(\|gpps)|(penalty))"</v>
      </c>
      <c r="AG60" s="244" t="str">
        <f t="shared" si="13"/>
        <v>EC</v>
      </c>
      <c r="AH60" s="236" t="str">
        <f t="shared" si="19"/>
        <v>"%USERPROFILE%\Documents\GitHub\eaglep3\Utilities\RefineRTDCRunTimes.py" --tripid 148-20 --locoid 4043 --swversion DE.1.0.9.0 --startMP 204:233023 --initTime 2017-12-20T10:13:31 --startdatetime 2017-12-20T10:27:14 --delay 73 --endMP 204:139 --enddatetime 2017-12-20T11:05:16 --enforcementcount 0 &gt;&gt;%USERPROFILE%\Documents\GitHub\eaglep3-reporting\EC\2017-12-20-refined-times.txt</v>
      </c>
      <c r="AI60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{"issue":{"subject":"","project_id":79,"tracker_id":40,"status_id":1,"priority_id":2,"assigned_to_id":338,"start_date":"2017-12-20","description":"","custom_fields":[{"id":1,"name":"Subdivision","value":"EC"},{"id":4,"name":"Milepost","value":"0.0139"},{"id":17,"name":"Train ID","value":"148-20"},{"id":16,"name":"Locomotive ID","value":"4043"},{"id":130,"name":"Impact","value":""},{"id":150,"name":"Time of Event (Mountain Time)","value":"11:05:16"},{"id":151,"name":"Denver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21"/>
        <v>start /low /b %USERPROFILE%\Documents\GitHub\eaglep3\Utilities\DownloadLogsFromS3.py --loco 4043 --day 2017-12-20</v>
      </c>
      <c r="AN60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18:05:16"},{"id":29,"name":"Sharepoint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23"/>
        <v>https://d0f6bd738d7f1b3e5a7ca70fe4ff75f0.us-east-1.aws.found.io/app/kibana#/discover/Steve-Slow-Train-Analysis-(2080s-and-2083s)?_g=(refreshInterval:(display:Off,pause:!f,section:0,value:0),time:(from:'2017-12-20T09:13:31-0700',mode:absolute,to:'2017-12-20T12:05:16-0700'))&amp;_a=(columns:!('Message%20ID',Summary),filters:!(),index:'emp_*',interval:auto,query:(query_string:(analyze_wildcard:!t,query:'%22rtdc.l.rtdc.4043%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9" t="s">
        <v>753</v>
      </c>
      <c r="B61" s="225">
        <v>4058</v>
      </c>
      <c r="C61" s="227" t="s">
        <v>192</v>
      </c>
      <c r="D61" s="227" t="s">
        <v>628</v>
      </c>
      <c r="E61" s="226">
        <v>43089.402106481481</v>
      </c>
      <c r="F61" s="226">
        <v>43089.406550925924</v>
      </c>
      <c r="G61" s="225">
        <v>62</v>
      </c>
      <c r="H61" s="227" t="s">
        <v>613</v>
      </c>
      <c r="I61" s="226">
        <v>43089.431377314817</v>
      </c>
      <c r="J61" s="225">
        <v>0</v>
      </c>
      <c r="K61" s="237" t="str">
        <f t="shared" si="0"/>
        <v>4057/4058</v>
      </c>
      <c r="L61" s="245" t="str">
        <f>VLOOKUP(A61,'Trips&amp;Operators'!$C$1:$G$99911,5,FALSE)</f>
        <v>DAVIDSON DAVID</v>
      </c>
      <c r="M61" s="224">
        <f t="shared" si="1"/>
        <v>2.4826388893416151E-2</v>
      </c>
      <c r="N61" s="225">
        <f t="shared" si="31"/>
        <v>35.750000006519258</v>
      </c>
      <c r="O61" s="225"/>
      <c r="P61" s="225"/>
      <c r="Q61" s="228"/>
      <c r="R61" s="242"/>
      <c r="S61" s="249">
        <f t="shared" si="24"/>
        <v>1</v>
      </c>
      <c r="T61" s="242" t="str">
        <f t="shared" si="4"/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5"/>
        <v>https://d0f6bd738d7f1b3e5a7ca70fe4ff75f0.us-east-1.aws.found.io/app/kibana#/discover/Steve-Slow-Train-Analysis-(2080s-and-2083s)?_g=(refreshInterval:(display:Off,pause:!f,section:0,value:0),time:(from:'2017-12-20T08:39:02-0700',mode:absolute,to:'2017-12-20T11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1" s="247" t="str">
        <f>IF(AA61&lt;VLOOKUP(AG61,Variables!$AC$3:$AD$8,2,FALSE),"Y","N")</f>
        <v>N</v>
      </c>
      <c r="X61" s="247">
        <f t="shared" si="34"/>
        <v>1</v>
      </c>
      <c r="Y61" s="247">
        <f t="shared" si="32"/>
        <v>5.2900000000000003E-2</v>
      </c>
      <c r="Z61" s="247">
        <f t="shared" si="33"/>
        <v>23.3276</v>
      </c>
      <c r="AA61" s="247">
        <f t="shared" si="9"/>
        <v>23.274699999999999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10"/>
        <v>149</v>
      </c>
      <c r="AE61" s="235" t="str">
        <f t="shared" si="11"/>
        <v>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 &amp; aws s3 cp s3://rtdc.mdm.uploadarchive.raw/RTDC4058/ "%USERPROFILE%\AppData\Local\Temp\OnboardLogs"\RTDC4058\2017-12-21 --exclude "*" --recursive --include "*20171221*" &amp; "%USERPROFILE%\Documents\GitHub\mrs-test-scripts\Headless Mode &amp; Sideloading\WalkAndUnGZ.bat" "%USERPROFILE%\AppData\Local\Temp\OnboardLogs"\RTDC4058\2017-12-21</v>
      </c>
      <c r="AF61" s="234" t="str">
        <f t="shared" si="12"/>
        <v>"C:\Program Files (x86)\AstroGrep\AstroGrep.exe" /e /r /s /spath="%USERPROFILE%\AppData\Local\Temp\OnboardLogs" /stypes="app*4058*20171220*" /stext=" 17:.+((SYSTEM_STATE.+slice.+state.+changed )|(ment ac)|(multiple cpu faults)|(system.+state.+changed )|(\[timeout)|(PRM\|1\|D)|(kpr)|(kdp)|(train st.+moving)|(\|gpps)|(penalty))"</v>
      </c>
      <c r="AG61" s="244" t="str">
        <f t="shared" si="13"/>
        <v>EC</v>
      </c>
      <c r="AH61" s="236" t="str">
        <f t="shared" si="19"/>
        <v>"%USERPROFILE%\Documents\GitHub\eaglep3\Utilities\RefineRTDCRunTimes.py" --tripid 149-20 --locoid 4058 --swversion DE.1.0.9.0 --startMP 204:529 --initTime 2017-12-20T09:39:02 --startdatetime 2017-12-20T09:45:26 --delay 62 --endMP 204:233276 --enddatetime 2017-12-20T10:21:11 --enforcementcount 0 &gt;&gt;%USERPROFILE%\Documents\GitHub\eaglep3-reporting\EC\2017-12-20-refined-times.txt</v>
      </c>
      <c r="AI61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{"issue":{"subject":"","project_id":79,"tracker_id":40,"status_id":1,"priority_id":2,"assigned_to_id":338,"start_date":"2017-12-20","description":"","custom_fields":[{"id":1,"name":"Subdivision","value":"EC"},{"id":4,"name":"Milepost","value":"23.3276"},{"id":17,"name":"Train ID","value":"149-20"},{"id":16,"name":"Locomotive ID","value":"4058"},{"id":130,"name":"Impact","value":""},{"id":150,"name":"Time of Event (Mountain Time)","value":"10:21:11"},{"id":151,"name":"Denver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21"/>
        <v>start /low /b %USERPROFILE%\Documents\GitHub\eaglep3\Utilities\DownloadLogsFromS3.py --loco 4058 --day 2017-12-20</v>
      </c>
      <c r="AN61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17:21:11"},{"id":29,"name":"Sharepoint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23"/>
        <v>https://d0f6bd738d7f1b3e5a7ca70fe4ff75f0.us-east-1.aws.found.io/app/kibana#/discover/Steve-Slow-Train-Analysis-(2080s-and-2083s)?_g=(refreshInterval:(display:Off,pause:!f,section:0,value:0),time:(from:'2017-12-20T08:39:02-0700',mode:absolute,to:'2017-12-20T11:21:11-0700'))&amp;_a=(columns:!('Message%20ID',Summary),filters:!(),index:'emp_*',interval:auto,query:(query_string:(analyze_wildcard:!t,query:'%22rtdc.l.rtdc.4058%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9" t="s">
        <v>760</v>
      </c>
      <c r="B62" s="225">
        <v>4057</v>
      </c>
      <c r="C62" s="227" t="s">
        <v>192</v>
      </c>
      <c r="D62" s="227" t="s">
        <v>503</v>
      </c>
      <c r="E62" s="226">
        <v>43089.433611111112</v>
      </c>
      <c r="F62" s="226">
        <v>43089.44604166667</v>
      </c>
      <c r="G62" s="225">
        <v>55</v>
      </c>
      <c r="H62" s="227" t="s">
        <v>936</v>
      </c>
      <c r="I62" s="226">
        <v>43089.47415509259</v>
      </c>
      <c r="J62" s="225">
        <v>0</v>
      </c>
      <c r="K62" s="237" t="str">
        <f t="shared" si="0"/>
        <v>4057/4058</v>
      </c>
      <c r="L62" s="245" t="str">
        <f>VLOOKUP(A62,'Trips&amp;Operators'!$C$1:$G$99911,5,FALSE)</f>
        <v>DAVIDSON DAVID</v>
      </c>
      <c r="M62" s="224">
        <f t="shared" si="1"/>
        <v>2.8113425920309965E-2</v>
      </c>
      <c r="N62" s="225">
        <f t="shared" si="31"/>
        <v>40.483333325246349</v>
      </c>
      <c r="O62" s="225"/>
      <c r="P62" s="225"/>
      <c r="Q62" s="228"/>
      <c r="R62" s="242"/>
      <c r="S62" s="249">
        <f t="shared" si="24"/>
        <v>1</v>
      </c>
      <c r="T62" s="242" t="str">
        <f t="shared" si="4"/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5"/>
        <v>https://d0f6bd738d7f1b3e5a7ca70fe4ff75f0.us-east-1.aws.found.io/app/kibana#/discover/Steve-Slow-Train-Analysis-(2080s-and-2083s)?_g=(refreshInterval:(display:Off,pause:!f,section:0,value:0),time:(from:'2017-12-20T09:24:24-0700',mode:absolute,to:'2017-12-20T12:22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2" s="247" t="str">
        <f>IF(AA62&lt;VLOOKUP(AG62,Variables!$AC$3:$AD$8,2,FALSE),"Y","N")</f>
        <v>N</v>
      </c>
      <c r="X62" s="247">
        <f t="shared" si="34"/>
        <v>1</v>
      </c>
      <c r="Y62" s="247">
        <f t="shared" si="32"/>
        <v>23.295300000000001</v>
      </c>
      <c r="Z62" s="247">
        <f t="shared" si="33"/>
        <v>0.1162</v>
      </c>
      <c r="AA62" s="247">
        <f t="shared" si="9"/>
        <v>23.179100000000002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 t="shared" si="10"/>
        <v>150</v>
      </c>
      <c r="AE62" s="235" t="str">
        <f t="shared" si="11"/>
        <v>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 &amp; aws s3 cp s3://rtdc.mdm.uploadarchive.raw/RTDC4057/ "%USERPROFILE%\AppData\Local\Temp\OnboardLogs"\RTDC4057\2017-12-21 --exclude "*" --recursive --include "*20171221*" &amp; "%USERPROFILE%\Documents\GitHub\mrs-test-scripts\Headless Mode &amp; Sideloading\WalkAndUnGZ.bat" "%USERPROFILE%\AppData\Local\Temp\OnboardLogs"\RTDC4057\2017-12-21</v>
      </c>
      <c r="AF62" s="234" t="str">
        <f t="shared" si="12"/>
        <v>"C:\Program Files (x86)\AstroGrep\AstroGrep.exe" /e /r /s /spath="%USERPROFILE%\AppData\Local\Temp\OnboardLogs" /stypes="app*4057*20171220*" /stext=" 18:.+((SYSTEM_STATE.+slice.+state.+changed )|(ment ac)|(multiple cpu faults)|(system.+state.+changed )|(\[timeout)|(PRM\|1\|D)|(kpr)|(kdp)|(train st.+moving)|(\|gpps)|(penalty))"</v>
      </c>
      <c r="AG62" s="244" t="str">
        <f t="shared" si="13"/>
        <v>EC</v>
      </c>
      <c r="AH62" s="236" t="str">
        <f t="shared" si="19"/>
        <v>"%USERPROFILE%\Documents\GitHub\eaglep3\Utilities\RefineRTDCRunTimes.py" --tripid 150-20 --locoid 4057 --swversion DE.1.0.9.0 --startMP 204:232953 --initTime 2017-12-20T10:24:24 --startdatetime 2017-12-20T10:42:18 --delay 55 --endMP 204:1162 --enddatetime 2017-12-20T11:22:47 --enforcementcount 0 &gt;&gt;%USERPROFILE%\Documents\GitHub\eaglep3-reporting\EC\2017-12-20-refined-times.txt</v>
      </c>
      <c r="AI62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{"issue":{"subject":"","project_id":79,"tracker_id":40,"status_id":1,"priority_id":2,"assigned_to_id":338,"start_date":"2017-12-20","description":"","custom_fields":[{"id":1,"name":"Subdivision","value":"EC"},{"id":4,"name":"Milepost","value":"0.1162"},{"id":17,"name":"Train ID","value":"150-20"},{"id":16,"name":"Locomotive ID","value":"4057"},{"id":130,"name":"Impact","value":""},{"id":150,"name":"Time of Event (Mountain Time)","value":"11:22:47"},{"id":151,"name":"Denver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21"/>
        <v>start /low /b %USERPROFILE%\Documents\GitHub\eaglep3\Utilities\DownloadLogsFromS3.py --loco 4057 --day 2017-12-20</v>
      </c>
      <c r="AN62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18:22:47"},{"id":29,"name":"Sharepoint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23"/>
        <v>https://d0f6bd738d7f1b3e5a7ca70fe4ff75f0.us-east-1.aws.found.io/app/kibana#/discover/Steve-Slow-Train-Analysis-(2080s-and-2083s)?_g=(refreshInterval:(display:Off,pause:!f,section:0,value:0),time:(from:'2017-12-20T09:24:24-0700',mode:absolute,to:'2017-12-20T12:22:47-0700'))&amp;_a=(columns:!('Message%20ID',Summary),filters:!(),index:'emp_*',interval:auto,query:(query_string:(analyze_wildcard:!t,query:'%22rtdc.l.rtdc.4057%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9" t="s">
        <v>754</v>
      </c>
      <c r="B63" s="225">
        <v>4026</v>
      </c>
      <c r="C63" s="227" t="s">
        <v>192</v>
      </c>
      <c r="D63" s="227" t="s">
        <v>545</v>
      </c>
      <c r="E63" s="226">
        <v>43089.412314814814</v>
      </c>
      <c r="F63" s="226">
        <v>43089.416886574072</v>
      </c>
      <c r="G63" s="225">
        <v>64</v>
      </c>
      <c r="H63" s="227" t="s">
        <v>937</v>
      </c>
      <c r="I63" s="226">
        <v>43089.441296296296</v>
      </c>
      <c r="J63" s="225">
        <v>0</v>
      </c>
      <c r="K63" s="237" t="str">
        <f t="shared" si="0"/>
        <v>4025/4026</v>
      </c>
      <c r="L63" s="245" t="str">
        <f>VLOOKUP(A63,'Trips&amp;Operators'!$C$1:$G$99911,5,FALSE)</f>
        <v>LOPES KIMBERLY</v>
      </c>
      <c r="M63" s="224">
        <f t="shared" si="1"/>
        <v>2.4409722223936114E-2</v>
      </c>
      <c r="N63" s="225">
        <f t="shared" si="31"/>
        <v>35.150000002468005</v>
      </c>
      <c r="O63" s="225"/>
      <c r="P63" s="225"/>
      <c r="Q63" s="228"/>
      <c r="R63" s="242"/>
      <c r="S63" s="249">
        <f t="shared" si="24"/>
        <v>1</v>
      </c>
      <c r="T63" s="242" t="str">
        <f t="shared" si="4"/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 t="shared" si="5"/>
        <v>https://d0f6bd738d7f1b3e5a7ca70fe4ff75f0.us-east-1.aws.found.io/app/kibana#/discover/Steve-Slow-Train-Analysis-(2080s-and-2083s)?_g=(refreshInterval:(display:Off,pause:!f,section:0,value:0),time:(from:'2017-12-20T08:53:44-0700',mode:absolute,to:'2017-12-20T11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3" s="247" t="str">
        <f>IF(AA63&lt;VLOOKUP(AG63,Variables!$AC$3:$AD$8,2,FALSE),"Y","N")</f>
        <v>N</v>
      </c>
      <c r="X63" s="247">
        <f t="shared" si="34"/>
        <v>1</v>
      </c>
      <c r="Y63" s="247">
        <f t="shared" si="32"/>
        <v>4.9500000000000002E-2</v>
      </c>
      <c r="Z63" s="247">
        <f t="shared" si="33"/>
        <v>23.324400000000001</v>
      </c>
      <c r="AA63" s="247">
        <f t="shared" si="9"/>
        <v>23.274900000000002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10"/>
        <v>151</v>
      </c>
      <c r="AE63" s="235" t="str">
        <f t="shared" si="11"/>
        <v>aws s3 cp s3://rtdc.mdm.uploadarchive.raw/RTDC4026/ "%USERPROFILE%\AppData\Local\Temp\OnboardLogs"\RTDC4026\2017-12-20 --exclude "*" --recursive --include "*20171220*" &amp; "%USERPROFILE%\Documents\GitHub\mrs-test-scripts\Headless Mode &amp; Sideloading\WalkAndUnGZ.bat" "%USERPROFILE%\AppData\Local\Temp\OnboardLogs"\RTDC4026\2017-12-20 &amp; aws s3 cp s3://rtdc.mdm.uploadarchive.raw/RTDC4026/ "%USERPROFILE%\AppData\Local\Temp\OnboardLogs"\RTDC4026\2017-12-21 --exclude "*" --recursive --include "*20171221*" &amp; "%USERPROFILE%\Documents\GitHub\mrs-test-scripts\Headless Mode &amp; Sideloading\WalkAndUnGZ.bat" "%USERPROFILE%\AppData\Local\Temp\OnboardLogs"\RTDC4026\2017-12-21</v>
      </c>
      <c r="AF63" s="234" t="str">
        <f t="shared" si="12"/>
        <v>"C:\Program Files (x86)\AstroGrep\AstroGrep.exe" /e /r /s /spath="%USERPROFILE%\AppData\Local\Temp\OnboardLogs" /stypes="app*4026*20171220*" /stext=" 17:.+((SYSTEM_STATE.+slice.+state.+changed )|(ment ac)|(multiple cpu faults)|(system.+state.+changed )|(\[timeout)|(PRM\|1\|D)|(kpr)|(kdp)|(train st.+moving)|(\|gpps)|(penalty))"</v>
      </c>
      <c r="AG63" s="244" t="str">
        <f t="shared" si="13"/>
        <v>EC</v>
      </c>
      <c r="AH63" s="236" t="str">
        <f t="shared" si="19"/>
        <v>"%USERPROFILE%\Documents\GitHub\eaglep3\Utilities\RefineRTDCRunTimes.py" --tripid 151-20 --locoid 4026 --swversion DE.1.0.9.0 --startMP 204:495 --initTime 2017-12-20T09:53:44 --startdatetime 2017-12-20T10:00:19 --delay 64 --endMP 204:233244 --enddatetime 2017-12-20T10:35:28 --enforcementcount 0 &gt;&gt;%USERPROFILE%\Documents\GitHub\eaglep3-reporting\EC\2017-12-20-refined-times.txt</v>
      </c>
      <c r="AI63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{"issue":{"subject":"","project_id":79,"tracker_id":40,"status_id":1,"priority_id":2,"assigned_to_id":338,"start_date":"2017-12-20","description":"","custom_fields":[{"id":1,"name":"Subdivision","value":"EC"},{"id":4,"name":"Milepost","value":"23.3244"},{"id":17,"name":"Train ID","value":"151-20"},{"id":16,"name":"Locomotive ID","value":"4026"},{"id":130,"name":"Impact","value":""},{"id":150,"name":"Time of Event (Mountain Time)","value":"10:35:28"},{"id":151,"name":"Denver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21"/>
        <v>start /low /b %USERPROFILE%\Documents\GitHub\eaglep3\Utilities\DownloadLogsFromS3.py --loco 4026 --day 2017-12-20</v>
      </c>
      <c r="AN63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17:35:28"},{"id":29,"name":"Sharepoint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23"/>
        <v>https://d0f6bd738d7f1b3e5a7ca70fe4ff75f0.us-east-1.aws.found.io/app/kibana#/discover/Steve-Slow-Train-Analysis-(2080s-and-2083s)?_g=(refreshInterval:(display:Off,pause:!f,section:0,value:0),time:(from:'2017-12-20T08:53:44-0700',mode:absolute,to:'2017-12-20T11:35:28-0700'))&amp;_a=(columns:!('Message%20ID',Summary),filters:!(),index:'emp_*',interval:auto,query:(query_string:(analyze_wildcard:!t,query:'%22rtdc.l.rtdc.4026%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9" t="s">
        <v>763</v>
      </c>
      <c r="B64" s="225">
        <v>4025</v>
      </c>
      <c r="C64" s="227" t="s">
        <v>192</v>
      </c>
      <c r="D64" s="227" t="s">
        <v>938</v>
      </c>
      <c r="E64" s="226">
        <v>43089.448692129627</v>
      </c>
      <c r="F64" s="226">
        <v>43089.456400462965</v>
      </c>
      <c r="G64" s="225">
        <v>64</v>
      </c>
      <c r="H64" s="227" t="s">
        <v>478</v>
      </c>
      <c r="I64" s="226">
        <v>43089.48165509259</v>
      </c>
      <c r="J64" s="225">
        <v>0</v>
      </c>
      <c r="K64" s="237" t="str">
        <f t="shared" si="0"/>
        <v>4025/4026</v>
      </c>
      <c r="L64" s="245" t="str">
        <f>VLOOKUP(A64,'Trips&amp;Operators'!$C$1:$G$99911,5,FALSE)</f>
        <v>LOPES KIMBERLY</v>
      </c>
      <c r="M64" s="224">
        <f t="shared" si="1"/>
        <v>2.5254629625123926E-2</v>
      </c>
      <c r="N64" s="225">
        <f t="shared" si="31"/>
        <v>36.366666660178453</v>
      </c>
      <c r="O64" s="225"/>
      <c r="P64" s="225"/>
      <c r="Q64" s="228"/>
      <c r="R64" s="242"/>
      <c r="S64" s="249">
        <f t="shared" si="24"/>
        <v>1</v>
      </c>
      <c r="T64" s="242" t="str">
        <f t="shared" si="4"/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 t="shared" si="5"/>
        <v>https://d0f6bd738d7f1b3e5a7ca70fe4ff75f0.us-east-1.aws.found.io/app/kibana#/discover/Steve-Slow-Train-Analysis-(2080s-and-2083s)?_g=(refreshInterval:(display:Off,pause:!f,section:0,value:0),time:(from:'2017-12-20T09:46:07-0700',mode:absolute,to:'2017-12-20T12:33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4" s="247" t="str">
        <f>IF(AA64&lt;VLOOKUP(AG64,Variables!$AC$3:$AD$8,2,FALSE),"Y","N")</f>
        <v>N</v>
      </c>
      <c r="X64" s="247">
        <f t="shared" si="34"/>
        <v>1</v>
      </c>
      <c r="Y64" s="247">
        <f t="shared" si="32"/>
        <v>23.2925</v>
      </c>
      <c r="Z64" s="247">
        <f t="shared" si="33"/>
        <v>1.89E-2</v>
      </c>
      <c r="AA64" s="247">
        <f t="shared" si="9"/>
        <v>23.273600000000002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10"/>
        <v>152</v>
      </c>
      <c r="AE64" s="235" t="str">
        <f t="shared" si="11"/>
        <v>aws s3 cp s3://rtdc.mdm.uploadarchive.raw/RTDC4025/ "%USERPROFILE%\AppData\Local\Temp\OnboardLogs"\RTDC4025\2017-12-20 --exclude "*" --recursive --include "*20171220*" &amp; "%USERPROFILE%\Documents\GitHub\mrs-test-scripts\Headless Mode &amp; Sideloading\WalkAndUnGZ.bat" "%USERPROFILE%\AppData\Local\Temp\OnboardLogs"\RTDC4025\2017-12-20 &amp; aws s3 cp s3://rtdc.mdm.uploadarchive.raw/RTDC4025/ "%USERPROFILE%\AppData\Local\Temp\OnboardLogs"\RTDC4025\2017-12-21 --exclude "*" --recursive --include "*20171221*" &amp; "%USERPROFILE%\Documents\GitHub\mrs-test-scripts\Headless Mode &amp; Sideloading\WalkAndUnGZ.bat" "%USERPROFILE%\AppData\Local\Temp\OnboardLogs"\RTDC4025\2017-12-21</v>
      </c>
      <c r="AF64" s="234" t="str">
        <f t="shared" si="12"/>
        <v>"C:\Program Files (x86)\AstroGrep\AstroGrep.exe" /e /r /s /spath="%USERPROFILE%\AppData\Local\Temp\OnboardLogs" /stypes="app*4025*20171220*" /stext=" 18:.+((SYSTEM_STATE.+slice.+state.+changed )|(ment ac)|(multiple cpu faults)|(system.+state.+changed )|(\[timeout)|(PRM\|1\|D)|(kpr)|(kdp)|(train st.+moving)|(\|gpps)|(penalty))"</v>
      </c>
      <c r="AG64" s="244" t="str">
        <f t="shared" si="13"/>
        <v>EC</v>
      </c>
      <c r="AH64" s="236" t="str">
        <f t="shared" si="19"/>
        <v>"%USERPROFILE%\Documents\GitHub\eaglep3\Utilities\RefineRTDCRunTimes.py" --tripid 152-20 --locoid 4025 --swversion DE.1.0.9.0 --startMP 204:232925 --initTime 2017-12-20T10:46:07 --startdatetime 2017-12-20T10:57:13 --delay 64 --endMP 204:189 --enddatetime 2017-12-20T11:33:35 --enforcementcount 0 &gt;&gt;%USERPROFILE%\Documents\GitHub\eaglep3-reporting\EC\2017-12-20-refined-times.txt</v>
      </c>
      <c r="AI64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{"issue":{"subject":"","project_id":79,"tracker_id":40,"status_id":1,"priority_id":2,"assigned_to_id":338,"start_date":"2017-12-20","description":"","custom_fields":[{"id":1,"name":"Subdivision","value":"EC"},{"id":4,"name":"Milepost","value":"0.0189"},{"id":17,"name":"Train ID","value":"152-20"},{"id":16,"name":"Locomotive ID","value":"4025"},{"id":130,"name":"Impact","value":""},{"id":150,"name":"Time of Event (Mountain Time)","value":"11:33:35"},{"id":151,"name":"Denver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21"/>
        <v>start /low /b %USERPROFILE%\Documents\GitHub\eaglep3\Utilities\DownloadLogsFromS3.py --loco 4025 --day 2017-12-20</v>
      </c>
      <c r="AN64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18:33:35"},{"id":29,"name":"Sharepoint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23"/>
        <v>https://d0f6bd738d7f1b3e5a7ca70fe4ff75f0.us-east-1.aws.found.io/app/kibana#/discover/Steve-Slow-Train-Analysis-(2080s-and-2083s)?_g=(refreshInterval:(display:Off,pause:!f,section:0,value:0),time:(from:'2017-12-20T09:46:07-0700',mode:absolute,to:'2017-12-20T12:33:35-0700'))&amp;_a=(columns:!('Message%20ID',Summary),filters:!(),index:'emp_*',interval:auto,query:(query_string:(analyze_wildcard:!t,query:'%22rtdc.l.rtdc.4025%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9" t="s">
        <v>656</v>
      </c>
      <c r="B65" s="225">
        <v>4010</v>
      </c>
      <c r="C65" s="227" t="s">
        <v>192</v>
      </c>
      <c r="D65" s="227" t="s">
        <v>518</v>
      </c>
      <c r="E65" s="226">
        <v>43089.423692129632</v>
      </c>
      <c r="F65" s="226">
        <v>43089.427303240744</v>
      </c>
      <c r="G65" s="225">
        <v>232</v>
      </c>
      <c r="H65" s="227" t="s">
        <v>939</v>
      </c>
      <c r="I65" s="226">
        <v>43089.451111111113</v>
      </c>
      <c r="J65" s="225">
        <v>0</v>
      </c>
      <c r="K65" s="237" t="str">
        <f t="shared" si="0"/>
        <v>4009/4010</v>
      </c>
      <c r="L65" s="245" t="str">
        <f>VLOOKUP(A65,'Trips&amp;Operators'!$C$1:$G$99911,5,FALSE)</f>
        <v>LAMAR NEKESHA</v>
      </c>
      <c r="M65" s="224">
        <f t="shared" si="1"/>
        <v>2.3807870369637385E-2</v>
      </c>
      <c r="N65" s="225">
        <f t="shared" si="31"/>
        <v>34.283333332277834</v>
      </c>
      <c r="O65" s="225"/>
      <c r="P65" s="225"/>
      <c r="Q65" s="228"/>
      <c r="R65" s="242"/>
      <c r="S65" s="249">
        <f t="shared" si="24"/>
        <v>1</v>
      </c>
      <c r="T65" s="242" t="str">
        <f t="shared" si="4"/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5"/>
        <v>https://d0f6bd738d7f1b3e5a7ca70fe4ff75f0.us-east-1.aws.found.io/app/kibana#/discover/Steve-Slow-Train-Analysis-(2080s-and-2083s)?_g=(refreshInterval:(display:Off,pause:!f,section:0,value:0),time:(from:'2017-12-20T09:10:07-0700',mode:absolute,to:'2017-12-20T11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5" s="247" t="str">
        <f>IF(AA65&lt;VLOOKUP(AG65,Variables!$AC$3:$AD$8,2,FALSE),"Y","N")</f>
        <v>N</v>
      </c>
      <c r="X65" s="247">
        <f t="shared" si="34"/>
        <v>1</v>
      </c>
      <c r="Y65" s="247">
        <f t="shared" si="32"/>
        <v>4.9700000000000001E-2</v>
      </c>
      <c r="Z65" s="247">
        <f t="shared" si="33"/>
        <v>23.322600000000001</v>
      </c>
      <c r="AA65" s="247">
        <f t="shared" si="9"/>
        <v>23.2729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10"/>
        <v>153</v>
      </c>
      <c r="AE65" s="235" t="str">
        <f t="shared" si="11"/>
        <v>aws s3 cp s3://rtdc.mdm.uploadarchive.raw/RTDC4010/ "%USERPROFILE%\AppData\Local\Temp\OnboardLogs"\RTDC4010\2017-12-20 --exclude "*" --recursive --include "*20171220*" &amp; "%USERPROFILE%\Documents\GitHub\mrs-test-scripts\Headless Mode &amp; Sideloading\WalkAndUnGZ.bat" "%USERPROFILE%\AppData\Local\Temp\OnboardLogs"\RTDC4010\2017-12-20 &amp; aws s3 cp s3://rtdc.mdm.uploadarchive.raw/RTDC4010/ "%USERPROFILE%\AppData\Local\Temp\OnboardLogs"\RTDC4010\2017-12-21 --exclude "*" --recursive --include "*20171221*" &amp; "%USERPROFILE%\Documents\GitHub\mrs-test-scripts\Headless Mode &amp; Sideloading\WalkAndUnGZ.bat" "%USERPROFILE%\AppData\Local\Temp\OnboardLogs"\RTDC4010\2017-12-21</v>
      </c>
      <c r="AF65" s="234" t="str">
        <f t="shared" si="12"/>
        <v>"C:\Program Files (x86)\AstroGrep\AstroGrep.exe" /e /r /s /spath="%USERPROFILE%\AppData\Local\Temp\OnboardLogs" /stypes="app*4010*20171220*" /stext=" 17:.+((SYSTEM_STATE.+slice.+state.+changed )|(ment ac)|(multiple cpu faults)|(system.+state.+changed )|(\[timeout)|(PRM\|1\|D)|(kpr)|(kdp)|(train st.+moving)|(\|gpps)|(penalty))"</v>
      </c>
      <c r="AG65" s="244" t="str">
        <f t="shared" si="13"/>
        <v>EC</v>
      </c>
      <c r="AH65" s="236" t="str">
        <f t="shared" si="19"/>
        <v>"%USERPROFILE%\Documents\GitHub\eaglep3\Utilities\RefineRTDCRunTimes.py" --tripid 153-20 --locoid 4010 --swversion DE.1.0.9.0 --startMP 204:497 --initTime 2017-12-20T10:10:07 --startdatetime 2017-12-20T10:15:19 --delay 232 --endMP 204:233226 --enddatetime 2017-12-20T10:49:36 --enforcementcount 0 &gt;&gt;%USERPROFILE%\Documents\GitHub\eaglep3-reporting\EC\2017-12-20-refined-times.txt</v>
      </c>
      <c r="AI65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{"issue":{"subject":"","project_id":79,"tracker_id":40,"status_id":1,"priority_id":2,"assigned_to_id":338,"start_date":"2017-12-20","description":"","custom_fields":[{"id":1,"name":"Subdivision","value":"EC"},{"id":4,"name":"Milepost","value":"23.3226"},{"id":17,"name":"Train ID","value":"153-20"},{"id":16,"name":"Locomotive ID","value":"4010"},{"id":130,"name":"Impact","value":""},{"id":150,"name":"Time of Event (Mountain Time)","value":"10:49:36"},{"id":151,"name":"Denver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21"/>
        <v>start /low /b %USERPROFILE%\Documents\GitHub\eaglep3\Utilities\DownloadLogsFromS3.py --loco 4010 --day 2017-12-20</v>
      </c>
      <c r="AN65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17:49:36"},{"id":29,"name":"Sharepoint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23"/>
        <v>https://d0f6bd738d7f1b3e5a7ca70fe4ff75f0.us-east-1.aws.found.io/app/kibana#/discover/Steve-Slow-Train-Analysis-(2080s-and-2083s)?_g=(refreshInterval:(display:Off,pause:!f,section:0,value:0),time:(from:'2017-12-20T09:10:07-0700',mode:absolute,to:'2017-12-20T11:49:36-0700'))&amp;_a=(columns:!('Message%20ID',Summary),filters:!(),index:'emp_*',interval:auto,query:(query_string:(analyze_wildcard:!t,query:'%22rtdc.l.rtdc.4010%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9" t="s">
        <v>771</v>
      </c>
      <c r="B66" s="225">
        <v>4009</v>
      </c>
      <c r="C66" s="227" t="s">
        <v>192</v>
      </c>
      <c r="D66" s="227" t="s">
        <v>940</v>
      </c>
      <c r="E66" s="226">
        <v>43089.465277777781</v>
      </c>
      <c r="F66" s="226">
        <v>43089.468460648146</v>
      </c>
      <c r="G66" s="225">
        <v>182</v>
      </c>
      <c r="H66" s="227" t="s">
        <v>941</v>
      </c>
      <c r="I66" s="226">
        <v>43089.49391203704</v>
      </c>
      <c r="J66" s="225">
        <v>0</v>
      </c>
      <c r="K66" s="237" t="str">
        <f t="shared" si="0"/>
        <v>4009/4010</v>
      </c>
      <c r="L66" s="245" t="str">
        <f>VLOOKUP(A66,'Trips&amp;Operators'!$C$1:$G$99911,5,FALSE)</f>
        <v>LAMAR NEKESHA</v>
      </c>
      <c r="M66" s="224">
        <f t="shared" si="1"/>
        <v>2.5451388893998228E-2</v>
      </c>
      <c r="N66" s="225">
        <f t="shared" si="31"/>
        <v>36.650000007357448</v>
      </c>
      <c r="O66" s="225"/>
      <c r="P66" s="225"/>
      <c r="Q66" s="228"/>
      <c r="R66" s="242"/>
      <c r="S66" s="249">
        <f t="shared" si="24"/>
        <v>1</v>
      </c>
      <c r="T66" s="242" t="str">
        <f t="shared" si="4"/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5"/>
        <v>https://d0f6bd738d7f1b3e5a7ca70fe4ff75f0.us-east-1.aws.found.io/app/kibana#/discover/Steve-Slow-Train-Analysis-(2080s-and-2083s)?_g=(refreshInterval:(display:Off,pause:!f,section:0,value:0),time:(from:'2017-12-20T10:10:00-0700',mode:absolute,to:'2017-12-20T12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6" s="247" t="str">
        <f>IF(AA66&lt;VLOOKUP(AG66,Variables!$AC$3:$AD$8,2,FALSE),"Y","N")</f>
        <v>N</v>
      </c>
      <c r="X66" s="247">
        <f t="shared" si="34"/>
        <v>1</v>
      </c>
      <c r="Y66" s="247">
        <f t="shared" si="32"/>
        <v>23.290500000000002</v>
      </c>
      <c r="Z66" s="247">
        <f t="shared" si="33"/>
        <v>1.78E-2</v>
      </c>
      <c r="AA66" s="247">
        <f t="shared" si="9"/>
        <v>23.2727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10"/>
        <v>154</v>
      </c>
      <c r="AE66" s="235" t="str">
        <f t="shared" si="11"/>
        <v>aws s3 cp s3://rtdc.mdm.uploadarchive.raw/RTDC4009/ "%USERPROFILE%\AppData\Local\Temp\OnboardLogs"\RTDC4009\2017-12-20 --exclude "*" --recursive --include "*20171220*" &amp; "%USERPROFILE%\Documents\GitHub\mrs-test-scripts\Headless Mode &amp; Sideloading\WalkAndUnGZ.bat" "%USERPROFILE%\AppData\Local\Temp\OnboardLogs"\RTDC4009\2017-12-20 &amp; aws s3 cp s3://rtdc.mdm.uploadarchive.raw/RTDC4009/ "%USERPROFILE%\AppData\Local\Temp\OnboardLogs"\RTDC4009\2017-12-21 --exclude "*" --recursive --include "*20171221*" &amp; "%USERPROFILE%\Documents\GitHub\mrs-test-scripts\Headless Mode &amp; Sideloading\WalkAndUnGZ.bat" "%USERPROFILE%\AppData\Local\Temp\OnboardLogs"\RTDC4009\2017-12-21</v>
      </c>
      <c r="AF66" s="234" t="str">
        <f t="shared" si="12"/>
        <v>"C:\Program Files (x86)\AstroGrep\AstroGrep.exe" /e /r /s /spath="%USERPROFILE%\AppData\Local\Temp\OnboardLogs" /stypes="app*4009*20171220*" /stext=" 18:.+((SYSTEM_STATE.+slice.+state.+changed )|(ment ac)|(multiple cpu faults)|(system.+state.+changed )|(\[timeout)|(PRM\|1\|D)|(kpr)|(kdp)|(train st.+moving)|(\|gpps)|(penalty))"</v>
      </c>
      <c r="AG66" s="244" t="str">
        <f t="shared" si="13"/>
        <v>EC</v>
      </c>
      <c r="AH66" s="236" t="str">
        <f t="shared" si="19"/>
        <v>"%USERPROFILE%\Documents\GitHub\eaglep3\Utilities\RefineRTDCRunTimes.py" --tripid 154-20 --locoid 4009 --swversion DE.1.0.9.0 --startMP 204:232905 --initTime 2017-12-20T11:10:00 --startdatetime 2017-12-20T11:14:35 --delay 182 --endMP 204:178 --enddatetime 2017-12-20T11:51:14 --enforcementcount 0 &gt;&gt;%USERPROFILE%\Documents\GitHub\eaglep3-reporting\EC\2017-12-20-refined-times.txt</v>
      </c>
      <c r="AI66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{"issue":{"subject":"","project_id":79,"tracker_id":40,"status_id":1,"priority_id":2,"assigned_to_id":338,"start_date":"2017-12-20","description":"","custom_fields":[{"id":1,"name":"Subdivision","value":"EC"},{"id":4,"name":"Milepost","value":"0.0178"},{"id":17,"name":"Train ID","value":"154-20"},{"id":16,"name":"Locomotive ID","value":"4009"},{"id":130,"name":"Impact","value":""},{"id":150,"name":"Time of Event (Mountain Time)","value":"11:51:14"},{"id":151,"name":"Denver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21"/>
        <v>start /low /b %USERPROFILE%\Documents\GitHub\eaglep3\Utilities\DownloadLogsFromS3.py --loco 4009 --day 2017-12-20</v>
      </c>
      <c r="AN66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18:51:14"},{"id":29,"name":"Sharepoint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23"/>
        <v>https://d0f6bd738d7f1b3e5a7ca70fe4ff75f0.us-east-1.aws.found.io/app/kibana#/discover/Steve-Slow-Train-Analysis-(2080s-and-2083s)?_g=(refreshInterval:(display:Off,pause:!f,section:0,value:0),time:(from:'2017-12-20T10:10:00-0700',mode:absolute,to:'2017-12-20T12:51:14-0700'))&amp;_a=(columns:!('Message%20ID',Summary),filters:!(),index:'emp_*',interval:auto,query:(query_string:(analyze_wildcard:!t,query:'%22rtdc.l.rtdc.4009%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9" t="s">
        <v>759</v>
      </c>
      <c r="B67" s="225">
        <v>4050</v>
      </c>
      <c r="C67" s="227" t="s">
        <v>192</v>
      </c>
      <c r="D67" s="227" t="s">
        <v>501</v>
      </c>
      <c r="E67" s="226">
        <v>43089.432916666665</v>
      </c>
      <c r="F67" s="226">
        <v>43089.437662037039</v>
      </c>
      <c r="G67" s="225">
        <v>72</v>
      </c>
      <c r="H67" s="227" t="s">
        <v>554</v>
      </c>
      <c r="I67" s="226">
        <v>43089.462291666663</v>
      </c>
      <c r="J67" s="225">
        <v>0</v>
      </c>
      <c r="K67" s="237" t="str">
        <f t="shared" si="0"/>
        <v>4049/4050</v>
      </c>
      <c r="L67" s="245" t="str">
        <f>VLOOKUP(A67,'Trips&amp;Operators'!$C$1:$G$99911,5,FALSE)</f>
        <v>YANAI IAN</v>
      </c>
      <c r="M67" s="224">
        <f t="shared" si="1"/>
        <v>2.4629629624541849E-2</v>
      </c>
      <c r="N67" s="225">
        <f t="shared" si="31"/>
        <v>35.466666659340262</v>
      </c>
      <c r="O67" s="225"/>
      <c r="P67" s="225"/>
      <c r="Q67" s="228"/>
      <c r="R67" s="242"/>
      <c r="S67" s="249">
        <f t="shared" si="24"/>
        <v>1</v>
      </c>
      <c r="T67" s="242" t="str">
        <f t="shared" si="4"/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5"/>
        <v>https://d0f6bd738d7f1b3e5a7ca70fe4ff75f0.us-east-1.aws.found.io/app/kibana#/discover/Steve-Slow-Train-Analysis-(2080s-and-2083s)?_g=(refreshInterval:(display:Off,pause:!f,section:0,value:0),time:(from:'2017-12-20T09:23:24-0700',mode:absolute,to:'2017-12-20T12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7" s="247" t="str">
        <f>IF(AA67&lt;VLOOKUP(AG67,Variables!$AC$3:$AD$8,2,FALSE),"Y","N")</f>
        <v>N</v>
      </c>
      <c r="X67" s="247">
        <f t="shared" si="34"/>
        <v>1</v>
      </c>
      <c r="Y67" s="247">
        <f t="shared" si="32"/>
        <v>5.04E-2</v>
      </c>
      <c r="Z67" s="247">
        <f t="shared" si="33"/>
        <v>23.323799999999999</v>
      </c>
      <c r="AA67" s="247">
        <f t="shared" si="9"/>
        <v>23.273399999999999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10"/>
        <v>155</v>
      </c>
      <c r="AE67" s="235" t="str">
        <f t="shared" si="11"/>
        <v>aws s3 cp s3://rtdc.mdm.uploadarchive.raw/RTDC4050/ "%USERPROFILE%\AppData\Local\Temp\OnboardLogs"\RTDC4050\2017-12-20 --exclude "*" --recursive --include "*20171220*" &amp; "%USERPROFILE%\Documents\GitHub\mrs-test-scripts\Headless Mode &amp; Sideloading\WalkAndUnGZ.bat" "%USERPROFILE%\AppData\Local\Temp\OnboardLogs"\RTDC4050\2017-12-20 &amp; aws s3 cp s3://rtdc.mdm.uploadarchive.raw/RTDC4050/ "%USERPROFILE%\AppData\Local\Temp\OnboardLogs"\RTDC4050\2017-12-21 --exclude "*" --recursive --include "*20171221*" &amp; "%USERPROFILE%\Documents\GitHub\mrs-test-scripts\Headless Mode &amp; Sideloading\WalkAndUnGZ.bat" "%USERPROFILE%\AppData\Local\Temp\OnboardLogs"\RTDC4050\2017-12-21</v>
      </c>
      <c r="AF67" s="234" t="str">
        <f t="shared" si="12"/>
        <v>"C:\Program Files (x86)\AstroGrep\AstroGrep.exe" /e /r /s /spath="%USERPROFILE%\AppData\Local\Temp\OnboardLogs" /stypes="app*4050*20171220*" /stext=" 18:.+((SYSTEM_STATE.+slice.+state.+changed )|(ment ac)|(multiple cpu faults)|(system.+state.+changed )|(\[timeout)|(PRM\|1\|D)|(kpr)|(kdp)|(train st.+moving)|(\|gpps)|(penalty))"</v>
      </c>
      <c r="AG67" s="244" t="str">
        <f t="shared" si="13"/>
        <v>EC</v>
      </c>
      <c r="AH67" s="236" t="str">
        <f t="shared" si="19"/>
        <v>"%USERPROFILE%\Documents\GitHub\eaglep3\Utilities\RefineRTDCRunTimes.py" --tripid 155-20 --locoid 4050 --swversion DE.1.0.9.0 --startMP 204:504 --initTime 2017-12-20T10:23:24 --startdatetime 2017-12-20T10:30:14 --delay 72 --endMP 204:233238 --enddatetime 2017-12-20T11:05:42 --enforcementcount 0 &gt;&gt;%USERPROFILE%\Documents\GitHub\eaglep3-reporting\EC\2017-12-20-refined-times.txt</v>
      </c>
      <c r="AI67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{"issue":{"subject":"","project_id":79,"tracker_id":40,"status_id":1,"priority_id":2,"assigned_to_id":338,"start_date":"2017-12-20","description":"","custom_fields":[{"id":1,"name":"Subdivision","value":"EC"},{"id":4,"name":"Milepost","value":"23.3238"},{"id":17,"name":"Train ID","value":"155-20"},{"id":16,"name":"Locomotive ID","value":"4050"},{"id":130,"name":"Impact","value":""},{"id":150,"name":"Time of Event (Mountain Time)","value":"11:05:42"},{"id":151,"name":"Denver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21"/>
        <v>start /low /b %USERPROFILE%\Documents\GitHub\eaglep3\Utilities\DownloadLogsFromS3.py --loco 4050 --day 2017-12-20</v>
      </c>
      <c r="AN67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18:05:42"},{"id":29,"name":"Sharepoint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23"/>
        <v>https://d0f6bd738d7f1b3e5a7ca70fe4ff75f0.us-east-1.aws.found.io/app/kibana#/discover/Steve-Slow-Train-Analysis-(2080s-and-2083s)?_g=(refreshInterval:(display:Off,pause:!f,section:0,value:0),time:(from:'2017-12-20T09:23:24-0700',mode:absolute,to:'2017-12-20T12:05:42-0700'))&amp;_a=(columns:!('Message%20ID',Summary),filters:!(),index:'emp_*',interval:auto,query:(query_string:(analyze_wildcard:!t,query:'%22rtdc.l.rtdc.4050%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9" t="s">
        <v>769</v>
      </c>
      <c r="B68" s="225">
        <v>4049</v>
      </c>
      <c r="C68" s="227" t="s">
        <v>192</v>
      </c>
      <c r="D68" s="227" t="s">
        <v>620</v>
      </c>
      <c r="E68" s="226">
        <v>43089.463356481479</v>
      </c>
      <c r="F68" s="226">
        <v>43089.477268518516</v>
      </c>
      <c r="G68" s="225">
        <v>49</v>
      </c>
      <c r="H68" s="227" t="s">
        <v>591</v>
      </c>
      <c r="I68" s="226">
        <v>43089.502488425926</v>
      </c>
      <c r="J68" s="225">
        <v>0</v>
      </c>
      <c r="K68" s="237" t="str">
        <f t="shared" si="0"/>
        <v>4049/4050</v>
      </c>
      <c r="L68" s="245" t="str">
        <f>VLOOKUP(A68,'Trips&amp;Operators'!$C$1:$G$99911,5,FALSE)</f>
        <v>YANAI IAN</v>
      </c>
      <c r="M68" s="224">
        <f t="shared" si="1"/>
        <v>2.5219907409336884E-2</v>
      </c>
      <c r="N68" s="225">
        <f t="shared" si="31"/>
        <v>36.316666669445112</v>
      </c>
      <c r="O68" s="225"/>
      <c r="P68" s="225"/>
      <c r="Q68" s="228"/>
      <c r="R68" s="242"/>
      <c r="S68" s="249">
        <f t="shared" si="24"/>
        <v>1</v>
      </c>
      <c r="T68" s="242" t="str">
        <f t="shared" si="4"/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5"/>
        <v>https://d0f6bd738d7f1b3e5a7ca70fe4ff75f0.us-east-1.aws.found.io/app/kibana#/discover/Steve-Slow-Train-Analysis-(2080s-and-2083s)?_g=(refreshInterval:(display:Off,pause:!f,section:0,value:0),time:(from:'2017-12-20T10:07:14-0700',mode:absolute,to:'2017-12-20T13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8" s="247" t="str">
        <f>IF(AA68&lt;VLOOKUP(AG68,Variables!$AC$3:$AD$8,2,FALSE),"Y","N")</f>
        <v>N</v>
      </c>
      <c r="X68" s="247">
        <f t="shared" si="34"/>
        <v>1</v>
      </c>
      <c r="Y68" s="247">
        <f t="shared" si="32"/>
        <v>23.291899999999998</v>
      </c>
      <c r="Z68" s="247">
        <f t="shared" si="33"/>
        <v>1.47E-2</v>
      </c>
      <c r="AA68" s="247">
        <f t="shared" si="9"/>
        <v>23.277199999999997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10"/>
        <v>156</v>
      </c>
      <c r="AE68" s="235" t="str">
        <f t="shared" si="11"/>
        <v>aws s3 cp s3://rtdc.mdm.uploadarchive.raw/RTDC4049/ "%USERPROFILE%\AppData\Local\Temp\OnboardLogs"\RTDC4049\2017-12-20 --exclude "*" --recursive --include "*20171220*" &amp; "%USERPROFILE%\Documents\GitHub\mrs-test-scripts\Headless Mode &amp; Sideloading\WalkAndUnGZ.bat" "%USERPROFILE%\AppData\Local\Temp\OnboardLogs"\RTDC4049\2017-12-20 &amp; aws s3 cp s3://rtdc.mdm.uploadarchive.raw/RTDC4049/ "%USERPROFILE%\AppData\Local\Temp\OnboardLogs"\RTDC4049\2017-12-21 --exclude "*" --recursive --include "*20171221*" &amp; "%USERPROFILE%\Documents\GitHub\mrs-test-scripts\Headless Mode &amp; Sideloading\WalkAndUnGZ.bat" "%USERPROFILE%\AppData\Local\Temp\OnboardLogs"\RTDC4049\2017-12-21</v>
      </c>
      <c r="AF68" s="234" t="str">
        <f t="shared" si="12"/>
        <v>"C:\Program Files (x86)\AstroGrep\AstroGrep.exe" /e /r /s /spath="%USERPROFILE%\AppData\Local\Temp\OnboardLogs" /stypes="app*4049*20171220*" /stext=" 19:.+((SYSTEM_STATE.+slice.+state.+changed )|(ment ac)|(multiple cpu faults)|(system.+state.+changed )|(\[timeout)|(PRM\|1\|D)|(kpr)|(kdp)|(train st.+moving)|(\|gpps)|(penalty))"</v>
      </c>
      <c r="AG68" s="244" t="str">
        <f t="shared" si="13"/>
        <v>EC</v>
      </c>
      <c r="AH68" s="236" t="str">
        <f t="shared" si="19"/>
        <v>"%USERPROFILE%\Documents\GitHub\eaglep3\Utilities\RefineRTDCRunTimes.py" --tripid 156-20 --locoid 4049 --swversion DE.1.0.9.0 --startMP 204:232919 --initTime 2017-12-20T11:07:14 --startdatetime 2017-12-20T11:27:16 --delay 49 --endMP 204:147 --enddatetime 2017-12-20T12:03:35 --enforcementcount 0 &gt;&gt;%USERPROFILE%\Documents\GitHub\eaglep3-reporting\EC\2017-12-20-refined-times.txt</v>
      </c>
      <c r="AI68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{"issue":{"subject":"","project_id":79,"tracker_id":40,"status_id":1,"priority_id":2,"assigned_to_id":338,"start_date":"2017-12-20","description":"","custom_fields":[{"id":1,"name":"Subdivision","value":"EC"},{"id":4,"name":"Milepost","value":"0.0147"},{"id":17,"name":"Train ID","value":"156-20"},{"id":16,"name":"Locomotive ID","value":"4049"},{"id":130,"name":"Impact","value":""},{"id":150,"name":"Time of Event (Mountain Time)","value":"12:03:35"},{"id":151,"name":"Denver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21"/>
        <v>start /low /b %USERPROFILE%\Documents\GitHub\eaglep3\Utilities\DownloadLogsFromS3.py --loco 4049 --day 2017-12-20</v>
      </c>
      <c r="AN68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19:03:35"},{"id":29,"name":"Sharepoint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23"/>
        <v>https://d0f6bd738d7f1b3e5a7ca70fe4ff75f0.us-east-1.aws.found.io/app/kibana#/discover/Steve-Slow-Train-Analysis-(2080s-and-2083s)?_g=(refreshInterval:(display:Off,pause:!f,section:0,value:0),time:(from:'2017-12-20T10:07:14-0700',mode:absolute,to:'2017-12-20T13:03:35-0700'))&amp;_a=(columns:!('Message%20ID',Summary),filters:!(),index:'emp_*',interval:auto,query:(query_string:(analyze_wildcard:!t,query:'%22rtdc.l.rtdc.4049%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9" t="s">
        <v>762</v>
      </c>
      <c r="B69" s="225">
        <v>4062</v>
      </c>
      <c r="C69" s="227" t="s">
        <v>192</v>
      </c>
      <c r="D69" s="227" t="s">
        <v>942</v>
      </c>
      <c r="E69" s="226">
        <v>43089.443229166667</v>
      </c>
      <c r="F69" s="226">
        <v>43089.448275462964</v>
      </c>
      <c r="G69" s="225">
        <v>122</v>
      </c>
      <c r="H69" s="227" t="s">
        <v>506</v>
      </c>
      <c r="I69" s="226">
        <v>43089.473449074074</v>
      </c>
      <c r="J69" s="225">
        <v>0</v>
      </c>
      <c r="K69" s="237" t="str">
        <f t="shared" si="0"/>
        <v>4061/4062</v>
      </c>
      <c r="L69" s="245" t="str">
        <f>VLOOKUP(A69,'Trips&amp;Operators'!$C$1:$G$99911,5,FALSE)</f>
        <v>DAVIS MICHAEL</v>
      </c>
      <c r="M69" s="224">
        <f t="shared" si="1"/>
        <v>2.5173611109494232E-2</v>
      </c>
      <c r="N69" s="225">
        <f t="shared" si="31"/>
        <v>36.249999997671694</v>
      </c>
      <c r="O69" s="225"/>
      <c r="P69" s="225"/>
      <c r="Q69" s="228"/>
      <c r="R69" s="242"/>
      <c r="S69" s="249">
        <f t="shared" si="24"/>
        <v>1</v>
      </c>
      <c r="T69" s="242" t="str">
        <f t="shared" si="4"/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 t="shared" si="5"/>
        <v>https://d0f6bd738d7f1b3e5a7ca70fe4ff75f0.us-east-1.aws.found.io/app/kibana#/discover/Steve-Slow-Train-Analysis-(2080s-and-2083s)?_g=(refreshInterval:(display:Off,pause:!f,section:0,value:0),time:(from:'2017-12-20T09:38:15-0700',mode:absolute,to:'2017-12-20T12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9" s="247" t="str">
        <f>IF(AA69&lt;VLOOKUP(AG69,Variables!$AC$3:$AD$8,2,FALSE),"Y","N")</f>
        <v>N</v>
      </c>
      <c r="X69" s="247">
        <f t="shared" si="34"/>
        <v>1</v>
      </c>
      <c r="Y69" s="247">
        <f t="shared" si="32"/>
        <v>4.8599999999999997E-2</v>
      </c>
      <c r="Z69" s="247">
        <f t="shared" si="33"/>
        <v>23.3293</v>
      </c>
      <c r="AA69" s="247">
        <f t="shared" si="9"/>
        <v>23.2807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10"/>
        <v>157</v>
      </c>
      <c r="AE69" s="235" t="str">
        <f t="shared" si="11"/>
        <v>aws s3 cp s3://rtdc.mdm.uploadarchive.raw/RTDC4062/ "%USERPROFILE%\AppData\Local\Temp\OnboardLogs"\RTDC4062\2017-12-20 --exclude "*" --recursive --include "*20171220*" &amp; "%USERPROFILE%\Documents\GitHub\mrs-test-scripts\Headless Mode &amp; Sideloading\WalkAndUnGZ.bat" "%USERPROFILE%\AppData\Local\Temp\OnboardLogs"\RTDC4062\2017-12-20 &amp; aws s3 cp s3://rtdc.mdm.uploadarchive.raw/RTDC4062/ "%USERPROFILE%\AppData\Local\Temp\OnboardLogs"\RTDC4062\2017-12-21 --exclude "*" --recursive --include "*20171221*" &amp; "%USERPROFILE%\Documents\GitHub\mrs-test-scripts\Headless Mode &amp; Sideloading\WalkAndUnGZ.bat" "%USERPROFILE%\AppData\Local\Temp\OnboardLogs"\RTDC4062\2017-12-21</v>
      </c>
      <c r="AF69" s="234" t="str">
        <f t="shared" si="12"/>
        <v>"C:\Program Files (x86)\AstroGrep\AstroGrep.exe" /e /r /s /spath="%USERPROFILE%\AppData\Local\Temp\OnboardLogs" /stypes="app*4062*20171220*" /stext=" 18:.+((SYSTEM_STATE.+slice.+state.+changed )|(ment ac)|(multiple cpu faults)|(system.+state.+changed )|(\[timeout)|(PRM\|1\|D)|(kpr)|(kdp)|(train st.+moving)|(\|gpps)|(penalty))"</v>
      </c>
      <c r="AG69" s="244" t="str">
        <f t="shared" si="13"/>
        <v>EC</v>
      </c>
      <c r="AH69" s="236" t="str">
        <f t="shared" si="19"/>
        <v>"%USERPROFILE%\Documents\GitHub\eaglep3\Utilities\RefineRTDCRunTimes.py" --tripid 157-20 --locoid 4062 --swversion DE.1.0.9.0 --startMP 204:486 --initTime 2017-12-20T10:38:15 --startdatetime 2017-12-20T10:45:31 --delay 122 --endMP 204:233293 --enddatetime 2017-12-20T11:21:46 --enforcementcount 0 &gt;&gt;%USERPROFILE%\Documents\GitHub\eaglep3-reporting\EC\2017-12-20-refined-times.txt</v>
      </c>
      <c r="AI69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{"issue":{"subject":"","project_id":79,"tracker_id":40,"status_id":1,"priority_id":2,"assigned_to_id":338,"start_date":"2017-12-20","description":"","custom_fields":[{"id":1,"name":"Subdivision","value":"EC"},{"id":4,"name":"Milepost","value":"23.3293"},{"id":17,"name":"Train ID","value":"157-20"},{"id":16,"name":"Locomotive ID","value":"4062"},{"id":130,"name":"Impact","value":""},{"id":150,"name":"Time of Event (Mountain Time)","value":"11:21:46"},{"id":151,"name":"Denver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21"/>
        <v>start /low /b %USERPROFILE%\Documents\GitHub\eaglep3\Utilities\DownloadLogsFromS3.py --loco 4062 --day 2017-12-20</v>
      </c>
      <c r="AN69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18:21:46"},{"id":29,"name":"Sharepoint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23"/>
        <v>https://d0f6bd738d7f1b3e5a7ca70fe4ff75f0.us-east-1.aws.found.io/app/kibana#/discover/Steve-Slow-Train-Analysis-(2080s-and-2083s)?_g=(refreshInterval:(display:Off,pause:!f,section:0,value:0),time:(from:'2017-12-20T09:38:15-0700',mode:absolute,to:'2017-12-20T12:21:46-0700'))&amp;_a=(columns:!('Message%20ID',Summary),filters:!(),index:'emp_*',interval:auto,query:(query_string:(analyze_wildcard:!t,query:'%22rtdc.l.rtdc.4062%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9" t="s">
        <v>774</v>
      </c>
      <c r="B70" s="225">
        <v>4061</v>
      </c>
      <c r="C70" s="227" t="s">
        <v>192</v>
      </c>
      <c r="D70" s="227" t="s">
        <v>553</v>
      </c>
      <c r="E70" s="226">
        <v>43089.485312500001</v>
      </c>
      <c r="F70" s="226">
        <v>43089.487881944442</v>
      </c>
      <c r="G70" s="225">
        <v>84</v>
      </c>
      <c r="H70" s="227" t="s">
        <v>943</v>
      </c>
      <c r="I70" s="226">
        <v>43089.515231481484</v>
      </c>
      <c r="J70" s="225">
        <v>0</v>
      </c>
      <c r="K70" s="237" t="str">
        <f t="shared" si="0"/>
        <v>4061/4062</v>
      </c>
      <c r="L70" s="245" t="str">
        <f>VLOOKUP(A70,'Trips&amp;Operators'!$C$1:$G$99911,5,FALSE)</f>
        <v>DAVIS MICHAEL</v>
      </c>
      <c r="M70" s="224">
        <f t="shared" si="1"/>
        <v>2.7349537042027805E-2</v>
      </c>
      <c r="N70" s="225">
        <f t="shared" si="31"/>
        <v>39.383333340520039</v>
      </c>
      <c r="O70" s="225"/>
      <c r="P70" s="225"/>
      <c r="Q70" s="228"/>
      <c r="R70" s="242"/>
      <c r="S70" s="249">
        <f t="shared" si="24"/>
        <v>1</v>
      </c>
      <c r="T70" s="242" t="str">
        <f t="shared" si="4"/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 t="shared" si="5"/>
        <v>https://d0f6bd738d7f1b3e5a7ca70fe4ff75f0.us-east-1.aws.found.io/app/kibana#/discover/Steve-Slow-Train-Analysis-(2080s-and-2083s)?_g=(refreshInterval:(display:Off,pause:!f,section:0,value:0),time:(from:'2017-12-20T10:38:51-0700',mode:absolute,to:'2017-12-20T13:21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0" s="247" t="str">
        <f>IF(AA70&lt;VLOOKUP(AG70,Variables!$AC$3:$AD$8,2,FALSE),"Y","N")</f>
        <v>N</v>
      </c>
      <c r="X70" s="247">
        <f t="shared" si="34"/>
        <v>1</v>
      </c>
      <c r="Y70" s="247">
        <f t="shared" si="32"/>
        <v>23.296900000000001</v>
      </c>
      <c r="Z70" s="247">
        <f t="shared" si="33"/>
        <v>2.23E-2</v>
      </c>
      <c r="AA70" s="247">
        <f t="shared" si="9"/>
        <v>23.2746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10"/>
        <v>158</v>
      </c>
      <c r="AE70" s="235" t="str">
        <f t="shared" si="11"/>
        <v>aws s3 cp s3://rtdc.mdm.uploadarchive.raw/RTDC4061/ "%USERPROFILE%\AppData\Local\Temp\OnboardLogs"\RTDC4061\2017-12-20 --exclude "*" --recursive --include "*20171220*" &amp; "%USERPROFILE%\Documents\GitHub\mrs-test-scripts\Headless Mode &amp; Sideloading\WalkAndUnGZ.bat" "%USERPROFILE%\AppData\Local\Temp\OnboardLogs"\RTDC4061\2017-12-20 &amp; aws s3 cp s3://rtdc.mdm.uploadarchive.raw/RTDC4061/ "%USERPROFILE%\AppData\Local\Temp\OnboardLogs"\RTDC4061\2017-12-21 --exclude "*" --recursive --include "*20171221*" &amp; "%USERPROFILE%\Documents\GitHub\mrs-test-scripts\Headless Mode &amp; Sideloading\WalkAndUnGZ.bat" "%USERPROFILE%\AppData\Local\Temp\OnboardLogs"\RTDC4061\2017-12-21</v>
      </c>
      <c r="AF70" s="234" t="str">
        <f t="shared" si="12"/>
        <v>"C:\Program Files (x86)\AstroGrep\AstroGrep.exe" /e /r /s /spath="%USERPROFILE%\AppData\Local\Temp\OnboardLogs" /stypes="app*4061*20171220*" /stext=" 19:.+((SYSTEM_STATE.+slice.+state.+changed )|(ment ac)|(multiple cpu faults)|(system.+state.+changed )|(\[timeout)|(PRM\|1\|D)|(kpr)|(kdp)|(train st.+moving)|(\|gpps)|(penalty))"</v>
      </c>
      <c r="AG70" s="244" t="str">
        <f t="shared" si="13"/>
        <v>EC</v>
      </c>
      <c r="AH70" s="236" t="str">
        <f t="shared" si="19"/>
        <v>"%USERPROFILE%\Documents\GitHub\eaglep3\Utilities\RefineRTDCRunTimes.py" --tripid 158-20 --locoid 4061 --swversion DE.1.0.9.0 --startMP 204:232969 --initTime 2017-12-20T11:38:51 --startdatetime 2017-12-20T11:42:33 --delay 84 --endMP 204:223 --enddatetime 2017-12-20T12:21:56 --enforcementcount 0 &gt;&gt;%USERPROFILE%\Documents\GitHub\eaglep3-reporting\EC\2017-12-20-refined-times.txt</v>
      </c>
      <c r="AI70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{"issue":{"subject":"","project_id":79,"tracker_id":40,"status_id":1,"priority_id":2,"assigned_to_id":338,"start_date":"2017-12-20","description":"","custom_fields":[{"id":1,"name":"Subdivision","value":"EC"},{"id":4,"name":"Milepost","value":"0.0223"},{"id":17,"name":"Train ID","value":"158-20"},{"id":16,"name":"Locomotive ID","value":"4061"},{"id":130,"name":"Impact","value":""},{"id":150,"name":"Time of Event (Mountain Time)","value":"12:21:56"},{"id":151,"name":"Denver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21"/>
        <v>start /low /b %USERPROFILE%\Documents\GitHub\eaglep3\Utilities\DownloadLogsFromS3.py --loco 4061 --day 2017-12-20</v>
      </c>
      <c r="AN70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19:21:56"},{"id":29,"name":"Sharepoint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23"/>
        <v>https://d0f6bd738d7f1b3e5a7ca70fe4ff75f0.us-east-1.aws.found.io/app/kibana#/discover/Steve-Slow-Train-Analysis-(2080s-and-2083s)?_g=(refreshInterval:(display:Off,pause:!f,section:0,value:0),time:(from:'2017-12-20T10:38:51-0700',mode:absolute,to:'2017-12-20T13:21:56-0700'))&amp;_a=(columns:!('Message%20ID',Summary),filters:!(),index:'emp_*',interval:auto,query:(query_string:(analyze_wildcard:!t,query:'%22rtdc.l.rtdc.4061%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9" t="s">
        <v>764</v>
      </c>
      <c r="B71" s="225">
        <v>4052</v>
      </c>
      <c r="C71" s="227" t="s">
        <v>192</v>
      </c>
      <c r="D71" s="227" t="s">
        <v>492</v>
      </c>
      <c r="E71" s="226">
        <v>43089.453298611108</v>
      </c>
      <c r="F71" s="226">
        <v>43089.458518518521</v>
      </c>
      <c r="G71" s="225">
        <v>49</v>
      </c>
      <c r="H71" s="227" t="s">
        <v>537</v>
      </c>
      <c r="I71" s="226">
        <v>43089.483657407407</v>
      </c>
      <c r="J71" s="225">
        <v>0</v>
      </c>
      <c r="K71" s="237" t="str">
        <f t="shared" si="0"/>
        <v>4051/4052</v>
      </c>
      <c r="L71" s="245" t="str">
        <f>VLOOKUP(A71,'Trips&amp;Operators'!$C$1:$G$99911,5,FALSE)</f>
        <v>HUFFSMITH MONTY</v>
      </c>
      <c r="M71" s="224">
        <f t="shared" si="1"/>
        <v>2.5138888886431232E-2</v>
      </c>
      <c r="N71" s="225">
        <f t="shared" si="31"/>
        <v>36.199999996460974</v>
      </c>
      <c r="O71" s="225"/>
      <c r="P71" s="225"/>
      <c r="Q71" s="228"/>
      <c r="R71" s="242"/>
      <c r="S71" s="249">
        <f t="shared" si="24"/>
        <v>1</v>
      </c>
      <c r="T71" s="242" t="str">
        <f t="shared" si="4"/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5"/>
        <v>https://d0f6bd738d7f1b3e5a7ca70fe4ff75f0.us-east-1.aws.found.io/app/kibana#/discover/Steve-Slow-Train-Analysis-(2080s-and-2083s)?_g=(refreshInterval:(display:Off,pause:!f,section:0,value:0),time:(from:'2017-12-20T09:52:45-0700',mode:absolute,to:'2017-12-20T12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1" s="247" t="str">
        <f>IF(AA71&lt;VLOOKUP(AG71,Variables!$AC$3:$AD$8,2,FALSE),"Y","N")</f>
        <v>N</v>
      </c>
      <c r="X71" s="247">
        <f t="shared" si="34"/>
        <v>1</v>
      </c>
      <c r="Y71" s="247">
        <f t="shared" si="32"/>
        <v>4.6199999999999998E-2</v>
      </c>
      <c r="Z71" s="247">
        <f t="shared" si="33"/>
        <v>23.331199999999999</v>
      </c>
      <c r="AA71" s="247">
        <f t="shared" si="9"/>
        <v>23.285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10"/>
        <v>159</v>
      </c>
      <c r="AE71" s="235" t="str">
        <f t="shared" si="11"/>
        <v>aws s3 cp s3://rtdc.mdm.uploadarchive.raw/RTDC4052/ "%USERPROFILE%\AppData\Local\Temp\OnboardLogs"\RTDC4052\2017-12-20 --exclude "*" --recursive --include "*20171220*" &amp; "%USERPROFILE%\Documents\GitHub\mrs-test-scripts\Headless Mode &amp; Sideloading\WalkAndUnGZ.bat" "%USERPROFILE%\AppData\Local\Temp\OnboardLogs"\RTDC4052\2017-12-20 &amp; aws s3 cp s3://rtdc.mdm.uploadarchive.raw/RTDC4052/ "%USERPROFILE%\AppData\Local\Temp\OnboardLogs"\RTDC4052\2017-12-21 --exclude "*" --recursive --include "*20171221*" &amp; "%USERPROFILE%\Documents\GitHub\mrs-test-scripts\Headless Mode &amp; Sideloading\WalkAndUnGZ.bat" "%USERPROFILE%\AppData\Local\Temp\OnboardLogs"\RTDC4052\2017-12-21</v>
      </c>
      <c r="AF71" s="234" t="str">
        <f t="shared" si="12"/>
        <v>"C:\Program Files (x86)\AstroGrep\AstroGrep.exe" /e /r /s /spath="%USERPROFILE%\AppData\Local\Temp\OnboardLogs" /stypes="app*4052*20171220*" /stext=" 18:.+((SYSTEM_STATE.+slice.+state.+changed )|(ment ac)|(multiple cpu faults)|(system.+state.+changed )|(\[timeout)|(PRM\|1\|D)|(kpr)|(kdp)|(train st.+moving)|(\|gpps)|(penalty))"</v>
      </c>
      <c r="AG71" s="244" t="str">
        <f t="shared" si="13"/>
        <v>EC</v>
      </c>
      <c r="AH71" s="236" t="str">
        <f t="shared" si="19"/>
        <v>"%USERPROFILE%\Documents\GitHub\eaglep3\Utilities\RefineRTDCRunTimes.py" --tripid 159-20 --locoid 4052 --swversion DE.1.0.9.0 --startMP 204:462 --initTime 2017-12-20T10:52:45 --startdatetime 2017-12-20T11:00:16 --delay 49 --endMP 204:233312 --enddatetime 2017-12-20T11:36:28 --enforcementcount 0 &gt;&gt;%USERPROFILE%\Documents\GitHub\eaglep3-reporting\EC\2017-12-20-refined-times.txt</v>
      </c>
      <c r="AI71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{"issue":{"subject":"","project_id":79,"tracker_id":40,"status_id":1,"priority_id":2,"assigned_to_id":338,"start_date":"2017-12-20","description":"","custom_fields":[{"id":1,"name":"Subdivision","value":"EC"},{"id":4,"name":"Milepost","value":"23.3312"},{"id":17,"name":"Train ID","value":"159-20"},{"id":16,"name":"Locomotive ID","value":"4052"},{"id":130,"name":"Impact","value":""},{"id":150,"name":"Time of Event (Mountain Time)","value":"11:36:28"},{"id":151,"name":"Denver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21"/>
        <v>start /low /b %USERPROFILE%\Documents\GitHub\eaglep3\Utilities\DownloadLogsFromS3.py --loco 4052 --day 2017-12-20</v>
      </c>
      <c r="AN71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18:36:28"},{"id":29,"name":"Sharepoint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23"/>
        <v>https://d0f6bd738d7f1b3e5a7ca70fe4ff75f0.us-east-1.aws.found.io/app/kibana#/discover/Steve-Slow-Train-Analysis-(2080s-and-2083s)?_g=(refreshInterval:(display:Off,pause:!f,section:0,value:0),time:(from:'2017-12-20T09:52:45-0700',mode:absolute,to:'2017-12-20T12:36:28-0700'))&amp;_a=(columns:!('Message%20ID',Summary),filters:!(),index:'emp_*',interval:auto,query:(query_string:(analyze_wildcard:!t,query:'%22rtdc.l.rtdc.4052%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9" t="s">
        <v>775</v>
      </c>
      <c r="B72" s="225">
        <v>4051</v>
      </c>
      <c r="C72" s="227" t="s">
        <v>192</v>
      </c>
      <c r="D72" s="227" t="s">
        <v>935</v>
      </c>
      <c r="E72" s="226">
        <v>43089.487650462965</v>
      </c>
      <c r="F72" s="226">
        <v>43089.498136574075</v>
      </c>
      <c r="G72" s="225">
        <v>45</v>
      </c>
      <c r="H72" s="227" t="s">
        <v>513</v>
      </c>
      <c r="I72" s="226">
        <v>43089.526469907411</v>
      </c>
      <c r="J72" s="225">
        <v>0</v>
      </c>
      <c r="K72" s="237" t="str">
        <f t="shared" si="0"/>
        <v>4051/4052</v>
      </c>
      <c r="L72" s="245" t="str">
        <f>VLOOKUP(A72,'Trips&amp;Operators'!$C$1:$G$99911,5,FALSE)</f>
        <v>HUFFSMITH MONTY</v>
      </c>
      <c r="M72" s="224">
        <f t="shared" si="1"/>
        <v>2.8333333335467614E-2</v>
      </c>
      <c r="N72" s="225">
        <f t="shared" si="31"/>
        <v>40.800000003073364</v>
      </c>
      <c r="O72" s="225"/>
      <c r="P72" s="225"/>
      <c r="Q72" s="228"/>
      <c r="R72" s="242"/>
      <c r="S72" s="249">
        <f t="shared" si="24"/>
        <v>1</v>
      </c>
      <c r="T72" s="242" t="str">
        <f t="shared" si="4"/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5"/>
        <v>https://d0f6bd738d7f1b3e5a7ca70fe4ff75f0.us-east-1.aws.found.io/app/kibana#/discover/Steve-Slow-Train-Analysis-(2080s-and-2083s)?_g=(refreshInterval:(display:Off,pause:!f,section:0,value:0),time:(from:'2017-12-20T10:42:13-0700',mode:absolute,to:'2017-12-20T13:38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2" s="247" t="str">
        <f>IF(AA72&lt;VLOOKUP(AG72,Variables!$AC$3:$AD$8,2,FALSE),"Y","N")</f>
        <v>N</v>
      </c>
      <c r="X72" s="247">
        <f t="shared" si="34"/>
        <v>1</v>
      </c>
      <c r="Y72" s="247">
        <f t="shared" si="32"/>
        <v>23.302299999999999</v>
      </c>
      <c r="Z72" s="247">
        <f t="shared" si="33"/>
        <v>1.4500000000000001E-2</v>
      </c>
      <c r="AA72" s="247">
        <f t="shared" si="9"/>
        <v>23.287799999999997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10"/>
        <v>160</v>
      </c>
      <c r="AE72" s="235" t="str">
        <f t="shared" si="11"/>
        <v>aws s3 cp s3://rtdc.mdm.uploadarchive.raw/RTDC4051/ "%USERPROFILE%\AppData\Local\Temp\OnboardLogs"\RTDC4051\2017-12-20 --exclude "*" --recursive --include "*20171220*" &amp; "%USERPROFILE%\Documents\GitHub\mrs-test-scripts\Headless Mode &amp; Sideloading\WalkAndUnGZ.bat" "%USERPROFILE%\AppData\Local\Temp\OnboardLogs"\RTDC4051\2017-12-20 &amp; aws s3 cp s3://rtdc.mdm.uploadarchive.raw/RTDC4051/ "%USERPROFILE%\AppData\Local\Temp\OnboardLogs"\RTDC4051\2017-12-21 --exclude "*" --recursive --include "*20171221*" &amp; "%USERPROFILE%\Documents\GitHub\mrs-test-scripts\Headless Mode &amp; Sideloading\WalkAndUnGZ.bat" "%USERPROFILE%\AppData\Local\Temp\OnboardLogs"\RTDC4051\2017-12-21</v>
      </c>
      <c r="AF72" s="234" t="str">
        <f t="shared" si="12"/>
        <v>"C:\Program Files (x86)\AstroGrep\AstroGrep.exe" /e /r /s /spath="%USERPROFILE%\AppData\Local\Temp\OnboardLogs" /stypes="app*4051*20171220*" /stext=" 19:.+((SYSTEM_STATE.+slice.+state.+changed )|(ment ac)|(multiple cpu faults)|(system.+state.+changed )|(\[timeout)|(PRM\|1\|D)|(kpr)|(kdp)|(train st.+moving)|(\|gpps)|(penalty))"</v>
      </c>
      <c r="AG72" s="244" t="str">
        <f t="shared" si="13"/>
        <v>EC</v>
      </c>
      <c r="AH72" s="236" t="str">
        <f t="shared" si="19"/>
        <v>"%USERPROFILE%\Documents\GitHub\eaglep3\Utilities\RefineRTDCRunTimes.py" --tripid 160-20 --locoid 4051 --swversion DE.1.0.9.0 --startMP 204:233023 --initTime 2017-12-20T11:42:13 --startdatetime 2017-12-20T11:57:19 --delay 45 --endMP 204:145 --enddatetime 2017-12-20T12:38:07 --enforcementcount 0 &gt;&gt;%USERPROFILE%\Documents\GitHub\eaglep3-reporting\EC\2017-12-20-refined-times.txt</v>
      </c>
      <c r="AI72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{"issue":{"subject":"","project_id":79,"tracker_id":40,"status_id":1,"priority_id":2,"assigned_to_id":338,"start_date":"2017-12-20","description":"","custom_fields":[{"id":1,"name":"Subdivision","value":"EC"},{"id":4,"name":"Milepost","value":"0.0145"},{"id":17,"name":"Train ID","value":"160-20"},{"id":16,"name":"Locomotive ID","value":"4051"},{"id":130,"name":"Impact","value":""},{"id":150,"name":"Time of Event (Mountain Time)","value":"12:38:07"},{"id":151,"name":"Denver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21"/>
        <v>start /low /b %USERPROFILE%\Documents\GitHub\eaglep3\Utilities\DownloadLogsFromS3.py --loco 4051 --day 2017-12-20</v>
      </c>
      <c r="AN72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19:38:07"},{"id":29,"name":"Sharepoint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23"/>
        <v>https://d0f6bd738d7f1b3e5a7ca70fe4ff75f0.us-east-1.aws.found.io/app/kibana#/discover/Steve-Slow-Train-Analysis-(2080s-and-2083s)?_g=(refreshInterval:(display:Off,pause:!f,section:0,value:0),time:(from:'2017-12-20T10:42:13-0700',mode:absolute,to:'2017-12-20T13:38:07-0700'))&amp;_a=(columns:!('Message%20ID',Summary),filters:!(),index:'emp_*',interval:auto,query:(query_string:(analyze_wildcard:!t,query:'%22rtdc.l.rtdc.4051%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9" t="s">
        <v>770</v>
      </c>
      <c r="B73" s="225">
        <v>4044</v>
      </c>
      <c r="C73" s="227" t="s">
        <v>192</v>
      </c>
      <c r="D73" s="227" t="s">
        <v>492</v>
      </c>
      <c r="E73" s="226">
        <v>43089.463587962964</v>
      </c>
      <c r="F73" s="226">
        <v>43089.468958333331</v>
      </c>
      <c r="G73" s="225">
        <v>66</v>
      </c>
      <c r="H73" s="227" t="s">
        <v>916</v>
      </c>
      <c r="I73" s="226">
        <v>43089.493483796294</v>
      </c>
      <c r="J73" s="225">
        <v>0</v>
      </c>
      <c r="K73" s="237" t="str">
        <f t="shared" si="0"/>
        <v>4043/4044</v>
      </c>
      <c r="L73" s="245" t="str">
        <f>VLOOKUP(A73,'Trips&amp;Operators'!$C$1:$G$99911,5,FALSE)</f>
        <v>MOSES BRADLEY</v>
      </c>
      <c r="M73" s="224">
        <f t="shared" si="1"/>
        <v>2.4525462962628808E-2</v>
      </c>
      <c r="N73" s="225">
        <f t="shared" si="31"/>
        <v>35.316666666185483</v>
      </c>
      <c r="O73" s="225"/>
      <c r="P73" s="225"/>
      <c r="Q73" s="228"/>
      <c r="R73" s="242"/>
      <c r="S73" s="249">
        <f t="shared" si="24"/>
        <v>1</v>
      </c>
      <c r="T73" s="242" t="str">
        <f t="shared" si="4"/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5"/>
        <v>https://d0f6bd738d7f1b3e5a7ca70fe4ff75f0.us-east-1.aws.found.io/app/kibana#/discover/Steve-Slow-Train-Analysis-(2080s-and-2083s)?_g=(refreshInterval:(display:Off,pause:!f,section:0,value:0),time:(from:'2017-12-20T10:07:34-0700',mode:absolute,to:'2017-12-20T12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3" s="247" t="str">
        <f>IF(AA73&lt;VLOOKUP(AG73,Variables!$AC$3:$AD$8,2,FALSE),"Y","N")</f>
        <v>N</v>
      </c>
      <c r="X73" s="247">
        <f t="shared" si="34"/>
        <v>1</v>
      </c>
      <c r="Y73" s="247">
        <f t="shared" si="32"/>
        <v>4.6199999999999998E-2</v>
      </c>
      <c r="Z73" s="247">
        <f t="shared" si="33"/>
        <v>23.328600000000002</v>
      </c>
      <c r="AA73" s="247">
        <f t="shared" si="9"/>
        <v>23.282400000000003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10"/>
        <v>161</v>
      </c>
      <c r="AE73" s="235" t="str">
        <f t="shared" si="11"/>
        <v>aws s3 cp s3://rtdc.mdm.uploadarchive.raw/RTDC4044/ "%USERPROFILE%\AppData\Local\Temp\OnboardLogs"\RTDC4044\2017-12-20 --exclude "*" --recursive --include "*20171220*" &amp; "%USERPROFILE%\Documents\GitHub\mrs-test-scripts\Headless Mode &amp; Sideloading\WalkAndUnGZ.bat" "%USERPROFILE%\AppData\Local\Temp\OnboardLogs"\RTDC4044\2017-12-20 &amp; aws s3 cp s3://rtdc.mdm.uploadarchive.raw/RTDC4044/ "%USERPROFILE%\AppData\Local\Temp\OnboardLogs"\RTDC4044\2017-12-21 --exclude "*" --recursive --include "*20171221*" &amp; "%USERPROFILE%\Documents\GitHub\mrs-test-scripts\Headless Mode &amp; Sideloading\WalkAndUnGZ.bat" "%USERPROFILE%\AppData\Local\Temp\OnboardLogs"\RTDC4044\2017-12-21</v>
      </c>
      <c r="AF73" s="234" t="str">
        <f t="shared" si="12"/>
        <v>"C:\Program Files (x86)\AstroGrep\AstroGrep.exe" /e /r /s /spath="%USERPROFILE%\AppData\Local\Temp\OnboardLogs" /stypes="app*4044*20171220*" /stext=" 18:.+((SYSTEM_STATE.+slice.+state.+changed )|(ment ac)|(multiple cpu faults)|(system.+state.+changed )|(\[timeout)|(PRM\|1\|D)|(kpr)|(kdp)|(train st.+moving)|(\|gpps)|(penalty))"</v>
      </c>
      <c r="AG73" s="244" t="str">
        <f t="shared" si="13"/>
        <v>EC</v>
      </c>
      <c r="AH73" s="236" t="str">
        <f t="shared" si="19"/>
        <v>"%USERPROFILE%\Documents\GitHub\eaglep3\Utilities\RefineRTDCRunTimes.py" --tripid 161-20 --locoid 4044 --swversion DE.1.0.9.0 --startMP 204:462 --initTime 2017-12-20T11:07:34 --startdatetime 2017-12-20T11:15:18 --delay 66 --endMP 204:233286 --enddatetime 2017-12-20T11:50:37 --enforcementcount 0 &gt;&gt;%USERPROFILE%\Documents\GitHub\eaglep3-reporting\EC\2017-12-20-refined-times.txt</v>
      </c>
      <c r="AI73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{"issue":{"subject":"","project_id":79,"tracker_id":40,"status_id":1,"priority_id":2,"assigned_to_id":338,"start_date":"2017-12-20","description":"","custom_fields":[{"id":1,"name":"Subdivision","value":"EC"},{"id":4,"name":"Milepost","value":"23.3286"},{"id":17,"name":"Train ID","value":"161-20"},{"id":16,"name":"Locomotive ID","value":"4044"},{"id":130,"name":"Impact","value":""},{"id":150,"name":"Time of Event (Mountain Time)","value":"11:50:37"},{"id":151,"name":"Denver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21"/>
        <v>start /low /b %USERPROFILE%\Documents\GitHub\eaglep3\Utilities\DownloadLogsFromS3.py --loco 4044 --day 2017-12-20</v>
      </c>
      <c r="AN73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18:50:37"},{"id":29,"name":"Sharepoint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23"/>
        <v>https://d0f6bd738d7f1b3e5a7ca70fe4ff75f0.us-east-1.aws.found.io/app/kibana#/discover/Steve-Slow-Train-Analysis-(2080s-and-2083s)?_g=(refreshInterval:(display:Off,pause:!f,section:0,value:0),time:(from:'2017-12-20T10:07:34-0700',mode:absolute,to:'2017-12-20T12:50:37-0700'))&amp;_a=(columns:!('Message%20ID',Summary),filters:!(),index:'emp_*',interval:auto,query:(query_string:(analyze_wildcard:!t,query:'%22rtdc.l.rtdc.4044%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9" t="s">
        <v>779</v>
      </c>
      <c r="B74" s="225">
        <v>4043</v>
      </c>
      <c r="C74" s="227" t="s">
        <v>192</v>
      </c>
      <c r="D74" s="227" t="s">
        <v>917</v>
      </c>
      <c r="E74" s="226">
        <v>43089.494895833333</v>
      </c>
      <c r="F74" s="226">
        <v>43089.508645833332</v>
      </c>
      <c r="G74" s="225">
        <v>844</v>
      </c>
      <c r="H74" s="227" t="s">
        <v>592</v>
      </c>
      <c r="I74" s="226">
        <v>43089.535833333335</v>
      </c>
      <c r="J74" s="225">
        <v>0</v>
      </c>
      <c r="K74" s="237" t="str">
        <f t="shared" si="0"/>
        <v>4043/4044</v>
      </c>
      <c r="L74" s="245" t="str">
        <f>VLOOKUP(A74,'Trips&amp;Operators'!$C$1:$G$99911,5,FALSE)</f>
        <v>MOSES BRADLEY</v>
      </c>
      <c r="M74" s="224">
        <f t="shared" si="1"/>
        <v>2.718750000349246E-2</v>
      </c>
      <c r="N74" s="225">
        <f t="shared" si="31"/>
        <v>39.150000005029142</v>
      </c>
      <c r="O74" s="225"/>
      <c r="P74" s="225"/>
      <c r="Q74" s="228"/>
      <c r="R74" s="242"/>
      <c r="S74" s="249">
        <f t="shared" si="24"/>
        <v>1</v>
      </c>
      <c r="T74" s="242" t="str">
        <f t="shared" si="4"/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5"/>
        <v>https://d0f6bd738d7f1b3e5a7ca70fe4ff75f0.us-east-1.aws.found.io/app/kibana#/discover/Steve-Slow-Train-Analysis-(2080s-and-2083s)?_g=(refreshInterval:(display:Off,pause:!f,section:0,value:0),time:(from:'2017-12-20T10:52:39-0700',mode:absolute,to:'2017-12-20T13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4" s="247" t="str">
        <f>IF(AA74&lt;VLOOKUP(AG74,Variables!$AC$3:$AD$8,2,FALSE),"Y","N")</f>
        <v>N</v>
      </c>
      <c r="X74" s="247">
        <f t="shared" si="34"/>
        <v>1</v>
      </c>
      <c r="Y74" s="247">
        <f t="shared" si="32"/>
        <v>23.296500000000002</v>
      </c>
      <c r="Z74" s="247">
        <f t="shared" si="33"/>
        <v>2.1600000000000001E-2</v>
      </c>
      <c r="AA74" s="247">
        <f t="shared" si="9"/>
        <v>23.274900000000002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 t="shared" si="10"/>
        <v>162</v>
      </c>
      <c r="AE74" s="235" t="str">
        <f t="shared" si="11"/>
        <v>aws s3 cp s3://rtdc.mdm.uploadarchive.raw/RTDC4043/ "%USERPROFILE%\AppData\Local\Temp\OnboardLogs"\RTDC4043\2017-12-20 --exclude "*" --recursive --include "*20171220*" &amp; "%USERPROFILE%\Documents\GitHub\mrs-test-scripts\Headless Mode &amp; Sideloading\WalkAndUnGZ.bat" "%USERPROFILE%\AppData\Local\Temp\OnboardLogs"\RTDC4043\2017-12-20 &amp; aws s3 cp s3://rtdc.mdm.uploadarchive.raw/RTDC4043/ "%USERPROFILE%\AppData\Local\Temp\OnboardLogs"\RTDC4043\2017-12-21 --exclude "*" --recursive --include "*20171221*" &amp; "%USERPROFILE%\Documents\GitHub\mrs-test-scripts\Headless Mode &amp; Sideloading\WalkAndUnGZ.bat" "%USERPROFILE%\AppData\Local\Temp\OnboardLogs"\RTDC4043\2017-12-21</v>
      </c>
      <c r="AF74" s="234" t="str">
        <f t="shared" si="12"/>
        <v>"C:\Program Files (x86)\AstroGrep\AstroGrep.exe" /e /r /s /spath="%USERPROFILE%\AppData\Local\Temp\OnboardLogs" /stypes="app*4043*20171220*" /stext=" 19:.+((SYSTEM_STATE.+slice.+state.+changed )|(ment ac)|(multiple cpu faults)|(system.+state.+changed )|(\[timeout)|(PRM\|1\|D)|(kpr)|(kdp)|(train st.+moving)|(\|gpps)|(penalty))"</v>
      </c>
      <c r="AG74" s="244" t="str">
        <f t="shared" si="13"/>
        <v>EC</v>
      </c>
      <c r="AH74" s="236" t="str">
        <f t="shared" si="19"/>
        <v>"%USERPROFILE%\Documents\GitHub\eaglep3\Utilities\RefineRTDCRunTimes.py" --tripid 162-20 --locoid 4043 --swversion DE.1.0.9.0 --startMP 204:232965 --initTime 2017-12-20T11:52:39 --startdatetime 2017-12-20T12:12:27 --delay 844 --endMP 204:216 --enddatetime 2017-12-20T12:51:36 --enforcementcount 0 &gt;&gt;%USERPROFILE%\Documents\GitHub\eaglep3-reporting\EC\2017-12-20-refined-times.txt</v>
      </c>
      <c r="AI74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{"issue":{"subject":"","project_id":79,"tracker_id":40,"status_id":1,"priority_id":2,"assigned_to_id":338,"start_date":"2017-12-20","description":"","custom_fields":[{"id":1,"name":"Subdivision","value":"EC"},{"id":4,"name":"Milepost","value":"0.0216"},{"id":17,"name":"Train ID","value":"162-20"},{"id":16,"name":"Locomotive ID","value":"4043"},{"id":130,"name":"Impact","value":""},{"id":150,"name":"Time of Event (Mountain Time)","value":"12:51:36"},{"id":151,"name":"Denver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21"/>
        <v>start /low /b %USERPROFILE%\Documents\GitHub\eaglep3\Utilities\DownloadLogsFromS3.py --loco 4043 --day 2017-12-20</v>
      </c>
      <c r="AN74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19:51:36"},{"id":29,"name":"Sharepoint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23"/>
        <v>https://d0f6bd738d7f1b3e5a7ca70fe4ff75f0.us-east-1.aws.found.io/app/kibana#/discover/Steve-Slow-Train-Analysis-(2080s-and-2083s)?_g=(refreshInterval:(display:Off,pause:!f,section:0,value:0),time:(from:'2017-12-20T10:52:39-0700',mode:absolute,to:'2017-12-20T13:51:36-0700'))&amp;_a=(columns:!('Message%20ID',Summary),filters:!(),index:'emp_*',interval:auto,query:(query_string:(analyze_wildcard:!t,query:'%22rtdc.l.rtdc.4043%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9" t="s">
        <v>658</v>
      </c>
      <c r="B75" s="225">
        <v>4020</v>
      </c>
      <c r="C75" s="227" t="s">
        <v>192</v>
      </c>
      <c r="D75" s="227" t="s">
        <v>602</v>
      </c>
      <c r="E75" s="226">
        <v>43089.4684837963</v>
      </c>
      <c r="F75" s="226">
        <v>43089.479687500003</v>
      </c>
      <c r="G75" s="225">
        <v>144</v>
      </c>
      <c r="H75" s="227" t="s">
        <v>945</v>
      </c>
      <c r="I75" s="226">
        <v>43089.51153935185</v>
      </c>
      <c r="J75" s="225">
        <v>0</v>
      </c>
      <c r="K75" s="237" t="str">
        <f t="shared" si="0"/>
        <v>4019/4020</v>
      </c>
      <c r="L75" s="245" t="str">
        <f>VLOOKUP(A75,'Trips&amp;Operators'!$C$1:$G$99911,5,FALSE)</f>
        <v>STEWART MICHAEL</v>
      </c>
      <c r="M75" s="224">
        <f t="shared" si="1"/>
        <v>3.1851851847022772E-2</v>
      </c>
      <c r="N75" s="225"/>
      <c r="O75" s="225"/>
      <c r="P75" s="225">
        <f>24*60*SUM($M75:$M75)</f>
        <v>45.866666659712791</v>
      </c>
      <c r="Q75" s="228"/>
      <c r="R75" s="242" t="s">
        <v>1111</v>
      </c>
      <c r="S75" s="249">
        <f t="shared" si="24"/>
        <v>1</v>
      </c>
      <c r="T75" s="242" t="str">
        <f t="shared" si="4"/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5"/>
        <v>https://d0f6bd738d7f1b3e5a7ca70fe4ff75f0.us-east-1.aws.found.io/app/kibana#/discover/Steve-Slow-Train-Analysis-(2080s-and-2083s)?_g=(refreshInterval:(display:Off,pause:!f,section:0,value:0),time:(from:'2017-12-20T10:14:37-0700',mode:absolute,to:'2017-12-20T13:16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5" s="247" t="str">
        <f>IF(AA75&lt;VLOOKUP(AG75,Variables!$AC$3:$AD$8,2,FALSE),"Y","N")</f>
        <v>Y</v>
      </c>
      <c r="X75" s="247">
        <f t="shared" si="34"/>
        <v>1</v>
      </c>
      <c r="Y75" s="247">
        <f t="shared" si="32"/>
        <v>4.53E-2</v>
      </c>
      <c r="Z75" s="247">
        <f t="shared" si="33"/>
        <v>12.7788</v>
      </c>
      <c r="AA75" s="247">
        <f t="shared" si="9"/>
        <v>12.733500000000001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10"/>
        <v>163</v>
      </c>
      <c r="AE75" s="235" t="str">
        <f t="shared" si="11"/>
        <v>aws s3 cp s3://rtdc.mdm.uploadarchive.raw/RTDC4020/ "%USERPROFILE%\AppData\Local\Temp\OnboardLogs"\RTDC4020\2017-12-20 --exclude "*" --recursive --include "*20171220*" &amp; "%USERPROFILE%\Documents\GitHub\mrs-test-scripts\Headless Mode &amp; Sideloading\WalkAndUnGZ.bat" "%USERPROFILE%\AppData\Local\Temp\OnboardLogs"\RTDC4020\2017-12-20 &amp; aws s3 cp s3://rtdc.mdm.uploadarchive.raw/RTDC4020/ "%USERPROFILE%\AppData\Local\Temp\OnboardLogs"\RTDC4020\2017-12-21 --exclude "*" --recursive --include "*20171221*" &amp; "%USERPROFILE%\Documents\GitHub\mrs-test-scripts\Headless Mode &amp; Sideloading\WalkAndUnGZ.bat" "%USERPROFILE%\AppData\Local\Temp\OnboardLogs"\RTDC4020\2017-12-21</v>
      </c>
      <c r="AF75" s="234" t="str">
        <f t="shared" si="12"/>
        <v>"C:\Program Files (x86)\AstroGrep\AstroGrep.exe" /e /r /s /spath="%USERPROFILE%\AppData\Local\Temp\OnboardLogs" /stypes="app*4020*20171220*" /stext=" 19:.+((SYSTEM_STATE.+slice.+state.+changed )|(ment ac)|(multiple cpu faults)|(system.+state.+changed )|(\[timeout)|(PRM\|1\|D)|(kpr)|(kdp)|(train st.+moving)|(\|gpps)|(penalty))"</v>
      </c>
      <c r="AG75" s="244" t="str">
        <f t="shared" si="13"/>
        <v>EC</v>
      </c>
      <c r="AH75" s="236" t="str">
        <f t="shared" si="19"/>
        <v>"%USERPROFILE%\Documents\GitHub\eaglep3\Utilities\RefineRTDCRunTimes.py" --tripid 163-20 --locoid 4020 --swversion DE.1.0.9.0 --startMP 204:453 --initTime 2017-12-20T11:14:37 --startdatetime 2017-12-20T11:30:45 --delay 144 --endMP 204:127788 --enddatetime 2017-12-20T12:16:37 --enforcementcount 0 &gt;&gt;%USERPROFILE%\Documents\GitHub\eaglep3-reporting\EC\2017-12-20-refined-times.txt</v>
      </c>
      <c r="AI75" s="238" t="str">
        <f t="shared" si="20"/>
        <v>echo {"issue":{"subject":"Minor Onboard in-route failure caused BOS to send cut out","project_id":79,"tracker_id":40,"status_id":1,"priority_id":2,"assigned_to_id":338,"start_date":"2017-12-20","description":"","custom_fields":[{"id":1,"name":"Subdivision","value":"EC"},{"id":4,"name":"Milepost","value":"12.7788"},{"id":17,"name":"Train ID","value":"163-20"},{"id":16,"name":"Locomotive ID","value":"4020"},{"id":130,"name":"Impact","value":""},{"id":150,"name":"Time of Event (Mountain Time)","value":"12:16:37"},{"id":151,"name":"Denver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21"/>
        <v>start /low /b %USERPROFILE%\Documents\GitHub\eaglep3\Utilities\DownloadLogsFromS3.py --loco 4020 --day 2017-12-20</v>
      </c>
      <c r="AN75" s="241" t="str">
        <f t="shared" si="22"/>
        <v>echo {"issue":{"subject":"Minor Onboard in-route failure caused BOS to send cut out","project_id":30,"tracker_id":4,"status_id":1,"priority_id":1,"assigned_to_id":10,"start_date":"2017-12-20","description":"","custom_fields":[{"id":30,"name":"Category","value":"Issue"},{"id":3,"name":"Functional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19:16:37"},{"id":29,"name":"Sharepoint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23"/>
        <v>https://d0f6bd738d7f1b3e5a7ca70fe4ff75f0.us-east-1.aws.found.io/app/kibana#/discover/Steve-Slow-Train-Analysis-(2080s-and-2083s)?_g=(refreshInterval:(display:Off,pause:!f,section:0,value:0),time:(from:'2017-12-20T10:14:37-0700',mode:absolute,to:'2017-12-20T13:16:37-0700'))&amp;_a=(columns:!('Message%20ID',Summary),filters:!(),index:'emp_*',interval:auto,query:(query_string:(analyze_wildcard:!t,query:'%22rtdc.l.rtdc.4020%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9" t="s">
        <v>658</v>
      </c>
      <c r="B76" s="225">
        <v>4020</v>
      </c>
      <c r="C76" s="227" t="s">
        <v>192</v>
      </c>
      <c r="D76" s="227" t="s">
        <v>944</v>
      </c>
      <c r="E76" s="226">
        <v>43089.495868055557</v>
      </c>
      <c r="F76" s="226">
        <v>43089.497442129628</v>
      </c>
      <c r="G76" s="225">
        <v>53</v>
      </c>
      <c r="H76" s="227" t="s">
        <v>618</v>
      </c>
      <c r="I76" s="226">
        <v>43089.507372685184</v>
      </c>
      <c r="J76" s="225">
        <v>0</v>
      </c>
      <c r="K76" s="237" t="str">
        <f t="shared" si="0"/>
        <v>4019/4020</v>
      </c>
      <c r="L76" s="245" t="str">
        <f>VLOOKUP(A76,'Trips&amp;Operators'!$C$1:$G$99911,5,FALSE)</f>
        <v>STEWART MICHAEL</v>
      </c>
      <c r="M76" s="224">
        <f t="shared" si="1"/>
        <v>9.930555555911269E-3</v>
      </c>
      <c r="N76" s="225"/>
      <c r="O76" s="225"/>
      <c r="P76" s="225"/>
      <c r="Q76" s="228"/>
      <c r="R76" s="242"/>
      <c r="S76" s="249"/>
      <c r="T76" s="242" t="str">
        <f t="shared" si="4"/>
        <v>NorthBound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0</v>
      </c>
      <c r="V76" s="248" t="str">
        <f t="shared" si="5"/>
        <v>https://d0f6bd738d7f1b3e5a7ca70fe4ff75f0.us-east-1.aws.found.io/app/kibana#/discover/Steve-Slow-Train-Analysis-(2080s-and-2083s)?_g=(refreshInterval:(display:Off,pause:!f,section:0,value:0),time:(from:'2017-12-20T10:54:03-0700',mode:absolute,to:'2017-12-20T13:10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6" s="247" t="str">
        <f>IF(AA76&lt;VLOOKUP(AG76,Variables!$AC$3:$AD$8,2,FALSE),"Y","N")</f>
        <v>Y</v>
      </c>
      <c r="X76" s="247">
        <f t="shared" si="34"/>
        <v>0</v>
      </c>
      <c r="Y76" s="247">
        <f t="shared" si="32"/>
        <v>12.827199999999999</v>
      </c>
      <c r="Z76" s="247">
        <f t="shared" si="33"/>
        <v>23.325900000000001</v>
      </c>
      <c r="AA76" s="247">
        <f t="shared" si="9"/>
        <v>10.498700000000001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10"/>
        <v>163</v>
      </c>
      <c r="AE76" s="235" t="str">
        <f t="shared" si="11"/>
        <v>aws s3 cp s3://rtdc.mdm.uploadarchive.raw/RTDC4020/ "%USERPROFILE%\AppData\Local\Temp\OnboardLogs"\RTDC4020\2017-12-20 --exclude "*" --recursive --include "*20171220*" &amp; "%USERPROFILE%\Documents\GitHub\mrs-test-scripts\Headless Mode &amp; Sideloading\WalkAndUnGZ.bat" "%USERPROFILE%\AppData\Local\Temp\OnboardLogs"\RTDC4020\2017-12-20 &amp; aws s3 cp s3://rtdc.mdm.uploadarchive.raw/RTDC4020/ "%USERPROFILE%\AppData\Local\Temp\OnboardLogs"\RTDC4020\2017-12-21 --exclude "*" --recursive --include "*20171221*" &amp; "%USERPROFILE%\Documents\GitHub\mrs-test-scripts\Headless Mode &amp; Sideloading\WalkAndUnGZ.bat" "%USERPROFILE%\AppData\Local\Temp\OnboardLogs"\RTDC4020\2017-12-21</v>
      </c>
      <c r="AF76" s="234" t="str">
        <f t="shared" si="12"/>
        <v>"C:\Program Files (x86)\AstroGrep\AstroGrep.exe" /e /r /s /spath="%USERPROFILE%\AppData\Local\Temp\OnboardLogs" /stypes="app*4020*20171220*" /stext=" 19:.+((SYSTEM_STATE.+slice.+state.+changed )|(ment ac)|(multiple cpu faults)|(system.+state.+changed )|(\[timeout)|(PRM\|1\|D)|(kpr)|(kdp)|(train st.+moving)|(\|gpps)|(penalty))"</v>
      </c>
      <c r="AG76" s="244" t="str">
        <f t="shared" si="13"/>
        <v>EC</v>
      </c>
      <c r="AH76" s="236" t="str">
        <f t="shared" si="19"/>
        <v>"%USERPROFILE%\Documents\GitHub\eaglep3\Utilities\RefineRTDCRunTimes.py" --tripid 163-20 --locoid 4020 --swversion DE.1.0.9.0 --startMP 204:128272 --initTime 2017-12-20T11:54:03 --startdatetime 2017-12-20T11:56:19 --delay 53 --endMP 204:233259 --enddatetime 2017-12-20T12:10:37 --enforcementcount 0 &gt;&gt;%USERPROFILE%\Documents\GitHub\eaglep3-reporting\EC\2017-12-20-refined-times.txt</v>
      </c>
      <c r="AI76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{"issue":{"subject":"","project_id":79,"tracker_id":40,"status_id":1,"priority_id":2,"assigned_to_id":338,"start_date":"2017-12-20","description":"","custom_fields":[{"id":1,"name":"Subdivision","value":"EC"},{"id":4,"name":"Milepost","value":"23.3259"},{"id":17,"name":"Train ID","value":"163-20"},{"id":16,"name":"Locomotive ID","value":"4020"},{"id":130,"name":"Impact","value":""},{"id":150,"name":"Time of Event (Mountain Time)","value":"12:10:37"},{"id":151,"name":"Denver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21"/>
        <v>start /low /b %USERPROFILE%\Documents\GitHub\eaglep3\Utilities\DownloadLogsFromS3.py --loco 4020 --day 2017-12-20</v>
      </c>
      <c r="AN76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19:10:37"},{"id":29,"name":"Sharepoint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23"/>
        <v>https://d0f6bd738d7f1b3e5a7ca70fe4ff75f0.us-east-1.aws.found.io/app/kibana#/discover/Steve-Slow-Train-Analysis-(2080s-and-2083s)?_g=(refreshInterval:(display:Off,pause:!f,section:0,value:0),time:(from:'2017-12-20T10:54:03-0700',mode:absolute,to:'2017-12-20T13:10:37-0700'))&amp;_a=(columns:!('Message%20ID',Summary),filters:!(),index:'emp_*',interval:auto,query:(query_string:(analyze_wildcard:!t,query:'%22rtdc.l.rtdc.4020%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9" t="s">
        <v>782</v>
      </c>
      <c r="B77" s="225">
        <v>4019</v>
      </c>
      <c r="C77" s="227" t="s">
        <v>192</v>
      </c>
      <c r="D77" s="227" t="s">
        <v>609</v>
      </c>
      <c r="E77" s="226">
        <v>43089.517743055556</v>
      </c>
      <c r="F77" s="226">
        <v>43089.51935185185</v>
      </c>
      <c r="G77" s="225">
        <v>69</v>
      </c>
      <c r="H77" s="227" t="s">
        <v>483</v>
      </c>
      <c r="I77" s="226">
        <v>43089.545706018522</v>
      </c>
      <c r="J77" s="225">
        <v>0</v>
      </c>
      <c r="K77" s="237" t="str">
        <f t="shared" ref="K77:K140" si="35">IF(ISEVEN(B77),(B77-1)&amp;"/"&amp;B77,B77&amp;"/"&amp;(B77+1))</f>
        <v>4019/4020</v>
      </c>
      <c r="L77" s="245" t="str">
        <f>VLOOKUP(A77,'Trips&amp;Operators'!$C$1:$G$99911,5,FALSE)</f>
        <v>STEWART MICHAEL</v>
      </c>
      <c r="M77" s="224">
        <f t="shared" ref="M77:M140" si="36">I77-F77</f>
        <v>2.6354166671808343E-2</v>
      </c>
      <c r="N77" s="225">
        <f t="shared" ref="N77:N108" si="37">24*60*SUM($M77:$M77)</f>
        <v>37.950000007404014</v>
      </c>
      <c r="O77" s="225"/>
      <c r="P77" s="225"/>
      <c r="Q77" s="228"/>
      <c r="R77" s="242"/>
      <c r="S77" s="249">
        <f t="shared" ref="S77:S108" si="38">1/IF(AG77="EC",12,1)*SUM(U77:U77)</f>
        <v>1</v>
      </c>
      <c r="T77" s="242" t="str">
        <f t="shared" ref="T77:T140" si="39">IF(ISEVEN(LEFT(AD77,4)),"Southbound","NorthBound")</f>
        <v>Southbound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4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-20T11:25:33-0700',mode:absolute,to:'2017-12-20T14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7" s="247" t="str">
        <f>IF(AA77&lt;VLOOKUP(AG77,Variables!$AC$3:$AD$8,2,FALSE),"Y","N")</f>
        <v>N</v>
      </c>
      <c r="X77" s="247">
        <f t="shared" si="34"/>
        <v>1</v>
      </c>
      <c r="Y77" s="247">
        <f t="shared" si="32"/>
        <v>23.294499999999999</v>
      </c>
      <c r="Z77" s="247">
        <f t="shared" si="33"/>
        <v>2.01E-2</v>
      </c>
      <c r="AA77" s="247">
        <f t="shared" ref="AA77:AA140" si="41">ABS(Z77-Y77)</f>
        <v>23.2744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40" si="42">VALUE(LEFT(A77,LEN(A77)-3))</f>
        <v>164</v>
      </c>
      <c r="AE77" s="235" t="str">
        <f t="shared" ref="AE77:AE140" si="4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s3://rtdc.mdm.uploadarchive.raw/RTDC4019/ "%USERPROFILE%\AppData\Local\Temp\OnboardLogs"\RTDC4019\2017-12-20 --exclude "*" --recursive --include "*20171220*" &amp; "%USERPROFILE%\Documents\GitHub\mrs-test-scripts\Headless Mode &amp; Sideloading\WalkAndUnGZ.bat" "%USERPROFILE%\AppData\Local\Temp\OnboardLogs"\RTDC4019\2017-12-20 &amp; aws s3 cp s3://rtdc.mdm.uploadarchive.raw/RTDC4019/ "%USERPROFILE%\AppData\Local\Temp\OnboardLogs"\RTDC4019\2017-12-21 --exclude "*" --recursive --include "*20171221*" &amp; "%USERPROFILE%\Documents\GitHub\mrs-test-scripts\Headless Mode &amp; Sideloading\WalkAndUnGZ.bat" "%USERPROFILE%\AppData\Local\Temp\OnboardLogs"\RTDC4019\2017-12-21</v>
      </c>
      <c r="AF77" s="234" t="str">
        <f t="shared" ref="AF77:AF140" si="4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/stypes="app*4019*20171220*" /stext=" 20:.+((SYSTEM_STATE.+slice.+state.+changed )|(ment ac)|(multiple cpu faults)|(system.+state.+changed )|(\[timeout)|(PRM\|1\|D)|(kpr)|(kdp)|(train st.+moving)|(\|gpps)|(penalty))"</v>
      </c>
      <c r="AG77" s="244" t="str">
        <f t="shared" ref="AG77:AG140" si="45">DetSubdiv(A77)</f>
        <v>EC</v>
      </c>
      <c r="AH77" s="236" t="str">
        <f t="shared" si="19"/>
        <v>"%USERPROFILE%\Documents\GitHub\eaglep3\Utilities\RefineRTDCRunTimes.py" --tripid 164-20 --locoid 4019 --swversion DE.1.0.9.0 --startMP 204:232945 --initTime 2017-12-20T12:25:33 --startdatetime 2017-12-20T12:27:52 --delay 69 --endMP 204:201 --enddatetime 2017-12-20T13:05:49 --enforcementcount 0 &gt;&gt;%USERPROFILE%\Documents\GitHub\eaglep3-reporting\EC\2017-12-20-refined-times.txt</v>
      </c>
      <c r="AI77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{"issue":{"subject":"","project_id":79,"tracker_id":40,"status_id":1,"priority_id":2,"assigned_to_id":338,"start_date":"2017-12-20","description":"","custom_fields":[{"id":1,"name":"Subdivision","value":"EC"},{"id":4,"name":"Milepost","value":"0.0201"},{"id":17,"name":"Train ID","value":"164-20"},{"id":16,"name":"Locomotive ID","value":"4019"},{"id":130,"name":"Impact","value":""},{"id":150,"name":"Time of Event (Mountain Time)","value":"13:05:49"},{"id":151,"name":"Denver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21"/>
        <v>start /low /b %USERPROFILE%\Documents\GitHub\eaglep3\Utilities\DownloadLogsFromS3.py --loco 4019 --day 2017-12-20</v>
      </c>
      <c r="AN77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20:05:49"},{"id":29,"name":"Sharepoint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23"/>
        <v>https://d0f6bd738d7f1b3e5a7ca70fe4ff75f0.us-east-1.aws.found.io/app/kibana#/discover/Steve-Slow-Train-Analysis-(2080s-and-2083s)?_g=(refreshInterval:(display:Off,pause:!f,section:0,value:0),time:(from:'2017-12-20T11:25:33-0700',mode:absolute,to:'2017-12-20T14:05:49-0700'))&amp;_a=(columns:!('Message%20ID',Summary),filters:!(),index:'emp_*',interval:auto,query:(query_string:(analyze_wildcard:!t,query:'%22rtdc.l.rtdc.4019%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9" t="s">
        <v>773</v>
      </c>
      <c r="B78" s="225">
        <v>4026</v>
      </c>
      <c r="C78" s="227" t="s">
        <v>192</v>
      </c>
      <c r="D78" s="227" t="s">
        <v>610</v>
      </c>
      <c r="E78" s="226">
        <v>43089.482986111114</v>
      </c>
      <c r="F78" s="226">
        <v>43089.490023148152</v>
      </c>
      <c r="G78" s="225">
        <v>84</v>
      </c>
      <c r="H78" s="227" t="s">
        <v>946</v>
      </c>
      <c r="I78" s="226">
        <v>43089.514386574076</v>
      </c>
      <c r="J78" s="225">
        <v>0</v>
      </c>
      <c r="K78" s="237" t="str">
        <f t="shared" si="35"/>
        <v>4025/4026</v>
      </c>
      <c r="L78" s="245" t="str">
        <f>VLOOKUP(A78,'Trips&amp;Operators'!$C$1:$G$99911,5,FALSE)</f>
        <v>GUZMAN DANNY</v>
      </c>
      <c r="M78" s="224">
        <f t="shared" si="36"/>
        <v>2.4363425924093463E-2</v>
      </c>
      <c r="N78" s="225">
        <f t="shared" si="37"/>
        <v>35.083333330694586</v>
      </c>
      <c r="O78" s="225"/>
      <c r="P78" s="225"/>
      <c r="Q78" s="228"/>
      <c r="R78" s="242"/>
      <c r="S78" s="249">
        <f t="shared" si="38"/>
        <v>1</v>
      </c>
      <c r="T78" s="242" t="str">
        <f t="shared" si="39"/>
        <v>NorthBound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40"/>
        <v>https://d0f6bd738d7f1b3e5a7ca70fe4ff75f0.us-east-1.aws.found.io/app/kibana#/discover/Steve-Slow-Train-Analysis-(2080s-and-2083s)?_g=(refreshInterval:(display:Off,pause:!f,section:0,value:0),time:(from:'2017-12-20T10:35:30-0700',mode:absolute,to:'2017-12-20T13:20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8" s="247" t="str">
        <f>IF(AA78&lt;VLOOKUP(AG78,Variables!$AC$3:$AD$8,2,FALSE),"Y","N")</f>
        <v>N</v>
      </c>
      <c r="X78" s="247">
        <f t="shared" si="34"/>
        <v>1</v>
      </c>
      <c r="Y78" s="247">
        <f t="shared" si="32"/>
        <v>4.9799999999999997E-2</v>
      </c>
      <c r="Z78" s="247">
        <f t="shared" si="33"/>
        <v>23.3339</v>
      </c>
      <c r="AA78" s="247">
        <f t="shared" si="41"/>
        <v>23.284099999999999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 t="shared" si="42"/>
        <v>165</v>
      </c>
      <c r="AE78" s="235" t="str">
        <f t="shared" si="43"/>
        <v>aws s3 cp s3://rtdc.mdm.uploadarchive.raw/RTDC4026/ "%USERPROFILE%\AppData\Local\Temp\OnboardLogs"\RTDC4026\2017-12-20 --exclude "*" --recursive --include "*20171220*" &amp; "%USERPROFILE%\Documents\GitHub\mrs-test-scripts\Headless Mode &amp; Sideloading\WalkAndUnGZ.bat" "%USERPROFILE%\AppData\Local\Temp\OnboardLogs"\RTDC4026\2017-12-20 &amp; aws s3 cp s3://rtdc.mdm.uploadarchive.raw/RTDC4026/ "%USERPROFILE%\AppData\Local\Temp\OnboardLogs"\RTDC4026\2017-12-21 --exclude "*" --recursive --include "*20171221*" &amp; "%USERPROFILE%\Documents\GitHub\mrs-test-scripts\Headless Mode &amp; Sideloading\WalkAndUnGZ.bat" "%USERPROFILE%\AppData\Local\Temp\OnboardLogs"\RTDC4026\2017-12-21</v>
      </c>
      <c r="AF78" s="234" t="str">
        <f t="shared" si="44"/>
        <v>"C:\Program Files (x86)\AstroGrep\AstroGrep.exe" /e /r /s /spath="%USERPROFILE%\AppData\Local\Temp\OnboardLogs" /stypes="app*4026*20171220*" /stext=" 19:.+((SYSTEM_STATE.+slice.+state.+changed )|(ment ac)|(multiple cpu faults)|(system.+state.+changed )|(\[timeout)|(PRM\|1\|D)|(kpr)|(kdp)|(train st.+moving)|(\|gpps)|(penalty))"</v>
      </c>
      <c r="AG78" s="244" t="str">
        <f t="shared" si="45"/>
        <v>EC</v>
      </c>
      <c r="AH78" s="236" t="str">
        <f t="shared" si="19"/>
        <v>"%USERPROFILE%\Documents\GitHub\eaglep3\Utilities\RefineRTDCRunTimes.py" --tripid 165-20 --locoid 4026 --swversion DE.1.0.9.0 --startMP 204:498 --initTime 2017-12-20T11:35:30 --startdatetime 2017-12-20T11:45:38 --delay 84 --endMP 204:233339 --enddatetime 2017-12-20T12:20:43 --enforcementcount 0 &gt;&gt;%USERPROFILE%\Documents\GitHub\eaglep3-reporting\EC\2017-12-20-refined-times.txt</v>
      </c>
      <c r="AI78" s="238" t="str">
        <f t="shared" si="20"/>
        <v>echo {"issue":{"subject":"","project_id":79,"tracker_id":40,"status_id":1,"priority_id":2,"assigned_to_id":338,"start_date":"2017-12-20","description":"","custom_fields":[{"id":1,"name":"Subdivision","value":"EC"},{"id":4,"name":"Milepost","value":"23.3339"},{"id":17,"name":"Train ID","value":"165-20"},{"id":16,"name":"Locomotive ID","value":"4026"},{"id":130,"name":"Impact","value":""},{"id":150,"name":"Time of Event (Mountain Time)","value":"12:20:43"},{"id":151,"name":"Denver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si="21"/>
        <v>start /low /b %USERPROFILE%\Documents\GitHub\eaglep3\Utilities\DownloadLogsFromS3.py --loco 4026 --day 2017-12-20</v>
      </c>
      <c r="AN78" s="241" t="str">
        <f t="shared" si="22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19:20:43"},{"id":29,"name":"Sharepoint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si="23"/>
        <v>https://d0f6bd738d7f1b3e5a7ca70fe4ff75f0.us-east-1.aws.found.io/app/kibana#/discover/Steve-Slow-Train-Analysis-(2080s-and-2083s)?_g=(refreshInterval:(display:Off,pause:!f,section:0,value:0),time:(from:'2017-12-20T10:35:30-0700',mode:absolute,to:'2017-12-20T13:20:43-0700'))&amp;_a=(columns:!('Message%20ID',Summary),filters:!(),index:'emp_*',interval:auto,query:(query_string:(analyze_wildcard:!t,query:'%22rtdc.l.rtdc.4026%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9" t="s">
        <v>781</v>
      </c>
      <c r="B79" s="225">
        <v>4025</v>
      </c>
      <c r="C79" s="227" t="s">
        <v>192</v>
      </c>
      <c r="D79" s="227" t="s">
        <v>496</v>
      </c>
      <c r="E79" s="226">
        <v>43089.516562500001</v>
      </c>
      <c r="F79" s="226">
        <v>43089.529328703706</v>
      </c>
      <c r="G79" s="225">
        <v>64</v>
      </c>
      <c r="H79" s="227" t="s">
        <v>463</v>
      </c>
      <c r="I79" s="226">
        <v>43089.555324074077</v>
      </c>
      <c r="J79" s="225">
        <v>0</v>
      </c>
      <c r="K79" s="237" t="str">
        <f t="shared" si="35"/>
        <v>4025/4026</v>
      </c>
      <c r="L79" s="245" t="str">
        <f>VLOOKUP(A79,'Trips&amp;Operators'!$C$1:$G$99911,5,FALSE)</f>
        <v>GUZMAN DANNY</v>
      </c>
      <c r="M79" s="224">
        <f t="shared" si="36"/>
        <v>2.5995370371674653E-2</v>
      </c>
      <c r="N79" s="225">
        <f t="shared" si="37"/>
        <v>37.433333335211501</v>
      </c>
      <c r="O79" s="225"/>
      <c r="P79" s="225"/>
      <c r="Q79" s="228"/>
      <c r="R79" s="242"/>
      <c r="S79" s="249">
        <f t="shared" si="38"/>
        <v>1</v>
      </c>
      <c r="T79" s="242" t="str">
        <f t="shared" si="39"/>
        <v>Southbound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40"/>
        <v>https://d0f6bd738d7f1b3e5a7ca70fe4ff75f0.us-east-1.aws.found.io/app/kibana#/discover/Steve-Slow-Train-Analysis-(2080s-and-2083s)?_g=(refreshInterval:(display:Off,pause:!f,section:0,value:0),time:(from:'2017-12-20T11:23:51-0700',mode:absolute,to:'2017-12-20T14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9" s="247" t="str">
        <f>IF(AA79&lt;VLOOKUP(AG79,Variables!$AC$3:$AD$8,2,FALSE),"Y","N")</f>
        <v>N</v>
      </c>
      <c r="X79" s="247">
        <f t="shared" si="34"/>
        <v>1</v>
      </c>
      <c r="Y79" s="247">
        <f t="shared" ref="Y79:Y110" si="46">RIGHT(D79,LEN(D79)-4)/10000</f>
        <v>23.298400000000001</v>
      </c>
      <c r="Z79" s="247">
        <f t="shared" ref="Z79:Z110" si="47">RIGHT(H79,LEN(H79)-4)/10000</f>
        <v>1.9599999999999999E-2</v>
      </c>
      <c r="AA79" s="247">
        <f t="shared" si="41"/>
        <v>23.2788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42"/>
        <v>166</v>
      </c>
      <c r="AE79" s="235" t="str">
        <f t="shared" si="43"/>
        <v>aws s3 cp s3://rtdc.mdm.uploadarchive.raw/RTDC4025/ "%USERPROFILE%\AppData\Local\Temp\OnboardLogs"\RTDC4025\2017-12-20 --exclude "*" --recursive --include "*20171220*" &amp; "%USERPROFILE%\Documents\GitHub\mrs-test-scripts\Headless Mode &amp; Sideloading\WalkAndUnGZ.bat" "%USERPROFILE%\AppData\Local\Temp\OnboardLogs"\RTDC4025\2017-12-20 &amp; aws s3 cp s3://rtdc.mdm.uploadarchive.raw/RTDC4025/ "%USERPROFILE%\AppData\Local\Temp\OnboardLogs"\RTDC4025\2017-12-21 --exclude "*" --recursive --include "*20171221*" &amp; "%USERPROFILE%\Documents\GitHub\mrs-test-scripts\Headless Mode &amp; Sideloading\WalkAndUnGZ.bat" "%USERPROFILE%\AppData\Local\Temp\OnboardLogs"\RTDC4025\2017-12-21</v>
      </c>
      <c r="AF79" s="234" t="str">
        <f t="shared" si="44"/>
        <v>"C:\Program Files (x86)\AstroGrep\AstroGrep.exe" /e /r /s /spath="%USERPROFILE%\AppData\Local\Temp\OnboardLogs" /stypes="app*4025*20171220*" /stext=" 20:.+((SYSTEM_STATE.+slice.+state.+changed )|(ment ac)|(multiple cpu faults)|(system.+state.+changed )|(\[timeout)|(PRM\|1\|D)|(kpr)|(kdp)|(train st.+moving)|(\|gpps)|(penalty))"</v>
      </c>
      <c r="AG79" s="244" t="str">
        <f t="shared" si="45"/>
        <v>EC</v>
      </c>
      <c r="AH79" s="236" t="str">
        <f t="shared" ref="AH79:AH142" si="48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166-20 --locoid 4025 --swversion DE.1.0.9.0 --startMP 204:232984 --initTime 2017-12-20T12:23:51 --startdatetime 2017-12-20T12:42:14 --delay 64 --endMP 204:196 --enddatetime 2017-12-20T13:19:40 --enforcementcount 0 &gt;&gt;%USERPROFILE%\Documents\GitHub\eaglep3-reporting\EC\2017-12-20-refined-times.txt</v>
      </c>
      <c r="AI79" s="238" t="str">
        <f t="shared" ref="AI79:AI142" si="49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{"issue":{"subject":"","project_id":79,"tracker_id":40,"status_id":1,"priority_id":2,"assigned_to_id":338,"start_date":"2017-12-20","description":"","custom_fields":[{"id":1,"name":"Subdivision","value":"EC"},{"id":4,"name":"Milepost","value":"0.0196"},{"id":17,"name":"Train ID","value":"166-20"},{"id":16,"name":"Locomotive ID","value":"4025"},{"id":130,"name":"Impact","value":""},{"id":150,"name":"Time of Event (Mountain Time)","value":"13:19:40"},{"id":151,"name":"Denver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ref="AM79:AM142" si="50">"start /low /b "&amp;dls3logs&amp;" --loco "&amp;B79&amp;" --day "&amp;TEXT(F79,"YYYY-MM-DD")</f>
        <v>start /low /b %USERPROFILE%\Documents\GitHub\eaglep3\Utilities\DownloadLogsFromS3.py --loco 4025 --day 2017-12-20</v>
      </c>
      <c r="AN79" s="241" t="str">
        <f t="shared" ref="AN79:AN142" si="51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20:19:40"},{"id":29,"name":"Sharepoint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ref="AO79:AO142" si="52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-20T11:23:51-0700',mode:absolute,to:'2017-12-20T14:19:40-0700'))&amp;_a=(columns:!('Message%20ID',Summary),filters:!(),index:'emp_*',interval:auto,query:(query_string:(analyze_wildcard:!t,query:'%22rtdc.l.rtdc.4025%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9" t="s">
        <v>777</v>
      </c>
      <c r="B80" s="225">
        <v>4010</v>
      </c>
      <c r="C80" s="227" t="s">
        <v>192</v>
      </c>
      <c r="D80" s="227" t="s">
        <v>947</v>
      </c>
      <c r="E80" s="226">
        <v>43089.495868055557</v>
      </c>
      <c r="F80" s="226">
        <v>43089.500173611108</v>
      </c>
      <c r="G80" s="225">
        <v>77</v>
      </c>
      <c r="H80" s="227" t="s">
        <v>948</v>
      </c>
      <c r="I80" s="226">
        <v>43089.52548611111</v>
      </c>
      <c r="J80" s="225">
        <v>0</v>
      </c>
      <c r="K80" s="237" t="str">
        <f t="shared" si="35"/>
        <v>4009/4010</v>
      </c>
      <c r="L80" s="245" t="str">
        <f>VLOOKUP(A80,'Trips&amp;Operators'!$C$1:$G$99911,5,FALSE)</f>
        <v>KILLION DAVID</v>
      </c>
      <c r="M80" s="224">
        <f t="shared" si="36"/>
        <v>2.531250000174623E-2</v>
      </c>
      <c r="N80" s="225">
        <f t="shared" si="37"/>
        <v>36.450000002514571</v>
      </c>
      <c r="O80" s="225"/>
      <c r="P80" s="225"/>
      <c r="Q80" s="228"/>
      <c r="R80" s="242"/>
      <c r="S80" s="249">
        <f t="shared" si="38"/>
        <v>1</v>
      </c>
      <c r="T80" s="242" t="str">
        <f t="shared" si="39"/>
        <v>NorthBound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40"/>
        <v>https://d0f6bd738d7f1b3e5a7ca70fe4ff75f0.us-east-1.aws.found.io/app/kibana#/discover/Steve-Slow-Train-Analysis-(2080s-and-2083s)?_g=(refreshInterval:(display:Off,pause:!f,section:0,value:0),time:(from:'2017-12-20T10:54:03-0700',mode:absolute,to:'2017-12-20T13:36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0" s="247" t="str">
        <f>IF(AA80&lt;VLOOKUP(AG80,Variables!$AC$3:$AD$8,2,FALSE),"Y","N")</f>
        <v>N</v>
      </c>
      <c r="X80" s="247">
        <f t="shared" si="34"/>
        <v>1</v>
      </c>
      <c r="Y80" s="247">
        <f t="shared" si="46"/>
        <v>5.6000000000000001E-2</v>
      </c>
      <c r="Z80" s="247">
        <f t="shared" si="47"/>
        <v>23.333200000000001</v>
      </c>
      <c r="AA80" s="247">
        <f t="shared" si="41"/>
        <v>23.277200000000001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42"/>
        <v>167</v>
      </c>
      <c r="AE80" s="235" t="str">
        <f t="shared" si="43"/>
        <v>aws s3 cp s3://rtdc.mdm.uploadarchive.raw/RTDC4010/ "%USERPROFILE%\AppData\Local\Temp\OnboardLogs"\RTDC4010\2017-12-20 --exclude "*" --recursive --include "*20171220*" &amp; "%USERPROFILE%\Documents\GitHub\mrs-test-scripts\Headless Mode &amp; Sideloading\WalkAndUnGZ.bat" "%USERPROFILE%\AppData\Local\Temp\OnboardLogs"\RTDC4010\2017-12-20 &amp; aws s3 cp s3://rtdc.mdm.uploadarchive.raw/RTDC4010/ "%USERPROFILE%\AppData\Local\Temp\OnboardLogs"\RTDC4010\2017-12-21 --exclude "*" --recursive --include "*20171221*" &amp; "%USERPROFILE%\Documents\GitHub\mrs-test-scripts\Headless Mode &amp; Sideloading\WalkAndUnGZ.bat" "%USERPROFILE%\AppData\Local\Temp\OnboardLogs"\RTDC4010\2017-12-21</v>
      </c>
      <c r="AF80" s="234" t="str">
        <f t="shared" si="44"/>
        <v>"C:\Program Files (x86)\AstroGrep\AstroGrep.exe" /e /r /s /spath="%USERPROFILE%\AppData\Local\Temp\OnboardLogs" /stypes="app*4010*20171220*" /stext=" 19:.+((SYSTEM_STATE.+slice.+state.+changed )|(ment ac)|(multiple cpu faults)|(system.+state.+changed )|(\[timeout)|(PRM\|1\|D)|(kpr)|(kdp)|(train st.+moving)|(\|gpps)|(penalty))"</v>
      </c>
      <c r="AG80" s="244" t="str">
        <f t="shared" si="45"/>
        <v>EC</v>
      </c>
      <c r="AH80" s="236" t="str">
        <f t="shared" si="48"/>
        <v>"%USERPROFILE%\Documents\GitHub\eaglep3\Utilities\RefineRTDCRunTimes.py" --tripid 167-20 --locoid 4010 --swversion DE.1.0.9.0 --startMP 204:560 --initTime 2017-12-20T11:54:03 --startdatetime 2017-12-20T12:00:15 --delay 77 --endMP 204:233332 --enddatetime 2017-12-20T12:36:42 --enforcementcount 0 &gt;&gt;%USERPROFILE%\Documents\GitHub\eaglep3-reporting\EC\2017-12-20-refined-times.txt</v>
      </c>
      <c r="AI80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{"issue":{"subject":"","project_id":79,"tracker_id":40,"status_id":1,"priority_id":2,"assigned_to_id":338,"start_date":"2017-12-20","description":"","custom_fields":[{"id":1,"name":"Subdivision","value":"EC"},{"id":4,"name":"Milepost","value":"23.3332"},{"id":17,"name":"Train ID","value":"167-20"},{"id":16,"name":"Locomotive ID","value":"4010"},{"id":130,"name":"Impact","value":""},{"id":150,"name":"Time of Event (Mountain Time)","value":"12:36:42"},{"id":151,"name":"Denver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50"/>
        <v>start /low /b %USERPROFILE%\Documents\GitHub\eaglep3\Utilities\DownloadLogsFromS3.py --loco 4010 --day 2017-12-20</v>
      </c>
      <c r="AN80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19:36:42"},{"id":29,"name":"Sharepoint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52"/>
        <v>https://d0f6bd738d7f1b3e5a7ca70fe4ff75f0.us-east-1.aws.found.io/app/kibana#/discover/Steve-Slow-Train-Analysis-(2080s-and-2083s)?_g=(refreshInterval:(display:Off,pause:!f,section:0,value:0),time:(from:'2017-12-20T10:54:03-0700',mode:absolute,to:'2017-12-20T13:36:42-0700'))&amp;_a=(columns:!('Message%20ID',Summary),filters:!(),index:'emp_*',interval:auto,query:(query_string:(analyze_wildcard:!t,query:'%22rtdc.l.rtdc.4010%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9" t="s">
        <v>787</v>
      </c>
      <c r="B81" s="225">
        <v>4009</v>
      </c>
      <c r="C81" s="227" t="s">
        <v>192</v>
      </c>
      <c r="D81" s="227" t="s">
        <v>949</v>
      </c>
      <c r="E81" s="226">
        <v>43089.531805555554</v>
      </c>
      <c r="F81" s="226">
        <v>43089.539803240739</v>
      </c>
      <c r="G81" s="225">
        <v>72</v>
      </c>
      <c r="H81" s="227" t="s">
        <v>528</v>
      </c>
      <c r="I81" s="226">
        <v>43089.565891203703</v>
      </c>
      <c r="J81" s="225">
        <v>0</v>
      </c>
      <c r="K81" s="237" t="str">
        <f t="shared" si="35"/>
        <v>4009/4010</v>
      </c>
      <c r="L81" s="245" t="str">
        <f>VLOOKUP(A81,'Trips&amp;Operators'!$C$1:$G$99911,5,FALSE)</f>
        <v>KILLION DAVID</v>
      </c>
      <c r="M81" s="224">
        <f t="shared" si="36"/>
        <v>2.6087962964083999E-2</v>
      </c>
      <c r="N81" s="225">
        <f t="shared" si="37"/>
        <v>37.566666668280959</v>
      </c>
      <c r="O81" s="225"/>
      <c r="P81" s="225"/>
      <c r="Q81" s="228"/>
      <c r="R81" s="242"/>
      <c r="S81" s="249">
        <f t="shared" si="38"/>
        <v>1</v>
      </c>
      <c r="T81" s="242" t="str">
        <f t="shared" si="39"/>
        <v>Southbound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 t="shared" si="40"/>
        <v>https://d0f6bd738d7f1b3e5a7ca70fe4ff75f0.us-east-1.aws.found.io/app/kibana#/discover/Steve-Slow-Train-Analysis-(2080s-and-2083s)?_g=(refreshInterval:(display:Off,pause:!f,section:0,value:0),time:(from:'2017-12-20T11:45:48-0700',mode:absolute,to:'2017-12-20T14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1" s="247" t="str">
        <f>IF(AA81&lt;VLOOKUP(AG81,Variables!$AC$3:$AD$8,2,FALSE),"Y","N")</f>
        <v>N</v>
      </c>
      <c r="X81" s="247">
        <f t="shared" si="34"/>
        <v>1</v>
      </c>
      <c r="Y81" s="247">
        <f t="shared" si="46"/>
        <v>23.298100000000002</v>
      </c>
      <c r="Z81" s="247">
        <f t="shared" si="47"/>
        <v>1.6899999999999998E-2</v>
      </c>
      <c r="AA81" s="247">
        <f t="shared" si="41"/>
        <v>23.281200000000002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42"/>
        <v>168</v>
      </c>
      <c r="AE81" s="235" t="str">
        <f t="shared" si="43"/>
        <v>aws s3 cp s3://rtdc.mdm.uploadarchive.raw/RTDC4009/ "%USERPROFILE%\AppData\Local\Temp\OnboardLogs"\RTDC4009\2017-12-20 --exclude "*" --recursive --include "*20171220*" &amp; "%USERPROFILE%\Documents\GitHub\mrs-test-scripts\Headless Mode &amp; Sideloading\WalkAndUnGZ.bat" "%USERPROFILE%\AppData\Local\Temp\OnboardLogs"\RTDC4009\2017-12-20 &amp; aws s3 cp s3://rtdc.mdm.uploadarchive.raw/RTDC4009/ "%USERPROFILE%\AppData\Local\Temp\OnboardLogs"\RTDC4009\2017-12-21 --exclude "*" --recursive --include "*20171221*" &amp; "%USERPROFILE%\Documents\GitHub\mrs-test-scripts\Headless Mode &amp; Sideloading\WalkAndUnGZ.bat" "%USERPROFILE%\AppData\Local\Temp\OnboardLogs"\RTDC4009\2017-12-21</v>
      </c>
      <c r="AF81" s="234" t="str">
        <f t="shared" si="44"/>
        <v>"C:\Program Files (x86)\AstroGrep\AstroGrep.exe" /e /r /s /spath="%USERPROFILE%\AppData\Local\Temp\OnboardLogs" /stypes="app*4009*20171220*" /stext=" 20:.+((SYSTEM_STATE.+slice.+state.+changed )|(ment ac)|(multiple cpu faults)|(system.+state.+changed )|(\[timeout)|(PRM\|1\|D)|(kpr)|(kdp)|(train st.+moving)|(\|gpps)|(penalty))"</v>
      </c>
      <c r="AG81" s="244" t="str">
        <f t="shared" si="45"/>
        <v>EC</v>
      </c>
      <c r="AH81" s="236" t="str">
        <f t="shared" si="48"/>
        <v>"%USERPROFILE%\Documents\GitHub\eaglep3\Utilities\RefineRTDCRunTimes.py" --tripid 168-20 --locoid 4009 --swversion DE.1.0.9.0 --startMP 204:232981 --initTime 2017-12-20T12:45:48 --startdatetime 2017-12-20T12:57:19 --delay 72 --endMP 204:169 --enddatetime 2017-12-20T13:34:53 --enforcementcount 0 &gt;&gt;%USERPROFILE%\Documents\GitHub\eaglep3-reporting\EC\2017-12-20-refined-times.txt</v>
      </c>
      <c r="AI81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{"issue":{"subject":"","project_id":79,"tracker_id":40,"status_id":1,"priority_id":2,"assigned_to_id":338,"start_date":"2017-12-20","description":"","custom_fields":[{"id":1,"name":"Subdivision","value":"EC"},{"id":4,"name":"Milepost","value":"0.0169"},{"id":17,"name":"Train ID","value":"168-20"},{"id":16,"name":"Locomotive ID","value":"4009"},{"id":130,"name":"Impact","value":""},{"id":150,"name":"Time of Event (Mountain Time)","value":"13:34:53"},{"id":151,"name":"Denver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50"/>
        <v>start /low /b %USERPROFILE%\Documents\GitHub\eaglep3\Utilities\DownloadLogsFromS3.py --loco 4009 --day 2017-12-20</v>
      </c>
      <c r="AN81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20:34:53"},{"id":29,"name":"Sharepoint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52"/>
        <v>https://d0f6bd738d7f1b3e5a7ca70fe4ff75f0.us-east-1.aws.found.io/app/kibana#/discover/Steve-Slow-Train-Analysis-(2080s-and-2083s)?_g=(refreshInterval:(display:Off,pause:!f,section:0,value:0),time:(from:'2017-12-20T11:45:48-0700',mode:absolute,to:'2017-12-20T14:34:53-0700'))&amp;_a=(columns:!('Message%20ID',Summary),filters:!(),index:'emp_*',interval:auto,query:(query_string:(analyze_wildcard:!t,query:'%22rtdc.l.rtdc.4009%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9" t="s">
        <v>780</v>
      </c>
      <c r="B82" s="225">
        <v>4050</v>
      </c>
      <c r="C82" s="227" t="s">
        <v>192</v>
      </c>
      <c r="D82" s="227" t="s">
        <v>608</v>
      </c>
      <c r="E82" s="226">
        <v>43089.504131944443</v>
      </c>
      <c r="F82" s="226">
        <v>43089.510578703703</v>
      </c>
      <c r="G82" s="225">
        <v>68</v>
      </c>
      <c r="H82" s="227" t="s">
        <v>618</v>
      </c>
      <c r="I82" s="226">
        <v>43089.53534722222</v>
      </c>
      <c r="J82" s="225">
        <v>0</v>
      </c>
      <c r="K82" s="237" t="str">
        <f t="shared" si="35"/>
        <v>4049/4050</v>
      </c>
      <c r="L82" s="245" t="str">
        <f>VLOOKUP(A82,'Trips&amp;Operators'!$C$1:$G$99911,5,FALSE)</f>
        <v>ROBINSON KADDIBA</v>
      </c>
      <c r="M82" s="224">
        <f t="shared" si="36"/>
        <v>2.4768518516793847E-2</v>
      </c>
      <c r="N82" s="225">
        <f t="shared" si="37"/>
        <v>35.66666666418314</v>
      </c>
      <c r="O82" s="225"/>
      <c r="P82" s="225"/>
      <c r="Q82" s="228"/>
      <c r="R82" s="242"/>
      <c r="S82" s="249">
        <f t="shared" si="38"/>
        <v>1</v>
      </c>
      <c r="T82" s="242" t="str">
        <f t="shared" si="39"/>
        <v>NorthBound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 t="shared" si="40"/>
        <v>https://d0f6bd738d7f1b3e5a7ca70fe4ff75f0.us-east-1.aws.found.io/app/kibana#/discover/Steve-Slow-Train-Analysis-(2080s-and-2083s)?_g=(refreshInterval:(display:Off,pause:!f,section:0,value:0),time:(from:'2017-12-20T11:05:57-0700',mode:absolute,to:'2017-12-20T13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2" s="247" t="str">
        <f>IF(AA82&lt;VLOOKUP(AG82,Variables!$AC$3:$AD$8,2,FALSE),"Y","N")</f>
        <v>N</v>
      </c>
      <c r="X82" s="247">
        <f t="shared" ref="X82:X113" si="53">VALUE(LEFT(AD82,4))-VALUE(LEFT(AD81,4))</f>
        <v>1</v>
      </c>
      <c r="Y82" s="247">
        <f t="shared" si="46"/>
        <v>4.4600000000000001E-2</v>
      </c>
      <c r="Z82" s="247">
        <f t="shared" si="47"/>
        <v>23.325900000000001</v>
      </c>
      <c r="AA82" s="247">
        <f t="shared" si="41"/>
        <v>23.281300000000002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 t="shared" si="42"/>
        <v>169</v>
      </c>
      <c r="AE82" s="235" t="str">
        <f t="shared" si="43"/>
        <v>aws s3 cp s3://rtdc.mdm.uploadarchive.raw/RTDC4050/ "%USERPROFILE%\AppData\Local\Temp\OnboardLogs"\RTDC4050\2017-12-20 --exclude "*" --recursive --include "*20171220*" &amp; "%USERPROFILE%\Documents\GitHub\mrs-test-scripts\Headless Mode &amp; Sideloading\WalkAndUnGZ.bat" "%USERPROFILE%\AppData\Local\Temp\OnboardLogs"\RTDC4050\2017-12-20 &amp; aws s3 cp s3://rtdc.mdm.uploadarchive.raw/RTDC4050/ "%USERPROFILE%\AppData\Local\Temp\OnboardLogs"\RTDC4050\2017-12-21 --exclude "*" --recursive --include "*20171221*" &amp; "%USERPROFILE%\Documents\GitHub\mrs-test-scripts\Headless Mode &amp; Sideloading\WalkAndUnGZ.bat" "%USERPROFILE%\AppData\Local\Temp\OnboardLogs"\RTDC4050\2017-12-21</v>
      </c>
      <c r="AF82" s="234" t="str">
        <f t="shared" si="44"/>
        <v>"C:\Program Files (x86)\AstroGrep\AstroGrep.exe" /e /r /s /spath="%USERPROFILE%\AppData\Local\Temp\OnboardLogs" /stypes="app*4050*20171220*" /stext=" 19:.+((SYSTEM_STATE.+slice.+state.+changed )|(ment ac)|(multiple cpu faults)|(system.+state.+changed )|(\[timeout)|(PRM\|1\|D)|(kpr)|(kdp)|(train st.+moving)|(\|gpps)|(penalty))"</v>
      </c>
      <c r="AG82" s="244" t="str">
        <f t="shared" si="45"/>
        <v>EC</v>
      </c>
      <c r="AH82" s="236" t="str">
        <f t="shared" si="48"/>
        <v>"%USERPROFILE%\Documents\GitHub\eaglep3\Utilities\RefineRTDCRunTimes.py" --tripid 169-20 --locoid 4050 --swversion DE.1.0.9.0 --startMP 204:446 --initTime 2017-12-20T12:05:57 --startdatetime 2017-12-20T12:15:14 --delay 68 --endMP 204:233259 --enddatetime 2017-12-20T12:50:54 --enforcementcount 0 &gt;&gt;%USERPROFILE%\Documents\GitHub\eaglep3-reporting\EC\2017-12-20-refined-times.txt</v>
      </c>
      <c r="AI82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{"issue":{"subject":"","project_id":79,"tracker_id":40,"status_id":1,"priority_id":2,"assigned_to_id":338,"start_date":"2017-12-20","description":"","custom_fields":[{"id":1,"name":"Subdivision","value":"EC"},{"id":4,"name":"Milepost","value":"23.3259"},{"id":17,"name":"Train ID","value":"169-20"},{"id":16,"name":"Locomotive ID","value":"4050"},{"id":130,"name":"Impact","value":""},{"id":150,"name":"Time of Event (Mountain Time)","value":"12:50:54"},{"id":151,"name":"Denver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50"/>
        <v>start /low /b %USERPROFILE%\Documents\GitHub\eaglep3\Utilities\DownloadLogsFromS3.py --loco 4050 --day 2017-12-20</v>
      </c>
      <c r="AN82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19:50:54"},{"id":29,"name":"Sharepoint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52"/>
        <v>https://d0f6bd738d7f1b3e5a7ca70fe4ff75f0.us-east-1.aws.found.io/app/kibana#/discover/Steve-Slow-Train-Analysis-(2080s-and-2083s)?_g=(refreshInterval:(display:Off,pause:!f,section:0,value:0),time:(from:'2017-12-20T11:05:57-0700',mode:absolute,to:'2017-12-20T13:50:54-0700'))&amp;_a=(columns:!('Message%20ID',Summary),filters:!(),index:'emp_*',interval:auto,query:(query_string:(analyze_wildcard:!t,query:'%22rtdc.l.rtdc.4050%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9" t="s">
        <v>790</v>
      </c>
      <c r="B83" s="225">
        <v>4049</v>
      </c>
      <c r="C83" s="227" t="s">
        <v>192</v>
      </c>
      <c r="D83" s="227" t="s">
        <v>623</v>
      </c>
      <c r="E83" s="226">
        <v>43089.543009259258</v>
      </c>
      <c r="F83" s="226">
        <v>43089.550173611111</v>
      </c>
      <c r="G83" s="225">
        <v>65</v>
      </c>
      <c r="H83" s="227" t="s">
        <v>931</v>
      </c>
      <c r="I83" s="226">
        <v>43089.57671296296</v>
      </c>
      <c r="J83" s="225">
        <v>0</v>
      </c>
      <c r="K83" s="237" t="str">
        <f t="shared" si="35"/>
        <v>4049/4050</v>
      </c>
      <c r="L83" s="245" t="str">
        <f>VLOOKUP(A83,'Trips&amp;Operators'!$C$1:$G$99911,5,FALSE)</f>
        <v>ROBINSON KADDIBA</v>
      </c>
      <c r="M83" s="224">
        <f t="shared" si="36"/>
        <v>2.6539351849351078E-2</v>
      </c>
      <c r="N83" s="225">
        <f t="shared" si="37"/>
        <v>38.216666663065553</v>
      </c>
      <c r="O83" s="225"/>
      <c r="P83" s="225"/>
      <c r="Q83" s="228"/>
      <c r="R83" s="242"/>
      <c r="S83" s="249">
        <f t="shared" si="38"/>
        <v>1</v>
      </c>
      <c r="T83" s="242" t="str">
        <f t="shared" si="39"/>
        <v>Southbound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40"/>
        <v>https://d0f6bd738d7f1b3e5a7ca70fe4ff75f0.us-east-1.aws.found.io/app/kibana#/discover/Steve-Slow-Train-Analysis-(2080s-and-2083s)?_g=(refreshInterval:(display:Off,pause:!f,section:0,value:0),time:(from:'2017-12-20T12:01:56-0700',mode:absolute,to:'2017-12-20T14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3" s="247" t="str">
        <f>IF(AA83&lt;VLOOKUP(AG83,Variables!$AC$3:$AD$8,2,FALSE),"Y","N")</f>
        <v>N</v>
      </c>
      <c r="X83" s="247">
        <f t="shared" si="53"/>
        <v>1</v>
      </c>
      <c r="Y83" s="247">
        <f t="shared" si="46"/>
        <v>23.292999999999999</v>
      </c>
      <c r="Z83" s="247">
        <f t="shared" si="47"/>
        <v>1.8700000000000001E-2</v>
      </c>
      <c r="AA83" s="247">
        <f t="shared" si="41"/>
        <v>23.2743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42"/>
        <v>170</v>
      </c>
      <c r="AE83" s="235" t="str">
        <f t="shared" si="43"/>
        <v>aws s3 cp s3://rtdc.mdm.uploadarchive.raw/RTDC4049/ "%USERPROFILE%\AppData\Local\Temp\OnboardLogs"\RTDC4049\2017-12-20 --exclude "*" --recursive --include "*20171220*" &amp; "%USERPROFILE%\Documents\GitHub\mrs-test-scripts\Headless Mode &amp; Sideloading\WalkAndUnGZ.bat" "%USERPROFILE%\AppData\Local\Temp\OnboardLogs"\RTDC4049\2017-12-20 &amp; aws s3 cp s3://rtdc.mdm.uploadarchive.raw/RTDC4049/ "%USERPROFILE%\AppData\Local\Temp\OnboardLogs"\RTDC4049\2017-12-21 --exclude "*" --recursive --include "*20171221*" &amp; "%USERPROFILE%\Documents\GitHub\mrs-test-scripts\Headless Mode &amp; Sideloading\WalkAndUnGZ.bat" "%USERPROFILE%\AppData\Local\Temp\OnboardLogs"\RTDC4049\2017-12-21</v>
      </c>
      <c r="AF83" s="234" t="str">
        <f t="shared" si="44"/>
        <v>"C:\Program Files (x86)\AstroGrep\AstroGrep.exe" /e /r /s /spath="%USERPROFILE%\AppData\Local\Temp\OnboardLogs" /stypes="app*4049*20171220*" /stext=" 20:.+((SYSTEM_STATE.+slice.+state.+changed )|(ment ac)|(multiple cpu faults)|(system.+state.+changed )|(\[timeout)|(PRM\|1\|D)|(kpr)|(kdp)|(train st.+moving)|(\|gpps)|(penalty))"</v>
      </c>
      <c r="AG83" s="244" t="str">
        <f t="shared" si="45"/>
        <v>EC</v>
      </c>
      <c r="AH83" s="236" t="str">
        <f t="shared" si="48"/>
        <v>"%USERPROFILE%\Documents\GitHub\eaglep3\Utilities\RefineRTDCRunTimes.py" --tripid 170-20 --locoid 4049 --swversion DE.1.0.9.0 --startMP 204:232930 --initTime 2017-12-20T13:01:56 --startdatetime 2017-12-20T13:12:15 --delay 65 --endMP 204:187 --enddatetime 2017-12-20T13:50:28 --enforcementcount 0 &gt;&gt;%USERPROFILE%\Documents\GitHub\eaglep3-reporting\EC\2017-12-20-refined-times.txt</v>
      </c>
      <c r="AI83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{"issue":{"subject":"","project_id":79,"tracker_id":40,"status_id":1,"priority_id":2,"assigned_to_id":338,"start_date":"2017-12-20","description":"","custom_fields":[{"id":1,"name":"Subdivision","value":"EC"},{"id":4,"name":"Milepost","value":"0.0187"},{"id":17,"name":"Train ID","value":"170-20"},{"id":16,"name":"Locomotive ID","value":"4049"},{"id":130,"name":"Impact","value":""},{"id":150,"name":"Time of Event (Mountain Time)","value":"13:50:28"},{"id":151,"name":"Denver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50"/>
        <v>start /low /b %USERPROFILE%\Documents\GitHub\eaglep3\Utilities\DownloadLogsFromS3.py --loco 4049 --day 2017-12-20</v>
      </c>
      <c r="AN83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20:50:28"},{"id":29,"name":"Sharepoint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52"/>
        <v>https://d0f6bd738d7f1b3e5a7ca70fe4ff75f0.us-east-1.aws.found.io/app/kibana#/discover/Steve-Slow-Train-Analysis-(2080s-and-2083s)?_g=(refreshInterval:(display:Off,pause:!f,section:0,value:0),time:(from:'2017-12-20T12:01:56-0700',mode:absolute,to:'2017-12-20T14:50:28-0700'))&amp;_a=(columns:!('Message%20ID',Summary),filters:!(),index:'emp_*',interval:auto,query:(query_string:(analyze_wildcard:!t,query:'%22rtdc.l.rtdc.4049%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9" t="s">
        <v>661</v>
      </c>
      <c r="B84" s="225">
        <v>4062</v>
      </c>
      <c r="C84" s="227" t="s">
        <v>192</v>
      </c>
      <c r="D84" s="227" t="s">
        <v>501</v>
      </c>
      <c r="E84" s="226">
        <v>43089.518518518518</v>
      </c>
      <c r="F84" s="226">
        <v>43089.521203703705</v>
      </c>
      <c r="G84" s="225">
        <v>80</v>
      </c>
      <c r="H84" s="227" t="s">
        <v>950</v>
      </c>
      <c r="I84" s="226">
        <v>43089.546655092592</v>
      </c>
      <c r="J84" s="225">
        <v>0</v>
      </c>
      <c r="K84" s="237" t="str">
        <f t="shared" si="35"/>
        <v>4061/4062</v>
      </c>
      <c r="L84" s="245" t="str">
        <f>VLOOKUP(A84,'Trips&amp;Operators'!$C$1:$G$99911,5,FALSE)</f>
        <v>DAVIS MICHAEL</v>
      </c>
      <c r="M84" s="224">
        <f t="shared" si="36"/>
        <v>2.545138888672227E-2</v>
      </c>
      <c r="N84" s="225">
        <f t="shared" si="37"/>
        <v>36.649999996880069</v>
      </c>
      <c r="O84" s="225"/>
      <c r="P84" s="225"/>
      <c r="Q84" s="228"/>
      <c r="R84" s="242"/>
      <c r="S84" s="249">
        <f t="shared" si="38"/>
        <v>1</v>
      </c>
      <c r="T84" s="242" t="str">
        <f t="shared" si="39"/>
        <v>NorthBound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40"/>
        <v>https://d0f6bd738d7f1b3e5a7ca70fe4ff75f0.us-east-1.aws.found.io/app/kibana#/discover/Steve-Slow-Train-Analysis-(2080s-and-2083s)?_g=(refreshInterval:(display:Off,pause:!f,section:0,value:0),time:(from:'2017-12-20T11:26:40-0700',mode:absolute,to:'2017-12-20T14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4" s="247" t="str">
        <f>IF(AA84&lt;VLOOKUP(AG84,Variables!$AC$3:$AD$8,2,FALSE),"Y","N")</f>
        <v>N</v>
      </c>
      <c r="X84" s="247">
        <f t="shared" si="53"/>
        <v>1</v>
      </c>
      <c r="Y84" s="247">
        <f t="shared" si="46"/>
        <v>5.04E-2</v>
      </c>
      <c r="Z84" s="247">
        <f t="shared" si="47"/>
        <v>23.321000000000002</v>
      </c>
      <c r="AA84" s="247">
        <f t="shared" si="41"/>
        <v>23.270600000000002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42"/>
        <v>171</v>
      </c>
      <c r="AE84" s="235" t="str">
        <f t="shared" si="43"/>
        <v>aws s3 cp s3://rtdc.mdm.uploadarchive.raw/RTDC4062/ "%USERPROFILE%\AppData\Local\Temp\OnboardLogs"\RTDC4062\2017-12-20 --exclude "*" --recursive --include "*20171220*" &amp; "%USERPROFILE%\Documents\GitHub\mrs-test-scripts\Headless Mode &amp; Sideloading\WalkAndUnGZ.bat" "%USERPROFILE%\AppData\Local\Temp\OnboardLogs"\RTDC4062\2017-12-20 &amp; aws s3 cp s3://rtdc.mdm.uploadarchive.raw/RTDC4062/ "%USERPROFILE%\AppData\Local\Temp\OnboardLogs"\RTDC4062\2017-12-21 --exclude "*" --recursive --include "*20171221*" &amp; "%USERPROFILE%\Documents\GitHub\mrs-test-scripts\Headless Mode &amp; Sideloading\WalkAndUnGZ.bat" "%USERPROFILE%\AppData\Local\Temp\OnboardLogs"\RTDC4062\2017-12-21</v>
      </c>
      <c r="AF84" s="234" t="str">
        <f t="shared" si="44"/>
        <v>"C:\Program Files (x86)\AstroGrep\AstroGrep.exe" /e /r /s /spath="%USERPROFILE%\AppData\Local\Temp\OnboardLogs" /stypes="app*4062*20171220*" /stext=" 20:.+((SYSTEM_STATE.+slice.+state.+changed )|(ment ac)|(multiple cpu faults)|(system.+state.+changed )|(\[timeout)|(PRM\|1\|D)|(kpr)|(kdp)|(train st.+moving)|(\|gpps)|(penalty))"</v>
      </c>
      <c r="AG84" s="244" t="str">
        <f t="shared" si="45"/>
        <v>EC</v>
      </c>
      <c r="AH84" s="236" t="str">
        <f t="shared" si="48"/>
        <v>"%USERPROFILE%\Documents\GitHub\eaglep3\Utilities\RefineRTDCRunTimes.py" --tripid 171-20 --locoid 4062 --swversion DE.1.0.9.0 --startMP 204:504 --initTime 2017-12-20T12:26:40 --startdatetime 2017-12-20T12:30:32 --delay 80 --endMP 204:233210 --enddatetime 2017-12-20T13:07:11 --enforcementcount 0 &gt;&gt;%USERPROFILE%\Documents\GitHub\eaglep3-reporting\EC\2017-12-20-refined-times.txt</v>
      </c>
      <c r="AI84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{"issue":{"subject":"","project_id":79,"tracker_id":40,"status_id":1,"priority_id":2,"assigned_to_id":338,"start_date":"2017-12-20","description":"","custom_fields":[{"id":1,"name":"Subdivision","value":"EC"},{"id":4,"name":"Milepost","value":"23.321"},{"id":17,"name":"Train ID","value":"171-20"},{"id":16,"name":"Locomotive ID","value":"4062"},{"id":130,"name":"Impact","value":""},{"id":150,"name":"Time of Event (Mountain Time)","value":"13:07:11"},{"id":151,"name":"Denver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50"/>
        <v>start /low /b %USERPROFILE%\Documents\GitHub\eaglep3\Utilities\DownloadLogsFromS3.py --loco 4062 --day 2017-12-20</v>
      </c>
      <c r="AN84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20:07:11"},{"id":29,"name":"Sharepoint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52"/>
        <v>https://d0f6bd738d7f1b3e5a7ca70fe4ff75f0.us-east-1.aws.found.io/app/kibana#/discover/Steve-Slow-Train-Analysis-(2080s-and-2083s)?_g=(refreshInterval:(display:Off,pause:!f,section:0,value:0),time:(from:'2017-12-20T11:26:40-0700',mode:absolute,to:'2017-12-20T14:07:11-0700'))&amp;_a=(columns:!('Message%20ID',Summary),filters:!(),index:'emp_*',interval:auto,query:(query_string:(analyze_wildcard:!t,query:'%22rtdc.l.rtdc.4062%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9" t="s">
        <v>792</v>
      </c>
      <c r="B85" s="225">
        <v>4061</v>
      </c>
      <c r="C85" s="227" t="s">
        <v>192</v>
      </c>
      <c r="D85" s="227" t="s">
        <v>605</v>
      </c>
      <c r="E85" s="226">
        <v>43089.558032407411</v>
      </c>
      <c r="F85" s="226">
        <v>43089.560868055552</v>
      </c>
      <c r="G85" s="225">
        <v>67</v>
      </c>
      <c r="H85" s="227" t="s">
        <v>614</v>
      </c>
      <c r="I85" s="226">
        <v>43089.588217592594</v>
      </c>
      <c r="J85" s="225">
        <v>0</v>
      </c>
      <c r="K85" s="237" t="str">
        <f t="shared" si="35"/>
        <v>4061/4062</v>
      </c>
      <c r="L85" s="245" t="str">
        <f>VLOOKUP(A85,'Trips&amp;Operators'!$C$1:$G$99911,5,FALSE)</f>
        <v>DAVIS MICHAEL</v>
      </c>
      <c r="M85" s="224">
        <f t="shared" si="36"/>
        <v>2.7349537042027805E-2</v>
      </c>
      <c r="N85" s="225">
        <f t="shared" si="37"/>
        <v>39.383333340520039</v>
      </c>
      <c r="O85" s="225"/>
      <c r="P85" s="225"/>
      <c r="Q85" s="228"/>
      <c r="R85" s="242"/>
      <c r="S85" s="249">
        <f t="shared" si="38"/>
        <v>1</v>
      </c>
      <c r="T85" s="242" t="str">
        <f t="shared" si="39"/>
        <v>Southbound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40"/>
        <v>https://d0f6bd738d7f1b3e5a7ca70fe4ff75f0.us-east-1.aws.found.io/app/kibana#/discover/Steve-Slow-Train-Analysis-(2080s-and-2083s)?_g=(refreshInterval:(display:Off,pause:!f,section:0,value:0),time:(from:'2017-12-20T12:23:34-0700',mode:absolute,to:'2017-12-20T15:07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5" s="247" t="str">
        <f>IF(AA85&lt;VLOOKUP(AG85,Variables!$AC$3:$AD$8,2,FALSE),"Y","N")</f>
        <v>N</v>
      </c>
      <c r="X85" s="247">
        <f t="shared" si="53"/>
        <v>1</v>
      </c>
      <c r="Y85" s="247">
        <f t="shared" si="46"/>
        <v>23.290199999999999</v>
      </c>
      <c r="Z85" s="247">
        <f t="shared" si="47"/>
        <v>2.07E-2</v>
      </c>
      <c r="AA85" s="247">
        <f t="shared" si="41"/>
        <v>23.269499999999997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42"/>
        <v>172</v>
      </c>
      <c r="AE85" s="235" t="str">
        <f t="shared" si="43"/>
        <v>aws s3 cp s3://rtdc.mdm.uploadarchive.raw/RTDC4061/ "%USERPROFILE%\AppData\Local\Temp\OnboardLogs"\RTDC4061\2017-12-20 --exclude "*" --recursive --include "*20171220*" &amp; "%USERPROFILE%\Documents\GitHub\mrs-test-scripts\Headless Mode &amp; Sideloading\WalkAndUnGZ.bat" "%USERPROFILE%\AppData\Local\Temp\OnboardLogs"\RTDC4061\2017-12-20 &amp; aws s3 cp s3://rtdc.mdm.uploadarchive.raw/RTDC4061/ "%USERPROFILE%\AppData\Local\Temp\OnboardLogs"\RTDC4061\2017-12-21 --exclude "*" --recursive --include "*20171221*" &amp; "%USERPROFILE%\Documents\GitHub\mrs-test-scripts\Headless Mode &amp; Sideloading\WalkAndUnGZ.bat" "%USERPROFILE%\AppData\Local\Temp\OnboardLogs"\RTDC4061\2017-12-21</v>
      </c>
      <c r="AF85" s="234" t="str">
        <f t="shared" si="44"/>
        <v>"C:\Program Files (x86)\AstroGrep\AstroGrep.exe" /e /r /s /spath="%USERPROFILE%\AppData\Local\Temp\OnboardLogs" /stypes="app*4061*20171220*" /stext=" 21:.+((SYSTEM_STATE.+slice.+state.+changed )|(ment ac)|(multiple cpu faults)|(system.+state.+changed )|(\[timeout)|(PRM\|1\|D)|(kpr)|(kdp)|(train st.+moving)|(\|gpps)|(penalty))"</v>
      </c>
      <c r="AG85" s="244" t="str">
        <f t="shared" si="45"/>
        <v>EC</v>
      </c>
      <c r="AH85" s="236" t="str">
        <f t="shared" si="48"/>
        <v>"%USERPROFILE%\Documents\GitHub\eaglep3\Utilities\RefineRTDCRunTimes.py" --tripid 172-20 --locoid 4061 --swversion DE.1.0.9.0 --startMP 204:232902 --initTime 2017-12-20T13:23:34 --startdatetime 2017-12-20T13:27:39 --delay 67 --endMP 204:207 --enddatetime 2017-12-20T14:07:02 --enforcementcount 0 &gt;&gt;%USERPROFILE%\Documents\GitHub\eaglep3-reporting\EC\2017-12-20-refined-times.txt</v>
      </c>
      <c r="AI85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{"issue":{"subject":"","project_id":79,"tracker_id":40,"status_id":1,"priority_id":2,"assigned_to_id":338,"start_date":"2017-12-20","description":"","custom_fields":[{"id":1,"name":"Subdivision","value":"EC"},{"id":4,"name":"Milepost","value":"0.0207"},{"id":17,"name":"Train ID","value":"172-20"},{"id":16,"name":"Locomotive ID","value":"4061"},{"id":130,"name":"Impact","value":""},{"id":150,"name":"Time of Event (Mountain Time)","value":"14:07:02"},{"id":151,"name":"Denver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50"/>
        <v>start /low /b %USERPROFILE%\Documents\GitHub\eaglep3\Utilities\DownloadLogsFromS3.py --loco 4061 --day 2017-12-20</v>
      </c>
      <c r="AN85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21:07:02"},{"id":29,"name":"Sharepoint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52"/>
        <v>https://d0f6bd738d7f1b3e5a7ca70fe4ff75f0.us-east-1.aws.found.io/app/kibana#/discover/Steve-Slow-Train-Analysis-(2080s-and-2083s)?_g=(refreshInterval:(display:Off,pause:!f,section:0,value:0),time:(from:'2017-12-20T12:23:34-0700',mode:absolute,to:'2017-12-20T15:07:02-0700'))&amp;_a=(columns:!('Message%20ID',Summary),filters:!(),index:'emp_*',interval:auto,query:(query_string:(analyze_wildcard:!t,query:'%22rtdc.l.rtdc.4061%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9" t="s">
        <v>784</v>
      </c>
      <c r="B86" s="225">
        <v>4052</v>
      </c>
      <c r="C86" s="227" t="s">
        <v>192</v>
      </c>
      <c r="D86" s="227" t="s">
        <v>951</v>
      </c>
      <c r="E86" s="226">
        <v>43089.529039351852</v>
      </c>
      <c r="F86" s="226">
        <v>43089.531481481485</v>
      </c>
      <c r="G86" s="225">
        <v>85</v>
      </c>
      <c r="H86" s="227" t="s">
        <v>497</v>
      </c>
      <c r="I86" s="226">
        <v>43089.555486111109</v>
      </c>
      <c r="J86" s="225">
        <v>0</v>
      </c>
      <c r="K86" s="237" t="str">
        <f t="shared" si="35"/>
        <v>4051/4052</v>
      </c>
      <c r="L86" s="245" t="str">
        <f>VLOOKUP(A86,'Trips&amp;Operators'!$C$1:$G$99911,5,FALSE)</f>
        <v>HOLCOMB KAMDEN</v>
      </c>
      <c r="M86" s="224">
        <f t="shared" si="36"/>
        <v>2.4004629623959772E-2</v>
      </c>
      <c r="N86" s="225">
        <f t="shared" si="37"/>
        <v>34.566666658502072</v>
      </c>
      <c r="O86" s="225"/>
      <c r="P86" s="225"/>
      <c r="Q86" s="228"/>
      <c r="R86" s="242"/>
      <c r="S86" s="249">
        <f t="shared" si="38"/>
        <v>1</v>
      </c>
      <c r="T86" s="242" t="str">
        <f t="shared" si="39"/>
        <v>NorthBound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40"/>
        <v>https://d0f6bd738d7f1b3e5a7ca70fe4ff75f0.us-east-1.aws.found.io/app/kibana#/discover/Steve-Slow-Train-Analysis-(2080s-and-2083s)?_g=(refreshInterval:(display:Off,pause:!f,section:0,value:0),time:(from:'2017-12-20T11:41:49-0700',mode:absolute,to:'2017-12-20T14:19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6" s="247" t="str">
        <f>IF(AA86&lt;VLOOKUP(AG86,Variables!$AC$3:$AD$8,2,FALSE),"Y","N")</f>
        <v>N</v>
      </c>
      <c r="X86" s="247">
        <f t="shared" si="53"/>
        <v>1</v>
      </c>
      <c r="Y86" s="247">
        <f t="shared" si="46"/>
        <v>4.2700000000000002E-2</v>
      </c>
      <c r="Z86" s="247">
        <f t="shared" si="47"/>
        <v>23.3261</v>
      </c>
      <c r="AA86" s="247">
        <f t="shared" si="41"/>
        <v>23.2834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 t="shared" si="42"/>
        <v>173</v>
      </c>
      <c r="AE86" s="235" t="str">
        <f t="shared" si="43"/>
        <v>aws s3 cp s3://rtdc.mdm.uploadarchive.raw/RTDC4052/ "%USERPROFILE%\AppData\Local\Temp\OnboardLogs"\RTDC4052\2017-12-20 --exclude "*" --recursive --include "*20171220*" &amp; "%USERPROFILE%\Documents\GitHub\mrs-test-scripts\Headless Mode &amp; Sideloading\WalkAndUnGZ.bat" "%USERPROFILE%\AppData\Local\Temp\OnboardLogs"\RTDC4052\2017-12-20 &amp; aws s3 cp s3://rtdc.mdm.uploadarchive.raw/RTDC4052/ "%USERPROFILE%\AppData\Local\Temp\OnboardLogs"\RTDC4052\2017-12-21 --exclude "*" --recursive --include "*20171221*" &amp; "%USERPROFILE%\Documents\GitHub\mrs-test-scripts\Headless Mode &amp; Sideloading\WalkAndUnGZ.bat" "%USERPROFILE%\AppData\Local\Temp\OnboardLogs"\RTDC4052\2017-12-21</v>
      </c>
      <c r="AF86" s="234" t="str">
        <f t="shared" si="44"/>
        <v>"C:\Program Files (x86)\AstroGrep\AstroGrep.exe" /e /r /s /spath="%USERPROFILE%\AppData\Local\Temp\OnboardLogs" /stypes="app*4052*20171220*" /stext=" 20:.+((SYSTEM_STATE.+slice.+state.+changed )|(ment ac)|(multiple cpu faults)|(system.+state.+changed )|(\[timeout)|(PRM\|1\|D)|(kpr)|(kdp)|(train st.+moving)|(\|gpps)|(penalty))"</v>
      </c>
      <c r="AG86" s="244" t="str">
        <f t="shared" si="45"/>
        <v>EC</v>
      </c>
      <c r="AH86" s="236" t="str">
        <f t="shared" si="48"/>
        <v>"%USERPROFILE%\Documents\GitHub\eaglep3\Utilities\RefineRTDCRunTimes.py" --tripid 173-20 --locoid 4052 --swversion DE.1.0.9.0 --startMP 204:427 --initTime 2017-12-20T12:41:49 --startdatetime 2017-12-20T12:45:20 --delay 85 --endMP 204:233261 --enddatetime 2017-12-20T13:19:54 --enforcementcount 0 &gt;&gt;%USERPROFILE%\Documents\GitHub\eaglep3-reporting\EC\2017-12-20-refined-times.txt</v>
      </c>
      <c r="AI86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{"issue":{"subject":"","project_id":79,"tracker_id":40,"status_id":1,"priority_id":2,"assigned_to_id":338,"start_date":"2017-12-20","description":"","custom_fields":[{"id":1,"name":"Subdivision","value":"EC"},{"id":4,"name":"Milepost","value":"23.3261"},{"id":17,"name":"Train ID","value":"173-20"},{"id":16,"name":"Locomotive ID","value":"4052"},{"id":130,"name":"Impact","value":""},{"id":150,"name":"Time of Event (Mountain Time)","value":"13:19:54"},{"id":151,"name":"Denver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50"/>
        <v>start /low /b %USERPROFILE%\Documents\GitHub\eaglep3\Utilities\DownloadLogsFromS3.py --loco 4052 --day 2017-12-20</v>
      </c>
      <c r="AN86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20:19:54"},{"id":29,"name":"Sharepoint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52"/>
        <v>https://d0f6bd738d7f1b3e5a7ca70fe4ff75f0.us-east-1.aws.found.io/app/kibana#/discover/Steve-Slow-Train-Analysis-(2080s-and-2083s)?_g=(refreshInterval:(display:Off,pause:!f,section:0,value:0),time:(from:'2017-12-20T11:41:49-0700',mode:absolute,to:'2017-12-20T14:19:54-0700'))&amp;_a=(columns:!('Message%20ID',Summary),filters:!(),index:'emp_*',interval:auto,query:(query_string:(analyze_wildcard:!t,query:'%22rtdc.l.rtdc.4052%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9" t="s">
        <v>796</v>
      </c>
      <c r="B87" s="225">
        <v>4051</v>
      </c>
      <c r="C87" s="227" t="s">
        <v>192</v>
      </c>
      <c r="D87" s="227" t="s">
        <v>551</v>
      </c>
      <c r="E87" s="226">
        <v>43089.568182870367</v>
      </c>
      <c r="F87" s="226">
        <v>43089.571134259262</v>
      </c>
      <c r="G87" s="225">
        <v>64</v>
      </c>
      <c r="H87" s="227" t="s">
        <v>619</v>
      </c>
      <c r="I87" s="226">
        <v>43089.596736111111</v>
      </c>
      <c r="J87" s="225">
        <v>0</v>
      </c>
      <c r="K87" s="237" t="str">
        <f t="shared" si="35"/>
        <v>4051/4052</v>
      </c>
      <c r="L87" s="245" t="str">
        <f>VLOOKUP(A87,'Trips&amp;Operators'!$C$1:$G$99911,5,FALSE)</f>
        <v>HOLCOMB KAMDEN</v>
      </c>
      <c r="M87" s="224">
        <f t="shared" si="36"/>
        <v>2.5601851848477963E-2</v>
      </c>
      <c r="N87" s="225">
        <f t="shared" si="37"/>
        <v>36.866666661808267</v>
      </c>
      <c r="O87" s="225"/>
      <c r="P87" s="225"/>
      <c r="Q87" s="228"/>
      <c r="R87" s="242"/>
      <c r="S87" s="249">
        <f t="shared" si="38"/>
        <v>1</v>
      </c>
      <c r="T87" s="242" t="str">
        <f t="shared" si="39"/>
        <v>Southbound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40"/>
        <v>https://d0f6bd738d7f1b3e5a7ca70fe4ff75f0.us-east-1.aws.found.io/app/kibana#/discover/Steve-Slow-Train-Analysis-(2080s-and-2083s)?_g=(refreshInterval:(display:Off,pause:!f,section:0,value:0),time:(from:'2017-12-20T12:38:11-0700',mode:absolute,to:'2017-12-20T15:19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7" s="247" t="str">
        <f>IF(AA87&lt;VLOOKUP(AG87,Variables!$AC$3:$AD$8,2,FALSE),"Y","N")</f>
        <v>N</v>
      </c>
      <c r="X87" s="247">
        <f t="shared" si="53"/>
        <v>1</v>
      </c>
      <c r="Y87" s="247">
        <f t="shared" si="46"/>
        <v>23.294</v>
      </c>
      <c r="Z87" s="247">
        <f t="shared" si="47"/>
        <v>2.0899999999999998E-2</v>
      </c>
      <c r="AA87" s="247">
        <f t="shared" si="41"/>
        <v>23.273099999999999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42"/>
        <v>174</v>
      </c>
      <c r="AE87" s="235" t="str">
        <f t="shared" si="43"/>
        <v>aws s3 cp s3://rtdc.mdm.uploadarchive.raw/RTDC4051/ "%USERPROFILE%\AppData\Local\Temp\OnboardLogs"\RTDC4051\2017-12-20 --exclude "*" --recursive --include "*20171220*" &amp; "%USERPROFILE%\Documents\GitHub\mrs-test-scripts\Headless Mode &amp; Sideloading\WalkAndUnGZ.bat" "%USERPROFILE%\AppData\Local\Temp\OnboardLogs"\RTDC4051\2017-12-20 &amp; aws s3 cp s3://rtdc.mdm.uploadarchive.raw/RTDC4051/ "%USERPROFILE%\AppData\Local\Temp\OnboardLogs"\RTDC4051\2017-12-21 --exclude "*" --recursive --include "*20171221*" &amp; "%USERPROFILE%\Documents\GitHub\mrs-test-scripts\Headless Mode &amp; Sideloading\WalkAndUnGZ.bat" "%USERPROFILE%\AppData\Local\Temp\OnboardLogs"\RTDC4051\2017-12-21</v>
      </c>
      <c r="AF87" s="234" t="str">
        <f t="shared" si="44"/>
        <v>"C:\Program Files (x86)\AstroGrep\AstroGrep.exe" /e /r /s /spath="%USERPROFILE%\AppData\Local\Temp\OnboardLogs" /stypes="app*4051*20171220*" /stext=" 21:.+((SYSTEM_STATE.+slice.+state.+changed )|(ment ac)|(multiple cpu faults)|(system.+state.+changed )|(\[timeout)|(PRM\|1\|D)|(kpr)|(kdp)|(train st.+moving)|(\|gpps)|(penalty))"</v>
      </c>
      <c r="AG87" s="244" t="str">
        <f t="shared" si="45"/>
        <v>EC</v>
      </c>
      <c r="AH87" s="236" t="str">
        <f t="shared" si="48"/>
        <v>"%USERPROFILE%\Documents\GitHub\eaglep3\Utilities\RefineRTDCRunTimes.py" --tripid 174-20 --locoid 4051 --swversion DE.1.0.9.0 --startMP 204:232940 --initTime 2017-12-20T13:38:11 --startdatetime 2017-12-20T13:42:26 --delay 64 --endMP 204:209 --enddatetime 2017-12-20T14:19:18 --enforcementcount 0 &gt;&gt;%USERPROFILE%\Documents\GitHub\eaglep3-reporting\EC\2017-12-20-refined-times.txt</v>
      </c>
      <c r="AI87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{"issue":{"subject":"","project_id":79,"tracker_id":40,"status_id":1,"priority_id":2,"assigned_to_id":338,"start_date":"2017-12-20","description":"","custom_fields":[{"id":1,"name":"Subdivision","value":"EC"},{"id":4,"name":"Milepost","value":"0.0209"},{"id":17,"name":"Train ID","value":"174-20"},{"id":16,"name":"Locomotive ID","value":"4051"},{"id":130,"name":"Impact","value":""},{"id":150,"name":"Time of Event (Mountain Time)","value":"14:19:18"},{"id":151,"name":"Denver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50"/>
        <v>start /low /b %USERPROFILE%\Documents\GitHub\eaglep3\Utilities\DownloadLogsFromS3.py --loco 4051 --day 2017-12-20</v>
      </c>
      <c r="AN87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21:19:18"},{"id":29,"name":"Sharepoint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52"/>
        <v>https://d0f6bd738d7f1b3e5a7ca70fe4ff75f0.us-east-1.aws.found.io/app/kibana#/discover/Steve-Slow-Train-Analysis-(2080s-and-2083s)?_g=(refreshInterval:(display:Off,pause:!f,section:0,value:0),time:(from:'2017-12-20T12:38:11-0700',mode:absolute,to:'2017-12-20T15:19:18-0700'))&amp;_a=(columns:!('Message%20ID',Summary),filters:!(),index:'emp_*',interval:auto,query:(query_string:(analyze_wildcard:!t,query:'%22rtdc.l.rtdc.4051%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9" t="s">
        <v>788</v>
      </c>
      <c r="B88" s="225">
        <v>4044</v>
      </c>
      <c r="C88" s="227" t="s">
        <v>192</v>
      </c>
      <c r="D88" s="227" t="s">
        <v>557</v>
      </c>
      <c r="E88" s="226">
        <v>43089.538761574076</v>
      </c>
      <c r="F88" s="226">
        <v>43089.541828703703</v>
      </c>
      <c r="G88" s="225">
        <v>63</v>
      </c>
      <c r="H88" s="227" t="s">
        <v>952</v>
      </c>
      <c r="I88" s="226">
        <v>43089.566307870373</v>
      </c>
      <c r="J88" s="225">
        <v>0</v>
      </c>
      <c r="K88" s="237" t="str">
        <f t="shared" si="35"/>
        <v>4043/4044</v>
      </c>
      <c r="L88" s="245" t="str">
        <f>VLOOKUP(A88,'Trips&amp;Operators'!$C$1:$G$99911,5,FALSE)</f>
        <v>NEWELL JAMES</v>
      </c>
      <c r="M88" s="224">
        <f t="shared" si="36"/>
        <v>2.4479166670062114E-2</v>
      </c>
      <c r="N88" s="225">
        <f t="shared" si="37"/>
        <v>35.250000004889444</v>
      </c>
      <c r="O88" s="225"/>
      <c r="P88" s="225"/>
      <c r="Q88" s="228"/>
      <c r="R88" s="242"/>
      <c r="S88" s="249">
        <f t="shared" si="38"/>
        <v>1</v>
      </c>
      <c r="T88" s="242" t="str">
        <f t="shared" si="39"/>
        <v>NorthBound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40"/>
        <v>https://d0f6bd738d7f1b3e5a7ca70fe4ff75f0.us-east-1.aws.found.io/app/kibana#/discover/Steve-Slow-Train-Analysis-(2080s-and-2083s)?_g=(refreshInterval:(display:Off,pause:!f,section:0,value:0),time:(from:'2017-12-20T11:55:49-0700',mode:absolute,to:'2017-12-20T14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8" s="247" t="str">
        <f>IF(AA88&lt;VLOOKUP(AG88,Variables!$AC$3:$AD$8,2,FALSE),"Y","N")</f>
        <v>N</v>
      </c>
      <c r="X88" s="247">
        <f t="shared" si="53"/>
        <v>1</v>
      </c>
      <c r="Y88" s="247">
        <f t="shared" si="46"/>
        <v>5.3100000000000001E-2</v>
      </c>
      <c r="Z88" s="247">
        <f t="shared" si="47"/>
        <v>23.320399999999999</v>
      </c>
      <c r="AA88" s="247">
        <f t="shared" si="41"/>
        <v>23.267299999999999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 t="shared" si="42"/>
        <v>175</v>
      </c>
      <c r="AE88" s="235" t="str">
        <f t="shared" si="43"/>
        <v>aws s3 cp s3://rtdc.mdm.uploadarchive.raw/RTDC4044/ "%USERPROFILE%\AppData\Local\Temp\OnboardLogs"\RTDC4044\2017-12-20 --exclude "*" --recursive --include "*20171220*" &amp; "%USERPROFILE%\Documents\GitHub\mrs-test-scripts\Headless Mode &amp; Sideloading\WalkAndUnGZ.bat" "%USERPROFILE%\AppData\Local\Temp\OnboardLogs"\RTDC4044\2017-12-20 &amp; aws s3 cp s3://rtdc.mdm.uploadarchive.raw/RTDC4044/ "%USERPROFILE%\AppData\Local\Temp\OnboardLogs"\RTDC4044\2017-12-21 --exclude "*" --recursive --include "*20171221*" &amp; "%USERPROFILE%\Documents\GitHub\mrs-test-scripts\Headless Mode &amp; Sideloading\WalkAndUnGZ.bat" "%USERPROFILE%\AppData\Local\Temp\OnboardLogs"\RTDC4044\2017-12-21</v>
      </c>
      <c r="AF88" s="234" t="str">
        <f t="shared" si="44"/>
        <v>"C:\Program Files (x86)\AstroGrep\AstroGrep.exe" /e /r /s /spath="%USERPROFILE%\AppData\Local\Temp\OnboardLogs" /stypes="app*4044*20171220*" /stext=" 20:.+((SYSTEM_STATE.+slice.+state.+changed )|(ment ac)|(multiple cpu faults)|(system.+state.+changed )|(\[timeout)|(PRM\|1\|D)|(kpr)|(kdp)|(train st.+moving)|(\|gpps)|(penalty))"</v>
      </c>
      <c r="AG88" s="244" t="str">
        <f t="shared" si="45"/>
        <v>EC</v>
      </c>
      <c r="AH88" s="236" t="str">
        <f t="shared" si="48"/>
        <v>"%USERPROFILE%\Documents\GitHub\eaglep3\Utilities\RefineRTDCRunTimes.py" --tripid 175-20 --locoid 4044 --swversion DE.1.0.9.0 --startMP 204:531 --initTime 2017-12-20T12:55:49 --startdatetime 2017-12-20T13:00:14 --delay 63 --endMP 204:233204 --enddatetime 2017-12-20T13:35:29 --enforcementcount 0 &gt;&gt;%USERPROFILE%\Documents\GitHub\eaglep3-reporting\EC\2017-12-20-refined-times.txt</v>
      </c>
      <c r="AI88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{"issue":{"subject":"","project_id":79,"tracker_id":40,"status_id":1,"priority_id":2,"assigned_to_id":338,"start_date":"2017-12-20","description":"","custom_fields":[{"id":1,"name":"Subdivision","value":"EC"},{"id":4,"name":"Milepost","value":"23.3204"},{"id":17,"name":"Train ID","value":"175-20"},{"id":16,"name":"Locomotive ID","value":"4044"},{"id":130,"name":"Impact","value":""},{"id":150,"name":"Time of Event (Mountain Time)","value":"13:35:29"},{"id":151,"name":"Denver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50"/>
        <v>start /low /b %USERPROFILE%\Documents\GitHub\eaglep3\Utilities\DownloadLogsFromS3.py --loco 4044 --day 2017-12-20</v>
      </c>
      <c r="AN88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20:35:29"},{"id":29,"name":"Sharepoint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52"/>
        <v>https://d0f6bd738d7f1b3e5a7ca70fe4ff75f0.us-east-1.aws.found.io/app/kibana#/discover/Steve-Slow-Train-Analysis-(2080s-and-2083s)?_g=(refreshInterval:(display:Off,pause:!f,section:0,value:0),time:(from:'2017-12-20T11:55:49-0700',mode:absolute,to:'2017-12-20T14:35:29-0700'))&amp;_a=(columns:!('Message%20ID',Summary),filters:!(),index:'emp_*',interval:auto,query:(query_string:(analyze_wildcard:!t,query:'%22rtdc.l.rtdc.4044%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9" t="s">
        <v>797</v>
      </c>
      <c r="B89" s="225">
        <v>4043</v>
      </c>
      <c r="C89" s="227" t="s">
        <v>192</v>
      </c>
      <c r="D89" s="227" t="s">
        <v>953</v>
      </c>
      <c r="E89" s="226">
        <v>43089.571597222224</v>
      </c>
      <c r="F89" s="226">
        <v>43089.581412037034</v>
      </c>
      <c r="G89" s="225">
        <v>65</v>
      </c>
      <c r="H89" s="227" t="s">
        <v>954</v>
      </c>
      <c r="I89" s="226">
        <v>43089.606354166666</v>
      </c>
      <c r="J89" s="225">
        <v>0</v>
      </c>
      <c r="K89" s="237" t="str">
        <f t="shared" si="35"/>
        <v>4043/4044</v>
      </c>
      <c r="L89" s="245" t="str">
        <f>VLOOKUP(A89,'Trips&amp;Operators'!$C$1:$G$99911,5,FALSE)</f>
        <v>NEWELL JAMES</v>
      </c>
      <c r="M89" s="224">
        <f t="shared" si="36"/>
        <v>2.4942129632108845E-2</v>
      </c>
      <c r="N89" s="225">
        <f t="shared" si="37"/>
        <v>35.916666670236737</v>
      </c>
      <c r="O89" s="225"/>
      <c r="P89" s="225"/>
      <c r="Q89" s="228"/>
      <c r="R89" s="242"/>
      <c r="S89" s="249">
        <f t="shared" si="38"/>
        <v>1</v>
      </c>
      <c r="T89" s="242" t="str">
        <f t="shared" si="39"/>
        <v>Southbound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40"/>
        <v>https://d0f6bd738d7f1b3e5a7ca70fe4ff75f0.us-east-1.aws.found.io/app/kibana#/discover/Steve-Slow-Train-Analysis-(2080s-and-2083s)?_g=(refreshInterval:(display:Off,pause:!f,section:0,value:0),time:(from:'2017-12-20T12:43:06-0700',mode:absolute,to:'2017-12-20T15:33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9" s="247" t="str">
        <f>IF(AA89&lt;VLOOKUP(AG89,Variables!$AC$3:$AD$8,2,FALSE),"Y","N")</f>
        <v>N</v>
      </c>
      <c r="X89" s="247">
        <f t="shared" si="53"/>
        <v>1</v>
      </c>
      <c r="Y89" s="247">
        <f t="shared" si="46"/>
        <v>23.289200000000001</v>
      </c>
      <c r="Z89" s="247">
        <f t="shared" si="47"/>
        <v>2.8899999999999999E-2</v>
      </c>
      <c r="AA89" s="247">
        <f t="shared" si="41"/>
        <v>23.260300000000001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42"/>
        <v>176</v>
      </c>
      <c r="AE89" s="235" t="str">
        <f t="shared" si="43"/>
        <v>aws s3 cp s3://rtdc.mdm.uploadarchive.raw/RTDC4043/ "%USERPROFILE%\AppData\Local\Temp\OnboardLogs"\RTDC4043\2017-12-20 --exclude "*" --recursive --include "*20171220*" &amp; "%USERPROFILE%\Documents\GitHub\mrs-test-scripts\Headless Mode &amp; Sideloading\WalkAndUnGZ.bat" "%USERPROFILE%\AppData\Local\Temp\OnboardLogs"\RTDC4043\2017-12-20 &amp; aws s3 cp s3://rtdc.mdm.uploadarchive.raw/RTDC4043/ "%USERPROFILE%\AppData\Local\Temp\OnboardLogs"\RTDC4043\2017-12-21 --exclude "*" --recursive --include "*20171221*" &amp; "%USERPROFILE%\Documents\GitHub\mrs-test-scripts\Headless Mode &amp; Sideloading\WalkAndUnGZ.bat" "%USERPROFILE%\AppData\Local\Temp\OnboardLogs"\RTDC4043\2017-12-21</v>
      </c>
      <c r="AF89" s="234" t="str">
        <f t="shared" si="44"/>
        <v>"C:\Program Files (x86)\AstroGrep\AstroGrep.exe" /e /r /s /spath="%USERPROFILE%\AppData\Local\Temp\OnboardLogs" /stypes="app*4043*20171220*" /stext=" 21:.+((SYSTEM_STATE.+slice.+state.+changed )|(ment ac)|(multiple cpu faults)|(system.+state.+changed )|(\[timeout)|(PRM\|1\|D)|(kpr)|(kdp)|(train st.+moving)|(\|gpps)|(penalty))"</v>
      </c>
      <c r="AG89" s="244" t="str">
        <f t="shared" si="45"/>
        <v>EC</v>
      </c>
      <c r="AH89" s="236" t="str">
        <f t="shared" si="48"/>
        <v>"%USERPROFILE%\Documents\GitHub\eaglep3\Utilities\RefineRTDCRunTimes.py" --tripid 176-20 --locoid 4043 --swversion DE.1.0.9.0 --startMP 204:232892 --initTime 2017-12-20T13:43:06 --startdatetime 2017-12-20T13:57:14 --delay 65 --endMP 204:289 --enddatetime 2017-12-20T14:33:09 --enforcementcount 0 &gt;&gt;%USERPROFILE%\Documents\GitHub\eaglep3-reporting\EC\2017-12-20-refined-times.txt</v>
      </c>
      <c r="AI89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{"issue":{"subject":"","project_id":79,"tracker_id":40,"status_id":1,"priority_id":2,"assigned_to_id":338,"start_date":"2017-12-20","description":"","custom_fields":[{"id":1,"name":"Subdivision","value":"EC"},{"id":4,"name":"Milepost","value":"0.0289"},{"id":17,"name":"Train ID","value":"176-20"},{"id":16,"name":"Locomotive ID","value":"4043"},{"id":130,"name":"Impact","value":""},{"id":150,"name":"Time of Event (Mountain Time)","value":"14:33:09"},{"id":151,"name":"Denver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50"/>
        <v>start /low /b %USERPROFILE%\Documents\GitHub\eaglep3\Utilities\DownloadLogsFromS3.py --loco 4043 --day 2017-12-20</v>
      </c>
      <c r="AN89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21:33:09"},{"id":29,"name":"Sharepoint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52"/>
        <v>https://d0f6bd738d7f1b3e5a7ca70fe4ff75f0.us-east-1.aws.found.io/app/kibana#/discover/Steve-Slow-Train-Analysis-(2080s-and-2083s)?_g=(refreshInterval:(display:Off,pause:!f,section:0,value:0),time:(from:'2017-12-20T12:43:06-0700',mode:absolute,to:'2017-12-20T15:33:09-0700'))&amp;_a=(columns:!('Message%20ID',Summary),filters:!(),index:'emp_*',interval:auto,query:(query_string:(analyze_wildcard:!t,query:'%22rtdc.l.rtdc.4043%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9" t="s">
        <v>791</v>
      </c>
      <c r="B90" s="225">
        <v>4020</v>
      </c>
      <c r="C90" s="227" t="s">
        <v>192</v>
      </c>
      <c r="D90" s="227" t="s">
        <v>955</v>
      </c>
      <c r="E90" s="226">
        <v>43089.547326388885</v>
      </c>
      <c r="F90" s="226">
        <v>43089.552685185183</v>
      </c>
      <c r="G90" s="225">
        <v>61</v>
      </c>
      <c r="H90" s="227" t="s">
        <v>618</v>
      </c>
      <c r="I90" s="226">
        <v>43089.577337962961</v>
      </c>
      <c r="J90" s="225">
        <v>0</v>
      </c>
      <c r="K90" s="237" t="str">
        <f t="shared" si="35"/>
        <v>4019/4020</v>
      </c>
      <c r="L90" s="245" t="str">
        <f>VLOOKUP(A90,'Trips&amp;Operators'!$C$1:$G$99911,5,FALSE)</f>
        <v>MOSES BRADLEY</v>
      </c>
      <c r="M90" s="224">
        <f t="shared" si="36"/>
        <v>2.4652777778101154E-2</v>
      </c>
      <c r="N90" s="225">
        <f t="shared" si="37"/>
        <v>35.500000000465661</v>
      </c>
      <c r="O90" s="225"/>
      <c r="P90" s="225"/>
      <c r="Q90" s="228"/>
      <c r="R90" s="242"/>
      <c r="S90" s="249">
        <f t="shared" si="38"/>
        <v>1</v>
      </c>
      <c r="T90" s="242" t="str">
        <f t="shared" si="39"/>
        <v>NorthBound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40"/>
        <v>https://d0f6bd738d7f1b3e5a7ca70fe4ff75f0.us-east-1.aws.found.io/app/kibana#/discover/Steve-Slow-Train-Analysis-(2080s-and-2083s)?_g=(refreshInterval:(display:Off,pause:!f,section:0,value:0),time:(from:'2017-12-20T12:08:09-0700',mode:absolute,to:'2017-12-20T14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0" s="247" t="str">
        <f>IF(AA90&lt;VLOOKUP(AG90,Variables!$AC$3:$AD$8,2,FALSE),"Y","N")</f>
        <v>N</v>
      </c>
      <c r="X90" s="247">
        <f t="shared" si="53"/>
        <v>1</v>
      </c>
      <c r="Y90" s="247">
        <f t="shared" si="46"/>
        <v>5.0599999999999999E-2</v>
      </c>
      <c r="Z90" s="247">
        <f t="shared" si="47"/>
        <v>23.325900000000001</v>
      </c>
      <c r="AA90" s="247">
        <f t="shared" si="41"/>
        <v>23.275300000000001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 t="shared" si="42"/>
        <v>177</v>
      </c>
      <c r="AE90" s="235" t="str">
        <f t="shared" si="43"/>
        <v>aws s3 cp s3://rtdc.mdm.uploadarchive.raw/RTDC4020/ "%USERPROFILE%\AppData\Local\Temp\OnboardLogs"\RTDC4020\2017-12-20 --exclude "*" --recursive --include "*20171220*" &amp; "%USERPROFILE%\Documents\GitHub\mrs-test-scripts\Headless Mode &amp; Sideloading\WalkAndUnGZ.bat" "%USERPROFILE%\AppData\Local\Temp\OnboardLogs"\RTDC4020\2017-12-20 &amp; aws s3 cp s3://rtdc.mdm.uploadarchive.raw/RTDC4020/ "%USERPROFILE%\AppData\Local\Temp\OnboardLogs"\RTDC4020\2017-12-21 --exclude "*" --recursive --include "*20171221*" &amp; "%USERPROFILE%\Documents\GitHub\mrs-test-scripts\Headless Mode &amp; Sideloading\WalkAndUnGZ.bat" "%USERPROFILE%\AppData\Local\Temp\OnboardLogs"\RTDC4020\2017-12-21</v>
      </c>
      <c r="AF90" s="234" t="str">
        <f t="shared" si="44"/>
        <v>"C:\Program Files (x86)\AstroGrep\AstroGrep.exe" /e /r /s /spath="%USERPROFILE%\AppData\Local\Temp\OnboardLogs" /stypes="app*4020*20171220*" /stext=" 20:.+((SYSTEM_STATE.+slice.+state.+changed )|(ment ac)|(multiple cpu faults)|(system.+state.+changed )|(\[timeout)|(PRM\|1\|D)|(kpr)|(kdp)|(train st.+moving)|(\|gpps)|(penalty))"</v>
      </c>
      <c r="AG90" s="244" t="str">
        <f t="shared" si="45"/>
        <v>EC</v>
      </c>
      <c r="AH90" s="236" t="str">
        <f t="shared" si="48"/>
        <v>"%USERPROFILE%\Documents\GitHub\eaglep3\Utilities\RefineRTDCRunTimes.py" --tripid 177-20 --locoid 4020 --swversion DE.1.0.9.0 --startMP 204:506 --initTime 2017-12-20T13:08:09 --startdatetime 2017-12-20T13:15:52 --delay 61 --endMP 204:233259 --enddatetime 2017-12-20T13:51:22 --enforcementcount 0 &gt;&gt;%USERPROFILE%\Documents\GitHub\eaglep3-reporting\EC\2017-12-20-refined-times.txt</v>
      </c>
      <c r="AI90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{"issue":{"subject":"","project_id":79,"tracker_id":40,"status_id":1,"priority_id":2,"assigned_to_id":338,"start_date":"2017-12-20","description":"","custom_fields":[{"id":1,"name":"Subdivision","value":"EC"},{"id":4,"name":"Milepost","value":"23.3259"},{"id":17,"name":"Train ID","value":"177-20"},{"id":16,"name":"Locomotive ID","value":"4020"},{"id":130,"name":"Impact","value":""},{"id":150,"name":"Time of Event (Mountain Time)","value":"13:51:22"},{"id":151,"name":"Denver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50"/>
        <v>start /low /b %USERPROFILE%\Documents\GitHub\eaglep3\Utilities\DownloadLogsFromS3.py --loco 4020 --day 2017-12-20</v>
      </c>
      <c r="AN90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20:51:22"},{"id":29,"name":"Sharepoint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52"/>
        <v>https://d0f6bd738d7f1b3e5a7ca70fe4ff75f0.us-east-1.aws.found.io/app/kibana#/discover/Steve-Slow-Train-Analysis-(2080s-and-2083s)?_g=(refreshInterval:(display:Off,pause:!f,section:0,value:0),time:(from:'2017-12-20T12:08:09-0700',mode:absolute,to:'2017-12-20T14:51:22-0700'))&amp;_a=(columns:!('Message%20ID',Summary),filters:!(),index:'emp_*',interval:auto,query:(query_string:(analyze_wildcard:!t,query:'%22rtdc.l.rtdc.4020%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9" t="s">
        <v>802</v>
      </c>
      <c r="B91" s="225">
        <v>4019</v>
      </c>
      <c r="C91" s="227" t="s">
        <v>192</v>
      </c>
      <c r="D91" s="227" t="s">
        <v>555</v>
      </c>
      <c r="E91" s="226">
        <v>43089.587407407409</v>
      </c>
      <c r="F91" s="226">
        <v>43089.591886574075</v>
      </c>
      <c r="G91" s="225">
        <v>73</v>
      </c>
      <c r="H91" s="227" t="s">
        <v>956</v>
      </c>
      <c r="I91" s="226">
        <v>43089.617881944447</v>
      </c>
      <c r="J91" s="225">
        <v>0</v>
      </c>
      <c r="K91" s="237" t="str">
        <f t="shared" si="35"/>
        <v>4019/4020</v>
      </c>
      <c r="L91" s="245" t="str">
        <f>VLOOKUP(A91,'Trips&amp;Operators'!$C$1:$G$99911,5,FALSE)</f>
        <v>MOSES BRADLEY</v>
      </c>
      <c r="M91" s="224">
        <f t="shared" si="36"/>
        <v>2.5995370371674653E-2</v>
      </c>
      <c r="N91" s="225">
        <f t="shared" si="37"/>
        <v>37.433333335211501</v>
      </c>
      <c r="O91" s="225"/>
      <c r="P91" s="225"/>
      <c r="Q91" s="228"/>
      <c r="R91" s="242"/>
      <c r="S91" s="249">
        <f t="shared" si="38"/>
        <v>1</v>
      </c>
      <c r="T91" s="242" t="str">
        <f t="shared" si="39"/>
        <v>Southbound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40"/>
        <v>https://d0f6bd738d7f1b3e5a7ca70fe4ff75f0.us-east-1.aws.found.io/app/kibana#/discover/Steve-Slow-Train-Analysis-(2080s-and-2083s)?_g=(refreshInterval:(display:Off,pause:!f,section:0,value:0),time:(from:'2017-12-20T13:05:52-0700',mode:absolute,to:'2017-12-20T15:49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1" s="247" t="str">
        <f>IF(AA91&lt;VLOOKUP(AG91,Variables!$AC$3:$AD$8,2,FALSE),"Y","N")</f>
        <v>N</v>
      </c>
      <c r="X91" s="247">
        <f t="shared" si="53"/>
        <v>1</v>
      </c>
      <c r="Y91" s="247">
        <f t="shared" si="46"/>
        <v>23.2957</v>
      </c>
      <c r="Z91" s="247">
        <f t="shared" si="47"/>
        <v>2.0500000000000001E-2</v>
      </c>
      <c r="AA91" s="247">
        <f t="shared" si="41"/>
        <v>23.275200000000002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42"/>
        <v>178</v>
      </c>
      <c r="AE91" s="235" t="str">
        <f t="shared" si="43"/>
        <v>aws s3 cp s3://rtdc.mdm.uploadarchive.raw/RTDC4019/ "%USERPROFILE%\AppData\Local\Temp\OnboardLogs"\RTDC4019\2017-12-20 --exclude "*" --recursive --include "*20171220*" &amp; "%USERPROFILE%\Documents\GitHub\mrs-test-scripts\Headless Mode &amp; Sideloading\WalkAndUnGZ.bat" "%USERPROFILE%\AppData\Local\Temp\OnboardLogs"\RTDC4019\2017-12-20 &amp; aws s3 cp s3://rtdc.mdm.uploadarchive.raw/RTDC4019/ "%USERPROFILE%\AppData\Local\Temp\OnboardLogs"\RTDC4019\2017-12-21 --exclude "*" --recursive --include "*20171221*" &amp; "%USERPROFILE%\Documents\GitHub\mrs-test-scripts\Headless Mode &amp; Sideloading\WalkAndUnGZ.bat" "%USERPROFILE%\AppData\Local\Temp\OnboardLogs"\RTDC4019\2017-12-21</v>
      </c>
      <c r="AF91" s="234" t="str">
        <f t="shared" si="44"/>
        <v>"C:\Program Files (x86)\AstroGrep\AstroGrep.exe" /e /r /s /spath="%USERPROFILE%\AppData\Local\Temp\OnboardLogs" /stypes="app*4019*20171220*" /stext=" 21:.+((SYSTEM_STATE.+slice.+state.+changed )|(ment ac)|(multiple cpu faults)|(system.+state.+changed )|(\[timeout)|(PRM\|1\|D)|(kpr)|(kdp)|(train st.+moving)|(\|gpps)|(penalty))"</v>
      </c>
      <c r="AG91" s="244" t="str">
        <f t="shared" si="45"/>
        <v>EC</v>
      </c>
      <c r="AH91" s="236" t="str">
        <f t="shared" si="48"/>
        <v>"%USERPROFILE%\Documents\GitHub\eaglep3\Utilities\RefineRTDCRunTimes.py" --tripid 178-20 --locoid 4019 --swversion DE.1.0.9.0 --startMP 204:232957 --initTime 2017-12-20T14:05:52 --startdatetime 2017-12-20T14:12:19 --delay 73 --endMP 204:205 --enddatetime 2017-12-20T14:49:45 --enforcementcount 0 &gt;&gt;%USERPROFILE%\Documents\GitHub\eaglep3-reporting\EC\2017-12-20-refined-times.txt</v>
      </c>
      <c r="AI91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{"issue":{"subject":"","project_id":79,"tracker_id":40,"status_id":1,"priority_id":2,"assigned_to_id":338,"start_date":"2017-12-20","description":"","custom_fields":[{"id":1,"name":"Subdivision","value":"EC"},{"id":4,"name":"Milepost","value":"0.0205"},{"id":17,"name":"Train ID","value":"178-20"},{"id":16,"name":"Locomotive ID","value":"4019"},{"id":130,"name":"Impact","value":""},{"id":150,"name":"Time of Event (Mountain Time)","value":"14:49:45"},{"id":151,"name":"Denver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50"/>
        <v>start /low /b %USERPROFILE%\Documents\GitHub\eaglep3\Utilities\DownloadLogsFromS3.py --loco 4019 --day 2017-12-20</v>
      </c>
      <c r="AN91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21:49:45"},{"id":29,"name":"Sharepoint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52"/>
        <v>https://d0f6bd738d7f1b3e5a7ca70fe4ff75f0.us-east-1.aws.found.io/app/kibana#/discover/Steve-Slow-Train-Analysis-(2080s-and-2083s)?_g=(refreshInterval:(display:Off,pause:!f,section:0,value:0),time:(from:'2017-12-20T13:05:52-0700',mode:absolute,to:'2017-12-20T15:49:45-0700'))&amp;_a=(columns:!('Message%20ID',Summary),filters:!(),index:'emp_*',interval:auto,query:(query_string:(analyze_wildcard:!t,query:'%22rtdc.l.rtdc.4019%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9" t="s">
        <v>793</v>
      </c>
      <c r="B92" s="225">
        <v>4026</v>
      </c>
      <c r="C92" s="227" t="s">
        <v>192</v>
      </c>
      <c r="D92" s="227" t="s">
        <v>957</v>
      </c>
      <c r="E92" s="226">
        <v>43089.558298611111</v>
      </c>
      <c r="F92" s="226">
        <v>43089.562662037039</v>
      </c>
      <c r="G92" s="225">
        <v>53</v>
      </c>
      <c r="H92" s="227" t="s">
        <v>958</v>
      </c>
      <c r="I92" s="226">
        <v>43089.587407407409</v>
      </c>
      <c r="J92" s="225">
        <v>0</v>
      </c>
      <c r="K92" s="237" t="str">
        <f t="shared" si="35"/>
        <v>4025/4026</v>
      </c>
      <c r="L92" s="245" t="str">
        <f>VLOOKUP(A92,'Trips&amp;Operators'!$C$1:$G$99911,5,FALSE)</f>
        <v>GUZMAN DANNY</v>
      </c>
      <c r="M92" s="224">
        <f t="shared" si="36"/>
        <v>2.47453703705105E-2</v>
      </c>
      <c r="N92" s="225">
        <f t="shared" si="37"/>
        <v>35.63333333353512</v>
      </c>
      <c r="O92" s="225"/>
      <c r="P92" s="225"/>
      <c r="Q92" s="228"/>
      <c r="R92" s="242"/>
      <c r="S92" s="249">
        <f t="shared" si="38"/>
        <v>1</v>
      </c>
      <c r="T92" s="242" t="str">
        <f t="shared" si="39"/>
        <v>NorthBound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40"/>
        <v>https://d0f6bd738d7f1b3e5a7ca70fe4ff75f0.us-east-1.aws.found.io/app/kibana#/discover/Steve-Slow-Train-Analysis-(2080s-and-2083s)?_g=(refreshInterval:(display:Off,pause:!f,section:0,value:0),time:(from:'2017-12-20T12:23:57-0700',mode:absolute,to:'2017-12-20T15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2" s="247" t="str">
        <f>IF(AA92&lt;VLOOKUP(AG92,Variables!$AC$3:$AD$8,2,FALSE),"Y","N")</f>
        <v>N</v>
      </c>
      <c r="X92" s="247">
        <f t="shared" si="53"/>
        <v>1</v>
      </c>
      <c r="Y92" s="247">
        <f t="shared" si="46"/>
        <v>5.1900000000000002E-2</v>
      </c>
      <c r="Z92" s="247">
        <f t="shared" si="47"/>
        <v>23.328499999999998</v>
      </c>
      <c r="AA92" s="247">
        <f t="shared" si="41"/>
        <v>23.276599999999998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42"/>
        <v>179</v>
      </c>
      <c r="AE92" s="235" t="str">
        <f t="shared" si="43"/>
        <v>aws s3 cp s3://rtdc.mdm.uploadarchive.raw/RTDC4026/ "%USERPROFILE%\AppData\Local\Temp\OnboardLogs"\RTDC4026\2017-12-20 --exclude "*" --recursive --include "*20171220*" &amp; "%USERPROFILE%\Documents\GitHub\mrs-test-scripts\Headless Mode &amp; Sideloading\WalkAndUnGZ.bat" "%USERPROFILE%\AppData\Local\Temp\OnboardLogs"\RTDC4026\2017-12-20 &amp; aws s3 cp s3://rtdc.mdm.uploadarchive.raw/RTDC4026/ "%USERPROFILE%\AppData\Local\Temp\OnboardLogs"\RTDC4026\2017-12-21 --exclude "*" --recursive --include "*20171221*" &amp; "%USERPROFILE%\Documents\GitHub\mrs-test-scripts\Headless Mode &amp; Sideloading\WalkAndUnGZ.bat" "%USERPROFILE%\AppData\Local\Temp\OnboardLogs"\RTDC4026\2017-12-21</v>
      </c>
      <c r="AF92" s="234" t="str">
        <f t="shared" si="44"/>
        <v>"C:\Program Files (x86)\AstroGrep\AstroGrep.exe" /e /r /s /spath="%USERPROFILE%\AppData\Local\Temp\OnboardLogs" /stypes="app*4026*20171220*" /stext=" 21:.+((SYSTEM_STATE.+slice.+state.+changed )|(ment ac)|(multiple cpu faults)|(system.+state.+changed )|(\[timeout)|(PRM\|1\|D)|(kpr)|(kdp)|(train st.+moving)|(\|gpps)|(penalty))"</v>
      </c>
      <c r="AG92" s="244" t="str">
        <f t="shared" si="45"/>
        <v>EC</v>
      </c>
      <c r="AH92" s="236" t="str">
        <f t="shared" si="48"/>
        <v>"%USERPROFILE%\Documents\GitHub\eaglep3\Utilities\RefineRTDCRunTimes.py" --tripid 179-20 --locoid 4026 --swversion DE.1.0.9.0 --startMP 204:519 --initTime 2017-12-20T13:23:57 --startdatetime 2017-12-20T13:30:14 --delay 53 --endMP 204:233285 --enddatetime 2017-12-20T14:05:52 --enforcementcount 0 &gt;&gt;%USERPROFILE%\Documents\GitHub\eaglep3-reporting\EC\2017-12-20-refined-times.txt</v>
      </c>
      <c r="AI92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{"issue":{"subject":"","project_id":79,"tracker_id":40,"status_id":1,"priority_id":2,"assigned_to_id":338,"start_date":"2017-12-20","description":"","custom_fields":[{"id":1,"name":"Subdivision","value":"EC"},{"id":4,"name":"Milepost","value":"23.3285"},{"id":17,"name":"Train ID","value":"179-20"},{"id":16,"name":"Locomotive ID","value":"4026"},{"id":130,"name":"Impact","value":""},{"id":150,"name":"Time of Event (Mountain Time)","value":"14:05:52"},{"id":151,"name":"Denver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50"/>
        <v>start /low /b %USERPROFILE%\Documents\GitHub\eaglep3\Utilities\DownloadLogsFromS3.py --loco 4026 --day 2017-12-20</v>
      </c>
      <c r="AN92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21:05:52"},{"id":29,"name":"Sharepoint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52"/>
        <v>https://d0f6bd738d7f1b3e5a7ca70fe4ff75f0.us-east-1.aws.found.io/app/kibana#/discover/Steve-Slow-Train-Analysis-(2080s-and-2083s)?_g=(refreshInterval:(display:Off,pause:!f,section:0,value:0),time:(from:'2017-12-20T12:23:57-0700',mode:absolute,to:'2017-12-20T15:05:52-0700'))&amp;_a=(columns:!('Message%20ID',Summary),filters:!(),index:'emp_*',interval:auto,query:(query_string:(analyze_wildcard:!t,query:'%22rtdc.l.rtdc.4026%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9" t="s">
        <v>803</v>
      </c>
      <c r="B93" s="225">
        <v>4025</v>
      </c>
      <c r="C93" s="227" t="s">
        <v>192</v>
      </c>
      <c r="D93" s="227" t="s">
        <v>912</v>
      </c>
      <c r="E93" s="226">
        <v>43089.589259259257</v>
      </c>
      <c r="F93" s="226">
        <v>43089.602361111109</v>
      </c>
      <c r="G93" s="225">
        <v>51</v>
      </c>
      <c r="H93" s="227" t="s">
        <v>614</v>
      </c>
      <c r="I93" s="226">
        <v>43089.62841435185</v>
      </c>
      <c r="J93" s="225">
        <v>0</v>
      </c>
      <c r="K93" s="237" t="str">
        <f t="shared" si="35"/>
        <v>4025/4026</v>
      </c>
      <c r="L93" s="245" t="str">
        <f>VLOOKUP(A93,'Trips&amp;Operators'!$C$1:$G$99911,5,FALSE)</f>
        <v>GUZMAN DANNY</v>
      </c>
      <c r="M93" s="224">
        <f t="shared" si="36"/>
        <v>2.6053240741021E-2</v>
      </c>
      <c r="N93" s="225">
        <f t="shared" si="37"/>
        <v>37.51666666707024</v>
      </c>
      <c r="O93" s="225"/>
      <c r="P93" s="225"/>
      <c r="Q93" s="228"/>
      <c r="R93" s="242"/>
      <c r="S93" s="249">
        <f t="shared" si="38"/>
        <v>1</v>
      </c>
      <c r="T93" s="242" t="str">
        <f t="shared" si="39"/>
        <v>Southbound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 t="shared" si="40"/>
        <v>https://d0f6bd738d7f1b3e5a7ca70fe4ff75f0.us-east-1.aws.found.io/app/kibana#/discover/Steve-Slow-Train-Analysis-(2080s-and-2083s)?_g=(refreshInterval:(display:Off,pause:!f,section:0,value:0),time:(from:'2017-12-20T13:08:32-0700',mode:absolute,to:'2017-12-20T16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3" s="247" t="str">
        <f>IF(AA93&lt;VLOOKUP(AG93,Variables!$AC$3:$AD$8,2,FALSE),"Y","N")</f>
        <v>N</v>
      </c>
      <c r="X93" s="247">
        <f t="shared" si="53"/>
        <v>1</v>
      </c>
      <c r="Y93" s="247">
        <f t="shared" si="46"/>
        <v>23.3004</v>
      </c>
      <c r="Z93" s="247">
        <f t="shared" si="47"/>
        <v>2.07E-2</v>
      </c>
      <c r="AA93" s="247">
        <f t="shared" si="41"/>
        <v>23.279699999999998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42"/>
        <v>180</v>
      </c>
      <c r="AE93" s="235" t="str">
        <f t="shared" si="43"/>
        <v>aws s3 cp s3://rtdc.mdm.uploadarchive.raw/RTDC4025/ "%USERPROFILE%\AppData\Local\Temp\OnboardLogs"\RTDC4025\2017-12-20 --exclude "*" --recursive --include "*20171220*" &amp; "%USERPROFILE%\Documents\GitHub\mrs-test-scripts\Headless Mode &amp; Sideloading\WalkAndUnGZ.bat" "%USERPROFILE%\AppData\Local\Temp\OnboardLogs"\RTDC4025\2017-12-20 &amp; aws s3 cp s3://rtdc.mdm.uploadarchive.raw/RTDC4025/ "%USERPROFILE%\AppData\Local\Temp\OnboardLogs"\RTDC4025\2017-12-21 --exclude "*" --recursive --include "*20171221*" &amp; "%USERPROFILE%\Documents\GitHub\mrs-test-scripts\Headless Mode &amp; Sideloading\WalkAndUnGZ.bat" "%USERPROFILE%\AppData\Local\Temp\OnboardLogs"\RTDC4025\2017-12-21</v>
      </c>
      <c r="AF93" s="234" t="str">
        <f t="shared" si="44"/>
        <v>"C:\Program Files (x86)\AstroGrep\AstroGrep.exe" /e /r /s /spath="%USERPROFILE%\AppData\Local\Temp\OnboardLogs" /stypes="app*4025*20171220*" /stext=" 22:.+((SYSTEM_STATE.+slice.+state.+changed )|(ment ac)|(multiple cpu faults)|(system.+state.+changed )|(\[timeout)|(PRM\|1\|D)|(kpr)|(kdp)|(train st.+moving)|(\|gpps)|(penalty))"</v>
      </c>
      <c r="AG93" s="244" t="str">
        <f t="shared" si="45"/>
        <v>EC</v>
      </c>
      <c r="AH93" s="236" t="str">
        <f t="shared" si="48"/>
        <v>"%USERPROFILE%\Documents\GitHub\eaglep3\Utilities\RefineRTDCRunTimes.py" --tripid 180-20 --locoid 4025 --swversion DE.1.0.9.0 --startMP 204:233004 --initTime 2017-12-20T14:08:32 --startdatetime 2017-12-20T14:27:24 --delay 51 --endMP 204:207 --enddatetime 2017-12-20T15:04:55 --enforcementcount 0 &gt;&gt;%USERPROFILE%\Documents\GitHub\eaglep3-reporting\EC\2017-12-20-refined-times.txt</v>
      </c>
      <c r="AI93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{"issue":{"subject":"","project_id":79,"tracker_id":40,"status_id":1,"priority_id":2,"assigned_to_id":338,"start_date":"2017-12-20","description":"","custom_fields":[{"id":1,"name":"Subdivision","value":"EC"},{"id":4,"name":"Milepost","value":"0.0207"},{"id":17,"name":"Train ID","value":"180-20"},{"id":16,"name":"Locomotive ID","value":"4025"},{"id":130,"name":"Impact","value":""},{"id":150,"name":"Time of Event (Mountain Time)","value":"15:04:55"},{"id":151,"name":"Denver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50"/>
        <v>start /low /b %USERPROFILE%\Documents\GitHub\eaglep3\Utilities\DownloadLogsFromS3.py --loco 4025 --day 2017-12-20</v>
      </c>
      <c r="AN93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22:04:55"},{"id":29,"name":"Sharepoint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52"/>
        <v>https://d0f6bd738d7f1b3e5a7ca70fe4ff75f0.us-east-1.aws.found.io/app/kibana#/discover/Steve-Slow-Train-Analysis-(2080s-and-2083s)?_g=(refreshInterval:(display:Off,pause:!f,section:0,value:0),time:(from:'2017-12-20T13:08:32-0700',mode:absolute,to:'2017-12-20T16:04:55-0700'))&amp;_a=(columns:!('Message%20ID',Summary),filters:!(),index:'emp_*',interval:auto,query:(query_string:(analyze_wildcard:!t,query:'%22rtdc.l.rtdc.4025%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9" t="s">
        <v>795</v>
      </c>
      <c r="B94" s="225">
        <v>4010</v>
      </c>
      <c r="C94" s="227" t="s">
        <v>192</v>
      </c>
      <c r="D94" s="227" t="s">
        <v>598</v>
      </c>
      <c r="E94" s="226">
        <v>43089.567407407405</v>
      </c>
      <c r="F94" s="226">
        <v>43089.57309027778</v>
      </c>
      <c r="G94" s="225">
        <v>61</v>
      </c>
      <c r="H94" s="227" t="s">
        <v>959</v>
      </c>
      <c r="I94" s="226">
        <v>43089.597986111112</v>
      </c>
      <c r="J94" s="225">
        <v>0</v>
      </c>
      <c r="K94" s="237" t="str">
        <f t="shared" si="35"/>
        <v>4009/4010</v>
      </c>
      <c r="L94" s="245" t="str">
        <f>VLOOKUP(A94,'Trips&amp;Operators'!$C$1:$G$99911,5,FALSE)</f>
        <v>KILLION DAVID</v>
      </c>
      <c r="M94" s="224">
        <f t="shared" si="36"/>
        <v>2.4895833332266193E-2</v>
      </c>
      <c r="N94" s="225">
        <f t="shared" si="37"/>
        <v>35.849999998463318</v>
      </c>
      <c r="O94" s="225"/>
      <c r="P94" s="225"/>
      <c r="Q94" s="228"/>
      <c r="R94" s="242"/>
      <c r="S94" s="249">
        <f t="shared" si="38"/>
        <v>1</v>
      </c>
      <c r="T94" s="242" t="str">
        <f t="shared" si="39"/>
        <v>NorthBound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40"/>
        <v>https://d0f6bd738d7f1b3e5a7ca70fe4ff75f0.us-east-1.aws.found.io/app/kibana#/discover/Steve-Slow-Train-Analysis-(2080s-and-2083s)?_g=(refreshInterval:(display:Off,pause:!f,section:0,value:0),time:(from:'2017-12-20T12:37:04-0700',mode:absolute,to:'2017-12-20T15:21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4" s="247" t="str">
        <f>IF(AA94&lt;VLOOKUP(AG94,Variables!$AC$3:$AD$8,2,FALSE),"Y","N")</f>
        <v>N</v>
      </c>
      <c r="X94" s="247">
        <f t="shared" si="53"/>
        <v>1</v>
      </c>
      <c r="Y94" s="247">
        <f t="shared" si="46"/>
        <v>4.4699999999999997E-2</v>
      </c>
      <c r="Z94" s="247">
        <f t="shared" si="47"/>
        <v>23.328399999999998</v>
      </c>
      <c r="AA94" s="247">
        <f t="shared" si="41"/>
        <v>23.2837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42"/>
        <v>181</v>
      </c>
      <c r="AE94" s="235" t="str">
        <f t="shared" si="43"/>
        <v>aws s3 cp s3://rtdc.mdm.uploadarchive.raw/RTDC4010/ "%USERPROFILE%\AppData\Local\Temp\OnboardLogs"\RTDC4010\2017-12-20 --exclude "*" --recursive --include "*20171220*" &amp; "%USERPROFILE%\Documents\GitHub\mrs-test-scripts\Headless Mode &amp; Sideloading\WalkAndUnGZ.bat" "%USERPROFILE%\AppData\Local\Temp\OnboardLogs"\RTDC4010\2017-12-20 &amp; aws s3 cp s3://rtdc.mdm.uploadarchive.raw/RTDC4010/ "%USERPROFILE%\AppData\Local\Temp\OnboardLogs"\RTDC4010\2017-12-21 --exclude "*" --recursive --include "*20171221*" &amp; "%USERPROFILE%\Documents\GitHub\mrs-test-scripts\Headless Mode &amp; Sideloading\WalkAndUnGZ.bat" "%USERPROFILE%\AppData\Local\Temp\OnboardLogs"\RTDC4010\2017-12-21</v>
      </c>
      <c r="AF94" s="234" t="str">
        <f t="shared" si="44"/>
        <v>"C:\Program Files (x86)\AstroGrep\AstroGrep.exe" /e /r /s /spath="%USERPROFILE%\AppData\Local\Temp\OnboardLogs" /stypes="app*4010*20171220*" /stext=" 21:.+((SYSTEM_STATE.+slice.+state.+changed )|(ment ac)|(multiple cpu faults)|(system.+state.+changed )|(\[timeout)|(PRM\|1\|D)|(kpr)|(kdp)|(train st.+moving)|(\|gpps)|(penalty))"</v>
      </c>
      <c r="AG94" s="244" t="str">
        <f t="shared" si="45"/>
        <v>EC</v>
      </c>
      <c r="AH94" s="236" t="str">
        <f t="shared" si="48"/>
        <v>"%USERPROFILE%\Documents\GitHub\eaglep3\Utilities\RefineRTDCRunTimes.py" --tripid 181-20 --locoid 4010 --swversion DE.1.0.9.0 --startMP 204:447 --initTime 2017-12-20T13:37:04 --startdatetime 2017-12-20T13:45:15 --delay 61 --endMP 204:233284 --enddatetime 2017-12-20T14:21:06 --enforcementcount 0 &gt;&gt;%USERPROFILE%\Documents\GitHub\eaglep3-reporting\EC\2017-12-20-refined-times.txt</v>
      </c>
      <c r="AI94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{"issue":{"subject":"","project_id":79,"tracker_id":40,"status_id":1,"priority_id":2,"assigned_to_id":338,"start_date":"2017-12-20","description":"","custom_fields":[{"id":1,"name":"Subdivision","value":"EC"},{"id":4,"name":"Milepost","value":"23.3284"},{"id":17,"name":"Train ID","value":"181-20"},{"id":16,"name":"Locomotive ID","value":"4010"},{"id":130,"name":"Impact","value":""},{"id":150,"name":"Time of Event (Mountain Time)","value":"14:21:06"},{"id":151,"name":"Denver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50"/>
        <v>start /low /b %USERPROFILE%\Documents\GitHub\eaglep3\Utilities\DownloadLogsFromS3.py --loco 4010 --day 2017-12-20</v>
      </c>
      <c r="AN94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21:21:06"},{"id":29,"name":"Sharepoint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52"/>
        <v>https://d0f6bd738d7f1b3e5a7ca70fe4ff75f0.us-east-1.aws.found.io/app/kibana#/discover/Steve-Slow-Train-Analysis-(2080s-and-2083s)?_g=(refreshInterval:(display:Off,pause:!f,section:0,value:0),time:(from:'2017-12-20T12:37:04-0700',mode:absolute,to:'2017-12-20T15:21:06-0700'))&amp;_a=(columns:!('Message%20ID',Summary),filters:!(),index:'emp_*',interval:auto,query:(query_string:(analyze_wildcard:!t,query:'%22rtdc.l.rtdc.4010%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9" t="s">
        <v>805</v>
      </c>
      <c r="B95" s="225">
        <v>4009</v>
      </c>
      <c r="C95" s="227" t="s">
        <v>192</v>
      </c>
      <c r="D95" s="227" t="s">
        <v>507</v>
      </c>
      <c r="E95" s="226">
        <v>43089.600231481483</v>
      </c>
      <c r="F95" s="226">
        <v>43089.612685185188</v>
      </c>
      <c r="G95" s="225">
        <v>52</v>
      </c>
      <c r="H95" s="227" t="s">
        <v>500</v>
      </c>
      <c r="I95" s="226">
        <v>43089.639861111114</v>
      </c>
      <c r="J95" s="225">
        <v>0</v>
      </c>
      <c r="K95" s="237" t="str">
        <f t="shared" si="35"/>
        <v>4009/4010</v>
      </c>
      <c r="L95" s="245" t="str">
        <f>VLOOKUP(A95,'Trips&amp;Operators'!$C$1:$G$99911,5,FALSE)</f>
        <v>KILLION DAVID</v>
      </c>
      <c r="M95" s="224">
        <f t="shared" si="36"/>
        <v>2.7175925926712807E-2</v>
      </c>
      <c r="N95" s="225">
        <f t="shared" si="37"/>
        <v>39.133333334466442</v>
      </c>
      <c r="O95" s="225"/>
      <c r="P95" s="225"/>
      <c r="Q95" s="228"/>
      <c r="R95" s="242"/>
      <c r="S95" s="249">
        <f t="shared" si="38"/>
        <v>1</v>
      </c>
      <c r="T95" s="242" t="str">
        <f t="shared" si="39"/>
        <v>Southbound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40"/>
        <v>https://d0f6bd738d7f1b3e5a7ca70fe4ff75f0.us-east-1.aws.found.io/app/kibana#/discover/Steve-Slow-Train-Analysis-(2080s-and-2083s)?_g=(refreshInterval:(display:Off,pause:!f,section:0,value:0),time:(from:'2017-12-20T13:24:20-0700',mode:absolute,to:'2017-12-20T16:21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5" s="247" t="str">
        <f>IF(AA95&lt;VLOOKUP(AG95,Variables!$AC$3:$AD$8,2,FALSE),"Y","N")</f>
        <v>N</v>
      </c>
      <c r="X95" s="247">
        <f t="shared" si="53"/>
        <v>1</v>
      </c>
      <c r="Y95" s="247">
        <f t="shared" si="46"/>
        <v>23.2959</v>
      </c>
      <c r="Z95" s="247">
        <f t="shared" si="47"/>
        <v>1.5800000000000002E-2</v>
      </c>
      <c r="AA95" s="247">
        <f t="shared" si="41"/>
        <v>23.280100000000001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42"/>
        <v>182</v>
      </c>
      <c r="AE95" s="235" t="str">
        <f t="shared" si="43"/>
        <v>aws s3 cp s3://rtdc.mdm.uploadarchive.raw/RTDC4009/ "%USERPROFILE%\AppData\Local\Temp\OnboardLogs"\RTDC4009\2017-12-20 --exclude "*" --recursive --include "*20171220*" &amp; "%USERPROFILE%\Documents\GitHub\mrs-test-scripts\Headless Mode &amp; Sideloading\WalkAndUnGZ.bat" "%USERPROFILE%\AppData\Local\Temp\OnboardLogs"\RTDC4009\2017-12-20 &amp; aws s3 cp s3://rtdc.mdm.uploadarchive.raw/RTDC4009/ "%USERPROFILE%\AppData\Local\Temp\OnboardLogs"\RTDC4009\2017-12-21 --exclude "*" --recursive --include "*20171221*" &amp; "%USERPROFILE%\Documents\GitHub\mrs-test-scripts\Headless Mode &amp; Sideloading\WalkAndUnGZ.bat" "%USERPROFILE%\AppData\Local\Temp\OnboardLogs"\RTDC4009\2017-12-21</v>
      </c>
      <c r="AF95" s="234" t="str">
        <f t="shared" si="44"/>
        <v>"C:\Program Files (x86)\AstroGrep\AstroGrep.exe" /e /r /s /spath="%USERPROFILE%\AppData\Local\Temp\OnboardLogs" /stypes="app*4009*20171220*" /stext=" 22:.+((SYSTEM_STATE.+slice.+state.+changed )|(ment ac)|(multiple cpu faults)|(system.+state.+changed )|(\[timeout)|(PRM\|1\|D)|(kpr)|(kdp)|(train st.+moving)|(\|gpps)|(penalty))"</v>
      </c>
      <c r="AG95" s="244" t="str">
        <f t="shared" si="45"/>
        <v>EC</v>
      </c>
      <c r="AH95" s="236" t="str">
        <f t="shared" si="48"/>
        <v>"%USERPROFILE%\Documents\GitHub\eaglep3\Utilities\RefineRTDCRunTimes.py" --tripid 182-20 --locoid 4009 --swversion DE.1.0.9.0 --startMP 204:232959 --initTime 2017-12-20T14:24:20 --startdatetime 2017-12-20T14:42:16 --delay 52 --endMP 204:158 --enddatetime 2017-12-20T15:21:24 --enforcementcount 0 &gt;&gt;%USERPROFILE%\Documents\GitHub\eaglep3-reporting\EC\2017-12-20-refined-times.txt</v>
      </c>
      <c r="AI95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{"issue":{"subject":"","project_id":79,"tracker_id":40,"status_id":1,"priority_id":2,"assigned_to_id":338,"start_date":"2017-12-20","description":"","custom_fields":[{"id":1,"name":"Subdivision","value":"EC"},{"id":4,"name":"Milepost","value":"0.0158"},{"id":17,"name":"Train ID","value":"182-20"},{"id":16,"name":"Locomotive ID","value":"4009"},{"id":130,"name":"Impact","value":""},{"id":150,"name":"Time of Event (Mountain Time)","value":"15:21:24"},{"id":151,"name":"Denver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50"/>
        <v>start /low /b %USERPROFILE%\Documents\GitHub\eaglep3\Utilities\DownloadLogsFromS3.py --loco 4009 --day 2017-12-20</v>
      </c>
      <c r="AN95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22:21:24"},{"id":29,"name":"Sharepoint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52"/>
        <v>https://d0f6bd738d7f1b3e5a7ca70fe4ff75f0.us-east-1.aws.found.io/app/kibana#/discover/Steve-Slow-Train-Analysis-(2080s-and-2083s)?_g=(refreshInterval:(display:Off,pause:!f,section:0,value:0),time:(from:'2017-12-20T13:24:20-0700',mode:absolute,to:'2017-12-20T16:21:24-0700'))&amp;_a=(columns:!('Message%20ID',Summary),filters:!(),index:'emp_*',interval:auto,query:(query_string:(analyze_wildcard:!t,query:'%22rtdc.l.rtdc.4009%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9" t="s">
        <v>800</v>
      </c>
      <c r="B96" s="225">
        <v>4050</v>
      </c>
      <c r="C96" s="227" t="s">
        <v>192</v>
      </c>
      <c r="D96" s="227" t="s">
        <v>919</v>
      </c>
      <c r="E96" s="226">
        <v>43089.5783912037</v>
      </c>
      <c r="F96" s="226">
        <v>43089.583587962959</v>
      </c>
      <c r="G96" s="225">
        <v>55</v>
      </c>
      <c r="H96" s="227" t="s">
        <v>475</v>
      </c>
      <c r="I96" s="226">
        <v>43089.608124999999</v>
      </c>
      <c r="J96" s="225">
        <v>0</v>
      </c>
      <c r="K96" s="237" t="str">
        <f t="shared" si="35"/>
        <v>4049/4050</v>
      </c>
      <c r="L96" s="245" t="str">
        <f>VLOOKUP(A96,'Trips&amp;Operators'!$C$1:$G$99911,5,FALSE)</f>
        <v>ROBINSON KADDIBA</v>
      </c>
      <c r="M96" s="224">
        <f t="shared" si="36"/>
        <v>2.453703703940846E-2</v>
      </c>
      <c r="N96" s="225">
        <f t="shared" si="37"/>
        <v>35.333333336748183</v>
      </c>
      <c r="O96" s="225"/>
      <c r="P96" s="225"/>
      <c r="Q96" s="228"/>
      <c r="R96" s="242"/>
      <c r="S96" s="249">
        <f t="shared" si="38"/>
        <v>1</v>
      </c>
      <c r="T96" s="242" t="str">
        <f t="shared" si="39"/>
        <v>NorthBound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40"/>
        <v>https://d0f6bd738d7f1b3e5a7ca70fe4ff75f0.us-east-1.aws.found.io/app/kibana#/discover/Steve-Slow-Train-Analysis-(2080s-and-2083s)?_g=(refreshInterval:(display:Off,pause:!f,section:0,value:0),time:(from:'2017-12-20T12:52:53-0700',mode:absolute,to:'2017-12-20T15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6" s="247" t="str">
        <f>IF(AA96&lt;VLOOKUP(AG96,Variables!$AC$3:$AD$8,2,FALSE),"Y","N")</f>
        <v>N</v>
      </c>
      <c r="X96" s="247">
        <f t="shared" si="53"/>
        <v>1</v>
      </c>
      <c r="Y96" s="247">
        <f t="shared" si="46"/>
        <v>5.2600000000000001E-2</v>
      </c>
      <c r="Z96" s="247">
        <f t="shared" si="47"/>
        <v>23.327000000000002</v>
      </c>
      <c r="AA96" s="247">
        <f t="shared" si="41"/>
        <v>23.2744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42"/>
        <v>183</v>
      </c>
      <c r="AE96" s="235" t="str">
        <f t="shared" si="43"/>
        <v>aws s3 cp s3://rtdc.mdm.uploadarchive.raw/RTDC4050/ "%USERPROFILE%\AppData\Local\Temp\OnboardLogs"\RTDC4050\2017-12-20 --exclude "*" --recursive --include "*20171220*" &amp; "%USERPROFILE%\Documents\GitHub\mrs-test-scripts\Headless Mode &amp; Sideloading\WalkAndUnGZ.bat" "%USERPROFILE%\AppData\Local\Temp\OnboardLogs"\RTDC4050\2017-12-20 &amp; aws s3 cp s3://rtdc.mdm.uploadarchive.raw/RTDC4050/ "%USERPROFILE%\AppData\Local\Temp\OnboardLogs"\RTDC4050\2017-12-21 --exclude "*" --recursive --include "*20171221*" &amp; "%USERPROFILE%\Documents\GitHub\mrs-test-scripts\Headless Mode &amp; Sideloading\WalkAndUnGZ.bat" "%USERPROFILE%\AppData\Local\Temp\OnboardLogs"\RTDC4050\2017-12-21</v>
      </c>
      <c r="AF96" s="234" t="str">
        <f t="shared" si="44"/>
        <v>"C:\Program Files (x86)\AstroGrep\AstroGrep.exe" /e /r /s /spath="%USERPROFILE%\AppData\Local\Temp\OnboardLogs" /stypes="app*4050*20171220*" /stext=" 21:.+((SYSTEM_STATE.+slice.+state.+changed )|(ment ac)|(multiple cpu faults)|(system.+state.+changed )|(\[timeout)|(PRM\|1\|D)|(kpr)|(kdp)|(train st.+moving)|(\|gpps)|(penalty))"</v>
      </c>
      <c r="AG96" s="244" t="str">
        <f t="shared" si="45"/>
        <v>EC</v>
      </c>
      <c r="AH96" s="236" t="str">
        <f t="shared" si="48"/>
        <v>"%USERPROFILE%\Documents\GitHub\eaglep3\Utilities\RefineRTDCRunTimes.py" --tripid 183-20 --locoid 4050 --swversion DE.1.0.9.0 --startMP 204:526 --initTime 2017-12-20T13:52:53 --startdatetime 2017-12-20T14:00:22 --delay 55 --endMP 204:233270 --enddatetime 2017-12-20T14:35:42 --enforcementcount 0 &gt;&gt;%USERPROFILE%\Documents\GitHub\eaglep3-reporting\EC\2017-12-20-refined-times.txt</v>
      </c>
      <c r="AI96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{"issue":{"subject":"","project_id":79,"tracker_id":40,"status_id":1,"priority_id":2,"assigned_to_id":338,"start_date":"2017-12-20","description":"","custom_fields":[{"id":1,"name":"Subdivision","value":"EC"},{"id":4,"name":"Milepost","value":"23.327"},{"id":17,"name":"Train ID","value":"183-20"},{"id":16,"name":"Locomotive ID","value":"4050"},{"id":130,"name":"Impact","value":""},{"id":150,"name":"Time of Event (Mountain Time)","value":"14:35:42"},{"id":151,"name":"Denver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50"/>
        <v>start /low /b %USERPROFILE%\Documents\GitHub\eaglep3\Utilities\DownloadLogsFromS3.py --loco 4050 --day 2017-12-20</v>
      </c>
      <c r="AN96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21:35:42"},{"id":29,"name":"Sharepoint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52"/>
        <v>https://d0f6bd738d7f1b3e5a7ca70fe4ff75f0.us-east-1.aws.found.io/app/kibana#/discover/Steve-Slow-Train-Analysis-(2080s-and-2083s)?_g=(refreshInterval:(display:Off,pause:!f,section:0,value:0),time:(from:'2017-12-20T12:52:53-0700',mode:absolute,to:'2017-12-20T15:35:42-0700'))&amp;_a=(columns:!('Message%20ID',Summary),filters:!(),index:'emp_*',interval:auto,query:(query_string:(analyze_wildcard:!t,query:'%22rtdc.l.rtdc.4050%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9" t="s">
        <v>808</v>
      </c>
      <c r="B97" s="225">
        <v>4049</v>
      </c>
      <c r="C97" s="227" t="s">
        <v>192</v>
      </c>
      <c r="D97" s="227" t="s">
        <v>960</v>
      </c>
      <c r="E97" s="226">
        <v>43089.617650462962</v>
      </c>
      <c r="F97" s="226">
        <v>43089.623078703706</v>
      </c>
      <c r="G97" s="225">
        <v>67</v>
      </c>
      <c r="H97" s="227" t="s">
        <v>956</v>
      </c>
      <c r="I97" s="226">
        <v>43089.649317129632</v>
      </c>
      <c r="J97" s="225">
        <v>0</v>
      </c>
      <c r="K97" s="237" t="str">
        <f t="shared" si="35"/>
        <v>4049/4050</v>
      </c>
      <c r="L97" s="245" t="str">
        <f>VLOOKUP(A97,'Trips&amp;Operators'!$C$1:$G$99911,5,FALSE)</f>
        <v>ROBINSON KADDIBA</v>
      </c>
      <c r="M97" s="224">
        <f t="shared" si="36"/>
        <v>2.6238425925839692E-2</v>
      </c>
      <c r="N97" s="225">
        <f t="shared" si="37"/>
        <v>37.783333333209157</v>
      </c>
      <c r="O97" s="225"/>
      <c r="P97" s="225"/>
      <c r="Q97" s="228"/>
      <c r="R97" s="242"/>
      <c r="S97" s="249">
        <f t="shared" si="38"/>
        <v>1</v>
      </c>
      <c r="T97" s="242" t="str">
        <f t="shared" si="39"/>
        <v>Southbound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40"/>
        <v>https://d0f6bd738d7f1b3e5a7ca70fe4ff75f0.us-east-1.aws.found.io/app/kibana#/discover/Steve-Slow-Train-Analysis-(2080s-and-2083s)?_g=(refreshInterval:(display:Off,pause:!f,section:0,value:0),time:(from:'2017-12-20T13:49:25-0700',mode:absolute,to:'2017-12-20T16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7" s="247" t="str">
        <f>IF(AA97&lt;VLOOKUP(AG97,Variables!$AC$3:$AD$8,2,FALSE),"Y","N")</f>
        <v>N</v>
      </c>
      <c r="X97" s="247">
        <f t="shared" si="53"/>
        <v>1</v>
      </c>
      <c r="Y97" s="247">
        <f t="shared" si="46"/>
        <v>23.296600000000002</v>
      </c>
      <c r="Z97" s="247">
        <f t="shared" si="47"/>
        <v>2.0500000000000001E-2</v>
      </c>
      <c r="AA97" s="247">
        <f t="shared" si="41"/>
        <v>23.276100000000003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42"/>
        <v>184</v>
      </c>
      <c r="AE97" s="235" t="str">
        <f t="shared" si="43"/>
        <v>aws s3 cp s3://rtdc.mdm.uploadarchive.raw/RTDC4049/ "%USERPROFILE%\AppData\Local\Temp\OnboardLogs"\RTDC4049\2017-12-20 --exclude "*" --recursive --include "*20171220*" &amp; "%USERPROFILE%\Documents\GitHub\mrs-test-scripts\Headless Mode &amp; Sideloading\WalkAndUnGZ.bat" "%USERPROFILE%\AppData\Local\Temp\OnboardLogs"\RTDC4049\2017-12-20 &amp; aws s3 cp s3://rtdc.mdm.uploadarchive.raw/RTDC4049/ "%USERPROFILE%\AppData\Local\Temp\OnboardLogs"\RTDC4049\2017-12-21 --exclude "*" --recursive --include "*20171221*" &amp; "%USERPROFILE%\Documents\GitHub\mrs-test-scripts\Headless Mode &amp; Sideloading\WalkAndUnGZ.bat" "%USERPROFILE%\AppData\Local\Temp\OnboardLogs"\RTDC4049\2017-12-21</v>
      </c>
      <c r="AF97" s="234" t="str">
        <f t="shared" si="44"/>
        <v>"C:\Program Files (x86)\AstroGrep\AstroGrep.exe" /e /r /s /spath="%USERPROFILE%\AppData\Local\Temp\OnboardLogs" /stypes="app*4049*20171220*" /stext=" 22:.+((SYSTEM_STATE.+slice.+state.+changed )|(ment ac)|(multiple cpu faults)|(system.+state.+changed )|(\[timeout)|(PRM\|1\|D)|(kpr)|(kdp)|(train st.+moving)|(\|gpps)|(penalty))"</v>
      </c>
      <c r="AG97" s="244" t="str">
        <f t="shared" si="45"/>
        <v>EC</v>
      </c>
      <c r="AH97" s="236" t="str">
        <f t="shared" si="48"/>
        <v>"%USERPROFILE%\Documents\GitHub\eaglep3\Utilities\RefineRTDCRunTimes.py" --tripid 184-20 --locoid 4049 --swversion DE.1.0.9.0 --startMP 204:232966 --initTime 2017-12-20T14:49:25 --startdatetime 2017-12-20T14:57:14 --delay 67 --endMP 204:205 --enddatetime 2017-12-20T15:35:01 --enforcementcount 0 &gt;&gt;%USERPROFILE%\Documents\GitHub\eaglep3-reporting\EC\2017-12-20-refined-times.txt</v>
      </c>
      <c r="AI97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{"issue":{"subject":"","project_id":79,"tracker_id":40,"status_id":1,"priority_id":2,"assigned_to_id":338,"start_date":"2017-12-20","description":"","custom_fields":[{"id":1,"name":"Subdivision","value":"EC"},{"id":4,"name":"Milepost","value":"0.0205"},{"id":17,"name":"Train ID","value":"184-20"},{"id":16,"name":"Locomotive ID","value":"4049"},{"id":130,"name":"Impact","value":""},{"id":150,"name":"Time of Event (Mountain Time)","value":"15:35:01"},{"id":151,"name":"Denver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50"/>
        <v>start /low /b %USERPROFILE%\Documents\GitHub\eaglep3\Utilities\DownloadLogsFromS3.py --loco 4049 --day 2017-12-20</v>
      </c>
      <c r="AN97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22:35:01"},{"id":29,"name":"Sharepoint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52"/>
        <v>https://d0f6bd738d7f1b3e5a7ca70fe4ff75f0.us-east-1.aws.found.io/app/kibana#/discover/Steve-Slow-Train-Analysis-(2080s-and-2083s)?_g=(refreshInterval:(display:Off,pause:!f,section:0,value:0),time:(from:'2017-12-20T13:49:25-0700',mode:absolute,to:'2017-12-20T16:35:01-0700'))&amp;_a=(columns:!('Message%20ID',Summary),filters:!(),index:'emp_*',interval:auto,query:(query_string:(analyze_wildcard:!t,query:'%22rtdc.l.rtdc.4049%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9" t="s">
        <v>804</v>
      </c>
      <c r="B98" s="225">
        <v>4062</v>
      </c>
      <c r="C98" s="227" t="s">
        <v>192</v>
      </c>
      <c r="D98" s="227" t="s">
        <v>961</v>
      </c>
      <c r="E98" s="226">
        <v>43089.591168981482</v>
      </c>
      <c r="F98" s="226">
        <v>43089.594050925924</v>
      </c>
      <c r="G98" s="225">
        <v>70</v>
      </c>
      <c r="H98" s="227" t="s">
        <v>933</v>
      </c>
      <c r="I98" s="226">
        <v>43089.620173611111</v>
      </c>
      <c r="J98" s="225">
        <v>0</v>
      </c>
      <c r="K98" s="237" t="str">
        <f t="shared" si="35"/>
        <v>4061/4062</v>
      </c>
      <c r="L98" s="245" t="str">
        <f>VLOOKUP(A98,'Trips&amp;Operators'!$C$1:$G$99911,5,FALSE)</f>
        <v>DAVIS MICHAEL</v>
      </c>
      <c r="M98" s="224">
        <f t="shared" si="36"/>
        <v>2.6122685187146999E-2</v>
      </c>
      <c r="N98" s="225">
        <f t="shared" si="37"/>
        <v>37.616666669491678</v>
      </c>
      <c r="O98" s="225"/>
      <c r="P98" s="225"/>
      <c r="Q98" s="228"/>
      <c r="R98" s="242"/>
      <c r="S98" s="249">
        <f t="shared" si="38"/>
        <v>1</v>
      </c>
      <c r="T98" s="242" t="str">
        <f t="shared" si="39"/>
        <v>NorthBound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40"/>
        <v>https://d0f6bd738d7f1b3e5a7ca70fe4ff75f0.us-east-1.aws.found.io/app/kibana#/discover/Steve-Slow-Train-Analysis-(2080s-and-2083s)?_g=(refreshInterval:(display:Off,pause:!f,section:0,value:0),time:(from:'2017-12-20T13:11:17-0700',mode:absolute,to:'2017-12-20T15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8" s="247" t="str">
        <f>IF(AA98&lt;VLOOKUP(AG98,Variables!$AC$3:$AD$8,2,FALSE),"Y","N")</f>
        <v>N</v>
      </c>
      <c r="X98" s="247">
        <f t="shared" si="53"/>
        <v>1</v>
      </c>
      <c r="Y98" s="247">
        <f t="shared" si="46"/>
        <v>5.3499999999999999E-2</v>
      </c>
      <c r="Z98" s="247">
        <f t="shared" si="47"/>
        <v>23.3322</v>
      </c>
      <c r="AA98" s="247">
        <f t="shared" si="41"/>
        <v>23.278700000000001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42"/>
        <v>185</v>
      </c>
      <c r="AE98" s="235" t="str">
        <f t="shared" si="43"/>
        <v>aws s3 cp s3://rtdc.mdm.uploadarchive.raw/RTDC4062/ "%USERPROFILE%\AppData\Local\Temp\OnboardLogs"\RTDC4062\2017-12-20 --exclude "*" --recursive --include "*20171220*" &amp; "%USERPROFILE%\Documents\GitHub\mrs-test-scripts\Headless Mode &amp; Sideloading\WalkAndUnGZ.bat" "%USERPROFILE%\AppData\Local\Temp\OnboardLogs"\RTDC4062\2017-12-20 &amp; aws s3 cp s3://rtdc.mdm.uploadarchive.raw/RTDC4062/ "%USERPROFILE%\AppData\Local\Temp\OnboardLogs"\RTDC4062\2017-12-21 --exclude "*" --recursive --include "*20171221*" &amp; "%USERPROFILE%\Documents\GitHub\mrs-test-scripts\Headless Mode &amp; Sideloading\WalkAndUnGZ.bat" "%USERPROFILE%\AppData\Local\Temp\OnboardLogs"\RTDC4062\2017-12-21</v>
      </c>
      <c r="AF98" s="234" t="str">
        <f t="shared" si="44"/>
        <v>"C:\Program Files (x86)\AstroGrep\AstroGrep.exe" /e /r /s /spath="%USERPROFILE%\AppData\Local\Temp\OnboardLogs" /stypes="app*4062*20171220*" /stext=" 21:.+((SYSTEM_STATE.+slice.+state.+changed )|(ment ac)|(multiple cpu faults)|(system.+state.+changed )|(\[timeout)|(PRM\|1\|D)|(kpr)|(kdp)|(train st.+moving)|(\|gpps)|(penalty))"</v>
      </c>
      <c r="AG98" s="244" t="str">
        <f t="shared" si="45"/>
        <v>EC</v>
      </c>
      <c r="AH98" s="236" t="str">
        <f t="shared" si="48"/>
        <v>"%USERPROFILE%\Documents\GitHub\eaglep3\Utilities\RefineRTDCRunTimes.py" --tripid 185-20 --locoid 4062 --swversion DE.1.0.9.0 --startMP 204:535 --initTime 2017-12-20T14:11:17 --startdatetime 2017-12-20T14:15:26 --delay 70 --endMP 204:233322 --enddatetime 2017-12-20T14:53:03 --enforcementcount 0 &gt;&gt;%USERPROFILE%\Documents\GitHub\eaglep3-reporting\EC\2017-12-20-refined-times.txt</v>
      </c>
      <c r="AI98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{"issue":{"subject":"","project_id":79,"tracker_id":40,"status_id":1,"priority_id":2,"assigned_to_id":338,"start_date":"2017-12-20","description":"","custom_fields":[{"id":1,"name":"Subdivision","value":"EC"},{"id":4,"name":"Milepost","value":"23.3322"},{"id":17,"name":"Train ID","value":"185-20"},{"id":16,"name":"Locomotive ID","value":"4062"},{"id":130,"name":"Impact","value":""},{"id":150,"name":"Time of Event (Mountain Time)","value":"14:53:03"},{"id":151,"name":"Denver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50"/>
        <v>start /low /b %USERPROFILE%\Documents\GitHub\eaglep3\Utilities\DownloadLogsFromS3.py --loco 4062 --day 2017-12-20</v>
      </c>
      <c r="AN98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21:53:03"},{"id":29,"name":"Sharepoint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52"/>
        <v>https://d0f6bd738d7f1b3e5a7ca70fe4ff75f0.us-east-1.aws.found.io/app/kibana#/discover/Steve-Slow-Train-Analysis-(2080s-and-2083s)?_g=(refreshInterval:(display:Off,pause:!f,section:0,value:0),time:(from:'2017-12-20T13:11:17-0700',mode:absolute,to:'2017-12-20T15:53:03-0700'))&amp;_a=(columns:!('Message%20ID',Summary),filters:!(),index:'emp_*',interval:auto,query:(query_string:(analyze_wildcard:!t,query:'%22rtdc.l.rtdc.4062%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9" t="s">
        <v>812</v>
      </c>
      <c r="B99" s="225">
        <v>4061</v>
      </c>
      <c r="C99" s="227" t="s">
        <v>192</v>
      </c>
      <c r="D99" s="227" t="s">
        <v>538</v>
      </c>
      <c r="E99" s="226">
        <v>43089.630520833336</v>
      </c>
      <c r="F99" s="226">
        <v>43089.633599537039</v>
      </c>
      <c r="G99" s="225">
        <v>66</v>
      </c>
      <c r="H99" s="227" t="s">
        <v>614</v>
      </c>
      <c r="I99" s="226">
        <v>43089.661921296298</v>
      </c>
      <c r="J99" s="225">
        <v>0</v>
      </c>
      <c r="K99" s="237" t="str">
        <f t="shared" si="35"/>
        <v>4061/4062</v>
      </c>
      <c r="L99" s="245" t="str">
        <f>VLOOKUP(A99,'Trips&amp;Operators'!$C$1:$G$99911,5,FALSE)</f>
        <v>DAVIS MICHAEL</v>
      </c>
      <c r="M99" s="224">
        <f t="shared" si="36"/>
        <v>2.8321759258687962E-2</v>
      </c>
      <c r="N99" s="225">
        <f t="shared" si="37"/>
        <v>40.783333332510665</v>
      </c>
      <c r="O99" s="225"/>
      <c r="P99" s="225"/>
      <c r="Q99" s="228"/>
      <c r="R99" s="242"/>
      <c r="S99" s="249">
        <f t="shared" si="38"/>
        <v>1</v>
      </c>
      <c r="T99" s="242" t="str">
        <f t="shared" si="39"/>
        <v>Southbound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40"/>
        <v>https://d0f6bd738d7f1b3e5a7ca70fe4ff75f0.us-east-1.aws.found.io/app/kibana#/discover/Steve-Slow-Train-Analysis-(2080s-and-2083s)?_g=(refreshInterval:(display:Off,pause:!f,section:0,value:0),time:(from:'2017-12-20T14:07:57-0700',mode:absolute,to:'2017-12-20T16:53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9" s="247" t="str">
        <f>IF(AA99&lt;VLOOKUP(AG99,Variables!$AC$3:$AD$8,2,FALSE),"Y","N")</f>
        <v>N</v>
      </c>
      <c r="X99" s="247">
        <f t="shared" si="53"/>
        <v>1</v>
      </c>
      <c r="Y99" s="247">
        <f t="shared" si="46"/>
        <v>23.299800000000001</v>
      </c>
      <c r="Z99" s="247">
        <f t="shared" si="47"/>
        <v>2.07E-2</v>
      </c>
      <c r="AA99" s="247">
        <f t="shared" si="41"/>
        <v>23.2791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42"/>
        <v>186</v>
      </c>
      <c r="AE99" s="235" t="str">
        <f t="shared" si="43"/>
        <v>aws s3 cp s3://rtdc.mdm.uploadarchive.raw/RTDC4061/ "%USERPROFILE%\AppData\Local\Temp\OnboardLogs"\RTDC4061\2017-12-20 --exclude "*" --recursive --include "*20171220*" &amp; "%USERPROFILE%\Documents\GitHub\mrs-test-scripts\Headless Mode &amp; Sideloading\WalkAndUnGZ.bat" "%USERPROFILE%\AppData\Local\Temp\OnboardLogs"\RTDC4061\2017-12-20 &amp; aws s3 cp s3://rtdc.mdm.uploadarchive.raw/RTDC4061/ "%USERPROFILE%\AppData\Local\Temp\OnboardLogs"\RTDC4061\2017-12-21 --exclude "*" --recursive --include "*20171221*" &amp; "%USERPROFILE%\Documents\GitHub\mrs-test-scripts\Headless Mode &amp; Sideloading\WalkAndUnGZ.bat" "%USERPROFILE%\AppData\Local\Temp\OnboardLogs"\RTDC4061\2017-12-21</v>
      </c>
      <c r="AF99" s="234" t="str">
        <f t="shared" si="44"/>
        <v>"C:\Program Files (x86)\AstroGrep\AstroGrep.exe" /e /r /s /spath="%USERPROFILE%\AppData\Local\Temp\OnboardLogs" /stypes="app*4061*20171220*" /stext=" 22:.+((SYSTEM_STATE.+slice.+state.+changed )|(ment ac)|(multiple cpu faults)|(system.+state.+changed )|(\[timeout)|(PRM\|1\|D)|(kpr)|(kdp)|(train st.+moving)|(\|gpps)|(penalty))"</v>
      </c>
      <c r="AG99" s="244" t="str">
        <f t="shared" si="45"/>
        <v>EC</v>
      </c>
      <c r="AH99" s="236" t="str">
        <f t="shared" si="48"/>
        <v>"%USERPROFILE%\Documents\GitHub\eaglep3\Utilities\RefineRTDCRunTimes.py" --tripid 186-20 --locoid 4061 --swversion DE.1.0.9.0 --startMP 204:232998 --initTime 2017-12-20T15:07:57 --startdatetime 2017-12-20T15:12:23 --delay 66 --endMP 204:207 --enddatetime 2017-12-20T15:53:10 --enforcementcount 0 &gt;&gt;%USERPROFILE%\Documents\GitHub\eaglep3-reporting\EC\2017-12-20-refined-times.txt</v>
      </c>
      <c r="AI99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{"issue":{"subject":"","project_id":79,"tracker_id":40,"status_id":1,"priority_id":2,"assigned_to_id":338,"start_date":"2017-12-20","description":"","custom_fields":[{"id":1,"name":"Subdivision","value":"EC"},{"id":4,"name":"Milepost","value":"0.0207"},{"id":17,"name":"Train ID","value":"186-20"},{"id":16,"name":"Locomotive ID","value":"4061"},{"id":130,"name":"Impact","value":""},{"id":150,"name":"Time of Event (Mountain Time)","value":"15:53:10"},{"id":151,"name":"Denver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50"/>
        <v>start /low /b %USERPROFILE%\Documents\GitHub\eaglep3\Utilities\DownloadLogsFromS3.py --loco 4061 --day 2017-12-20</v>
      </c>
      <c r="AN99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22:53:10"},{"id":29,"name":"Sharepoint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52"/>
        <v>https://d0f6bd738d7f1b3e5a7ca70fe4ff75f0.us-east-1.aws.found.io/app/kibana#/discover/Steve-Slow-Train-Analysis-(2080s-and-2083s)?_g=(refreshInterval:(display:Off,pause:!f,section:0,value:0),time:(from:'2017-12-20T14:07:57-0700',mode:absolute,to:'2017-12-20T16:53:10-0700'))&amp;_a=(columns:!('Message%20ID',Summary),filters:!(),index:'emp_*',interval:auto,query:(query_string:(analyze_wildcard:!t,query:'%22rtdc.l.rtdc.4061%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9" t="s">
        <v>665</v>
      </c>
      <c r="B100" s="225">
        <v>4052</v>
      </c>
      <c r="C100" s="227" t="s">
        <v>192</v>
      </c>
      <c r="D100" s="227" t="s">
        <v>490</v>
      </c>
      <c r="E100" s="226">
        <v>43089.601851851854</v>
      </c>
      <c r="F100" s="226">
        <v>43089.604560185187</v>
      </c>
      <c r="G100" s="225">
        <v>54</v>
      </c>
      <c r="H100" s="227" t="s">
        <v>962</v>
      </c>
      <c r="I100" s="226">
        <v>43089.628958333335</v>
      </c>
      <c r="J100" s="225">
        <v>0</v>
      </c>
      <c r="K100" s="237" t="str">
        <f t="shared" si="35"/>
        <v>4051/4052</v>
      </c>
      <c r="L100" s="245" t="str">
        <f>VLOOKUP(A100,'Trips&amp;Operators'!$C$1:$G$99911,5,FALSE)</f>
        <v>HOLCOMB KAMDEN</v>
      </c>
      <c r="M100" s="224">
        <f t="shared" si="36"/>
        <v>2.4398148147156462E-2</v>
      </c>
      <c r="N100" s="225">
        <f t="shared" si="37"/>
        <v>35.133333331905305</v>
      </c>
      <c r="O100" s="225"/>
      <c r="P100" s="225"/>
      <c r="Q100" s="228"/>
      <c r="R100" s="242"/>
      <c r="S100" s="249">
        <f t="shared" si="38"/>
        <v>1</v>
      </c>
      <c r="T100" s="242" t="str">
        <f t="shared" si="39"/>
        <v>NorthBound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 t="shared" si="40"/>
        <v>https://d0f6bd738d7f1b3e5a7ca70fe4ff75f0.us-east-1.aws.found.io/app/kibana#/discover/Steve-Slow-Train-Analysis-(2080s-and-2083s)?_g=(refreshInterval:(display:Off,pause:!f,section:0,value:0),time:(from:'2017-12-20T13:26:40-0700',mode:absolute,to:'2017-12-20T16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0" s="247" t="str">
        <f>IF(AA100&lt;VLOOKUP(AG100,Variables!$AC$3:$AD$8,2,FALSE),"Y","N")</f>
        <v>N</v>
      </c>
      <c r="X100" s="247">
        <f t="shared" si="53"/>
        <v>1</v>
      </c>
      <c r="Y100" s="247">
        <f t="shared" si="46"/>
        <v>5.1700000000000003E-2</v>
      </c>
      <c r="Z100" s="247">
        <f t="shared" si="47"/>
        <v>23.328299999999999</v>
      </c>
      <c r="AA100" s="247">
        <f t="shared" si="41"/>
        <v>23.276599999999998</v>
      </c>
      <c r="AB100" s="233" t="str">
        <f>VLOOKUP(A100,Enforcements!$C$7:$K$9,8,0)</f>
        <v>Bulletin (2)</v>
      </c>
      <c r="AC100" s="232" t="str">
        <f>VLOOKUP(A100,Enforcements!$C$7:$E$9,3,0)</f>
        <v>GRADE CROSSING</v>
      </c>
      <c r="AD100" s="243">
        <f t="shared" si="42"/>
        <v>187</v>
      </c>
      <c r="AE100" s="235" t="str">
        <f t="shared" si="43"/>
        <v>aws s3 cp s3://rtdc.mdm.uploadarchive.raw/RTDC4052/ "%USERPROFILE%\AppData\Local\Temp\OnboardLogs"\RTDC4052\2017-12-20 --exclude "*" --recursive --include "*20171220*" &amp; "%USERPROFILE%\Documents\GitHub\mrs-test-scripts\Headless Mode &amp; Sideloading\WalkAndUnGZ.bat" "%USERPROFILE%\AppData\Local\Temp\OnboardLogs"\RTDC4052\2017-12-20 &amp; aws s3 cp s3://rtdc.mdm.uploadarchive.raw/RTDC4052/ "%USERPROFILE%\AppData\Local\Temp\OnboardLogs"\RTDC4052\2017-12-21 --exclude "*" --recursive --include "*20171221*" &amp; "%USERPROFILE%\Documents\GitHub\mrs-test-scripts\Headless Mode &amp; Sideloading\WalkAndUnGZ.bat" "%USERPROFILE%\AppData\Local\Temp\OnboardLogs"\RTDC4052\2017-12-21</v>
      </c>
      <c r="AF100" s="234" t="str">
        <f t="shared" si="44"/>
        <v>"C:\Program Files (x86)\AstroGrep\AstroGrep.exe" /e /r /s /spath="%USERPROFILE%\AppData\Local\Temp\OnboardLogs" /stypes="app*4052*20171220*" /stext=" 22:.+((SYSTEM_STATE.+slice.+state.+changed )|(ment ac)|(multiple cpu faults)|(system.+state.+changed )|(\[timeout)|(PRM\|1\|D)|(kpr)|(kdp)|(train st.+moving)|(\|gpps)|(penalty))"</v>
      </c>
      <c r="AG100" s="244" t="str">
        <f t="shared" si="45"/>
        <v>EC</v>
      </c>
      <c r="AH100" s="236" t="str">
        <f t="shared" si="48"/>
        <v>"%USERPROFILE%\Documents\GitHub\eaglep3\Utilities\RefineRTDCRunTimes.py" --tripid 187-20 --locoid 4052 --swversion DE.1.0.9.0 --startMP 204:517 --initTime 2017-12-20T14:26:40 --startdatetime 2017-12-20T14:30:34 --delay 54 --endMP 204:233283 --enddatetime 2017-12-20T15:05:42 --enforcementcount 0 &gt;&gt;%USERPROFILE%\Documents\GitHub\eaglep3-reporting\EC\2017-12-20-refined-times.txt</v>
      </c>
      <c r="AI100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{"issue":{"subject":"","project_id":79,"tracker_id":40,"status_id":1,"priority_id":2,"assigned_to_id":338,"start_date":"2017-12-20","description":"","custom_fields":[{"id":1,"name":"Subdivision","value":"EC"},{"id":4,"name":"Milepost","value":"23.3283"},{"id":17,"name":"Train ID","value":"187-20"},{"id":16,"name":"Locomotive ID","value":"4052"},{"id":130,"name":"Impact","value":""},{"id":150,"name":"Time of Event (Mountain Time)","value":"15:05:42"},{"id":151,"name":"Denver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50"/>
        <v>start /low /b %USERPROFILE%\Documents\GitHub\eaglep3\Utilities\DownloadLogsFromS3.py --loco 4052 --day 2017-12-20</v>
      </c>
      <c r="AN100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22:05:42"},{"id":29,"name":"Sharepoint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52"/>
        <v>https://d0f6bd738d7f1b3e5a7ca70fe4ff75f0.us-east-1.aws.found.io/app/kibana#/discover/Steve-Slow-Train-Analysis-(2080s-and-2083s)?_g=(refreshInterval:(display:Off,pause:!f,section:0,value:0),time:(from:'2017-12-20T13:26:40-0700',mode:absolute,to:'2017-12-20T16:05:42-0700'))&amp;_a=(columns:!('Message%20ID',Summary),filters:!(),index:'emp_*',interval:auto,query:(query_string:(analyze_wildcard:!t,query:'%22rtdc.l.rtdc.4052%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9" t="s">
        <v>814</v>
      </c>
      <c r="B101" s="225">
        <v>4051</v>
      </c>
      <c r="C101" s="227" t="s">
        <v>192</v>
      </c>
      <c r="D101" s="227" t="s">
        <v>609</v>
      </c>
      <c r="E101" s="226">
        <v>43089.640243055554</v>
      </c>
      <c r="F101" s="226">
        <v>43089.643935185188</v>
      </c>
      <c r="G101" s="225">
        <v>55</v>
      </c>
      <c r="H101" s="227" t="s">
        <v>918</v>
      </c>
      <c r="I101" s="226">
        <v>43089.668703703705</v>
      </c>
      <c r="J101" s="225">
        <v>0</v>
      </c>
      <c r="K101" s="237" t="str">
        <f t="shared" si="35"/>
        <v>4051/4052</v>
      </c>
      <c r="L101" s="245" t="str">
        <f>VLOOKUP(A101,'Trips&amp;Operators'!$C$1:$G$99911,5,FALSE)</f>
        <v>HOLCOMB KAMDEN</v>
      </c>
      <c r="M101" s="224">
        <f t="shared" si="36"/>
        <v>2.4768518516793847E-2</v>
      </c>
      <c r="N101" s="225">
        <f t="shared" si="37"/>
        <v>35.66666666418314</v>
      </c>
      <c r="O101" s="225"/>
      <c r="P101" s="225"/>
      <c r="Q101" s="228"/>
      <c r="R101" s="242"/>
      <c r="S101" s="249">
        <f t="shared" si="38"/>
        <v>1</v>
      </c>
      <c r="T101" s="242" t="str">
        <f t="shared" si="39"/>
        <v>Southbound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40"/>
        <v>https://d0f6bd738d7f1b3e5a7ca70fe4ff75f0.us-east-1.aws.found.io/app/kibana#/discover/Steve-Slow-Train-Analysis-(2080s-and-2083s)?_g=(refreshInterval:(display:Off,pause:!f,section:0,value:0),time:(from:'2017-12-20T14:21:57-0700',mode:absolute,to:'2017-12-20T17:02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1" s="247" t="str">
        <f>IF(AA101&lt;VLOOKUP(AG101,Variables!$AC$3:$AD$8,2,FALSE),"Y","N")</f>
        <v>N</v>
      </c>
      <c r="X101" s="247">
        <f t="shared" si="53"/>
        <v>1</v>
      </c>
      <c r="Y101" s="247">
        <f t="shared" si="46"/>
        <v>23.294499999999999</v>
      </c>
      <c r="Z101" s="247">
        <f t="shared" si="47"/>
        <v>1.3899999999999999E-2</v>
      </c>
      <c r="AA101" s="247">
        <f t="shared" si="41"/>
        <v>23.2806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42"/>
        <v>188</v>
      </c>
      <c r="AE101" s="235" t="str">
        <f t="shared" si="43"/>
        <v>aws s3 cp s3://rtdc.mdm.uploadarchive.raw/RTDC4051/ "%USERPROFILE%\AppData\Local\Temp\OnboardLogs"\RTDC4051\2017-12-20 --exclude "*" --recursive --include "*20171220*" &amp; "%USERPROFILE%\Documents\GitHub\mrs-test-scripts\Headless Mode &amp; Sideloading\WalkAndUnGZ.bat" "%USERPROFILE%\AppData\Local\Temp\OnboardLogs"\RTDC4051\2017-12-20 &amp; aws s3 cp s3://rtdc.mdm.uploadarchive.raw/RTDC4051/ "%USERPROFILE%\AppData\Local\Temp\OnboardLogs"\RTDC4051\2017-12-21 --exclude "*" --recursive --include "*20171221*" &amp; "%USERPROFILE%\Documents\GitHub\mrs-test-scripts\Headless Mode &amp; Sideloading\WalkAndUnGZ.bat" "%USERPROFILE%\AppData\Local\Temp\OnboardLogs"\RTDC4051\2017-12-21</v>
      </c>
      <c r="AF101" s="234" t="str">
        <f t="shared" si="44"/>
        <v>"C:\Program Files (x86)\AstroGrep\AstroGrep.exe" /e /r /s /spath="%USERPROFILE%\AppData\Local\Temp\OnboardLogs" /stypes="app*4051*20171220*" /stext=" 23:.+((SYSTEM_STATE.+slice.+state.+changed )|(ment ac)|(multiple cpu faults)|(system.+state.+changed )|(\[timeout)|(PRM\|1\|D)|(kpr)|(kdp)|(train st.+moving)|(\|gpps)|(penalty))"</v>
      </c>
      <c r="AG101" s="244" t="str">
        <f t="shared" si="45"/>
        <v>EC</v>
      </c>
      <c r="AH101" s="236" t="str">
        <f t="shared" si="48"/>
        <v>"%USERPROFILE%\Documents\GitHub\eaglep3\Utilities\RefineRTDCRunTimes.py" --tripid 188-20 --locoid 4051 --swversion DE.1.0.9.0 --startMP 204:232945 --initTime 2017-12-20T15:21:57 --startdatetime 2017-12-20T15:27:16 --delay 55 --endMP 204:139 --enddatetime 2017-12-20T16:02:56 --enforcementcount 0 &gt;&gt;%USERPROFILE%\Documents\GitHub\eaglep3-reporting\EC\2017-12-20-refined-times.txt</v>
      </c>
      <c r="AI101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{"issue":{"subject":"","project_id":79,"tracker_id":40,"status_id":1,"priority_id":2,"assigned_to_id":338,"start_date":"2017-12-20","description":"","custom_fields":[{"id":1,"name":"Subdivision","value":"EC"},{"id":4,"name":"Milepost","value":"0.0139"},{"id":17,"name":"Train ID","value":"188-20"},{"id":16,"name":"Locomotive ID","value":"4051"},{"id":130,"name":"Impact","value":""},{"id":150,"name":"Time of Event (Mountain Time)","value":"16:02:56"},{"id":151,"name":"Denver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50"/>
        <v>start /low /b %USERPROFILE%\Documents\GitHub\eaglep3\Utilities\DownloadLogsFromS3.py --loco 4051 --day 2017-12-20</v>
      </c>
      <c r="AN101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23:02:56"},{"id":29,"name":"Sharepoint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52"/>
        <v>https://d0f6bd738d7f1b3e5a7ca70fe4ff75f0.us-east-1.aws.found.io/app/kibana#/discover/Steve-Slow-Train-Analysis-(2080s-and-2083s)?_g=(refreshInterval:(display:Off,pause:!f,section:0,value:0),time:(from:'2017-12-20T14:21:57-0700',mode:absolute,to:'2017-12-20T17:02:56-0700'))&amp;_a=(columns:!('Message%20ID',Summary),filters:!(),index:'emp_*',interval:auto,query:(query_string:(analyze_wildcard:!t,query:'%22rtdc.l.rtdc.4051%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29" t="s">
        <v>807</v>
      </c>
      <c r="B102" s="225">
        <v>4044</v>
      </c>
      <c r="C102" s="227" t="s">
        <v>192</v>
      </c>
      <c r="D102" s="227" t="s">
        <v>561</v>
      </c>
      <c r="E102" s="226">
        <v>43089.61146990741</v>
      </c>
      <c r="F102" s="226">
        <v>43089.614722222221</v>
      </c>
      <c r="G102" s="225">
        <v>53</v>
      </c>
      <c r="H102" s="227" t="s">
        <v>475</v>
      </c>
      <c r="I102" s="226">
        <v>43089.638935185183</v>
      </c>
      <c r="J102" s="225">
        <v>0</v>
      </c>
      <c r="K102" s="237" t="str">
        <f t="shared" si="35"/>
        <v>4043/4044</v>
      </c>
      <c r="L102" s="245" t="str">
        <f>VLOOKUP(A102,'Trips&amp;Operators'!$C$1:$G$99911,5,FALSE)</f>
        <v>NEWELL JAMES</v>
      </c>
      <c r="M102" s="224">
        <f t="shared" si="36"/>
        <v>2.421296296233777E-2</v>
      </c>
      <c r="N102" s="225">
        <f t="shared" si="37"/>
        <v>34.866666665766388</v>
      </c>
      <c r="O102" s="225"/>
      <c r="P102" s="225"/>
      <c r="Q102" s="228"/>
      <c r="R102" s="242"/>
      <c r="S102" s="249">
        <f t="shared" si="38"/>
        <v>1</v>
      </c>
      <c r="T102" s="242" t="str">
        <f t="shared" si="39"/>
        <v>NorthBound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40"/>
        <v>https://d0f6bd738d7f1b3e5a7ca70fe4ff75f0.us-east-1.aws.found.io/app/kibana#/discover/Steve-Slow-Train-Analysis-(2080s-and-2083s)?_g=(refreshInterval:(display:Off,pause:!f,section:0,value:0),time:(from:'2017-12-20T13:40:31-0700',mode:absolute,to:'2017-12-20T16:20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2" s="247" t="str">
        <f>IF(AA102&lt;VLOOKUP(AG102,Variables!$AC$3:$AD$8,2,FALSE),"Y","N")</f>
        <v>N</v>
      </c>
      <c r="X102" s="247">
        <f t="shared" si="53"/>
        <v>1</v>
      </c>
      <c r="Y102" s="247">
        <f t="shared" si="46"/>
        <v>5.8799999999999998E-2</v>
      </c>
      <c r="Z102" s="247">
        <f t="shared" si="47"/>
        <v>23.327000000000002</v>
      </c>
      <c r="AA102" s="247">
        <f t="shared" si="41"/>
        <v>23.2682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 t="shared" si="42"/>
        <v>189</v>
      </c>
      <c r="AE102" s="235" t="str">
        <f t="shared" si="43"/>
        <v>aws s3 cp s3://rtdc.mdm.uploadarchive.raw/RTDC4044/ "%USERPROFILE%\AppData\Local\Temp\OnboardLogs"\RTDC4044\2017-12-20 --exclude "*" --recursive --include "*20171220*" &amp; "%USERPROFILE%\Documents\GitHub\mrs-test-scripts\Headless Mode &amp; Sideloading\WalkAndUnGZ.bat" "%USERPROFILE%\AppData\Local\Temp\OnboardLogs"\RTDC4044\2017-12-20 &amp; aws s3 cp s3://rtdc.mdm.uploadarchive.raw/RTDC4044/ "%USERPROFILE%\AppData\Local\Temp\OnboardLogs"\RTDC4044\2017-12-21 --exclude "*" --recursive --include "*20171221*" &amp; "%USERPROFILE%\Documents\GitHub\mrs-test-scripts\Headless Mode &amp; Sideloading\WalkAndUnGZ.bat" "%USERPROFILE%\AppData\Local\Temp\OnboardLogs"\RTDC4044\2017-12-21</v>
      </c>
      <c r="AF102" s="234" t="str">
        <f t="shared" si="44"/>
        <v>"C:\Program Files (x86)\AstroGrep\AstroGrep.exe" /e /r /s /spath="%USERPROFILE%\AppData\Local\Temp\OnboardLogs" /stypes="app*4044*20171220*" /stext=" 22:.+((SYSTEM_STATE.+slice.+state.+changed )|(ment ac)|(multiple cpu faults)|(system.+state.+changed )|(\[timeout)|(PRM\|1\|D)|(kpr)|(kdp)|(train st.+moving)|(\|gpps)|(penalty))"</v>
      </c>
      <c r="AG102" s="244" t="str">
        <f t="shared" si="45"/>
        <v>EC</v>
      </c>
      <c r="AH102" s="236" t="str">
        <f t="shared" si="48"/>
        <v>"%USERPROFILE%\Documents\GitHub\eaglep3\Utilities\RefineRTDCRunTimes.py" --tripid 189-20 --locoid 4044 --swversion DE.1.0.9.0 --startMP 204:588 --initTime 2017-12-20T14:40:31 --startdatetime 2017-12-20T14:45:12 --delay 53 --endMP 204:233270 --enddatetime 2017-12-20T15:20:04 --enforcementcount 0 &gt;&gt;%USERPROFILE%\Documents\GitHub\eaglep3-reporting\EC\2017-12-20-refined-times.txt</v>
      </c>
      <c r="AI102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{"issue":{"subject":"","project_id":79,"tracker_id":40,"status_id":1,"priority_id":2,"assigned_to_id":338,"start_date":"2017-12-20","description":"","custom_fields":[{"id":1,"name":"Subdivision","value":"EC"},{"id":4,"name":"Milepost","value":"23.327"},{"id":17,"name":"Train ID","value":"189-20"},{"id":16,"name":"Locomotive ID","value":"4044"},{"id":130,"name":"Impact","value":""},{"id":150,"name":"Time of Event (Mountain Time)","value":"15:20:04"},{"id":151,"name":"Denver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50"/>
        <v>start /low /b %USERPROFILE%\Documents\GitHub\eaglep3\Utilities\DownloadLogsFromS3.py --loco 4044 --day 2017-12-20</v>
      </c>
      <c r="AN102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22:20:04"},{"id":29,"name":"Sharepoint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52"/>
        <v>https://d0f6bd738d7f1b3e5a7ca70fe4ff75f0.us-east-1.aws.found.io/app/kibana#/discover/Steve-Slow-Train-Analysis-(2080s-and-2083s)?_g=(refreshInterval:(display:Off,pause:!f,section:0,value:0),time:(from:'2017-12-20T13:40:31-0700',mode:absolute,to:'2017-12-20T16:20:04-0700'))&amp;_a=(columns:!('Message%20ID',Summary),filters:!(),index:'emp_*',interval:auto,query:(query_string:(analyze_wildcard:!t,query:'%22rtdc.l.rtdc.4044%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229" t="s">
        <v>813</v>
      </c>
      <c r="B103" s="225">
        <v>4043</v>
      </c>
      <c r="C103" s="227" t="s">
        <v>192</v>
      </c>
      <c r="D103" s="227" t="s">
        <v>963</v>
      </c>
      <c r="E103" s="226">
        <v>43089.640069444446</v>
      </c>
      <c r="F103" s="226">
        <v>43089.654305555552</v>
      </c>
      <c r="G103" s="225">
        <v>47</v>
      </c>
      <c r="H103" s="227" t="s">
        <v>964</v>
      </c>
      <c r="I103" s="226">
        <v>43089.679652777777</v>
      </c>
      <c r="J103" s="225">
        <v>0</v>
      </c>
      <c r="K103" s="237" t="str">
        <f t="shared" si="35"/>
        <v>4043/4044</v>
      </c>
      <c r="L103" s="245" t="str">
        <f>VLOOKUP(A103,'Trips&amp;Operators'!$C$1:$G$99911,5,FALSE)</f>
        <v>NEWELL JAMES</v>
      </c>
      <c r="M103" s="224">
        <f t="shared" si="36"/>
        <v>2.5347222224809229E-2</v>
      </c>
      <c r="N103" s="225">
        <f t="shared" si="37"/>
        <v>36.50000000372529</v>
      </c>
      <c r="O103" s="225"/>
      <c r="P103" s="225"/>
      <c r="Q103" s="228"/>
      <c r="R103" s="242"/>
      <c r="S103" s="249">
        <f t="shared" si="38"/>
        <v>1</v>
      </c>
      <c r="T103" s="242" t="str">
        <f t="shared" si="39"/>
        <v>Southbound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40"/>
        <v>https://d0f6bd738d7f1b3e5a7ca70fe4ff75f0.us-east-1.aws.found.io/app/kibana#/discover/Steve-Slow-Train-Analysis-(2080s-and-2083s)?_g=(refreshInterval:(display:Off,pause:!f,section:0,value:0),time:(from:'2017-12-20T14:21:42-0700',mode:absolute,to:'2017-12-20T17:18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3" s="247" t="str">
        <f>IF(AA103&lt;VLOOKUP(AG103,Variables!$AC$3:$AD$8,2,FALSE),"Y","N")</f>
        <v>N</v>
      </c>
      <c r="X103" s="247">
        <f t="shared" si="53"/>
        <v>1</v>
      </c>
      <c r="Y103" s="247">
        <f t="shared" si="46"/>
        <v>23.295200000000001</v>
      </c>
      <c r="Z103" s="247">
        <f t="shared" si="47"/>
        <v>2.8199999999999999E-2</v>
      </c>
      <c r="AA103" s="247">
        <f t="shared" si="41"/>
        <v>23.267000000000003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42"/>
        <v>190</v>
      </c>
      <c r="AE103" s="235" t="str">
        <f t="shared" si="43"/>
        <v>aws s3 cp s3://rtdc.mdm.uploadarchive.raw/RTDC4043/ "%USERPROFILE%\AppData\Local\Temp\OnboardLogs"\RTDC4043\2017-12-20 --exclude "*" --recursive --include "*20171220*" &amp; "%USERPROFILE%\Documents\GitHub\mrs-test-scripts\Headless Mode &amp; Sideloading\WalkAndUnGZ.bat" "%USERPROFILE%\AppData\Local\Temp\OnboardLogs"\RTDC4043\2017-12-20 &amp; aws s3 cp s3://rtdc.mdm.uploadarchive.raw/RTDC4043/ "%USERPROFILE%\AppData\Local\Temp\OnboardLogs"\RTDC4043\2017-12-21 --exclude "*" --recursive --include "*20171221*" &amp; "%USERPROFILE%\Documents\GitHub\mrs-test-scripts\Headless Mode &amp; Sideloading\WalkAndUnGZ.bat" "%USERPROFILE%\AppData\Local\Temp\OnboardLogs"\RTDC4043\2017-12-21</v>
      </c>
      <c r="AF103" s="234" t="str">
        <f t="shared" si="44"/>
        <v>"C:\Program Files (x86)\AstroGrep\AstroGrep.exe" /e /r /s /spath="%USERPROFILE%\AppData\Local\Temp\OnboardLogs" /stypes="app*4043*20171220*" /stext=" 23:.+((SYSTEM_STATE.+slice.+state.+changed )|(ment ac)|(multiple cpu faults)|(system.+state.+changed )|(\[timeout)|(PRM\|1\|D)|(kpr)|(kdp)|(train st.+moving)|(\|gpps)|(penalty))"</v>
      </c>
      <c r="AG103" s="244" t="str">
        <f t="shared" si="45"/>
        <v>EC</v>
      </c>
      <c r="AH103" s="236" t="str">
        <f t="shared" si="48"/>
        <v>"%USERPROFILE%\Documents\GitHub\eaglep3\Utilities\RefineRTDCRunTimes.py" --tripid 190-20 --locoid 4043 --swversion DE.1.0.9.0 --startMP 204:232952 --initTime 2017-12-20T15:21:42 --startdatetime 2017-12-20T15:42:12 --delay 47 --endMP 204:282 --enddatetime 2017-12-20T16:18:42 --enforcementcount 0 &gt;&gt;%USERPROFILE%\Documents\GitHub\eaglep3-reporting\EC\2017-12-20-refined-times.txt</v>
      </c>
      <c r="AI103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{"issue":{"subject":"","project_id":79,"tracker_id":40,"status_id":1,"priority_id":2,"assigned_to_id":338,"start_date":"2017-12-20","description":"","custom_fields":[{"id":1,"name":"Subdivision","value":"EC"},{"id":4,"name":"Milepost","value":"0.0282"},{"id":17,"name":"Train ID","value":"190-20"},{"id":16,"name":"Locomotive ID","value":"4043"},{"id":130,"name":"Impact","value":""},{"id":150,"name":"Time of Event (Mountain Time)","value":"16:18:42"},{"id":151,"name":"Denver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50"/>
        <v>start /low /b %USERPROFILE%\Documents\GitHub\eaglep3\Utilities\DownloadLogsFromS3.py --loco 4043 --day 2017-12-20</v>
      </c>
      <c r="AN103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23:18:42"},{"id":29,"name":"Sharepoint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52"/>
        <v>https://d0f6bd738d7f1b3e5a7ca70fe4ff75f0.us-east-1.aws.found.io/app/kibana#/discover/Steve-Slow-Train-Analysis-(2080s-and-2083s)?_g=(refreshInterval:(display:Off,pause:!f,section:0,value:0),time:(from:'2017-12-20T14:21:42-0700',mode:absolute,to:'2017-12-20T17:18:42-0700'))&amp;_a=(columns:!('Message%20ID',Summary),filters:!(),index:'emp_*',interval:auto,query:(query_string:(analyze_wildcard:!t,query:'%22rtdc.l.rtdc.4043%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229" t="s">
        <v>809</v>
      </c>
      <c r="B104" s="225">
        <v>4020</v>
      </c>
      <c r="C104" s="227" t="s">
        <v>192</v>
      </c>
      <c r="D104" s="227" t="s">
        <v>606</v>
      </c>
      <c r="E104" s="226">
        <v>43089.619409722225</v>
      </c>
      <c r="F104" s="226">
        <v>43089.625196759262</v>
      </c>
      <c r="G104" s="225">
        <v>64</v>
      </c>
      <c r="H104" s="227" t="s">
        <v>904</v>
      </c>
      <c r="I104" s="226">
        <v>43089.649953703702</v>
      </c>
      <c r="J104" s="225">
        <v>0</v>
      </c>
      <c r="K104" s="237" t="str">
        <f t="shared" si="35"/>
        <v>4019/4020</v>
      </c>
      <c r="L104" s="245" t="str">
        <f>VLOOKUP(A104,'Trips&amp;Operators'!$C$1:$G$99911,5,FALSE)</f>
        <v>STEWART MICHAEL</v>
      </c>
      <c r="M104" s="224">
        <f t="shared" si="36"/>
        <v>2.4756944440014195E-2</v>
      </c>
      <c r="N104" s="225">
        <f t="shared" si="37"/>
        <v>35.64999999362044</v>
      </c>
      <c r="O104" s="225"/>
      <c r="P104" s="225"/>
      <c r="Q104" s="228"/>
      <c r="R104" s="242"/>
      <c r="S104" s="249">
        <f t="shared" si="38"/>
        <v>1</v>
      </c>
      <c r="T104" s="242" t="str">
        <f t="shared" si="39"/>
        <v>NorthBound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40"/>
        <v>https://d0f6bd738d7f1b3e5a7ca70fe4ff75f0.us-east-1.aws.found.io/app/kibana#/discover/Steve-Slow-Train-Analysis-(2080s-and-2083s)?_g=(refreshInterval:(display:Off,pause:!f,section:0,value:0),time:(from:'2017-12-20T13:51:57-0700',mode:absolute,to:'2017-12-20T16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4" s="247" t="str">
        <f>IF(AA104&lt;VLOOKUP(AG104,Variables!$AC$3:$AD$8,2,FALSE),"Y","N")</f>
        <v>N</v>
      </c>
      <c r="X104" s="247">
        <f t="shared" si="53"/>
        <v>1</v>
      </c>
      <c r="Y104" s="247">
        <f t="shared" si="46"/>
        <v>4.8800000000000003E-2</v>
      </c>
      <c r="Z104" s="247">
        <f t="shared" si="47"/>
        <v>23.327999999999999</v>
      </c>
      <c r="AA104" s="247">
        <f t="shared" si="41"/>
        <v>23.279199999999999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 t="shared" si="42"/>
        <v>191</v>
      </c>
      <c r="AE104" s="235" t="str">
        <f t="shared" si="43"/>
        <v>aws s3 cp s3://rtdc.mdm.uploadarchive.raw/RTDC4020/ "%USERPROFILE%\AppData\Local\Temp\OnboardLogs"\RTDC4020\2017-12-20 --exclude "*" --recursive --include "*20171220*" &amp; "%USERPROFILE%\Documents\GitHub\mrs-test-scripts\Headless Mode &amp; Sideloading\WalkAndUnGZ.bat" "%USERPROFILE%\AppData\Local\Temp\OnboardLogs"\RTDC4020\2017-12-20 &amp; aws s3 cp s3://rtdc.mdm.uploadarchive.raw/RTDC4020/ "%USERPROFILE%\AppData\Local\Temp\OnboardLogs"\RTDC4020\2017-12-21 --exclude "*" --recursive --include "*20171221*" &amp; "%USERPROFILE%\Documents\GitHub\mrs-test-scripts\Headless Mode &amp; Sideloading\WalkAndUnGZ.bat" "%USERPROFILE%\AppData\Local\Temp\OnboardLogs"\RTDC4020\2017-12-21</v>
      </c>
      <c r="AF104" s="234" t="str">
        <f t="shared" si="44"/>
        <v>"C:\Program Files (x86)\AstroGrep\AstroGrep.exe" /e /r /s /spath="%USERPROFILE%\AppData\Local\Temp\OnboardLogs" /stypes="app*4020*20171220*" /stext=" 22:.+((SYSTEM_STATE.+slice.+state.+changed )|(ment ac)|(multiple cpu faults)|(system.+state.+changed )|(\[timeout)|(PRM\|1\|D)|(kpr)|(kdp)|(train st.+moving)|(\|gpps)|(penalty))"</v>
      </c>
      <c r="AG104" s="244" t="str">
        <f t="shared" si="45"/>
        <v>EC</v>
      </c>
      <c r="AH104" s="236" t="str">
        <f t="shared" si="48"/>
        <v>"%USERPROFILE%\Documents\GitHub\eaglep3\Utilities\RefineRTDCRunTimes.py" --tripid 191-20 --locoid 4020 --swversion DE.1.0.9.0 --startMP 204:488 --initTime 2017-12-20T14:51:57 --startdatetime 2017-12-20T15:00:17 --delay 64 --endMP 204:233280 --enddatetime 2017-12-20T15:35:56 --enforcementcount 0 &gt;&gt;%USERPROFILE%\Documents\GitHub\eaglep3-reporting\EC\2017-12-20-refined-times.txt</v>
      </c>
      <c r="AI104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{"issue":{"subject":"","project_id":79,"tracker_id":40,"status_id":1,"priority_id":2,"assigned_to_id":338,"start_date":"2017-12-20","description":"","custom_fields":[{"id":1,"name":"Subdivision","value":"EC"},{"id":4,"name":"Milepost","value":"23.328"},{"id":17,"name":"Train ID","value":"191-20"},{"id":16,"name":"Locomotive ID","value":"4020"},{"id":130,"name":"Impact","value":""},{"id":150,"name":"Time of Event (Mountain Time)","value":"15:35:56"},{"id":151,"name":"Denver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50"/>
        <v>start /low /b %USERPROFILE%\Documents\GitHub\eaglep3\Utilities\DownloadLogsFromS3.py --loco 4020 --day 2017-12-20</v>
      </c>
      <c r="AN104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22:35:56"},{"id":29,"name":"Sharepoint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52"/>
        <v>https://d0f6bd738d7f1b3e5a7ca70fe4ff75f0.us-east-1.aws.found.io/app/kibana#/discover/Steve-Slow-Train-Analysis-(2080s-and-2083s)?_g=(refreshInterval:(display:Off,pause:!f,section:0,value:0),time:(from:'2017-12-20T13:51:57-0700',mode:absolute,to:'2017-12-20T16:35:56-0700'))&amp;_a=(columns:!('Message%20ID',Summary),filters:!(),index:'emp_*',interval:auto,query:(query_string:(analyze_wildcard:!t,query:'%22rtdc.l.rtdc.4020%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29" t="s">
        <v>819</v>
      </c>
      <c r="B105" s="225">
        <v>4019</v>
      </c>
      <c r="C105" s="227" t="s">
        <v>192</v>
      </c>
      <c r="D105" s="227" t="s">
        <v>960</v>
      </c>
      <c r="E105" s="226">
        <v>43089.660405092596</v>
      </c>
      <c r="F105" s="226">
        <v>43089.66479166667</v>
      </c>
      <c r="G105" s="225">
        <v>77</v>
      </c>
      <c r="H105" s="227" t="s">
        <v>520</v>
      </c>
      <c r="I105" s="226">
        <v>43089.691388888888</v>
      </c>
      <c r="J105" s="225">
        <v>0</v>
      </c>
      <c r="K105" s="237" t="str">
        <f t="shared" si="35"/>
        <v>4019/4020</v>
      </c>
      <c r="L105" s="245" t="str">
        <f>VLOOKUP(A105,'Trips&amp;Operators'!$C$1:$G$99911,5,FALSE)</f>
        <v>STEWART MICHAEL</v>
      </c>
      <c r="M105" s="224">
        <f t="shared" si="36"/>
        <v>2.6597222218697425E-2</v>
      </c>
      <c r="N105" s="225">
        <f t="shared" si="37"/>
        <v>38.299999994924292</v>
      </c>
      <c r="O105" s="225"/>
      <c r="P105" s="225"/>
      <c r="Q105" s="228"/>
      <c r="R105" s="242"/>
      <c r="S105" s="249">
        <f t="shared" si="38"/>
        <v>1</v>
      </c>
      <c r="T105" s="242" t="str">
        <f t="shared" si="39"/>
        <v>Southbound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 t="shared" si="40"/>
        <v>https://d0f6bd738d7f1b3e5a7ca70fe4ff75f0.us-east-1.aws.found.io/app/kibana#/discover/Steve-Slow-Train-Analysis-(2080s-and-2083s)?_g=(refreshInterval:(display:Off,pause:!f,section:0,value:0),time:(from:'2017-12-20T14:50:59-0700',mode:absolute,to:'2017-12-20T17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5" s="247" t="str">
        <f>IF(AA105&lt;VLOOKUP(AG105,Variables!$AC$3:$AD$8,2,FALSE),"Y","N")</f>
        <v>N</v>
      </c>
      <c r="X105" s="247">
        <f t="shared" si="53"/>
        <v>1</v>
      </c>
      <c r="Y105" s="247">
        <f t="shared" si="46"/>
        <v>23.296600000000002</v>
      </c>
      <c r="Z105" s="247">
        <f t="shared" si="47"/>
        <v>0.02</v>
      </c>
      <c r="AA105" s="247">
        <f t="shared" si="41"/>
        <v>23.276600000000002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42"/>
        <v>192</v>
      </c>
      <c r="AE105" s="235" t="str">
        <f t="shared" si="43"/>
        <v>aws s3 cp s3://rtdc.mdm.uploadarchive.raw/RTDC4019/ "%USERPROFILE%\AppData\Local\Temp\OnboardLogs"\RTDC4019\2017-12-20 --exclude "*" --recursive --include "*20171220*" &amp; "%USERPROFILE%\Documents\GitHub\mrs-test-scripts\Headless Mode &amp; Sideloading\WalkAndUnGZ.bat" "%USERPROFILE%\AppData\Local\Temp\OnboardLogs"\RTDC4019\2017-12-20 &amp; aws s3 cp s3://rtdc.mdm.uploadarchive.raw/RTDC4019/ "%USERPROFILE%\AppData\Local\Temp\OnboardLogs"\RTDC4019\2017-12-21 --exclude "*" --recursive --include "*20171221*" &amp; "%USERPROFILE%\Documents\GitHub\mrs-test-scripts\Headless Mode &amp; Sideloading\WalkAndUnGZ.bat" "%USERPROFILE%\AppData\Local\Temp\OnboardLogs"\RTDC4019\2017-12-21</v>
      </c>
      <c r="AF105" s="234" t="str">
        <f t="shared" si="44"/>
        <v>"C:\Program Files (x86)\AstroGrep\AstroGrep.exe" /e /r /s /spath="%USERPROFILE%\AppData\Local\Temp\OnboardLogs" /stypes="app*4019*20171220*" /stext=" 23:.+((SYSTEM_STATE.+slice.+state.+changed )|(ment ac)|(multiple cpu faults)|(system.+state.+changed )|(\[timeout)|(PRM\|1\|D)|(kpr)|(kdp)|(train st.+moving)|(\|gpps)|(penalty))"</v>
      </c>
      <c r="AG105" s="244" t="str">
        <f t="shared" si="45"/>
        <v>EC</v>
      </c>
      <c r="AH105" s="236" t="str">
        <f t="shared" si="48"/>
        <v>"%USERPROFILE%\Documents\GitHub\eaglep3\Utilities\RefineRTDCRunTimes.py" --tripid 192-20 --locoid 4019 --swversion DE.1.0.9.0 --startMP 204:232966 --initTime 2017-12-20T15:50:59 --startdatetime 2017-12-20T15:57:18 --delay 77 --endMP 204:200 --enddatetime 2017-12-20T16:35:36 --enforcementcount 0 &gt;&gt;%USERPROFILE%\Documents\GitHub\eaglep3-reporting\EC\2017-12-20-refined-times.txt</v>
      </c>
      <c r="AI105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{"issue":{"subject":"","project_id":79,"tracker_id":40,"status_id":1,"priority_id":2,"assigned_to_id":338,"start_date":"2017-12-20","description":"","custom_fields":[{"id":1,"name":"Subdivision","value":"EC"},{"id":4,"name":"Milepost","value":"0.02"},{"id":17,"name":"Train ID","value":"192-20"},{"id":16,"name":"Locomotive ID","value":"4019"},{"id":130,"name":"Impact","value":""},{"id":150,"name":"Time of Event (Mountain Time)","value":"16:35:36"},{"id":151,"name":"Denver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50"/>
        <v>start /low /b %USERPROFILE%\Documents\GitHub\eaglep3\Utilities\DownloadLogsFromS3.py --loco 4019 --day 2017-12-20</v>
      </c>
      <c r="AN105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52"/>
        <v>https://d0f6bd738d7f1b3e5a7ca70fe4ff75f0.us-east-1.aws.found.io/app/kibana#/discover/Steve-Slow-Train-Analysis-(2080s-and-2083s)?_g=(refreshInterval:(display:Off,pause:!f,section:0,value:0),time:(from:'2017-12-20T14:50:59-0700',mode:absolute,to:'2017-12-20T17:35:36-0700'))&amp;_a=(columns:!('Message%20ID',Summary),filters:!(),index:'emp_*',interval:auto,query:(query_string:(analyze_wildcard:!t,query:'%22rtdc.l.rtdc.4019%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29" t="s">
        <v>811</v>
      </c>
      <c r="B106" s="225">
        <v>4026</v>
      </c>
      <c r="C106" s="227" t="s">
        <v>192</v>
      </c>
      <c r="D106" s="227" t="s">
        <v>468</v>
      </c>
      <c r="E106" s="226">
        <v>43089.630150462966</v>
      </c>
      <c r="F106" s="226">
        <v>43089.635578703703</v>
      </c>
      <c r="G106" s="225">
        <v>48</v>
      </c>
      <c r="H106" s="227" t="s">
        <v>537</v>
      </c>
      <c r="I106" s="226">
        <v>43089.660081018519</v>
      </c>
      <c r="J106" s="225">
        <v>0</v>
      </c>
      <c r="K106" s="237" t="str">
        <f t="shared" si="35"/>
        <v>4025/4026</v>
      </c>
      <c r="L106" s="245" t="str">
        <f>VLOOKUP(A106,'Trips&amp;Operators'!$C$1:$G$99911,5,FALSE)</f>
        <v>GUZMAN DANNY</v>
      </c>
      <c r="M106" s="224">
        <f t="shared" si="36"/>
        <v>2.4502314816345461E-2</v>
      </c>
      <c r="N106" s="225">
        <f t="shared" si="37"/>
        <v>35.283333335537463</v>
      </c>
      <c r="O106" s="225"/>
      <c r="P106" s="225"/>
      <c r="Q106" s="228"/>
      <c r="R106" s="242"/>
      <c r="S106" s="249">
        <f t="shared" si="38"/>
        <v>1</v>
      </c>
      <c r="T106" s="242" t="str">
        <f t="shared" si="39"/>
        <v>NorthBound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 t="shared" si="40"/>
        <v>https://d0f6bd738d7f1b3e5a7ca70fe4ff75f0.us-east-1.aws.found.io/app/kibana#/discover/Steve-Slow-Train-Analysis-(2080s-and-2083s)?_g=(refreshInterval:(display:Off,pause:!f,section:0,value:0),time:(from:'2017-12-20T14:07:25-0700',mode:absolute,to:'2017-12-20T16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6" s="247" t="str">
        <f>IF(AA106&lt;VLOOKUP(AG106,Variables!$AC$3:$AD$8,2,FALSE),"Y","N")</f>
        <v>N</v>
      </c>
      <c r="X106" s="247">
        <f t="shared" si="53"/>
        <v>1</v>
      </c>
      <c r="Y106" s="247">
        <f t="shared" si="46"/>
        <v>5.1499999999999997E-2</v>
      </c>
      <c r="Z106" s="247">
        <f t="shared" si="47"/>
        <v>23.331199999999999</v>
      </c>
      <c r="AA106" s="247">
        <f t="shared" si="41"/>
        <v>23.279699999999998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42"/>
        <v>193</v>
      </c>
      <c r="AE106" s="235" t="str">
        <f t="shared" si="43"/>
        <v>aws s3 cp s3://rtdc.mdm.uploadarchive.raw/RTDC4026/ "%USERPROFILE%\AppData\Local\Temp\OnboardLogs"\RTDC4026\2017-12-20 --exclude "*" --recursive --include "*20171220*" &amp; "%USERPROFILE%\Documents\GitHub\mrs-test-scripts\Headless Mode &amp; Sideloading\WalkAndUnGZ.bat" "%USERPROFILE%\AppData\Local\Temp\OnboardLogs"\RTDC4026\2017-12-20 &amp; aws s3 cp s3://rtdc.mdm.uploadarchive.raw/RTDC4026/ "%USERPROFILE%\AppData\Local\Temp\OnboardLogs"\RTDC4026\2017-12-21 --exclude "*" --recursive --include "*20171221*" &amp; "%USERPROFILE%\Documents\GitHub\mrs-test-scripts\Headless Mode &amp; Sideloading\WalkAndUnGZ.bat" "%USERPROFILE%\AppData\Local\Temp\OnboardLogs"\RTDC4026\2017-12-21</v>
      </c>
      <c r="AF106" s="234" t="str">
        <f t="shared" si="44"/>
        <v>"C:\Program Files (x86)\AstroGrep\AstroGrep.exe" /e /r /s /spath="%USERPROFILE%\AppData\Local\Temp\OnboardLogs" /stypes="app*4026*20171220*" /stext=" 22:.+((SYSTEM_STATE.+slice.+state.+changed )|(ment ac)|(multiple cpu faults)|(system.+state.+changed )|(\[timeout)|(PRM\|1\|D)|(kpr)|(kdp)|(train st.+moving)|(\|gpps)|(penalty))"</v>
      </c>
      <c r="AG106" s="244" t="str">
        <f t="shared" si="45"/>
        <v>EC</v>
      </c>
      <c r="AH106" s="236" t="str">
        <f t="shared" si="48"/>
        <v>"%USERPROFILE%\Documents\GitHub\eaglep3\Utilities\RefineRTDCRunTimes.py" --tripid 193-20 --locoid 4026 --swversion DE.1.0.9.0 --startMP 204:515 --initTime 2017-12-20T15:07:25 --startdatetime 2017-12-20T15:15:14 --delay 48 --endMP 204:233312 --enddatetime 2017-12-20T15:50:31 --enforcementcount 0 &gt;&gt;%USERPROFILE%\Documents\GitHub\eaglep3-reporting\EC\2017-12-20-refined-times.txt</v>
      </c>
      <c r="AI106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{"issue":{"subject":"","project_id":79,"tracker_id":40,"status_id":1,"priority_id":2,"assigned_to_id":338,"start_date":"2017-12-20","description":"","custom_fields":[{"id":1,"name":"Subdivision","value":"EC"},{"id":4,"name":"Milepost","value":"23.3312"},{"id":17,"name":"Train ID","value":"193-20"},{"id":16,"name":"Locomotive ID","value":"4026"},{"id":130,"name":"Impact","value":""},{"id":150,"name":"Time of Event (Mountain Time)","value":"15:50:31"},{"id":151,"name":"Denver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50"/>
        <v>start /low /b %USERPROFILE%\Documents\GitHub\eaglep3\Utilities\DownloadLogsFromS3.py --loco 4026 --day 2017-12-20</v>
      </c>
      <c r="AN106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22:50:31"},{"id":29,"name":"Sharepoint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52"/>
        <v>https://d0f6bd738d7f1b3e5a7ca70fe4ff75f0.us-east-1.aws.found.io/app/kibana#/discover/Steve-Slow-Train-Analysis-(2080s-and-2083s)?_g=(refreshInterval:(display:Off,pause:!f,section:0,value:0),time:(from:'2017-12-20T14:07:25-0700',mode:absolute,to:'2017-12-20T16:50:31-0700'))&amp;_a=(columns:!('Message%20ID',Summary),filters:!(),index:'emp_*',interval:auto,query:(query_string:(analyze_wildcard:!t,query:'%22rtdc.l.rtdc.4026%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29" t="s">
        <v>821</v>
      </c>
      <c r="B107" s="225">
        <v>4025</v>
      </c>
      <c r="C107" s="227" t="s">
        <v>192</v>
      </c>
      <c r="D107" s="227" t="s">
        <v>507</v>
      </c>
      <c r="E107" s="226">
        <v>43089.665266203701</v>
      </c>
      <c r="F107" s="226">
        <v>43089.675173611111</v>
      </c>
      <c r="G107" s="225">
        <v>66</v>
      </c>
      <c r="H107" s="227" t="s">
        <v>541</v>
      </c>
      <c r="I107" s="226">
        <v>43089.702210648145</v>
      </c>
      <c r="J107" s="225">
        <v>0</v>
      </c>
      <c r="K107" s="237" t="str">
        <f t="shared" si="35"/>
        <v>4025/4026</v>
      </c>
      <c r="L107" s="245" t="str">
        <f>VLOOKUP(A107,'Trips&amp;Operators'!$C$1:$G$99911,5,FALSE)</f>
        <v>GUZMAN DANNY</v>
      </c>
      <c r="M107" s="224">
        <f t="shared" si="36"/>
        <v>2.7037037034460809E-2</v>
      </c>
      <c r="N107" s="225">
        <f t="shared" si="37"/>
        <v>38.933333329623565</v>
      </c>
      <c r="O107" s="225"/>
      <c r="P107" s="225"/>
      <c r="Q107" s="228"/>
      <c r="R107" s="242"/>
      <c r="S107" s="249">
        <f t="shared" si="38"/>
        <v>1</v>
      </c>
      <c r="T107" s="242" t="str">
        <f t="shared" si="39"/>
        <v>Southbound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40"/>
        <v>https://d0f6bd738d7f1b3e5a7ca70fe4ff75f0.us-east-1.aws.found.io/app/kibana#/discover/Steve-Slow-Train-Analysis-(2080s-and-2083s)?_g=(refreshInterval:(display:Off,pause:!f,section:0,value:0),time:(from:'2017-12-20T14:57:59-0700',mode:absolute,to:'2017-12-20T17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7" s="247" t="str">
        <f>IF(AA107&lt;VLOOKUP(AG107,Variables!$AC$3:$AD$8,2,FALSE),"Y","N")</f>
        <v>N</v>
      </c>
      <c r="X107" s="247">
        <f t="shared" si="53"/>
        <v>1</v>
      </c>
      <c r="Y107" s="247">
        <f t="shared" si="46"/>
        <v>23.2959</v>
      </c>
      <c r="Z107" s="247">
        <f t="shared" si="47"/>
        <v>2.3099999999999999E-2</v>
      </c>
      <c r="AA107" s="247">
        <f t="shared" si="41"/>
        <v>23.2728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42"/>
        <v>194</v>
      </c>
      <c r="AE107" s="235" t="str">
        <f t="shared" si="43"/>
        <v>aws s3 cp s3://rtdc.mdm.uploadarchive.raw/RTDC4025/ "%USERPROFILE%\AppData\Local\Temp\OnboardLogs"\RTDC4025\2017-12-20 --exclude "*" --recursive --include "*20171220*" &amp; "%USERPROFILE%\Documents\GitHub\mrs-test-scripts\Headless Mode &amp; Sideloading\WalkAndUnGZ.bat" "%USERPROFILE%\AppData\Local\Temp\OnboardLogs"\RTDC4025\2017-12-20 &amp; aws s3 cp s3://rtdc.mdm.uploadarchive.raw/RTDC4025/ "%USERPROFILE%\AppData\Local\Temp\OnboardLogs"\RTDC4025\2017-12-21 --exclude "*" --recursive --include "*20171221*" &amp; "%USERPROFILE%\Documents\GitHub\mrs-test-scripts\Headless Mode &amp; Sideloading\WalkAndUnGZ.bat" "%USERPROFILE%\AppData\Local\Temp\OnboardLogs"\RTDC4025\2017-12-21</v>
      </c>
      <c r="AF107" s="234" t="str">
        <f t="shared" si="44"/>
        <v>"C:\Program Files (x86)\AstroGrep\AstroGrep.exe" /e /r /s /spath="%USERPROFILE%\AppData\Local\Temp\OnboardLogs" /stypes="app*4025*20171220*" /stext=" 23:.+((SYSTEM_STATE.+slice.+state.+changed )|(ment ac)|(multiple cpu faults)|(system.+state.+changed )|(\[timeout)|(PRM\|1\|D)|(kpr)|(kdp)|(train st.+moving)|(\|gpps)|(penalty))"</v>
      </c>
      <c r="AG107" s="244" t="str">
        <f t="shared" si="45"/>
        <v>EC</v>
      </c>
      <c r="AH107" s="236" t="str">
        <f t="shared" si="48"/>
        <v>"%USERPROFILE%\Documents\GitHub\eaglep3\Utilities\RefineRTDCRunTimes.py" --tripid 194-20 --locoid 4025 --swversion DE.1.0.9.0 --startMP 204:232959 --initTime 2017-12-20T15:57:59 --startdatetime 2017-12-20T16:12:15 --delay 66 --endMP 204:231 --enddatetime 2017-12-20T16:51:11 --enforcementcount 0 &gt;&gt;%USERPROFILE%\Documents\GitHub\eaglep3-reporting\EC\2017-12-20-refined-times.txt</v>
      </c>
      <c r="AI107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{"issue":{"subject":"","project_id":79,"tracker_id":40,"status_id":1,"priority_id":2,"assigned_to_id":338,"start_date":"2017-12-20","description":"","custom_fields":[{"id":1,"name":"Subdivision","value":"EC"},{"id":4,"name":"Milepost","value":"0.0231"},{"id":17,"name":"Train ID","value":"194-20"},{"id":16,"name":"Locomotive ID","value":"4025"},{"id":130,"name":"Impact","value":""},{"id":150,"name":"Time of Event (Mountain Time)","value":"16:51:11"},{"id":151,"name":"Denver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50"/>
        <v>start /low /b %USERPROFILE%\Documents\GitHub\eaglep3\Utilities\DownloadLogsFromS3.py --loco 4025 --day 2017-12-20</v>
      </c>
      <c r="AN107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23:51:11"},{"id":29,"name":"Sharepoint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52"/>
        <v>https://d0f6bd738d7f1b3e5a7ca70fe4ff75f0.us-east-1.aws.found.io/app/kibana#/discover/Steve-Slow-Train-Analysis-(2080s-and-2083s)?_g=(refreshInterval:(display:Off,pause:!f,section:0,value:0),time:(from:'2017-12-20T14:57:59-0700',mode:absolute,to:'2017-12-20T17:51:11-0700'))&amp;_a=(columns:!('Message%20ID',Summary),filters:!(),index:'emp_*',interval:auto,query:(query_string:(analyze_wildcard:!t,query:'%22rtdc.l.rtdc.4025%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29" t="s">
        <v>815</v>
      </c>
      <c r="B108" s="225">
        <v>4010</v>
      </c>
      <c r="C108" s="227" t="s">
        <v>192</v>
      </c>
      <c r="D108" s="227" t="s">
        <v>519</v>
      </c>
      <c r="E108" s="226">
        <v>43089.641238425924</v>
      </c>
      <c r="F108" s="226">
        <v>43089.646006944444</v>
      </c>
      <c r="G108" s="225">
        <v>62</v>
      </c>
      <c r="H108" s="227" t="s">
        <v>965</v>
      </c>
      <c r="I108" s="226">
        <v>43089.671493055554</v>
      </c>
      <c r="J108" s="225">
        <v>0</v>
      </c>
      <c r="K108" s="237" t="str">
        <f t="shared" si="35"/>
        <v>4009/4010</v>
      </c>
      <c r="L108" s="245" t="str">
        <f>VLOOKUP(A108,'Trips&amp;Operators'!$C$1:$G$99911,5,FALSE)</f>
        <v>KILLION DAVID</v>
      </c>
      <c r="M108" s="224">
        <f t="shared" si="36"/>
        <v>2.548611110978527E-2</v>
      </c>
      <c r="N108" s="225">
        <f t="shared" si="37"/>
        <v>36.699999998090789</v>
      </c>
      <c r="O108" s="225"/>
      <c r="P108" s="225"/>
      <c r="Q108" s="228"/>
      <c r="R108" s="242"/>
      <c r="S108" s="249">
        <f t="shared" si="38"/>
        <v>1</v>
      </c>
      <c r="T108" s="242" t="str">
        <f t="shared" si="39"/>
        <v>NorthBound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40"/>
        <v>https://d0f6bd738d7f1b3e5a7ca70fe4ff75f0.us-east-1.aws.found.io/app/kibana#/discover/Steve-Slow-Train-Analysis-(2080s-and-2083s)?_g=(refreshInterval:(display:Off,pause:!f,section:0,value:0),time:(from:'2017-12-20T14:23:23-0700',mode:absolute,to:'2017-12-20T17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8" s="247" t="str">
        <f>IF(AA108&lt;VLOOKUP(AG108,Variables!$AC$3:$AD$8,2,FALSE),"Y","N")</f>
        <v>N</v>
      </c>
      <c r="X108" s="247">
        <f t="shared" si="53"/>
        <v>1</v>
      </c>
      <c r="Y108" s="247">
        <f t="shared" si="46"/>
        <v>4.4900000000000002E-2</v>
      </c>
      <c r="Z108" s="247">
        <f t="shared" si="47"/>
        <v>23.33</v>
      </c>
      <c r="AA108" s="247">
        <f t="shared" si="41"/>
        <v>23.2851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42"/>
        <v>195</v>
      </c>
      <c r="AE108" s="235" t="str">
        <f t="shared" si="43"/>
        <v>aws s3 cp s3://rtdc.mdm.uploadarchive.raw/RTDC4010/ "%USERPROFILE%\AppData\Local\Temp\OnboardLogs"\RTDC4010\2017-12-20 --exclude "*" --recursive --include "*20171220*" &amp; "%USERPROFILE%\Documents\GitHub\mrs-test-scripts\Headless Mode &amp; Sideloading\WalkAndUnGZ.bat" "%USERPROFILE%\AppData\Local\Temp\OnboardLogs"\RTDC4010\2017-12-20 &amp; aws s3 cp s3://rtdc.mdm.uploadarchive.raw/RTDC4010/ "%USERPROFILE%\AppData\Local\Temp\OnboardLogs"\RTDC4010\2017-12-21 --exclude "*" --recursive --include "*20171221*" &amp; "%USERPROFILE%\Documents\GitHub\mrs-test-scripts\Headless Mode &amp; Sideloading\WalkAndUnGZ.bat" "%USERPROFILE%\AppData\Local\Temp\OnboardLogs"\RTDC4010\2017-12-21</v>
      </c>
      <c r="AF108" s="234" t="str">
        <f t="shared" si="44"/>
        <v>"C:\Program Files (x86)\AstroGrep\AstroGrep.exe" /e /r /s /spath="%USERPROFILE%\AppData\Local\Temp\OnboardLogs" /stypes="app*4010*20171220*" /stext=" 23:.+((SYSTEM_STATE.+slice.+state.+changed )|(ment ac)|(multiple cpu faults)|(system.+state.+changed )|(\[timeout)|(PRM\|1\|D)|(kpr)|(kdp)|(train st.+moving)|(\|gpps)|(penalty))"</v>
      </c>
      <c r="AG108" s="244" t="str">
        <f t="shared" si="45"/>
        <v>EC</v>
      </c>
      <c r="AH108" s="236" t="str">
        <f t="shared" si="48"/>
        <v>"%USERPROFILE%\Documents\GitHub\eaglep3\Utilities\RefineRTDCRunTimes.py" --tripid 195-20 --locoid 4010 --swversion DE.1.0.9.0 --startMP 204:449 --initTime 2017-12-20T15:23:23 --startdatetime 2017-12-20T15:30:15 --delay 62 --endMP 204:233300 --enddatetime 2017-12-20T16:06:57 --enforcementcount 0 &gt;&gt;%USERPROFILE%\Documents\GitHub\eaglep3-reporting\EC\2017-12-20-refined-times.txt</v>
      </c>
      <c r="AI108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{"issue":{"subject":"","project_id":79,"tracker_id":40,"status_id":1,"priority_id":2,"assigned_to_id":338,"start_date":"2017-12-20","description":"","custom_fields":[{"id":1,"name":"Subdivision","value":"EC"},{"id":4,"name":"Milepost","value":"23.33"},{"id":17,"name":"Train ID","value":"195-20"},{"id":16,"name":"Locomotive ID","value":"4010"},{"id":130,"name":"Impact","value":""},{"id":150,"name":"Time of Event (Mountain Time)","value":"16:06:57"},{"id":151,"name":"Denver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50"/>
        <v>start /low /b %USERPROFILE%\Documents\GitHub\eaglep3\Utilities\DownloadLogsFromS3.py --loco 4010 --day 2017-12-20</v>
      </c>
      <c r="AN108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23:06:57"},{"id":29,"name":"Sharepoint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52"/>
        <v>https://d0f6bd738d7f1b3e5a7ca70fe4ff75f0.us-east-1.aws.found.io/app/kibana#/discover/Steve-Slow-Train-Analysis-(2080s-and-2083s)?_g=(refreshInterval:(display:Off,pause:!f,section:0,value:0),time:(from:'2017-12-20T14:23:23-0700',mode:absolute,to:'2017-12-20T17:06:57-0700'))&amp;_a=(columns:!('Message%20ID',Summary),filters:!(),index:'emp_*',interval:auto,query:(query_string:(analyze_wildcard:!t,query:'%22rtdc.l.rtdc.4010%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29" t="s">
        <v>824</v>
      </c>
      <c r="B109" s="225">
        <v>4009</v>
      </c>
      <c r="C109" s="227" t="s">
        <v>192</v>
      </c>
      <c r="D109" s="227" t="s">
        <v>925</v>
      </c>
      <c r="E109" s="226">
        <v>43089.676736111112</v>
      </c>
      <c r="F109" s="226">
        <v>43089.685613425929</v>
      </c>
      <c r="G109" s="225">
        <v>49</v>
      </c>
      <c r="H109" s="227" t="s">
        <v>966</v>
      </c>
      <c r="I109" s="226">
        <v>43089.713182870371</v>
      </c>
      <c r="J109" s="225">
        <v>0</v>
      </c>
      <c r="K109" s="237" t="str">
        <f t="shared" si="35"/>
        <v>4009/4010</v>
      </c>
      <c r="L109" s="245" t="str">
        <f>VLOOKUP(A109,'Trips&amp;Operators'!$C$1:$G$99911,5,FALSE)</f>
        <v>KILLION DAVID</v>
      </c>
      <c r="M109" s="224">
        <f t="shared" si="36"/>
        <v>2.7569444442633539E-2</v>
      </c>
      <c r="N109" s="225">
        <f t="shared" ref="N109:N140" si="54">24*60*SUM($M109:$M109)</f>
        <v>39.699999997392297</v>
      </c>
      <c r="O109" s="225"/>
      <c r="P109" s="225"/>
      <c r="Q109" s="228"/>
      <c r="R109" s="242"/>
      <c r="S109" s="249">
        <f t="shared" ref="S109:S140" si="55">1/IF(AG109="EC",12,1)*SUM(U109:U109)</f>
        <v>1</v>
      </c>
      <c r="T109" s="242" t="str">
        <f t="shared" si="39"/>
        <v>Southbound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40"/>
        <v>https://d0f6bd738d7f1b3e5a7ca70fe4ff75f0.us-east-1.aws.found.io/app/kibana#/discover/Steve-Slow-Train-Analysis-(2080s-and-2083s)?_g=(refreshInterval:(display:Off,pause:!f,section:0,value:0),time:(from:'2017-12-20T15:14:30-0700',mode:absolute,to:'2017-12-20T18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9" s="247" t="str">
        <f>IF(AA109&lt;VLOOKUP(AG109,Variables!$AC$3:$AD$8,2,FALSE),"Y","N")</f>
        <v>N</v>
      </c>
      <c r="X109" s="247">
        <f t="shared" si="53"/>
        <v>1</v>
      </c>
      <c r="Y109" s="247">
        <f t="shared" si="46"/>
        <v>23.299299999999999</v>
      </c>
      <c r="Z109" s="247">
        <f t="shared" si="47"/>
        <v>1.32E-2</v>
      </c>
      <c r="AA109" s="247">
        <f t="shared" si="41"/>
        <v>23.286099999999998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si="42"/>
        <v>196</v>
      </c>
      <c r="AE109" s="235" t="str">
        <f t="shared" si="43"/>
        <v>aws s3 cp s3://rtdc.mdm.uploadarchive.raw/RTDC4009/ "%USERPROFILE%\AppData\Local\Temp\OnboardLogs"\RTDC4009\2017-12-20 --exclude "*" --recursive --include "*20171220*" &amp; "%USERPROFILE%\Documents\GitHub\mrs-test-scripts\Headless Mode &amp; Sideloading\WalkAndUnGZ.bat" "%USERPROFILE%\AppData\Local\Temp\OnboardLogs"\RTDC4009\2017-12-20 &amp; aws s3 cp s3://rtdc.mdm.uploadarchive.raw/RTDC4009/ "%USERPROFILE%\AppData\Local\Temp\OnboardLogs"\RTDC4009\2017-12-21 --exclude "*" --recursive --include "*20171221*" &amp; "%USERPROFILE%\Documents\GitHub\mrs-test-scripts\Headless Mode &amp; Sideloading\WalkAndUnGZ.bat" "%USERPROFILE%\AppData\Local\Temp\OnboardLogs"\RTDC4009\2017-12-21</v>
      </c>
      <c r="AF109" s="234" t="str">
        <f t="shared" si="44"/>
        <v>"C:\Program Files (x86)\AstroGrep\AstroGrep.exe" /e /r /s /spath="%USERPROFILE%\AppData\Local\Temp\OnboardLogs" /stypes="app*4009*20171221*" /stext=" 00:.+((SYSTEM_STATE.+slice.+state.+changed )|(ment ac)|(multiple cpu faults)|(system.+state.+changed )|(\[timeout)|(PRM\|1\|D)|(kpr)|(kdp)|(train st.+moving)|(\|gpps)|(penalty))"</v>
      </c>
      <c r="AG109" s="244" t="str">
        <f t="shared" si="45"/>
        <v>EC</v>
      </c>
      <c r="AH109" s="236" t="str">
        <f t="shared" si="48"/>
        <v>"%USERPROFILE%\Documents\GitHub\eaglep3\Utilities\RefineRTDCRunTimes.py" --tripid 196-20 --locoid 4009 --swversion DE.1.0.9.0 --startMP 204:232993 --initTime 2017-12-20T16:14:30 --startdatetime 2017-12-20T16:27:17 --delay 49 --endMP 204:132 --enddatetime 2017-12-20T17:06:59 --enforcementcount 0 &gt;&gt;%USERPROFILE%\Documents\GitHub\eaglep3-reporting\EC\2017-12-20-refined-times.txt</v>
      </c>
      <c r="AI109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{"issue":{"subject":"","project_id":79,"tracker_id":40,"status_id":1,"priority_id":2,"assigned_to_id":338,"start_date":"2017-12-20","description":"","custom_fields":[{"id":1,"name":"Subdivision","value":"EC"},{"id":4,"name":"Milepost","value":"0.0132"},{"id":17,"name":"Train ID","value":"196-20"},{"id":16,"name":"Locomotive ID","value":"4009"},{"id":130,"name":"Impact","value":""},{"id":150,"name":"Time of Event (Mountain Time)","value":"17:06:59"},{"id":151,"name":"Denver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50"/>
        <v>start /low /b %USERPROFILE%\Documents\GitHub\eaglep3\Utilities\DownloadLogsFromS3.py --loco 4009 --day 2017-12-20</v>
      </c>
      <c r="AN109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00:06:59"},{"id":29,"name":"Sharepoint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52"/>
        <v>https://d0f6bd738d7f1b3e5a7ca70fe4ff75f0.us-east-1.aws.found.io/app/kibana#/discover/Steve-Slow-Train-Analysis-(2080s-and-2083s)?_g=(refreshInterval:(display:Off,pause:!f,section:0,value:0),time:(from:'2017-12-20T15:14:30-0700',mode:absolute,to:'2017-12-20T18:06:59-0700'))&amp;_a=(columns:!('Message%20ID',Summary),filters:!(),index:'emp_*',interval:auto,query:(query_string:(analyze_wildcard:!t,query:'%22rtdc.l.rtdc.4009%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29" t="s">
        <v>818</v>
      </c>
      <c r="B110" s="225">
        <v>4050</v>
      </c>
      <c r="C110" s="227" t="s">
        <v>192</v>
      </c>
      <c r="D110" s="227" t="s">
        <v>501</v>
      </c>
      <c r="E110" s="226">
        <v>43089.651562500003</v>
      </c>
      <c r="F110" s="226">
        <v>43089.656412037039</v>
      </c>
      <c r="G110" s="225">
        <v>54</v>
      </c>
      <c r="H110" s="227" t="s">
        <v>502</v>
      </c>
      <c r="I110" s="226">
        <v>43089.680810185186</v>
      </c>
      <c r="J110" s="225">
        <v>0</v>
      </c>
      <c r="K110" s="237" t="str">
        <f t="shared" si="35"/>
        <v>4049/4050</v>
      </c>
      <c r="L110" s="245" t="str">
        <f>VLOOKUP(A110,'Trips&amp;Operators'!$C$1:$G$99911,5,FALSE)</f>
        <v>ROBINSON KADDIBA</v>
      </c>
      <c r="M110" s="224">
        <f t="shared" si="36"/>
        <v>2.4398148147156462E-2</v>
      </c>
      <c r="N110" s="225">
        <f t="shared" si="54"/>
        <v>35.133333331905305</v>
      </c>
      <c r="O110" s="225"/>
      <c r="P110" s="225"/>
      <c r="Q110" s="228"/>
      <c r="R110" s="242"/>
      <c r="S110" s="249">
        <f t="shared" si="55"/>
        <v>1</v>
      </c>
      <c r="T110" s="242" t="str">
        <f t="shared" si="39"/>
        <v>NorthBound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40"/>
        <v>https://d0f6bd738d7f1b3e5a7ca70fe4ff75f0.us-east-1.aws.found.io/app/kibana#/discover/Steve-Slow-Train-Analysis-(2080s-and-2083s)?_g=(refreshInterval:(display:Off,pause:!f,section:0,value:0),time:(from:'2017-12-20T14:38:15-0700',mode:absolute,to:'2017-12-20T17:20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0" s="247" t="str">
        <f>IF(AA110&lt;VLOOKUP(AG110,Variables!$AC$3:$AD$8,2,FALSE),"Y","N")</f>
        <v>N</v>
      </c>
      <c r="X110" s="247">
        <f t="shared" si="53"/>
        <v>1</v>
      </c>
      <c r="Y110" s="247">
        <f t="shared" si="46"/>
        <v>5.04E-2</v>
      </c>
      <c r="Z110" s="247">
        <f t="shared" si="47"/>
        <v>23.329499999999999</v>
      </c>
      <c r="AA110" s="247">
        <f t="shared" si="41"/>
        <v>23.2791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42"/>
        <v>197</v>
      </c>
      <c r="AE110" s="235" t="str">
        <f t="shared" si="43"/>
        <v>aws s3 cp s3://rtdc.mdm.uploadarchive.raw/RTDC4050/ "%USERPROFILE%\AppData\Local\Temp\OnboardLogs"\RTDC4050\2017-12-20 --exclude "*" --recursive --include "*20171220*" &amp; "%USERPROFILE%\Documents\GitHub\mrs-test-scripts\Headless Mode &amp; Sideloading\WalkAndUnGZ.bat" "%USERPROFILE%\AppData\Local\Temp\OnboardLogs"\RTDC4050\2017-12-20 &amp; aws s3 cp s3://rtdc.mdm.uploadarchive.raw/RTDC4050/ "%USERPROFILE%\AppData\Local\Temp\OnboardLogs"\RTDC4050\2017-12-21 --exclude "*" --recursive --include "*20171221*" &amp; "%USERPROFILE%\Documents\GitHub\mrs-test-scripts\Headless Mode &amp; Sideloading\WalkAndUnGZ.bat" "%USERPROFILE%\AppData\Local\Temp\OnboardLogs"\RTDC4050\2017-12-21</v>
      </c>
      <c r="AF110" s="234" t="str">
        <f t="shared" si="44"/>
        <v>"C:\Program Files (x86)\AstroGrep\AstroGrep.exe" /e /r /s /spath="%USERPROFILE%\AppData\Local\Temp\OnboardLogs" /stypes="app*4050*20171220*" /stext=" 23:.+((SYSTEM_STATE.+slice.+state.+changed )|(ment ac)|(multiple cpu faults)|(system.+state.+changed )|(\[timeout)|(PRM\|1\|D)|(kpr)|(kdp)|(train st.+moving)|(\|gpps)|(penalty))"</v>
      </c>
      <c r="AG110" s="244" t="str">
        <f t="shared" si="45"/>
        <v>EC</v>
      </c>
      <c r="AH110" s="236" t="str">
        <f t="shared" si="48"/>
        <v>"%USERPROFILE%\Documents\GitHub\eaglep3\Utilities\RefineRTDCRunTimes.py" --tripid 197-20 --locoid 4050 --swversion DE.1.0.9.0 --startMP 204:504 --initTime 2017-12-20T15:38:15 --startdatetime 2017-12-20T15:45:14 --delay 54 --endMP 204:233295 --enddatetime 2017-12-20T16:20:22 --enforcementcount 0 &gt;&gt;%USERPROFILE%\Documents\GitHub\eaglep3-reporting\EC\2017-12-20-refined-times.txt</v>
      </c>
      <c r="AI110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{"issue":{"subject":"","project_id":79,"tracker_id":40,"status_id":1,"priority_id":2,"assigned_to_id":338,"start_date":"2017-12-20","description":"","custom_fields":[{"id":1,"name":"Subdivision","value":"EC"},{"id":4,"name":"Milepost","value":"23.3295"},{"id":17,"name":"Train ID","value":"197-20"},{"id":16,"name":"Locomotive ID","value":"4050"},{"id":130,"name":"Impact","value":""},{"id":150,"name":"Time of Event (Mountain Time)","value":"16:20:22"},{"id":151,"name":"Denver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50"/>
        <v>start /low /b %USERPROFILE%\Documents\GitHub\eaglep3\Utilities\DownloadLogsFromS3.py --loco 4050 --day 2017-12-20</v>
      </c>
      <c r="AN110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23:20:22"},{"id":29,"name":"Sharepoint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52"/>
        <v>https://d0f6bd738d7f1b3e5a7ca70fe4ff75f0.us-east-1.aws.found.io/app/kibana#/discover/Steve-Slow-Train-Analysis-(2080s-and-2083s)?_g=(refreshInterval:(display:Off,pause:!f,section:0,value:0),time:(from:'2017-12-20T14:38:15-0700',mode:absolute,to:'2017-12-20T17:20:22-0700'))&amp;_a=(columns:!('Message%20ID',Summary),filters:!(),index:'emp_*',interval:auto,query:(query_string:(analyze_wildcard:!t,query:'%22rtdc.l.rtdc.4050%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9" t="s">
        <v>829</v>
      </c>
      <c r="B111" s="225">
        <v>4049</v>
      </c>
      <c r="C111" s="227" t="s">
        <v>192</v>
      </c>
      <c r="D111" s="227" t="s">
        <v>553</v>
      </c>
      <c r="E111" s="226">
        <v>43089.692106481481</v>
      </c>
      <c r="F111" s="226">
        <v>43089.69599537037</v>
      </c>
      <c r="G111" s="225">
        <v>67</v>
      </c>
      <c r="H111" s="227" t="s">
        <v>595</v>
      </c>
      <c r="I111" s="226">
        <v>43089.722627314812</v>
      </c>
      <c r="J111" s="225">
        <v>0</v>
      </c>
      <c r="K111" s="237" t="str">
        <f t="shared" si="35"/>
        <v>4049/4050</v>
      </c>
      <c r="L111" s="245" t="str">
        <f>VLOOKUP(A111,'Trips&amp;Operators'!$C$1:$G$99911,5,FALSE)</f>
        <v>ROBINSON KADDIBA</v>
      </c>
      <c r="M111" s="224">
        <f t="shared" si="36"/>
        <v>2.6631944441760425E-2</v>
      </c>
      <c r="N111" s="225">
        <f t="shared" si="54"/>
        <v>38.349999996135011</v>
      </c>
      <c r="O111" s="225"/>
      <c r="P111" s="225"/>
      <c r="Q111" s="228"/>
      <c r="R111" s="242"/>
      <c r="S111" s="249">
        <f t="shared" si="55"/>
        <v>1</v>
      </c>
      <c r="T111" s="242" t="str">
        <f t="shared" si="39"/>
        <v>Southbound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40"/>
        <v>https://d0f6bd738d7f1b3e5a7ca70fe4ff75f0.us-east-1.aws.found.io/app/kibana#/discover/Steve-Slow-Train-Analysis-(2080s-and-2083s)?_g=(refreshInterval:(display:Off,pause:!f,section:0,value:0),time:(from:'2017-12-20T15:36:38-0700',mode:absolute,to:'2017-12-20T18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1" s="247" t="str">
        <f>IF(AA111&lt;VLOOKUP(AG111,Variables!$AC$3:$AD$8,2,FALSE),"Y","N")</f>
        <v>N</v>
      </c>
      <c r="X111" s="247">
        <f t="shared" si="53"/>
        <v>1</v>
      </c>
      <c r="Y111" s="247">
        <f t="shared" ref="Y111:Y142" si="56">RIGHT(D111,LEN(D111)-4)/10000</f>
        <v>23.296900000000001</v>
      </c>
      <c r="Z111" s="247">
        <f t="shared" ref="Z111:Z142" si="57">RIGHT(H111,LEN(H111)-4)/10000</f>
        <v>2.1100000000000001E-2</v>
      </c>
      <c r="AA111" s="247">
        <f t="shared" si="41"/>
        <v>23.2758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42"/>
        <v>198</v>
      </c>
      <c r="AE111" s="235" t="str">
        <f t="shared" si="43"/>
        <v>aws s3 cp s3://rtdc.mdm.uploadarchive.raw/RTDC4049/ "%USERPROFILE%\AppData\Local\Temp\OnboardLogs"\RTDC4049\2017-12-20 --exclude "*" --recursive --include "*20171220*" &amp; "%USERPROFILE%\Documents\GitHub\mrs-test-scripts\Headless Mode &amp; Sideloading\WalkAndUnGZ.bat" "%USERPROFILE%\AppData\Local\Temp\OnboardLogs"\RTDC4049\2017-12-20 &amp; aws s3 cp s3://rtdc.mdm.uploadarchive.raw/RTDC4049/ "%USERPROFILE%\AppData\Local\Temp\OnboardLogs"\RTDC4049\2017-12-21 --exclude "*" --recursive --include "*20171221*" &amp; "%USERPROFILE%\Documents\GitHub\mrs-test-scripts\Headless Mode &amp; Sideloading\WalkAndUnGZ.bat" "%USERPROFILE%\AppData\Local\Temp\OnboardLogs"\RTDC4049\2017-12-21</v>
      </c>
      <c r="AF111" s="234" t="str">
        <f t="shared" si="44"/>
        <v>"C:\Program Files (x86)\AstroGrep\AstroGrep.exe" /e /r /s /spath="%USERPROFILE%\AppData\Local\Temp\OnboardLogs" /stypes="app*4049*20171221*" /stext=" 00:.+((SYSTEM_STATE.+slice.+state.+changed )|(ment ac)|(multiple cpu faults)|(system.+state.+changed )|(\[timeout)|(PRM\|1\|D)|(kpr)|(kdp)|(train st.+moving)|(\|gpps)|(penalty))"</v>
      </c>
      <c r="AG111" s="244" t="str">
        <f t="shared" si="45"/>
        <v>EC</v>
      </c>
      <c r="AH111" s="236" t="str">
        <f t="shared" si="48"/>
        <v>"%USERPROFILE%\Documents\GitHub\eaglep3\Utilities\RefineRTDCRunTimes.py" --tripid 198-20 --locoid 4049 --swversion DE.1.0.9.0 --startMP 204:232969 --initTime 2017-12-20T16:36:38 --startdatetime 2017-12-20T16:42:14 --delay 67 --endMP 204:211 --enddatetime 2017-12-20T17:20:35 --enforcementcount 0 &gt;&gt;%USERPROFILE%\Documents\GitHub\eaglep3-reporting\EC\2017-12-20-refined-times.txt</v>
      </c>
      <c r="AI111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{"issue":{"subject":"","project_id":79,"tracker_id":40,"status_id":1,"priority_id":2,"assigned_to_id":338,"start_date":"2017-12-20","description":"","custom_fields":[{"id":1,"name":"Subdivision","value":"EC"},{"id":4,"name":"Milepost","value":"0.0211"},{"id":17,"name":"Train ID","value":"198-20"},{"id":16,"name":"Locomotive ID","value":"4049"},{"id":130,"name":"Impact","value":""},{"id":150,"name":"Time of Event (Mountain Time)","value":"17:20:35"},{"id":151,"name":"Denver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50"/>
        <v>start /low /b %USERPROFILE%\Documents\GitHub\eaglep3\Utilities\DownloadLogsFromS3.py --loco 4049 --day 2017-12-20</v>
      </c>
      <c r="AN111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00:20:35"},{"id":29,"name":"Sharepoint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52"/>
        <v>https://d0f6bd738d7f1b3e5a7ca70fe4ff75f0.us-east-1.aws.found.io/app/kibana#/discover/Steve-Slow-Train-Analysis-(2080s-and-2083s)?_g=(refreshInterval:(display:Off,pause:!f,section:0,value:0),time:(from:'2017-12-20T15:36:38-0700',mode:absolute,to:'2017-12-20T18:20:35-0700'))&amp;_a=(columns:!('Message%20ID',Summary),filters:!(),index:'emp_*',interval:auto,query:(query_string:(analyze_wildcard:!t,query:'%22rtdc.l.rtdc.4049%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9" t="s">
        <v>820</v>
      </c>
      <c r="B112" s="225">
        <v>4062</v>
      </c>
      <c r="C112" s="227" t="s">
        <v>192</v>
      </c>
      <c r="D112" s="227" t="s">
        <v>610</v>
      </c>
      <c r="E112" s="226">
        <v>43089.664733796293</v>
      </c>
      <c r="F112" s="226">
        <v>43089.667349537034</v>
      </c>
      <c r="G112" s="225">
        <v>68</v>
      </c>
      <c r="H112" s="227" t="s">
        <v>537</v>
      </c>
      <c r="I112" s="226">
        <v>43089.693807870368</v>
      </c>
      <c r="J112" s="225">
        <v>0</v>
      </c>
      <c r="K112" s="237" t="str">
        <f t="shared" si="35"/>
        <v>4061/4062</v>
      </c>
      <c r="L112" s="245" t="str">
        <f>VLOOKUP(A112,'Trips&amp;Operators'!$C$1:$G$99911,5,FALSE)</f>
        <v>DAVIS MICHAEL</v>
      </c>
      <c r="M112" s="224">
        <f t="shared" si="36"/>
        <v>2.6458333333721384E-2</v>
      </c>
      <c r="N112" s="225">
        <f t="shared" si="54"/>
        <v>38.100000000558794</v>
      </c>
      <c r="O112" s="225"/>
      <c r="P112" s="225"/>
      <c r="Q112" s="228"/>
      <c r="R112" s="242"/>
      <c r="S112" s="249">
        <f t="shared" si="55"/>
        <v>1</v>
      </c>
      <c r="T112" s="242" t="str">
        <f t="shared" si="39"/>
        <v>NorthBound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40"/>
        <v>https://d0f6bd738d7f1b3e5a7ca70fe4ff75f0.us-east-1.aws.found.io/app/kibana#/discover/Steve-Slow-Train-Analysis-(2080s-and-2083s)?_g=(refreshInterval:(display:Off,pause:!f,section:0,value:0),time:(from:'2017-12-20T14:57:13-0700',mode:absolute,to:'2017-12-20T17:39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2" s="247" t="str">
        <f>IF(AA112&lt;VLOOKUP(AG112,Variables!$AC$3:$AD$8,2,FALSE),"Y","N")</f>
        <v>N</v>
      </c>
      <c r="X112" s="247">
        <f t="shared" si="53"/>
        <v>1</v>
      </c>
      <c r="Y112" s="247">
        <f t="shared" si="56"/>
        <v>4.9799999999999997E-2</v>
      </c>
      <c r="Z112" s="247">
        <f t="shared" si="57"/>
        <v>23.331199999999999</v>
      </c>
      <c r="AA112" s="247">
        <f t="shared" si="41"/>
        <v>23.281399999999998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42"/>
        <v>199</v>
      </c>
      <c r="AE112" s="235" t="str">
        <f t="shared" si="43"/>
        <v>aws s3 cp s3://rtdc.mdm.uploadarchive.raw/RTDC4062/ "%USERPROFILE%\AppData\Local\Temp\OnboardLogs"\RTDC4062\2017-12-20 --exclude "*" --recursive --include "*20171220*" &amp; "%USERPROFILE%\Documents\GitHub\mrs-test-scripts\Headless Mode &amp; Sideloading\WalkAndUnGZ.bat" "%USERPROFILE%\AppData\Local\Temp\OnboardLogs"\RTDC4062\2017-12-20 &amp; aws s3 cp s3://rtdc.mdm.uploadarchive.raw/RTDC4062/ "%USERPROFILE%\AppData\Local\Temp\OnboardLogs"\RTDC4062\2017-12-21 --exclude "*" --recursive --include "*20171221*" &amp; "%USERPROFILE%\Documents\GitHub\mrs-test-scripts\Headless Mode &amp; Sideloading\WalkAndUnGZ.bat" "%USERPROFILE%\AppData\Local\Temp\OnboardLogs"\RTDC4062\2017-12-21</v>
      </c>
      <c r="AF112" s="234" t="str">
        <f t="shared" si="44"/>
        <v>"C:\Program Files (x86)\AstroGrep\AstroGrep.exe" /e /r /s /spath="%USERPROFILE%\AppData\Local\Temp\OnboardLogs" /stypes="app*4062*20171220*" /stext=" 23:.+((SYSTEM_STATE.+slice.+state.+changed )|(ment ac)|(multiple cpu faults)|(system.+state.+changed )|(\[timeout)|(PRM\|1\|D)|(kpr)|(kdp)|(train st.+moving)|(\|gpps)|(penalty))"</v>
      </c>
      <c r="AG112" s="244" t="str">
        <f t="shared" si="45"/>
        <v>EC</v>
      </c>
      <c r="AH112" s="236" t="str">
        <f t="shared" si="48"/>
        <v>"%USERPROFILE%\Documents\GitHub\eaglep3\Utilities\RefineRTDCRunTimes.py" --tripid 199-20 --locoid 4062 --swversion DE.1.0.9.0 --startMP 204:498 --initTime 2017-12-20T15:57:13 --startdatetime 2017-12-20T16:00:59 --delay 68 --endMP 204:233312 --enddatetime 2017-12-20T16:39:05 --enforcementcount 0 &gt;&gt;%USERPROFILE%\Documents\GitHub\eaglep3-reporting\EC\2017-12-20-refined-times.txt</v>
      </c>
      <c r="AI112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{"issue":{"subject":"","project_id":79,"tracker_id":40,"status_id":1,"priority_id":2,"assigned_to_id":338,"start_date":"2017-12-20","description":"","custom_fields":[{"id":1,"name":"Subdivision","value":"EC"},{"id":4,"name":"Milepost","value":"23.3312"},{"id":17,"name":"Train ID","value":"199-20"},{"id":16,"name":"Locomotive ID","value":"4062"},{"id":130,"name":"Impact","value":""},{"id":150,"name":"Time of Event (Mountain Time)","value":"16:39:05"},{"id":151,"name":"Denver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50"/>
        <v>start /low /b %USERPROFILE%\Documents\GitHub\eaglep3\Utilities\DownloadLogsFromS3.py --loco 4062 --day 2017-12-20</v>
      </c>
      <c r="AN112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23:39:05"},{"id":29,"name":"Sharepoint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52"/>
        <v>https://d0f6bd738d7f1b3e5a7ca70fe4ff75f0.us-east-1.aws.found.io/app/kibana#/discover/Steve-Slow-Train-Analysis-(2080s-and-2083s)?_g=(refreshInterval:(display:Off,pause:!f,section:0,value:0),time:(from:'2017-12-20T14:57:13-0700',mode:absolute,to:'2017-12-20T17:39:05-0700'))&amp;_a=(columns:!('Message%20ID',Summary),filters:!(),index:'emp_*',interval:auto,query:(query_string:(analyze_wildcard:!t,query:'%22rtdc.l.rtdc.4062%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29" t="s">
        <v>831</v>
      </c>
      <c r="B113" s="225">
        <v>4061</v>
      </c>
      <c r="C113" s="227" t="s">
        <v>192</v>
      </c>
      <c r="D113" s="227" t="s">
        <v>599</v>
      </c>
      <c r="E113" s="226">
        <v>43089.7031712963</v>
      </c>
      <c r="F113" s="226">
        <v>43089.706608796296</v>
      </c>
      <c r="G113" s="225">
        <v>62</v>
      </c>
      <c r="H113" s="227" t="s">
        <v>943</v>
      </c>
      <c r="I113" s="226">
        <v>43089.734976851854</v>
      </c>
      <c r="J113" s="225">
        <v>0</v>
      </c>
      <c r="K113" s="237" t="str">
        <f t="shared" si="35"/>
        <v>4061/4062</v>
      </c>
      <c r="L113" s="245" t="str">
        <f>VLOOKUP(A113,'Trips&amp;Operators'!$C$1:$G$99911,5,FALSE)</f>
        <v>DAVIS MICHAEL</v>
      </c>
      <c r="M113" s="224">
        <f t="shared" si="36"/>
        <v>2.8368055558530614E-2</v>
      </c>
      <c r="N113" s="225">
        <f t="shared" si="54"/>
        <v>40.850000004284084</v>
      </c>
      <c r="O113" s="225"/>
      <c r="P113" s="225"/>
      <c r="Q113" s="228"/>
      <c r="R113" s="242"/>
      <c r="S113" s="249">
        <f t="shared" si="55"/>
        <v>1</v>
      </c>
      <c r="T113" s="242" t="str">
        <f t="shared" si="39"/>
        <v>Southbound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40"/>
        <v>https://d0f6bd738d7f1b3e5a7ca70fe4ff75f0.us-east-1.aws.found.io/app/kibana#/discover/Steve-Slow-Train-Analysis-(2080s-and-2083s)?_g=(refreshInterval:(display:Off,pause:!f,section:0,value:0),time:(from:'2017-12-20T15:52:34-0700',mode:absolute,to:'2017-12-20T18:38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3" s="247" t="str">
        <f>IF(AA113&lt;VLOOKUP(AG113,Variables!$AC$3:$AD$8,2,FALSE),"Y","N")</f>
        <v>N</v>
      </c>
      <c r="X113" s="247">
        <f t="shared" si="53"/>
        <v>1</v>
      </c>
      <c r="Y113" s="247">
        <f t="shared" si="56"/>
        <v>23.299399999999999</v>
      </c>
      <c r="Z113" s="247">
        <f t="shared" si="57"/>
        <v>2.23E-2</v>
      </c>
      <c r="AA113" s="247">
        <f t="shared" si="41"/>
        <v>23.277099999999997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42"/>
        <v>200</v>
      </c>
      <c r="AE113" s="235" t="str">
        <f t="shared" si="43"/>
        <v>aws s3 cp s3://rtdc.mdm.uploadarchive.raw/RTDC4061/ "%USERPROFILE%\AppData\Local\Temp\OnboardLogs"\RTDC4061\2017-12-20 --exclude "*" --recursive --include "*20171220*" &amp; "%USERPROFILE%\Documents\GitHub\mrs-test-scripts\Headless Mode &amp; Sideloading\WalkAndUnGZ.bat" "%USERPROFILE%\AppData\Local\Temp\OnboardLogs"\RTDC4061\2017-12-20 &amp; aws s3 cp s3://rtdc.mdm.uploadarchive.raw/RTDC4061/ "%USERPROFILE%\AppData\Local\Temp\OnboardLogs"\RTDC4061\2017-12-21 --exclude "*" --recursive --include "*20171221*" &amp; "%USERPROFILE%\Documents\GitHub\mrs-test-scripts\Headless Mode &amp; Sideloading\WalkAndUnGZ.bat" "%USERPROFILE%\AppData\Local\Temp\OnboardLogs"\RTDC4061\2017-12-21</v>
      </c>
      <c r="AF113" s="234" t="str">
        <f t="shared" si="44"/>
        <v>"C:\Program Files (x86)\AstroGrep\AstroGrep.exe" /e /r /s /spath="%USERPROFILE%\AppData\Local\Temp\OnboardLogs" /stypes="app*4061*20171221*" /stext=" 00:.+((SYSTEM_STATE.+slice.+state.+changed )|(ment ac)|(multiple cpu faults)|(system.+state.+changed )|(\[timeout)|(PRM\|1\|D)|(kpr)|(kdp)|(train st.+moving)|(\|gpps)|(penalty))"</v>
      </c>
      <c r="AG113" s="244" t="str">
        <f t="shared" si="45"/>
        <v>EC</v>
      </c>
      <c r="AH113" s="236" t="str">
        <f t="shared" si="48"/>
        <v>"%USERPROFILE%\Documents\GitHub\eaglep3\Utilities\RefineRTDCRunTimes.py" --tripid 200-20 --locoid 4061 --swversion DE.1.0.9.0 --startMP 204:232994 --initTime 2017-12-20T16:52:34 --startdatetime 2017-12-20T16:57:31 --delay 62 --endMP 204:223 --enddatetime 2017-12-20T17:38:22 --enforcementcount 0 &gt;&gt;%USERPROFILE%\Documents\GitHub\eaglep3-reporting\EC\2017-12-20-refined-times.txt</v>
      </c>
      <c r="AI113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{"issue":{"subject":"","project_id":79,"tracker_id":40,"status_id":1,"priority_id":2,"assigned_to_id":338,"start_date":"2017-12-20","description":"","custom_fields":[{"id":1,"name":"Subdivision","value":"EC"},{"id":4,"name":"Milepost","value":"0.0223"},{"id":17,"name":"Train ID","value":"200-20"},{"id":16,"name":"Locomotive ID","value":"4061"},{"id":130,"name":"Impact","value":""},{"id":150,"name":"Time of Event (Mountain Time)","value":"17:38:22"},{"id":151,"name":"Denver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50"/>
        <v>start /low /b %USERPROFILE%\Documents\GitHub\eaglep3\Utilities\DownloadLogsFromS3.py --loco 4061 --day 2017-12-20</v>
      </c>
      <c r="AN113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00:38:22"},{"id":29,"name":"Sharepoint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52"/>
        <v>https://d0f6bd738d7f1b3e5a7ca70fe4ff75f0.us-east-1.aws.found.io/app/kibana#/discover/Steve-Slow-Train-Analysis-(2080s-and-2083s)?_g=(refreshInterval:(display:Off,pause:!f,section:0,value:0),time:(from:'2017-12-20T15:52:34-0700',mode:absolute,to:'2017-12-20T18:38:22-0700'))&amp;_a=(columns:!('Message%20ID',Summary),filters:!(),index:'emp_*',interval:auto,query:(query_string:(analyze_wildcard:!t,query:'%22rtdc.l.rtdc.4061%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29" t="s">
        <v>823</v>
      </c>
      <c r="B114" s="225">
        <v>4052</v>
      </c>
      <c r="C114" s="227" t="s">
        <v>192</v>
      </c>
      <c r="D114" s="227" t="s">
        <v>967</v>
      </c>
      <c r="E114" s="226">
        <v>43089.671701388892</v>
      </c>
      <c r="F114" s="226">
        <v>43089.677256944444</v>
      </c>
      <c r="G114" s="225">
        <v>145</v>
      </c>
      <c r="H114" s="227" t="s">
        <v>968</v>
      </c>
      <c r="I114" s="226">
        <v>43089.701435185183</v>
      </c>
      <c r="J114" s="225">
        <v>0</v>
      </c>
      <c r="K114" s="237" t="str">
        <f t="shared" si="35"/>
        <v>4051/4052</v>
      </c>
      <c r="L114" s="245" t="str">
        <f>VLOOKUP(A114,'Trips&amp;Operators'!$C$1:$G$99911,5,FALSE)</f>
        <v>HOLCOMB KAMDEN</v>
      </c>
      <c r="M114" s="224">
        <f t="shared" si="36"/>
        <v>2.417824073927477E-2</v>
      </c>
      <c r="N114" s="225">
        <f t="shared" si="54"/>
        <v>34.816666664555669</v>
      </c>
      <c r="O114" s="225"/>
      <c r="P114" s="225"/>
      <c r="Q114" s="228"/>
      <c r="R114" s="242"/>
      <c r="S114" s="249">
        <f t="shared" si="55"/>
        <v>1</v>
      </c>
      <c r="T114" s="242" t="str">
        <f t="shared" si="39"/>
        <v>NorthBound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40"/>
        <v>https://d0f6bd738d7f1b3e5a7ca70fe4ff75f0.us-east-1.aws.found.io/app/kibana#/discover/Steve-Slow-Train-Analysis-(2080s-and-2083s)?_g=(refreshInterval:(display:Off,pause:!f,section:0,value:0),time:(from:'2017-12-20T15:07:15-0700',mode:absolute,to:'2017-12-20T17:50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4" s="247" t="str">
        <f>IF(AA114&lt;VLOOKUP(AG114,Variables!$AC$3:$AD$8,2,FALSE),"Y","N")</f>
        <v>N</v>
      </c>
      <c r="X114" s="247">
        <f t="shared" ref="X114:X145" si="58">VALUE(LEFT(AD114,4))-VALUE(LEFT(AD113,4))</f>
        <v>1</v>
      </c>
      <c r="Y114" s="247">
        <f t="shared" si="56"/>
        <v>4.6600000000000003E-2</v>
      </c>
      <c r="Z114" s="247">
        <f t="shared" si="57"/>
        <v>23.325099999999999</v>
      </c>
      <c r="AA114" s="247">
        <f t="shared" si="41"/>
        <v>23.278499999999998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42"/>
        <v>201</v>
      </c>
      <c r="AE114" s="235" t="str">
        <f t="shared" si="43"/>
        <v>aws s3 cp s3://rtdc.mdm.uploadarchive.raw/RTDC4052/ "%USERPROFILE%\AppData\Local\Temp\OnboardLogs"\RTDC4052\2017-12-20 --exclude "*" --recursive --include "*20171220*" &amp; "%USERPROFILE%\Documents\GitHub\mrs-test-scripts\Headless Mode &amp; Sideloading\WalkAndUnGZ.bat" "%USERPROFILE%\AppData\Local\Temp\OnboardLogs"\RTDC4052\2017-12-20 &amp; aws s3 cp s3://rtdc.mdm.uploadarchive.raw/RTDC4052/ "%USERPROFILE%\AppData\Local\Temp\OnboardLogs"\RTDC4052\2017-12-21 --exclude "*" --recursive --include "*20171221*" &amp; "%USERPROFILE%\Documents\GitHub\mrs-test-scripts\Headless Mode &amp; Sideloading\WalkAndUnGZ.bat" "%USERPROFILE%\AppData\Local\Temp\OnboardLogs"\RTDC4052\2017-12-21</v>
      </c>
      <c r="AF114" s="234" t="str">
        <f t="shared" si="44"/>
        <v>"C:\Program Files (x86)\AstroGrep\AstroGrep.exe" /e /r /s /spath="%USERPROFILE%\AppData\Local\Temp\OnboardLogs" /stypes="app*4052*20171220*" /stext=" 23:.+((SYSTEM_STATE.+slice.+state.+changed )|(ment ac)|(multiple cpu faults)|(system.+state.+changed )|(\[timeout)|(PRM\|1\|D)|(kpr)|(kdp)|(train st.+moving)|(\|gpps)|(penalty))"</v>
      </c>
      <c r="AG114" s="244" t="str">
        <f t="shared" si="45"/>
        <v>EC</v>
      </c>
      <c r="AH114" s="236" t="str">
        <f t="shared" si="48"/>
        <v>"%USERPROFILE%\Documents\GitHub\eaglep3\Utilities\RefineRTDCRunTimes.py" --tripid 201-20 --locoid 4052 --swversion DE.1.0.9.0 --startMP 204:466 --initTime 2017-12-20T16:07:15 --startdatetime 2017-12-20T16:15:15 --delay 145 --endMP 204:233251 --enddatetime 2017-12-20T16:50:04 --enforcementcount 0 &gt;&gt;%USERPROFILE%\Documents\GitHub\eaglep3-reporting\EC\2017-12-20-refined-times.txt</v>
      </c>
      <c r="AI114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{"issue":{"subject":"","project_id":79,"tracker_id":40,"status_id":1,"priority_id":2,"assigned_to_id":338,"start_date":"2017-12-20","description":"","custom_fields":[{"id":1,"name":"Subdivision","value":"EC"},{"id":4,"name":"Milepost","value":"23.3251"},{"id":17,"name":"Train ID","value":"201-20"},{"id":16,"name":"Locomotive ID","value":"4052"},{"id":130,"name":"Impact","value":""},{"id":150,"name":"Time of Event (Mountain Time)","value":"16:50:04"},{"id":151,"name":"Denver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50"/>
        <v>start /low /b %USERPROFILE%\Documents\GitHub\eaglep3\Utilities\DownloadLogsFromS3.py --loco 4052 --day 2017-12-20</v>
      </c>
      <c r="AN114" s="241" t="str">
        <f t="shared" si="51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23:50:04"},{"id":29,"name":"Sharepoint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52"/>
        <v>https://d0f6bd738d7f1b3e5a7ca70fe4ff75f0.us-east-1.aws.found.io/app/kibana#/discover/Steve-Slow-Train-Analysis-(2080s-and-2083s)?_g=(refreshInterval:(display:Off,pause:!f,section:0,value:0),time:(from:'2017-12-20T15:07:15-0700',mode:absolute,to:'2017-12-20T17:50:04-0700'))&amp;_a=(columns:!('Message%20ID',Summary),filters:!(),index:'emp_*',interval:auto,query:(query_string:(analyze_wildcard:!t,query:'%22rtdc.l.rtdc.4052%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23" customFormat="1" x14ac:dyDescent="0.25">
      <c r="A115" s="229" t="s">
        <v>835</v>
      </c>
      <c r="B115" s="225">
        <v>4051</v>
      </c>
      <c r="C115" s="227" t="s">
        <v>192</v>
      </c>
      <c r="D115" s="227" t="s">
        <v>615</v>
      </c>
      <c r="E115" s="226">
        <v>43089.714062500003</v>
      </c>
      <c r="F115" s="226">
        <v>43089.716874999998</v>
      </c>
      <c r="G115" s="225">
        <v>58</v>
      </c>
      <c r="H115" s="227" t="s">
        <v>476</v>
      </c>
      <c r="I115" s="226">
        <v>43089.743877314817</v>
      </c>
      <c r="J115" s="225">
        <v>0</v>
      </c>
      <c r="K115" s="237" t="str">
        <f t="shared" si="35"/>
        <v>4051/4052</v>
      </c>
      <c r="L115" s="245" t="str">
        <f>VLOOKUP(A115,'Trips&amp;Operators'!$C$1:$G$99911,5,FALSE)</f>
        <v>HOLCOMB KAMDEN</v>
      </c>
      <c r="M115" s="224">
        <f t="shared" si="36"/>
        <v>2.7002314818673767E-2</v>
      </c>
      <c r="N115" s="225">
        <f t="shared" si="54"/>
        <v>38.883333338890225</v>
      </c>
      <c r="O115" s="225"/>
      <c r="P115" s="225"/>
      <c r="Q115" s="228"/>
      <c r="R115" s="242"/>
      <c r="S115" s="249">
        <f t="shared" si="55"/>
        <v>1</v>
      </c>
      <c r="T115" s="242" t="str">
        <f t="shared" si="39"/>
        <v>Southbound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40"/>
        <v>https://d0f6bd738d7f1b3e5a7ca70fe4ff75f0.us-east-1.aws.found.io/app/kibana#/discover/Steve-Slow-Train-Analysis-(2080s-and-2083s)?_g=(refreshInterval:(display:Off,pause:!f,section:0,value:0),time:(from:'2017-12-20T16:08:15-0700',mode:absolute,to:'2017-12-20T18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5" s="247" t="str">
        <f>IF(AA115&lt;VLOOKUP(AG115,Variables!$AC$3:$AD$8,2,FALSE),"Y","N")</f>
        <v>N</v>
      </c>
      <c r="X115" s="247">
        <f t="shared" si="58"/>
        <v>1</v>
      </c>
      <c r="Y115" s="247">
        <f t="shared" si="56"/>
        <v>23.292300000000001</v>
      </c>
      <c r="Z115" s="247">
        <f t="shared" si="57"/>
        <v>1.9099999999999999E-2</v>
      </c>
      <c r="AA115" s="247">
        <f t="shared" si="41"/>
        <v>23.273199999999999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42"/>
        <v>202</v>
      </c>
      <c r="AE115" s="235" t="str">
        <f t="shared" si="43"/>
        <v>aws s3 cp s3://rtdc.mdm.uploadarchive.raw/RTDC4051/ "%USERPROFILE%\AppData\Local\Temp\OnboardLogs"\RTDC4051\2017-12-20 --exclude "*" --recursive --include "*20171220*" &amp; "%USERPROFILE%\Documents\GitHub\mrs-test-scripts\Headless Mode &amp; Sideloading\WalkAndUnGZ.bat" "%USERPROFILE%\AppData\Local\Temp\OnboardLogs"\RTDC4051\2017-12-20 &amp; aws s3 cp s3://rtdc.mdm.uploadarchive.raw/RTDC4051/ "%USERPROFILE%\AppData\Local\Temp\OnboardLogs"\RTDC4051\2017-12-21 --exclude "*" --recursive --include "*20171221*" &amp; "%USERPROFILE%\Documents\GitHub\mrs-test-scripts\Headless Mode &amp; Sideloading\WalkAndUnGZ.bat" "%USERPROFILE%\AppData\Local\Temp\OnboardLogs"\RTDC4051\2017-12-21</v>
      </c>
      <c r="AF115" s="234" t="str">
        <f t="shared" si="44"/>
        <v>"C:\Program Files (x86)\AstroGrep\AstroGrep.exe" /e /r /s /spath="%USERPROFILE%\AppData\Local\Temp\OnboardLogs" /stypes="app*4051*20171221*" /stext=" 00:.+((SYSTEM_STATE.+slice.+state.+changed )|(ment ac)|(multiple cpu faults)|(system.+state.+changed )|(\[timeout)|(PRM\|1\|D)|(kpr)|(kdp)|(train st.+moving)|(\|gpps)|(penalty))"</v>
      </c>
      <c r="AG115" s="244" t="str">
        <f t="shared" si="45"/>
        <v>EC</v>
      </c>
      <c r="AH115" s="236" t="str">
        <f t="shared" si="48"/>
        <v>"%USERPROFILE%\Documents\GitHub\eaglep3\Utilities\RefineRTDCRunTimes.py" --tripid 202-20 --locoid 4051 --swversion DE.1.0.9.0 --startMP 204:232923 --initTime 2017-12-20T17:08:15 --startdatetime 2017-12-20T17:12:18 --delay 58 --endMP 204:191 --enddatetime 2017-12-20T17:51:11 --enforcementcount 0 &gt;&gt;%USERPROFILE%\Documents\GitHub\eaglep3-reporting\EC\2017-12-20-refined-times.txt</v>
      </c>
      <c r="AI115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{"issue":{"subject":"","project_id":79,"tracker_id":40,"status_id":1,"priority_id":2,"assigned_to_id":338,"start_date":"2017-12-20","description":"","custom_fields":[{"id":1,"name":"Subdivision","value":"EC"},{"id":4,"name":"Milepost","value":"0.0191"},{"id":17,"name":"Train ID","value":"202-20"},{"id":16,"name":"Locomotive ID","value":"4051"},{"id":130,"name":"Impact","value":""},{"id":150,"name":"Time of Event (Mountain Time)","value":"17:51:11"},{"id":151,"name":"Denver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231"/>
      <c r="AL115" s="231"/>
      <c r="AM115" s="240" t="str">
        <f t="shared" si="50"/>
        <v>start /low /b %USERPROFILE%\Documents\GitHub\eaglep3\Utilities\DownloadLogsFromS3.py --loco 4051 --day 2017-12-20</v>
      </c>
      <c r="AN115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00:51:11"},{"id":29,"name":"Sharepoint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52"/>
        <v>https://d0f6bd738d7f1b3e5a7ca70fe4ff75f0.us-east-1.aws.found.io/app/kibana#/discover/Steve-Slow-Train-Analysis-(2080s-and-2083s)?_g=(refreshInterval:(display:Off,pause:!f,section:0,value:0),time:(from:'2017-12-20T16:08:15-0700',mode:absolute,to:'2017-12-20T18:51:11-0700'))&amp;_a=(columns:!('Message%20ID',Summary),filters:!(),index:'emp_*',interval:auto,query:(query_string:(analyze_wildcard:!t,query:'%22rtdc.l.rtdc.4051%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3" customFormat="1" x14ac:dyDescent="0.25">
      <c r="A116" s="229" t="s">
        <v>825</v>
      </c>
      <c r="B116" s="225">
        <v>4044</v>
      </c>
      <c r="C116" s="227" t="s">
        <v>192</v>
      </c>
      <c r="D116" s="227" t="s">
        <v>969</v>
      </c>
      <c r="E116" s="226">
        <v>43089.681041666663</v>
      </c>
      <c r="F116" s="226">
        <v>43089.687673611108</v>
      </c>
      <c r="G116" s="225">
        <v>172</v>
      </c>
      <c r="H116" s="227" t="s">
        <v>970</v>
      </c>
      <c r="I116" s="226">
        <v>43089.712916666664</v>
      </c>
      <c r="J116" s="225">
        <v>0</v>
      </c>
      <c r="K116" s="237" t="str">
        <f t="shared" si="35"/>
        <v>4043/4044</v>
      </c>
      <c r="L116" s="245" t="str">
        <f>VLOOKUP(A116,'Trips&amp;Operators'!$C$1:$G$99911,5,FALSE)</f>
        <v>NEWELL JAMES</v>
      </c>
      <c r="M116" s="224">
        <f t="shared" si="36"/>
        <v>2.5243055555620231E-2</v>
      </c>
      <c r="N116" s="225">
        <f t="shared" si="54"/>
        <v>36.350000000093132</v>
      </c>
      <c r="O116" s="225"/>
      <c r="P116" s="225"/>
      <c r="Q116" s="228"/>
      <c r="R116" s="242"/>
      <c r="S116" s="249">
        <f t="shared" si="55"/>
        <v>1</v>
      </c>
      <c r="T116" s="242" t="str">
        <f t="shared" si="39"/>
        <v>NorthBound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40"/>
        <v>https://d0f6bd738d7f1b3e5a7ca70fe4ff75f0.us-east-1.aws.found.io/app/kibana#/discover/Steve-Slow-Train-Analysis-(2080s-and-2083s)?_g=(refreshInterval:(display:Off,pause:!f,section:0,value:0),time:(from:'2017-12-20T15:20:42-0700',mode:absolute,to:'2017-12-20T18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6" s="247" t="str">
        <f>IF(AA116&lt;VLOOKUP(AG116,Variables!$AC$3:$AD$8,2,FALSE),"Y","N")</f>
        <v>N</v>
      </c>
      <c r="X116" s="247">
        <f t="shared" si="58"/>
        <v>1</v>
      </c>
      <c r="Y116" s="247">
        <f t="shared" si="56"/>
        <v>5.8000000000000003E-2</v>
      </c>
      <c r="Z116" s="247">
        <f t="shared" si="57"/>
        <v>23.315100000000001</v>
      </c>
      <c r="AA116" s="247">
        <f t="shared" si="41"/>
        <v>23.257100000000001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42"/>
        <v>203</v>
      </c>
      <c r="AE116" s="235" t="str">
        <f t="shared" si="43"/>
        <v>aws s3 cp s3://rtdc.mdm.uploadarchive.raw/RTDC4044/ "%USERPROFILE%\AppData\Local\Temp\OnboardLogs"\RTDC4044\2017-12-20 --exclude "*" --recursive --include "*20171220*" &amp; "%USERPROFILE%\Documents\GitHub\mrs-test-scripts\Headless Mode &amp; Sideloading\WalkAndUnGZ.bat" "%USERPROFILE%\AppData\Local\Temp\OnboardLogs"\RTDC4044\2017-12-20 &amp; aws s3 cp s3://rtdc.mdm.uploadarchive.raw/RTDC4044/ "%USERPROFILE%\AppData\Local\Temp\OnboardLogs"\RTDC4044\2017-12-21 --exclude "*" --recursive --include "*20171221*" &amp; "%USERPROFILE%\Documents\GitHub\mrs-test-scripts\Headless Mode &amp; Sideloading\WalkAndUnGZ.bat" "%USERPROFILE%\AppData\Local\Temp\OnboardLogs"\RTDC4044\2017-12-21</v>
      </c>
      <c r="AF116" s="234" t="str">
        <f t="shared" si="44"/>
        <v>"C:\Program Files (x86)\AstroGrep\AstroGrep.exe" /e /r /s /spath="%USERPROFILE%\AppData\Local\Temp\OnboardLogs" /stypes="app*4044*20171221*" /stext=" 00:.+((SYSTEM_STATE.+slice.+state.+changed )|(ment ac)|(multiple cpu faults)|(system.+state.+changed )|(\[timeout)|(PRM\|1\|D)|(kpr)|(kdp)|(train st.+moving)|(\|gpps)|(penalty))"</v>
      </c>
      <c r="AG116" s="244" t="str">
        <f t="shared" si="45"/>
        <v>EC</v>
      </c>
      <c r="AH116" s="236" t="str">
        <f t="shared" si="48"/>
        <v>"%USERPROFILE%\Documents\GitHub\eaglep3\Utilities\RefineRTDCRunTimes.py" --tripid 203-20 --locoid 4044 --swversion DE.1.0.9.0 --startMP 204:580 --initTime 2017-12-20T16:20:42 --startdatetime 2017-12-20T16:30:15 --delay 172 --endMP 204:233151 --enddatetime 2017-12-20T17:06:36 --enforcementcount 0 &gt;&gt;%USERPROFILE%\Documents\GitHub\eaglep3-reporting\EC\2017-12-20-refined-times.txt</v>
      </c>
      <c r="AI116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{"issue":{"subject":"","project_id":79,"tracker_id":40,"status_id":1,"priority_id":2,"assigned_to_id":338,"start_date":"2017-12-20","description":"","custom_fields":[{"id":1,"name":"Subdivision","value":"EC"},{"id":4,"name":"Milepost","value":"23.3151"},{"id":17,"name":"Train ID","value":"203-20"},{"id":16,"name":"Locomotive ID","value":"4044"},{"id":130,"name":"Impact","value":""},{"id":150,"name":"Time of Event (Mountain Time)","value":"17:06:36"},{"id":151,"name":"Denver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1"/>
      <c r="AL116" s="231"/>
      <c r="AM116" s="240" t="str">
        <f t="shared" si="50"/>
        <v>start /low /b %USERPROFILE%\Documents\GitHub\eaglep3\Utilities\DownloadLogsFromS3.py --loco 4044 --day 2017-12-20</v>
      </c>
      <c r="AN116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00:06:36"},{"id":29,"name":"Sharepoint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52"/>
        <v>https://d0f6bd738d7f1b3e5a7ca70fe4ff75f0.us-east-1.aws.found.io/app/kibana#/discover/Steve-Slow-Train-Analysis-(2080s-and-2083s)?_g=(refreshInterval:(display:Off,pause:!f,section:0,value:0),time:(from:'2017-12-20T15:20:42-0700',mode:absolute,to:'2017-12-20T18:06:36-0700'))&amp;_a=(columns:!('Message%20ID',Summary),filters:!(),index:'emp_*',interval:auto,query:(query_string:(analyze_wildcard:!t,query:'%22rtdc.l.rtdc.4044%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29" t="s">
        <v>837</v>
      </c>
      <c r="B117" s="225">
        <v>4043</v>
      </c>
      <c r="C117" s="227" t="s">
        <v>192</v>
      </c>
      <c r="D117" s="227" t="s">
        <v>971</v>
      </c>
      <c r="E117" s="226">
        <v>43089.714745370373</v>
      </c>
      <c r="F117" s="226">
        <v>43089.727233796293</v>
      </c>
      <c r="G117" s="225">
        <v>59</v>
      </c>
      <c r="H117" s="227" t="s">
        <v>540</v>
      </c>
      <c r="I117" s="226">
        <v>43089.752442129633</v>
      </c>
      <c r="J117" s="225">
        <v>0</v>
      </c>
      <c r="K117" s="237" t="str">
        <f t="shared" si="35"/>
        <v>4043/4044</v>
      </c>
      <c r="L117" s="245" t="str">
        <f>VLOOKUP(A117,'Trips&amp;Operators'!$C$1:$G$99911,5,FALSE)</f>
        <v>NEWELL JAMES</v>
      </c>
      <c r="M117" s="224">
        <f t="shared" si="36"/>
        <v>2.5208333339833189E-2</v>
      </c>
      <c r="N117" s="225">
        <f t="shared" si="54"/>
        <v>36.300000009359792</v>
      </c>
      <c r="O117" s="225"/>
      <c r="P117" s="225"/>
      <c r="Q117" s="228"/>
      <c r="R117" s="242"/>
      <c r="S117" s="249">
        <f t="shared" si="55"/>
        <v>1</v>
      </c>
      <c r="T117" s="242" t="str">
        <f t="shared" si="39"/>
        <v>Southbound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40"/>
        <v>https://d0f6bd738d7f1b3e5a7ca70fe4ff75f0.us-east-1.aws.found.io/app/kibana#/discover/Steve-Slow-Train-Analysis-(2080s-and-2083s)?_g=(refreshInterval:(display:Off,pause:!f,section:0,value:0),time:(from:'2017-12-20T16:09:14-0700',mode:absolute,to:'2017-12-20T19:03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7" s="247" t="str">
        <f>IF(AA117&lt;VLOOKUP(AG117,Variables!$AC$3:$AD$8,2,FALSE),"Y","N")</f>
        <v>N</v>
      </c>
      <c r="X117" s="247">
        <f t="shared" si="58"/>
        <v>1</v>
      </c>
      <c r="Y117" s="247">
        <f t="shared" si="56"/>
        <v>23.283999999999999</v>
      </c>
      <c r="Z117" s="247">
        <f t="shared" si="57"/>
        <v>1.52E-2</v>
      </c>
      <c r="AA117" s="247">
        <f t="shared" si="41"/>
        <v>23.268799999999999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42"/>
        <v>204</v>
      </c>
      <c r="AE117" s="235" t="str">
        <f t="shared" si="43"/>
        <v>aws s3 cp s3://rtdc.mdm.uploadarchive.raw/RTDC4043/ "%USERPROFILE%\AppData\Local\Temp\OnboardLogs"\RTDC4043\2017-12-20 --exclude "*" --recursive --include "*20171220*" &amp; "%USERPROFILE%\Documents\GitHub\mrs-test-scripts\Headless Mode &amp; Sideloading\WalkAndUnGZ.bat" "%USERPROFILE%\AppData\Local\Temp\OnboardLogs"\RTDC4043\2017-12-20 &amp; aws s3 cp s3://rtdc.mdm.uploadarchive.raw/RTDC4043/ "%USERPROFILE%\AppData\Local\Temp\OnboardLogs"\RTDC4043\2017-12-21 --exclude "*" --recursive --include "*20171221*" &amp; "%USERPROFILE%\Documents\GitHub\mrs-test-scripts\Headless Mode &amp; Sideloading\WalkAndUnGZ.bat" "%USERPROFILE%\AppData\Local\Temp\OnboardLogs"\RTDC4043\2017-12-21</v>
      </c>
      <c r="AF117" s="234" t="str">
        <f t="shared" si="44"/>
        <v>"C:\Program Files (x86)\AstroGrep\AstroGrep.exe" /e /r /s /spath="%USERPROFILE%\AppData\Local\Temp\OnboardLogs" /stypes="app*4043*20171221*" /stext=" 01:.+((SYSTEM_STATE.+slice.+state.+changed )|(ment ac)|(multiple cpu faults)|(system.+state.+changed )|(\[timeout)|(PRM\|1\|D)|(kpr)|(kdp)|(train st.+moving)|(\|gpps)|(penalty))"</v>
      </c>
      <c r="AG117" s="244" t="str">
        <f t="shared" si="45"/>
        <v>EC</v>
      </c>
      <c r="AH117" s="236" t="str">
        <f t="shared" si="48"/>
        <v>"%USERPROFILE%\Documents\GitHub\eaglep3\Utilities\RefineRTDCRunTimes.py" --tripid 204-20 --locoid 4043 --swversion DE.1.0.9.0 --startMP 204:232840 --initTime 2017-12-20T17:09:14 --startdatetime 2017-12-20T17:27:13 --delay 59 --endMP 204:152 --enddatetime 2017-12-20T18:03:31 --enforcementcount 0 &gt;&gt;%USERPROFILE%\Documents\GitHub\eaglep3-reporting\EC\2017-12-20-refined-times.txt</v>
      </c>
      <c r="AI117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{"issue":{"subject":"","project_id":79,"tracker_id":40,"status_id":1,"priority_id":2,"assigned_to_id":338,"start_date":"2017-12-20","description":"","custom_fields":[{"id":1,"name":"Subdivision","value":"EC"},{"id":4,"name":"Milepost","value":"0.0152"},{"id":17,"name":"Train ID","value":"204-20"},{"id":16,"name":"Locomotive ID","value":"4043"},{"id":130,"name":"Impact","value":""},{"id":150,"name":"Time of Event (Mountain Time)","value":"18:03:31"},{"id":151,"name":"Denver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3"/>
      <c r="AK117" s="231"/>
      <c r="AL117" s="231"/>
      <c r="AM117" s="240" t="str">
        <f t="shared" si="50"/>
        <v>start /low /b %USERPROFILE%\Documents\GitHub\eaglep3\Utilities\DownloadLogsFromS3.py --loco 4043 --day 2017-12-20</v>
      </c>
      <c r="AN117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01:03:31"},{"id":29,"name":"Sharepoint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52"/>
        <v>https://d0f6bd738d7f1b3e5a7ca70fe4ff75f0.us-east-1.aws.found.io/app/kibana#/discover/Steve-Slow-Train-Analysis-(2080s-and-2083s)?_g=(refreshInterval:(display:Off,pause:!f,section:0,value:0),time:(from:'2017-12-20T16:09:14-0700',mode:absolute,to:'2017-12-20T19:03:31-0700'))&amp;_a=(columns:!('Message%20ID',Summary),filters:!(),index:'emp_*',interval:auto,query:(query_string:(analyze_wildcard:!t,query:'%22rtdc.l.rtdc.4043%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25">
      <c r="A118" s="229" t="s">
        <v>830</v>
      </c>
      <c r="B118" s="225">
        <v>4020</v>
      </c>
      <c r="C118" s="227" t="s">
        <v>192</v>
      </c>
      <c r="D118" s="227" t="s">
        <v>911</v>
      </c>
      <c r="E118" s="226">
        <v>43089.694120370368</v>
      </c>
      <c r="F118" s="226">
        <v>43089.698217592595</v>
      </c>
      <c r="G118" s="225">
        <v>54</v>
      </c>
      <c r="H118" s="227" t="s">
        <v>972</v>
      </c>
      <c r="I118" s="226">
        <v>43089.72283564815</v>
      </c>
      <c r="J118" s="225">
        <v>0</v>
      </c>
      <c r="K118" s="237" t="str">
        <f t="shared" si="35"/>
        <v>4019/4020</v>
      </c>
      <c r="L118" s="245" t="str">
        <f>VLOOKUP(A118,'Trips&amp;Operators'!$C$1:$G$99911,5,FALSE)</f>
        <v>STEWART MICHAEL</v>
      </c>
      <c r="M118" s="224">
        <f t="shared" si="36"/>
        <v>2.4618055555038154E-2</v>
      </c>
      <c r="N118" s="225">
        <f t="shared" si="54"/>
        <v>35.449999999254942</v>
      </c>
      <c r="O118" s="225"/>
      <c r="P118" s="225"/>
      <c r="Q118" s="228"/>
      <c r="R118" s="242"/>
      <c r="S118" s="249">
        <f t="shared" si="55"/>
        <v>1</v>
      </c>
      <c r="T118" s="242" t="str">
        <f t="shared" si="39"/>
        <v>NorthBound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40"/>
        <v>https://d0f6bd738d7f1b3e5a7ca70fe4ff75f0.us-east-1.aws.found.io/app/kibana#/discover/Steve-Slow-Train-Analysis-(2080s-and-2083s)?_g=(refreshInterval:(display:Off,pause:!f,section:0,value:0),time:(from:'2017-12-20T15:39:32-0700',mode:absolute,to:'2017-12-20T18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8" s="247" t="str">
        <f>IF(AA118&lt;VLOOKUP(AG118,Variables!$AC$3:$AD$8,2,FALSE),"Y","N")</f>
        <v>N</v>
      </c>
      <c r="X118" s="247">
        <f t="shared" si="58"/>
        <v>1</v>
      </c>
      <c r="Y118" s="247">
        <f t="shared" si="56"/>
        <v>0.05</v>
      </c>
      <c r="Z118" s="247">
        <f t="shared" si="57"/>
        <v>23.319900000000001</v>
      </c>
      <c r="AA118" s="247">
        <f t="shared" si="41"/>
        <v>23.2699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42"/>
        <v>205</v>
      </c>
      <c r="AE118" s="235" t="str">
        <f t="shared" si="43"/>
        <v>aws s3 cp s3://rtdc.mdm.uploadarchive.raw/RTDC4020/ "%USERPROFILE%\AppData\Local\Temp\OnboardLogs"\RTDC4020\2017-12-20 --exclude "*" --recursive --include "*20171220*" &amp; "%USERPROFILE%\Documents\GitHub\mrs-test-scripts\Headless Mode &amp; Sideloading\WalkAndUnGZ.bat" "%USERPROFILE%\AppData\Local\Temp\OnboardLogs"\RTDC4020\2017-12-20 &amp; aws s3 cp s3://rtdc.mdm.uploadarchive.raw/RTDC4020/ "%USERPROFILE%\AppData\Local\Temp\OnboardLogs"\RTDC4020\2017-12-21 --exclude "*" --recursive --include "*20171221*" &amp; "%USERPROFILE%\Documents\GitHub\mrs-test-scripts\Headless Mode &amp; Sideloading\WalkAndUnGZ.bat" "%USERPROFILE%\AppData\Local\Temp\OnboardLogs"\RTDC4020\2017-12-21</v>
      </c>
      <c r="AF118" s="234" t="str">
        <f t="shared" si="44"/>
        <v>"C:\Program Files (x86)\AstroGrep\AstroGrep.exe" /e /r /s /spath="%USERPROFILE%\AppData\Local\Temp\OnboardLogs" /stypes="app*4020*20171221*" /stext=" 00:.+((SYSTEM_STATE.+slice.+state.+changed )|(ment ac)|(multiple cpu faults)|(system.+state.+changed )|(\[timeout)|(PRM\|1\|D)|(kpr)|(kdp)|(train st.+moving)|(\|gpps)|(penalty))"</v>
      </c>
      <c r="AG118" s="244" t="str">
        <f t="shared" si="45"/>
        <v>EC</v>
      </c>
      <c r="AH118" s="236" t="str">
        <f t="shared" si="48"/>
        <v>"%USERPROFILE%\Documents\GitHub\eaglep3\Utilities\RefineRTDCRunTimes.py" --tripid 205-20 --locoid 4020 --swversion DE.1.0.9.0 --startMP 204:500 --initTime 2017-12-20T16:39:32 --startdatetime 2017-12-20T16:45:26 --delay 54 --endMP 204:233199 --enddatetime 2017-12-20T17:20:53 --enforcementcount 0 &gt;&gt;%USERPROFILE%\Documents\GitHub\eaglep3-reporting\EC\2017-12-20-refined-times.txt</v>
      </c>
      <c r="AI118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{"issue":{"subject":"","project_id":79,"tracker_id":40,"status_id":1,"priority_id":2,"assigned_to_id":338,"start_date":"2017-12-20","description":"","custom_fields":[{"id":1,"name":"Subdivision","value":"EC"},{"id":4,"name":"Milepost","value":"23.3199"},{"id":17,"name":"Train ID","value":"205-20"},{"id":16,"name":"Locomotive ID","value":"4020"},{"id":130,"name":"Impact","value":""},{"id":150,"name":"Time of Event (Mountain Time)","value":"17:20:53"},{"id":151,"name":"Denver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si="50"/>
        <v>start /low /b %USERPROFILE%\Documents\GitHub\eaglep3\Utilities\DownloadLogsFromS3.py --loco 4020 --day 2017-12-20</v>
      </c>
      <c r="AN118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00:20:53"},{"id":29,"name":"Sharepoint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52"/>
        <v>https://d0f6bd738d7f1b3e5a7ca70fe4ff75f0.us-east-1.aws.found.io/app/kibana#/discover/Steve-Slow-Train-Analysis-(2080s-and-2083s)?_g=(refreshInterval:(display:Off,pause:!f,section:0,value:0),time:(from:'2017-12-20T15:39:32-0700',mode:absolute,to:'2017-12-20T18:20:53-0700'))&amp;_a=(columns:!('Message%20ID',Summary),filters:!(),index:'emp_*',interval:auto,query:(query_string:(analyze_wildcard:!t,query:'%22rtdc.l.rtdc.4020%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3" customFormat="1" x14ac:dyDescent="0.25">
      <c r="A119" s="229" t="s">
        <v>842</v>
      </c>
      <c r="B119" s="225">
        <v>4019</v>
      </c>
      <c r="C119" s="227" t="s">
        <v>192</v>
      </c>
      <c r="D119" s="227" t="s">
        <v>973</v>
      </c>
      <c r="E119" s="226">
        <v>43089.734305555554</v>
      </c>
      <c r="F119" s="226">
        <v>43089.737719907411</v>
      </c>
      <c r="G119" s="225">
        <v>53</v>
      </c>
      <c r="H119" s="227" t="s">
        <v>489</v>
      </c>
      <c r="I119" s="226">
        <v>43089.765011574076</v>
      </c>
      <c r="J119" s="225">
        <v>0</v>
      </c>
      <c r="K119" s="237" t="str">
        <f t="shared" si="35"/>
        <v>4019/4020</v>
      </c>
      <c r="L119" s="245" t="str">
        <f>VLOOKUP(A119,'Trips&amp;Operators'!$C$1:$G$99911,5,FALSE)</f>
        <v>STEWART MICHAEL</v>
      </c>
      <c r="M119" s="224">
        <f t="shared" si="36"/>
        <v>2.7291666665405501E-2</v>
      </c>
      <c r="N119" s="225">
        <f t="shared" si="54"/>
        <v>39.299999998183921</v>
      </c>
      <c r="O119" s="225"/>
      <c r="P119" s="225"/>
      <c r="Q119" s="228"/>
      <c r="R119" s="242"/>
      <c r="S119" s="249">
        <f t="shared" si="55"/>
        <v>1</v>
      </c>
      <c r="T119" s="242" t="str">
        <f t="shared" si="39"/>
        <v>Southbound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40"/>
        <v>https://d0f6bd738d7f1b3e5a7ca70fe4ff75f0.us-east-1.aws.found.io/app/kibana#/discover/Steve-Slow-Train-Analysis-(2080s-and-2083s)?_g=(refreshInterval:(display:Off,pause:!f,section:0,value:0),time:(from:'2017-12-20T16:37:24-0700',mode:absolute,to:'2017-12-20T19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9" s="247" t="str">
        <f>IF(AA119&lt;VLOOKUP(AG119,Variables!$AC$3:$AD$8,2,FALSE),"Y","N")</f>
        <v>N</v>
      </c>
      <c r="X119" s="247">
        <f t="shared" si="58"/>
        <v>1</v>
      </c>
      <c r="Y119" s="247">
        <f t="shared" si="56"/>
        <v>23.287700000000001</v>
      </c>
      <c r="Z119" s="247">
        <f t="shared" si="57"/>
        <v>1.9800000000000002E-2</v>
      </c>
      <c r="AA119" s="247">
        <f t="shared" si="41"/>
        <v>23.267900000000001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42"/>
        <v>206</v>
      </c>
      <c r="AE119" s="235" t="str">
        <f t="shared" si="43"/>
        <v>aws s3 cp s3://rtdc.mdm.uploadarchive.raw/RTDC4019/ "%USERPROFILE%\AppData\Local\Temp\OnboardLogs"\RTDC4019\2017-12-20 --exclude "*" --recursive --include "*20171220*" &amp; "%USERPROFILE%\Documents\GitHub\mrs-test-scripts\Headless Mode &amp; Sideloading\WalkAndUnGZ.bat" "%USERPROFILE%\AppData\Local\Temp\OnboardLogs"\RTDC4019\2017-12-20 &amp; aws s3 cp s3://rtdc.mdm.uploadarchive.raw/RTDC4019/ "%USERPROFILE%\AppData\Local\Temp\OnboardLogs"\RTDC4019\2017-12-21 --exclude "*" --recursive --include "*20171221*" &amp; "%USERPROFILE%\Documents\GitHub\mrs-test-scripts\Headless Mode &amp; Sideloading\WalkAndUnGZ.bat" "%USERPROFILE%\AppData\Local\Temp\OnboardLogs"\RTDC4019\2017-12-21</v>
      </c>
      <c r="AF119" s="234" t="str">
        <f t="shared" si="44"/>
        <v>"C:\Program Files (x86)\AstroGrep\AstroGrep.exe" /e /r /s /spath="%USERPROFILE%\AppData\Local\Temp\OnboardLogs" /stypes="app*4019*20171221*" /stext=" 01:.+((SYSTEM_STATE.+slice.+state.+changed )|(ment ac)|(multiple cpu faults)|(system.+state.+changed )|(\[timeout)|(PRM\|1\|D)|(kpr)|(kdp)|(train st.+moving)|(\|gpps)|(penalty))"</v>
      </c>
      <c r="AG119" s="244" t="str">
        <f t="shared" si="45"/>
        <v>EC</v>
      </c>
      <c r="AH119" s="236" t="str">
        <f t="shared" si="48"/>
        <v>"%USERPROFILE%\Documents\GitHub\eaglep3\Utilities\RefineRTDCRunTimes.py" --tripid 206-20 --locoid 4019 --swversion DE.1.0.9.0 --startMP 204:232877 --initTime 2017-12-20T17:37:24 --startdatetime 2017-12-20T17:42:19 --delay 53 --endMP 204:198 --enddatetime 2017-12-20T18:21:37 --enforcementcount 0 &gt;&gt;%USERPROFILE%\Documents\GitHub\eaglep3-reporting\EC\2017-12-20-refined-times.txt</v>
      </c>
      <c r="AI119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{"issue":{"subject":"","project_id":79,"tracker_id":40,"status_id":1,"priority_id":2,"assigned_to_id":338,"start_date":"2017-12-20","description":"","custom_fields":[{"id":1,"name":"Subdivision","value":"EC"},{"id":4,"name":"Milepost","value":"0.0198"},{"id":17,"name":"Train ID","value":"206-20"},{"id":16,"name":"Locomotive ID","value":"4019"},{"id":130,"name":"Impact","value":""},{"id":150,"name":"Time of Event (Mountain Time)","value":"18:21:37"},{"id":151,"name":"Denver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1"/>
      <c r="AL119" s="231"/>
      <c r="AM119" s="240" t="str">
        <f t="shared" si="50"/>
        <v>start /low /b %USERPROFILE%\Documents\GitHub\eaglep3\Utilities\DownloadLogsFromS3.py --loco 4019 --day 2017-12-20</v>
      </c>
      <c r="AN119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01:21:37"},{"id":29,"name":"Sharepoint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52"/>
        <v>https://d0f6bd738d7f1b3e5a7ca70fe4ff75f0.us-east-1.aws.found.io/app/kibana#/discover/Steve-Slow-Train-Analysis-(2080s-and-2083s)?_g=(refreshInterval:(display:Off,pause:!f,section:0,value:0),time:(from:'2017-12-20T16:37:24-0700',mode:absolute,to:'2017-12-20T19:21:37-0700'))&amp;_a=(columns:!('Message%20ID',Summary),filters:!(),index:'emp_*',interval:auto,query:(query_string:(analyze_wildcard:!t,query:'%22rtdc.l.rtdc.4019%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29" t="s">
        <v>832</v>
      </c>
      <c r="B120" s="225">
        <v>4026</v>
      </c>
      <c r="C120" s="227" t="s">
        <v>192</v>
      </c>
      <c r="D120" s="227" t="s">
        <v>557</v>
      </c>
      <c r="E120" s="226">
        <v>43089.705300925925</v>
      </c>
      <c r="F120" s="226">
        <v>43089.708495370367</v>
      </c>
      <c r="G120" s="225">
        <v>54</v>
      </c>
      <c r="H120" s="227" t="s">
        <v>910</v>
      </c>
      <c r="I120" s="226">
        <v>43089.733935185184</v>
      </c>
      <c r="J120" s="225">
        <v>0</v>
      </c>
      <c r="K120" s="237" t="str">
        <f t="shared" si="35"/>
        <v>4025/4026</v>
      </c>
      <c r="L120" s="245" t="str">
        <f>VLOOKUP(A120,'Trips&amp;Operators'!$C$1:$G$99911,5,FALSE)</f>
        <v>GUZMAN DANNY</v>
      </c>
      <c r="M120" s="224">
        <f t="shared" si="36"/>
        <v>2.5439814817218576E-2</v>
      </c>
      <c r="N120" s="225">
        <f t="shared" si="54"/>
        <v>36.633333336794749</v>
      </c>
      <c r="O120" s="225"/>
      <c r="P120" s="225"/>
      <c r="Q120" s="228"/>
      <c r="R120" s="242"/>
      <c r="S120" s="249">
        <f t="shared" si="55"/>
        <v>1</v>
      </c>
      <c r="T120" s="242" t="str">
        <f t="shared" si="39"/>
        <v>NorthBound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40"/>
        <v>https://d0f6bd738d7f1b3e5a7ca70fe4ff75f0.us-east-1.aws.found.io/app/kibana#/discover/Steve-Slow-Train-Analysis-(2080s-and-2083s)?_g=(refreshInterval:(display:Off,pause:!f,section:0,value:0),time:(from:'2017-12-20T15:55:38-0700',mode:absolute,to:'2017-12-20T18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0" s="247" t="str">
        <f>IF(AA120&lt;VLOOKUP(AG120,Variables!$AC$3:$AD$8,2,FALSE),"Y","N")</f>
        <v>N</v>
      </c>
      <c r="X120" s="247">
        <f t="shared" si="58"/>
        <v>1</v>
      </c>
      <c r="Y120" s="247">
        <f t="shared" si="56"/>
        <v>5.3100000000000001E-2</v>
      </c>
      <c r="Z120" s="247">
        <f t="shared" si="57"/>
        <v>23.3264</v>
      </c>
      <c r="AA120" s="247">
        <f t="shared" si="41"/>
        <v>23.273299999999999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42"/>
        <v>207</v>
      </c>
      <c r="AE120" s="235" t="str">
        <f t="shared" si="43"/>
        <v>aws s3 cp s3://rtdc.mdm.uploadarchive.raw/RTDC4026/ "%USERPROFILE%\AppData\Local\Temp\OnboardLogs"\RTDC4026\2017-12-20 --exclude "*" --recursive --include "*20171220*" &amp; "%USERPROFILE%\Documents\GitHub\mrs-test-scripts\Headless Mode &amp; Sideloading\WalkAndUnGZ.bat" "%USERPROFILE%\AppData\Local\Temp\OnboardLogs"\RTDC4026\2017-12-20 &amp; aws s3 cp s3://rtdc.mdm.uploadarchive.raw/RTDC4026/ "%USERPROFILE%\AppData\Local\Temp\OnboardLogs"\RTDC4026\2017-12-21 --exclude "*" --recursive --include "*20171221*" &amp; "%USERPROFILE%\Documents\GitHub\mrs-test-scripts\Headless Mode &amp; Sideloading\WalkAndUnGZ.bat" "%USERPROFILE%\AppData\Local\Temp\OnboardLogs"\RTDC4026\2017-12-21</v>
      </c>
      <c r="AF120" s="234" t="str">
        <f t="shared" si="44"/>
        <v>"C:\Program Files (x86)\AstroGrep\AstroGrep.exe" /e /r /s /spath="%USERPROFILE%\AppData\Local\Temp\OnboardLogs" /stypes="app*4026*20171221*" /stext=" 00:.+((SYSTEM_STATE.+slice.+state.+changed )|(ment ac)|(multiple cpu faults)|(system.+state.+changed )|(\[timeout)|(PRM\|1\|D)|(kpr)|(kdp)|(train st.+moving)|(\|gpps)|(penalty))"</v>
      </c>
      <c r="AG120" s="244" t="str">
        <f t="shared" si="45"/>
        <v>EC</v>
      </c>
      <c r="AH120" s="236" t="str">
        <f t="shared" si="48"/>
        <v>"%USERPROFILE%\Documents\GitHub\eaglep3\Utilities\RefineRTDCRunTimes.py" --tripid 207-20 --locoid 4026 --swversion DE.1.0.9.0 --startMP 204:531 --initTime 2017-12-20T16:55:38 --startdatetime 2017-12-20T17:00:14 --delay 54 --endMP 204:233264 --enddatetime 2017-12-20T17:36:52 --enforcementcount 0 &gt;&gt;%USERPROFILE%\Documents\GitHub\eaglep3-reporting\EC\2017-12-20-refined-times.txt</v>
      </c>
      <c r="AI120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{"issue":{"subject":"","project_id":79,"tracker_id":40,"status_id":1,"priority_id":2,"assigned_to_id":338,"start_date":"2017-12-20","description":"","custom_fields":[{"id":1,"name":"Subdivision","value":"EC"},{"id":4,"name":"Milepost","value":"23.3264"},{"id":17,"name":"Train ID","value":"207-20"},{"id":16,"name":"Locomotive ID","value":"4026"},{"id":130,"name":"Impact","value":""},{"id":150,"name":"Time of Event (Mountain Time)","value":"17:36:52"},{"id":151,"name":"Denver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3"/>
      <c r="AK120" s="231"/>
      <c r="AL120" s="231"/>
      <c r="AM120" s="240" t="str">
        <f t="shared" si="50"/>
        <v>start /low /b %USERPROFILE%\Documents\GitHub\eaglep3\Utilities\DownloadLogsFromS3.py --loco 4026 --day 2017-12-20</v>
      </c>
      <c r="AN120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00:36:52"},{"id":29,"name":"Sharepoint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52"/>
        <v>https://d0f6bd738d7f1b3e5a7ca70fe4ff75f0.us-east-1.aws.found.io/app/kibana#/discover/Steve-Slow-Train-Analysis-(2080s-and-2083s)?_g=(refreshInterval:(display:Off,pause:!f,section:0,value:0),time:(from:'2017-12-20T15:55:38-0700',mode:absolute,to:'2017-12-20T18:36:52-0700'))&amp;_a=(columns:!('Message%20ID',Summary),filters:!(),index:'emp_*',interval:auto,query:(query_string:(analyze_wildcard:!t,query:'%22rtdc.l.rtdc.4026%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229" t="s">
        <v>845</v>
      </c>
      <c r="B121" s="225">
        <v>4025</v>
      </c>
      <c r="C121" s="227" t="s">
        <v>192</v>
      </c>
      <c r="D121" s="227" t="s">
        <v>505</v>
      </c>
      <c r="E121" s="226">
        <v>43089.743090277778</v>
      </c>
      <c r="F121" s="226">
        <v>43089.748136574075</v>
      </c>
      <c r="G121" s="225">
        <v>55</v>
      </c>
      <c r="H121" s="227" t="s">
        <v>552</v>
      </c>
      <c r="I121" s="226">
        <v>43089.776597222219</v>
      </c>
      <c r="J121" s="225">
        <v>0</v>
      </c>
      <c r="K121" s="237" t="str">
        <f t="shared" si="35"/>
        <v>4025/4026</v>
      </c>
      <c r="L121" s="245" t="str">
        <f>VLOOKUP(A121,'Trips&amp;Operators'!$C$1:$G$99911,5,FALSE)</f>
        <v>GUZMAN DANNY</v>
      </c>
      <c r="M121" s="224">
        <f t="shared" si="36"/>
        <v>2.8460648143664002E-2</v>
      </c>
      <c r="N121" s="225">
        <f t="shared" si="54"/>
        <v>40.983333326876163</v>
      </c>
      <c r="O121" s="225"/>
      <c r="P121" s="225"/>
      <c r="Q121" s="228"/>
      <c r="R121" s="242"/>
      <c r="S121" s="249">
        <f t="shared" si="55"/>
        <v>1</v>
      </c>
      <c r="T121" s="242" t="str">
        <f t="shared" si="39"/>
        <v>Southbound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 t="shared" si="40"/>
        <v>https://d0f6bd738d7f1b3e5a7ca70fe4ff75f0.us-east-1.aws.found.io/app/kibana#/discover/Steve-Slow-Train-Analysis-(2080s-and-2083s)?_g=(refreshInterval:(display:Off,pause:!f,section:0,value:0),time:(from:'2017-12-20T16:50:03-0700',mode:absolute,to:'2017-12-20T19:38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1" s="247" t="str">
        <f>IF(AA121&lt;VLOOKUP(AG121,Variables!$AC$3:$AD$8,2,FALSE),"Y","N")</f>
        <v>N</v>
      </c>
      <c r="X121" s="247">
        <f t="shared" si="58"/>
        <v>1</v>
      </c>
      <c r="Y121" s="247">
        <f t="shared" si="56"/>
        <v>23.293800000000001</v>
      </c>
      <c r="Z121" s="247">
        <f t="shared" si="57"/>
        <v>2.52E-2</v>
      </c>
      <c r="AA121" s="247">
        <f t="shared" si="41"/>
        <v>23.268599999999999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 t="shared" si="42"/>
        <v>208</v>
      </c>
      <c r="AE121" s="235" t="str">
        <f t="shared" si="43"/>
        <v>aws s3 cp s3://rtdc.mdm.uploadarchive.raw/RTDC4025/ "%USERPROFILE%\AppData\Local\Temp\OnboardLogs"\RTDC4025\2017-12-20 --exclude "*" --recursive --include "*20171220*" &amp; "%USERPROFILE%\Documents\GitHub\mrs-test-scripts\Headless Mode &amp; Sideloading\WalkAndUnGZ.bat" "%USERPROFILE%\AppData\Local\Temp\OnboardLogs"\RTDC4025\2017-12-20 &amp; aws s3 cp s3://rtdc.mdm.uploadarchive.raw/RTDC4025/ "%USERPROFILE%\AppData\Local\Temp\OnboardLogs"\RTDC4025\2017-12-21 --exclude "*" --recursive --include "*20171221*" &amp; "%USERPROFILE%\Documents\GitHub\mrs-test-scripts\Headless Mode &amp; Sideloading\WalkAndUnGZ.bat" "%USERPROFILE%\AppData\Local\Temp\OnboardLogs"\RTDC4025\2017-12-21</v>
      </c>
      <c r="AF121" s="234" t="str">
        <f t="shared" si="44"/>
        <v>"C:\Program Files (x86)\AstroGrep\AstroGrep.exe" /e /r /s /spath="%USERPROFILE%\AppData\Local\Temp\OnboardLogs" /stypes="app*4025*20171221*" /stext=" 01:.+((SYSTEM_STATE.+slice.+state.+changed )|(ment ac)|(multiple cpu faults)|(system.+state.+changed )|(\[timeout)|(PRM\|1\|D)|(kpr)|(kdp)|(train st.+moving)|(\|gpps)|(penalty))"</v>
      </c>
      <c r="AG121" s="244" t="str">
        <f t="shared" si="45"/>
        <v>EC</v>
      </c>
      <c r="AH121" s="236" t="str">
        <f t="shared" si="48"/>
        <v>"%USERPROFILE%\Documents\GitHub\eaglep3\Utilities\RefineRTDCRunTimes.py" --tripid 208-20 --locoid 4025 --swversion DE.1.0.9.0 --startMP 204:232938 --initTime 2017-12-20T17:50:03 --startdatetime 2017-12-20T17:57:19 --delay 55 --endMP 204:252 --enddatetime 2017-12-20T18:38:18 --enforcementcount 0 &gt;&gt;%USERPROFILE%\Documents\GitHub\eaglep3-reporting\EC\2017-12-20-refined-times.txt</v>
      </c>
      <c r="AI121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{"issue":{"subject":"","project_id":79,"tracker_id":40,"status_id":1,"priority_id":2,"assigned_to_id":338,"start_date":"2017-12-20","description":"","custom_fields":[{"id":1,"name":"Subdivision","value":"EC"},{"id":4,"name":"Milepost","value":"0.0252"},{"id":17,"name":"Train ID","value":"208-20"},{"id":16,"name":"Locomotive ID","value":"4025"},{"id":130,"name":"Impact","value":""},{"id":150,"name":"Time of Event (Mountain Time)","value":"18:38:18"},{"id":151,"name":"Denver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3"/>
      <c r="AK121" s="231"/>
      <c r="AL121" s="231"/>
      <c r="AM121" s="240" t="str">
        <f t="shared" si="50"/>
        <v>start /low /b %USERPROFILE%\Documents\GitHub\eaglep3\Utilities\DownloadLogsFromS3.py --loco 4025 --day 2017-12-20</v>
      </c>
      <c r="AN121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01:38:18"},{"id":29,"name":"Sharepoint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52"/>
        <v>https://d0f6bd738d7f1b3e5a7ca70fe4ff75f0.us-east-1.aws.found.io/app/kibana#/discover/Steve-Slow-Train-Analysis-(2080s-and-2083s)?_g=(refreshInterval:(display:Off,pause:!f,section:0,value:0),time:(from:'2017-12-20T16:50:03-0700',mode:absolute,to:'2017-12-20T19:38:18-0700'))&amp;_a=(columns:!('Message%20ID',Summary),filters:!(),index:'emp_*',interval:auto,query:(query_string:(analyze_wildcard:!t,query:'%22rtdc.l.rtdc.4025%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25">
      <c r="A122" s="229" t="s">
        <v>838</v>
      </c>
      <c r="B122" s="225">
        <v>4010</v>
      </c>
      <c r="C122" s="227" t="s">
        <v>192</v>
      </c>
      <c r="D122" s="227" t="s">
        <v>593</v>
      </c>
      <c r="E122" s="226">
        <v>43089.714895833335</v>
      </c>
      <c r="F122" s="226">
        <v>43089.719097222223</v>
      </c>
      <c r="G122" s="225">
        <v>69</v>
      </c>
      <c r="H122" s="227" t="s">
        <v>974</v>
      </c>
      <c r="I122" s="226">
        <v>43089.744664351849</v>
      </c>
      <c r="J122" s="225">
        <v>0</v>
      </c>
      <c r="K122" s="237" t="str">
        <f t="shared" si="35"/>
        <v>4009/4010</v>
      </c>
      <c r="L122" s="245" t="str">
        <f>VLOOKUP(A122,'Trips&amp;Operators'!$C$1:$G$99911,5,FALSE)</f>
        <v>KILLION DAVID</v>
      </c>
      <c r="M122" s="224">
        <f t="shared" si="36"/>
        <v>2.5567129625414964E-2</v>
      </c>
      <c r="N122" s="225">
        <f t="shared" si="54"/>
        <v>36.816666660597548</v>
      </c>
      <c r="O122" s="225"/>
      <c r="P122" s="225"/>
      <c r="Q122" s="228"/>
      <c r="R122" s="242"/>
      <c r="S122" s="249">
        <f t="shared" si="55"/>
        <v>1</v>
      </c>
      <c r="T122" s="242" t="str">
        <f t="shared" si="39"/>
        <v>NorthBound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 t="shared" si="40"/>
        <v>https://d0f6bd738d7f1b3e5a7ca70fe4ff75f0.us-east-1.aws.found.io/app/kibana#/discover/Steve-Slow-Train-Analysis-(2080s-and-2083s)?_g=(refreshInterval:(display:Off,pause:!f,section:0,value:0),time:(from:'2017-12-20T16:09:27-0700',mode:absolute,to:'2017-12-20T18:52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2" s="247" t="str">
        <f>IF(AA122&lt;VLOOKUP(AG122,Variables!$AC$3:$AD$8,2,FALSE),"Y","N")</f>
        <v>N</v>
      </c>
      <c r="X122" s="247">
        <f t="shared" si="58"/>
        <v>1</v>
      </c>
      <c r="Y122" s="247">
        <f t="shared" si="56"/>
        <v>4.4400000000000002E-2</v>
      </c>
      <c r="Z122" s="247">
        <f t="shared" si="57"/>
        <v>23.334700000000002</v>
      </c>
      <c r="AA122" s="247">
        <f t="shared" si="41"/>
        <v>23.290300000000002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42"/>
        <v>209</v>
      </c>
      <c r="AE122" s="235" t="str">
        <f t="shared" si="43"/>
        <v>aws s3 cp s3://rtdc.mdm.uploadarchive.raw/RTDC4010/ "%USERPROFILE%\AppData\Local\Temp\OnboardLogs"\RTDC4010\2017-12-20 --exclude "*" --recursive --include "*20171220*" &amp; "%USERPROFILE%\Documents\GitHub\mrs-test-scripts\Headless Mode &amp; Sideloading\WalkAndUnGZ.bat" "%USERPROFILE%\AppData\Local\Temp\OnboardLogs"\RTDC4010\2017-12-20 &amp; aws s3 cp s3://rtdc.mdm.uploadarchive.raw/RTDC4010/ "%USERPROFILE%\AppData\Local\Temp\OnboardLogs"\RTDC4010\2017-12-21 --exclude "*" --recursive --include "*20171221*" &amp; "%USERPROFILE%\Documents\GitHub\mrs-test-scripts\Headless Mode &amp; Sideloading\WalkAndUnGZ.bat" "%USERPROFILE%\AppData\Local\Temp\OnboardLogs"\RTDC4010\2017-12-21</v>
      </c>
      <c r="AF122" s="234" t="str">
        <f t="shared" si="44"/>
        <v>"C:\Program Files (x86)\AstroGrep\AstroGrep.exe" /e /r /s /spath="%USERPROFILE%\AppData\Local\Temp\OnboardLogs" /stypes="app*4010*20171221*" /stext=" 00:.+((SYSTEM_STATE.+slice.+state.+changed )|(ment ac)|(multiple cpu faults)|(system.+state.+changed )|(\[timeout)|(PRM\|1\|D)|(kpr)|(kdp)|(train st.+moving)|(\|gpps)|(penalty))"</v>
      </c>
      <c r="AG122" s="244" t="str">
        <f t="shared" si="45"/>
        <v>EC</v>
      </c>
      <c r="AH122" s="236" t="str">
        <f t="shared" si="48"/>
        <v>"%USERPROFILE%\Documents\GitHub\eaglep3\Utilities\RefineRTDCRunTimes.py" --tripid 209-20 --locoid 4010 --swversion DE.1.0.9.0 --startMP 204:444 --initTime 2017-12-20T17:09:27 --startdatetime 2017-12-20T17:15:30 --delay 69 --endMP 204:233347 --enddatetime 2017-12-20T17:52:19 --enforcementcount 0 &gt;&gt;%USERPROFILE%\Documents\GitHub\eaglep3-reporting\EC\2017-12-20-refined-times.txt</v>
      </c>
      <c r="AI122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{"issue":{"subject":"","project_id":79,"tracker_id":40,"status_id":1,"priority_id":2,"assigned_to_id":338,"start_date":"2017-12-20","description":"","custom_fields":[{"id":1,"name":"Subdivision","value":"EC"},{"id":4,"name":"Milepost","value":"23.3347"},{"id":17,"name":"Train ID","value":"209-20"},{"id":16,"name":"Locomotive ID","value":"4010"},{"id":130,"name":"Impact","value":""},{"id":150,"name":"Time of Event (Mountain Time)","value":"17:52:19"},{"id":151,"name":"Denver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50"/>
        <v>start /low /b %USERPROFILE%\Documents\GitHub\eaglep3\Utilities\DownloadLogsFromS3.py --loco 4010 --day 2017-12-20</v>
      </c>
      <c r="AN122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00:52:19"},{"id":29,"name":"Sharepoint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52"/>
        <v>https://d0f6bd738d7f1b3e5a7ca70fe4ff75f0.us-east-1.aws.found.io/app/kibana#/discover/Steve-Slow-Train-Analysis-(2080s-and-2083s)?_g=(refreshInterval:(display:Off,pause:!f,section:0,value:0),time:(from:'2017-12-20T16:09:27-0700',mode:absolute,to:'2017-12-20T18:52:19-0700'))&amp;_a=(columns:!('Message%20ID',Summary),filters:!(),index:'emp_*',interval:auto,query:(query_string:(analyze_wildcard:!t,query:'%22rtdc.l.rtdc.4010%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25">
      <c r="A123" s="229" t="s">
        <v>849</v>
      </c>
      <c r="B123" s="225">
        <v>4009</v>
      </c>
      <c r="C123" s="227" t="s">
        <v>192</v>
      </c>
      <c r="D123" s="227" t="s">
        <v>975</v>
      </c>
      <c r="E123" s="226">
        <v>43089.753564814811</v>
      </c>
      <c r="F123" s="226">
        <v>43089.758518518516</v>
      </c>
      <c r="G123" s="225">
        <v>74</v>
      </c>
      <c r="H123" s="227" t="s">
        <v>520</v>
      </c>
      <c r="I123" s="226">
        <v>43089.787511574075</v>
      </c>
      <c r="J123" s="225">
        <v>0</v>
      </c>
      <c r="K123" s="237" t="str">
        <f t="shared" si="35"/>
        <v>4009/4010</v>
      </c>
      <c r="L123" s="245" t="str">
        <f>VLOOKUP(A123,'Trips&amp;Operators'!$C$1:$G$99911,5,FALSE)</f>
        <v>KILLION DAVID</v>
      </c>
      <c r="M123" s="224">
        <f t="shared" si="36"/>
        <v>2.899305555911269E-2</v>
      </c>
      <c r="N123" s="225">
        <f t="shared" si="54"/>
        <v>41.750000005122274</v>
      </c>
      <c r="O123" s="225"/>
      <c r="P123" s="225"/>
      <c r="Q123" s="228"/>
      <c r="R123" s="242"/>
      <c r="S123" s="249">
        <f t="shared" si="55"/>
        <v>1</v>
      </c>
      <c r="T123" s="242" t="str">
        <f t="shared" si="39"/>
        <v>Southbound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40"/>
        <v>https://d0f6bd738d7f1b3e5a7ca70fe4ff75f0.us-east-1.aws.found.io/app/kibana#/discover/Steve-Slow-Train-Analysis-(2080s-and-2083s)?_g=(refreshInterval:(display:Off,pause:!f,section:0,value:0),time:(from:'2017-12-20T17:05:08-0700',mode:absolute,to:'2017-12-20T19:54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3" s="247" t="str">
        <f>IF(AA123&lt;VLOOKUP(AG123,Variables!$AC$3:$AD$8,2,FALSE),"Y","N")</f>
        <v>N</v>
      </c>
      <c r="X123" s="247">
        <f t="shared" si="58"/>
        <v>1</v>
      </c>
      <c r="Y123" s="247">
        <f t="shared" si="56"/>
        <v>23.301300000000001</v>
      </c>
      <c r="Z123" s="247">
        <f t="shared" si="57"/>
        <v>0.02</v>
      </c>
      <c r="AA123" s="247">
        <f t="shared" si="41"/>
        <v>23.281300000000002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 t="shared" si="42"/>
        <v>210</v>
      </c>
      <c r="AE123" s="235" t="str">
        <f t="shared" si="43"/>
        <v>aws s3 cp s3://rtdc.mdm.uploadarchive.raw/RTDC4009/ "%USERPROFILE%\AppData\Local\Temp\OnboardLogs"\RTDC4009\2017-12-20 --exclude "*" --recursive --include "*20171220*" &amp; "%USERPROFILE%\Documents\GitHub\mrs-test-scripts\Headless Mode &amp; Sideloading\WalkAndUnGZ.bat" "%USERPROFILE%\AppData\Local\Temp\OnboardLogs"\RTDC4009\2017-12-20 &amp; aws s3 cp s3://rtdc.mdm.uploadarchive.raw/RTDC4009/ "%USERPROFILE%\AppData\Local\Temp\OnboardLogs"\RTDC4009\2017-12-21 --exclude "*" --recursive --include "*20171221*" &amp; "%USERPROFILE%\Documents\GitHub\mrs-test-scripts\Headless Mode &amp; Sideloading\WalkAndUnGZ.bat" "%USERPROFILE%\AppData\Local\Temp\OnboardLogs"\RTDC4009\2017-12-21</v>
      </c>
      <c r="AF123" s="234" t="str">
        <f t="shared" si="44"/>
        <v>"C:\Program Files (x86)\AstroGrep\AstroGrep.exe" /e /r /s /spath="%USERPROFILE%\AppData\Local\Temp\OnboardLogs" /stypes="app*4009*20171221*" /stext=" 01:.+((SYSTEM_STATE.+slice.+state.+changed )|(ment ac)|(multiple cpu faults)|(system.+state.+changed )|(\[timeout)|(PRM\|1\|D)|(kpr)|(kdp)|(train st.+moving)|(\|gpps)|(penalty))"</v>
      </c>
      <c r="AG123" s="244" t="str">
        <f t="shared" si="45"/>
        <v>EC</v>
      </c>
      <c r="AH123" s="236" t="str">
        <f t="shared" si="48"/>
        <v>"%USERPROFILE%\Documents\GitHub\eaglep3\Utilities\RefineRTDCRunTimes.py" --tripid 210-20 --locoid 4009 --swversion DE.1.0.9.0 --startMP 204:233013 --initTime 2017-12-20T18:05:08 --startdatetime 2017-12-20T18:12:16 --delay 74 --endMP 204:200 --enddatetime 2017-12-20T18:54:01 --enforcementcount 0 &gt;&gt;%USERPROFILE%\Documents\GitHub\eaglep3-reporting\EC\2017-12-20-refined-times.txt</v>
      </c>
      <c r="AI123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{"issue":{"subject":"","project_id":79,"tracker_id":40,"status_id":1,"priority_id":2,"assigned_to_id":338,"start_date":"2017-12-20","description":"","custom_fields":[{"id":1,"name":"Subdivision","value":"EC"},{"id":4,"name":"Milepost","value":"0.02"},{"id":17,"name":"Train ID","value":"210-20"},{"id":16,"name":"Locomotive ID","value":"4009"},{"id":130,"name":"Impact","value":""},{"id":150,"name":"Time of Event (Mountain Time)","value":"18:54:01"},{"id":151,"name":"Denver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50"/>
        <v>start /low /b %USERPROFILE%\Documents\GitHub\eaglep3\Utilities\DownloadLogsFromS3.py --loco 4009 --day 2017-12-20</v>
      </c>
      <c r="AN123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01:54:01"},{"id":29,"name":"Sharepoint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52"/>
        <v>https://d0f6bd738d7f1b3e5a7ca70fe4ff75f0.us-east-1.aws.found.io/app/kibana#/discover/Steve-Slow-Train-Analysis-(2080s-and-2083s)?_g=(refreshInterval:(display:Off,pause:!f,section:0,value:0),time:(from:'2017-12-20T17:05:08-0700',mode:absolute,to:'2017-12-20T19:54:01-0700'))&amp;_a=(columns:!('Message%20ID',Summary),filters:!(),index:'emp_*',interval:auto,query:(query_string:(analyze_wildcard:!t,query:'%22rtdc.l.rtdc.4009%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229" t="s">
        <v>839</v>
      </c>
      <c r="B124" s="225">
        <v>4050</v>
      </c>
      <c r="C124" s="227" t="s">
        <v>192</v>
      </c>
      <c r="D124" s="227" t="s">
        <v>484</v>
      </c>
      <c r="E124" s="226">
        <v>43089.724050925928</v>
      </c>
      <c r="F124" s="226">
        <v>43089.72934027778</v>
      </c>
      <c r="G124" s="225">
        <v>53</v>
      </c>
      <c r="H124" s="227" t="s">
        <v>927</v>
      </c>
      <c r="I124" s="226">
        <v>43089.754467592589</v>
      </c>
      <c r="J124" s="225">
        <v>0</v>
      </c>
      <c r="K124" s="237" t="str">
        <f t="shared" si="35"/>
        <v>4049/4050</v>
      </c>
      <c r="L124" s="245" t="str">
        <f>VLOOKUP(A124,'Trips&amp;Operators'!$C$1:$G$99911,5,FALSE)</f>
        <v>ROBINSON KADDIBA</v>
      </c>
      <c r="M124" s="224">
        <f t="shared" si="36"/>
        <v>2.512731480965158E-2</v>
      </c>
      <c r="N124" s="225">
        <f t="shared" si="54"/>
        <v>36.183333325898275</v>
      </c>
      <c r="O124" s="225"/>
      <c r="P124" s="225"/>
      <c r="Q124" s="228"/>
      <c r="R124" s="242"/>
      <c r="S124" s="249">
        <f t="shared" si="55"/>
        <v>1</v>
      </c>
      <c r="T124" s="242" t="str">
        <f t="shared" si="39"/>
        <v>NorthBound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40"/>
        <v>https://d0f6bd738d7f1b3e5a7ca70fe4ff75f0.us-east-1.aws.found.io/app/kibana#/discover/Steve-Slow-Train-Analysis-(2080s-and-2083s)?_g=(refreshInterval:(display:Off,pause:!f,section:0,value:0),time:(from:'2017-12-20T16:22:38-0700',mode:absolute,to:'2017-12-20T19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4" s="247" t="str">
        <f>IF(AA124&lt;VLOOKUP(AG124,Variables!$AC$3:$AD$8,2,FALSE),"Y","N")</f>
        <v>N</v>
      </c>
      <c r="X124" s="247">
        <f t="shared" si="58"/>
        <v>1</v>
      </c>
      <c r="Y124" s="247">
        <f t="shared" si="56"/>
        <v>5.0799999999999998E-2</v>
      </c>
      <c r="Z124" s="247">
        <f t="shared" si="57"/>
        <v>23.329799999999999</v>
      </c>
      <c r="AA124" s="247">
        <f t="shared" si="41"/>
        <v>23.279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42"/>
        <v>211</v>
      </c>
      <c r="AE124" s="235" t="str">
        <f t="shared" si="43"/>
        <v>aws s3 cp s3://rtdc.mdm.uploadarchive.raw/RTDC4050/ "%USERPROFILE%\AppData\Local\Temp\OnboardLogs"\RTDC4050\2017-12-20 --exclude "*" --recursive --include "*20171220*" &amp; "%USERPROFILE%\Documents\GitHub\mrs-test-scripts\Headless Mode &amp; Sideloading\WalkAndUnGZ.bat" "%USERPROFILE%\AppData\Local\Temp\OnboardLogs"\RTDC4050\2017-12-20 &amp; aws s3 cp s3://rtdc.mdm.uploadarchive.raw/RTDC4050/ "%USERPROFILE%\AppData\Local\Temp\OnboardLogs"\RTDC4050\2017-12-21 --exclude "*" --recursive --include "*20171221*" &amp; "%USERPROFILE%\Documents\GitHub\mrs-test-scripts\Headless Mode &amp; Sideloading\WalkAndUnGZ.bat" "%USERPROFILE%\AppData\Local\Temp\OnboardLogs"\RTDC4050\2017-12-21</v>
      </c>
      <c r="AF124" s="234" t="str">
        <f t="shared" si="44"/>
        <v>"C:\Program Files (x86)\AstroGrep\AstroGrep.exe" /e /r /s /spath="%USERPROFILE%\AppData\Local\Temp\OnboardLogs" /stypes="app*4050*20171221*" /stext=" 01:.+((SYSTEM_STATE.+slice.+state.+changed )|(ment ac)|(multiple cpu faults)|(system.+state.+changed )|(\[timeout)|(PRM\|1\|D)|(kpr)|(kdp)|(train st.+moving)|(\|gpps)|(penalty))"</v>
      </c>
      <c r="AG124" s="244" t="str">
        <f t="shared" si="45"/>
        <v>EC</v>
      </c>
      <c r="AH124" s="236" t="str">
        <f t="shared" si="48"/>
        <v>"%USERPROFILE%\Documents\GitHub\eaglep3\Utilities\RefineRTDCRunTimes.py" --tripid 211-20 --locoid 4050 --swversion DE.1.0.9.0 --startMP 204:508 --initTime 2017-12-20T17:22:38 --startdatetime 2017-12-20T17:30:15 --delay 53 --endMP 204:233298 --enddatetime 2017-12-20T18:06:26 --enforcementcount 0 &gt;&gt;%USERPROFILE%\Documents\GitHub\eaglep3-reporting\EC\2017-12-20-refined-times.txt</v>
      </c>
      <c r="AI124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{"issue":{"subject":"","project_id":79,"tracker_id":40,"status_id":1,"priority_id":2,"assigned_to_id":338,"start_date":"2017-12-20","description":"","custom_fields":[{"id":1,"name":"Subdivision","value":"EC"},{"id":4,"name":"Milepost","value":"23.3298"},{"id":17,"name":"Train ID","value":"211-20"},{"id":16,"name":"Locomotive ID","value":"4050"},{"id":130,"name":"Impact","value":""},{"id":150,"name":"Time of Event (Mountain Time)","value":"18:06:26"},{"id":151,"name":"Denver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3"/>
      <c r="AK124" s="231"/>
      <c r="AL124" s="231"/>
      <c r="AM124" s="240" t="str">
        <f t="shared" si="50"/>
        <v>start /low /b %USERPROFILE%\Documents\GitHub\eaglep3\Utilities\DownloadLogsFromS3.py --loco 4050 --day 2017-12-20</v>
      </c>
      <c r="AN124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01:06:26"},{"id":29,"name":"Sharepoint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52"/>
        <v>https://d0f6bd738d7f1b3e5a7ca70fe4ff75f0.us-east-1.aws.found.io/app/kibana#/discover/Steve-Slow-Train-Analysis-(2080s-and-2083s)?_g=(refreshInterval:(display:Off,pause:!f,section:0,value:0),time:(from:'2017-12-20T16:22:38-0700',mode:absolute,to:'2017-12-20T19:06:26-0700'))&amp;_a=(columns:!('Message%20ID',Summary),filters:!(),index:'emp_*',interval:auto,query:(query_string:(analyze_wildcard:!t,query:'%22rtdc.l.rtdc.4050%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25">
      <c r="A125" s="229" t="s">
        <v>851</v>
      </c>
      <c r="B125" s="225">
        <v>4049</v>
      </c>
      <c r="C125" s="227" t="s">
        <v>192</v>
      </c>
      <c r="D125" s="227" t="s">
        <v>976</v>
      </c>
      <c r="E125" s="226">
        <v>43089.763599537036</v>
      </c>
      <c r="F125" s="226">
        <v>43089.768912037034</v>
      </c>
      <c r="G125" s="225">
        <v>65</v>
      </c>
      <c r="H125" s="227" t="s">
        <v>943</v>
      </c>
      <c r="I125" s="226">
        <v>43089.7971412037</v>
      </c>
      <c r="J125" s="225">
        <v>0</v>
      </c>
      <c r="K125" s="237" t="str">
        <f t="shared" si="35"/>
        <v>4049/4050</v>
      </c>
      <c r="L125" s="245" t="str">
        <f>VLOOKUP(A125,'Trips&amp;Operators'!$C$1:$G$99911,5,FALSE)</f>
        <v>ROBINSON KADDIBA</v>
      </c>
      <c r="M125" s="224">
        <f t="shared" si="36"/>
        <v>2.8229166666278616E-2</v>
      </c>
      <c r="N125" s="225">
        <f t="shared" si="54"/>
        <v>40.649999999441206</v>
      </c>
      <c r="O125" s="225"/>
      <c r="P125" s="225"/>
      <c r="Q125" s="228"/>
      <c r="R125" s="242"/>
      <c r="S125" s="249">
        <f t="shared" si="55"/>
        <v>1</v>
      </c>
      <c r="T125" s="242" t="str">
        <f t="shared" si="39"/>
        <v>Southbound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40"/>
        <v>https://d0f6bd738d7f1b3e5a7ca70fe4ff75f0.us-east-1.aws.found.io/app/kibana#/discover/Steve-Slow-Train-Analysis-(2080s-and-2083s)?_g=(refreshInterval:(display:Off,pause:!f,section:0,value:0),time:(from:'2017-12-20T17:19:35-0700',mode:absolute,to:'2017-12-20T20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5" s="247" t="str">
        <f>IF(AA125&lt;VLOOKUP(AG125,Variables!$AC$3:$AD$8,2,FALSE),"Y","N")</f>
        <v>N</v>
      </c>
      <c r="X125" s="247">
        <f t="shared" si="58"/>
        <v>1</v>
      </c>
      <c r="Y125" s="247">
        <f t="shared" si="56"/>
        <v>23.297000000000001</v>
      </c>
      <c r="Z125" s="247">
        <f t="shared" si="57"/>
        <v>2.23E-2</v>
      </c>
      <c r="AA125" s="247">
        <f t="shared" si="41"/>
        <v>23.274699999999999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42"/>
        <v>212</v>
      </c>
      <c r="AE125" s="235" t="str">
        <f t="shared" si="43"/>
        <v>aws s3 cp s3://rtdc.mdm.uploadarchive.raw/RTDC4049/ "%USERPROFILE%\AppData\Local\Temp\OnboardLogs"\RTDC4049\2017-12-20 --exclude "*" --recursive --include "*20171220*" &amp; "%USERPROFILE%\Documents\GitHub\mrs-test-scripts\Headless Mode &amp; Sideloading\WalkAndUnGZ.bat" "%USERPROFILE%\AppData\Local\Temp\OnboardLogs"\RTDC4049\2017-12-20 &amp; aws s3 cp s3://rtdc.mdm.uploadarchive.raw/RTDC4049/ "%USERPROFILE%\AppData\Local\Temp\OnboardLogs"\RTDC4049\2017-12-21 --exclude "*" --recursive --include "*20171221*" &amp; "%USERPROFILE%\Documents\GitHub\mrs-test-scripts\Headless Mode &amp; Sideloading\WalkAndUnGZ.bat" "%USERPROFILE%\AppData\Local\Temp\OnboardLogs"\RTDC4049\2017-12-21</v>
      </c>
      <c r="AF125" s="234" t="str">
        <f t="shared" si="44"/>
        <v>"C:\Program Files (x86)\AstroGrep\AstroGrep.exe" /e /r /s /spath="%USERPROFILE%\AppData\Local\Temp\OnboardLogs" /stypes="app*4049*20171221*" /stext=" 02:.+((SYSTEM_STATE.+slice.+state.+changed )|(ment ac)|(multiple cpu faults)|(system.+state.+changed )|(\[timeout)|(PRM\|1\|D)|(kpr)|(kdp)|(train st.+moving)|(\|gpps)|(penalty))"</v>
      </c>
      <c r="AG125" s="244" t="str">
        <f t="shared" si="45"/>
        <v>EC</v>
      </c>
      <c r="AH125" s="236" t="str">
        <f t="shared" si="48"/>
        <v>"%USERPROFILE%\Documents\GitHub\eaglep3\Utilities\RefineRTDCRunTimes.py" --tripid 212-20 --locoid 4049 --swversion DE.1.0.9.0 --startMP 204:232970 --initTime 2017-12-20T18:19:35 --startdatetime 2017-12-20T18:27:14 --delay 65 --endMP 204:223 --enddatetime 2017-12-20T19:07:53 --enforcementcount 0 &gt;&gt;%USERPROFILE%\Documents\GitHub\eaglep3-reporting\EC\2017-12-20-refined-times.txt</v>
      </c>
      <c r="AI125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{"issue":{"subject":"","project_id":79,"tracker_id":40,"status_id":1,"priority_id":2,"assigned_to_id":338,"start_date":"2017-12-20","description":"","custom_fields":[{"id":1,"name":"Subdivision","value":"EC"},{"id":4,"name":"Milepost","value":"0.0223"},{"id":17,"name":"Train ID","value":"212-20"},{"id":16,"name":"Locomotive ID","value":"4049"},{"id":130,"name":"Impact","value":""},{"id":150,"name":"Time of Event (Mountain Time)","value":"19:07:53"},{"id":151,"name":"Denver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50"/>
        <v>start /low /b %USERPROFILE%\Documents\GitHub\eaglep3\Utilities\DownloadLogsFromS3.py --loco 4049 --day 2017-12-20</v>
      </c>
      <c r="AN125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02:07:53"},{"id":29,"name":"Sharepoint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52"/>
        <v>https://d0f6bd738d7f1b3e5a7ca70fe4ff75f0.us-east-1.aws.found.io/app/kibana#/discover/Steve-Slow-Train-Analysis-(2080s-and-2083s)?_g=(refreshInterval:(display:Off,pause:!f,section:0,value:0),time:(from:'2017-12-20T17:19:35-0700',mode:absolute,to:'2017-12-20T20:07:53-0700'))&amp;_a=(columns:!('Message%20ID',Summary),filters:!(),index:'emp_*',interval:auto,query:(query_string:(analyze_wildcard:!t,query:'%22rtdc.l.rtdc.4049%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23" customFormat="1" x14ac:dyDescent="0.25">
      <c r="A126" s="229" t="s">
        <v>843</v>
      </c>
      <c r="B126" s="225">
        <v>4062</v>
      </c>
      <c r="C126" s="227" t="s">
        <v>192</v>
      </c>
      <c r="D126" s="227" t="s">
        <v>543</v>
      </c>
      <c r="E126" s="226">
        <v>43089.736585648148</v>
      </c>
      <c r="F126" s="226">
        <v>43089.739803240744</v>
      </c>
      <c r="G126" s="225">
        <v>71</v>
      </c>
      <c r="H126" s="227" t="s">
        <v>977</v>
      </c>
      <c r="I126" s="226">
        <v>43089.763796296298</v>
      </c>
      <c r="J126" s="225">
        <v>0</v>
      </c>
      <c r="K126" s="237" t="str">
        <f t="shared" si="35"/>
        <v>4061/4062</v>
      </c>
      <c r="L126" s="245" t="str">
        <f>VLOOKUP(A126,'Trips&amp;Operators'!$C$1:$G$99911,5,FALSE)</f>
        <v>RESPASS AARON</v>
      </c>
      <c r="M126" s="224">
        <f t="shared" si="36"/>
        <v>2.3993055554456078E-2</v>
      </c>
      <c r="N126" s="225">
        <f t="shared" si="54"/>
        <v>34.549999998416752</v>
      </c>
      <c r="O126" s="225"/>
      <c r="P126" s="225"/>
      <c r="Q126" s="228"/>
      <c r="R126" s="242"/>
      <c r="S126" s="249">
        <f t="shared" si="55"/>
        <v>1</v>
      </c>
      <c r="T126" s="242" t="str">
        <f t="shared" si="39"/>
        <v>NorthBound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40"/>
        <v>https://d0f6bd738d7f1b3e5a7ca70fe4ff75f0.us-east-1.aws.found.io/app/kibana#/discover/Steve-Slow-Train-Analysis-(2080s-and-2083s)?_g=(refreshInterval:(display:Off,pause:!f,section:0,value:0),time:(from:'2017-12-20T16:40:41-0700',mode:absolute,to:'2017-12-20T19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6" s="247" t="str">
        <f>IF(AA126&lt;VLOOKUP(AG126,Variables!$AC$3:$AD$8,2,FALSE),"Y","N")</f>
        <v>N</v>
      </c>
      <c r="X126" s="247">
        <f t="shared" si="58"/>
        <v>1</v>
      </c>
      <c r="Y126" s="247">
        <f t="shared" si="56"/>
        <v>5.3900000000000003E-2</v>
      </c>
      <c r="Z126" s="247">
        <f t="shared" si="57"/>
        <v>23.3249</v>
      </c>
      <c r="AA126" s="247">
        <f t="shared" si="41"/>
        <v>23.271000000000001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42"/>
        <v>213</v>
      </c>
      <c r="AE126" s="235" t="str">
        <f t="shared" si="43"/>
        <v>aws s3 cp s3://rtdc.mdm.uploadarchive.raw/RTDC4062/ "%USERPROFILE%\AppData\Local\Temp\OnboardLogs"\RTDC4062\2017-12-20 --exclude "*" --recursive --include "*20171220*" &amp; "%USERPROFILE%\Documents\GitHub\mrs-test-scripts\Headless Mode &amp; Sideloading\WalkAndUnGZ.bat" "%USERPROFILE%\AppData\Local\Temp\OnboardLogs"\RTDC4062\2017-12-20 &amp; aws s3 cp s3://rtdc.mdm.uploadarchive.raw/RTDC4062/ "%USERPROFILE%\AppData\Local\Temp\OnboardLogs"\RTDC4062\2017-12-21 --exclude "*" --recursive --include "*20171221*" &amp; "%USERPROFILE%\Documents\GitHub\mrs-test-scripts\Headless Mode &amp; Sideloading\WalkAndUnGZ.bat" "%USERPROFILE%\AppData\Local\Temp\OnboardLogs"\RTDC4062\2017-12-21</v>
      </c>
      <c r="AF126" s="234" t="str">
        <f t="shared" si="44"/>
        <v>"C:\Program Files (x86)\AstroGrep\AstroGrep.exe" /e /r /s /spath="%USERPROFILE%\AppData\Local\Temp\OnboardLogs" /stypes="app*4062*20171221*" /stext=" 01:.+((SYSTEM_STATE.+slice.+state.+changed )|(ment ac)|(multiple cpu faults)|(system.+state.+changed )|(\[timeout)|(PRM\|1\|D)|(kpr)|(kdp)|(train st.+moving)|(\|gpps)|(penalty))"</v>
      </c>
      <c r="AG126" s="244" t="str">
        <f t="shared" si="45"/>
        <v>EC</v>
      </c>
      <c r="AH126" s="236" t="str">
        <f t="shared" si="48"/>
        <v>"%USERPROFILE%\Documents\GitHub\eaglep3\Utilities\RefineRTDCRunTimes.py" --tripid 213-20 --locoid 4062 --swversion DE.1.0.9.0 --startMP 204:539 --initTime 2017-12-20T17:40:41 --startdatetime 2017-12-20T17:45:19 --delay 71 --endMP 204:233249 --enddatetime 2017-12-20T18:19:52 --enforcementcount 0 &gt;&gt;%USERPROFILE%\Documents\GitHub\eaglep3-reporting\EC\2017-12-20-refined-times.txt</v>
      </c>
      <c r="AI126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{"issue":{"subject":"","project_id":79,"tracker_id":40,"status_id":1,"priority_id":2,"assigned_to_id":338,"start_date":"2017-12-20","description":"","custom_fields":[{"id":1,"name":"Subdivision","value":"EC"},{"id":4,"name":"Milepost","value":"23.3249"},{"id":17,"name":"Train ID","value":"213-20"},{"id":16,"name":"Locomotive ID","value":"4062"},{"id":130,"name":"Impact","value":""},{"id":150,"name":"Time of Event (Mountain Time)","value":"18:19:52"},{"id":151,"name":"Denver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1"/>
      <c r="AL126" s="231"/>
      <c r="AM126" s="240" t="str">
        <f t="shared" si="50"/>
        <v>start /low /b %USERPROFILE%\Documents\GitHub\eaglep3\Utilities\DownloadLogsFromS3.py --loco 4062 --day 2017-12-20</v>
      </c>
      <c r="AN126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01:19:52"},{"id":29,"name":"Sharepoint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52"/>
        <v>https://d0f6bd738d7f1b3e5a7ca70fe4ff75f0.us-east-1.aws.found.io/app/kibana#/discover/Steve-Slow-Train-Analysis-(2080s-and-2083s)?_g=(refreshInterval:(display:Off,pause:!f,section:0,value:0),time:(from:'2017-12-20T16:40:41-0700',mode:absolute,to:'2017-12-20T19:19:52-0700'))&amp;_a=(columns:!('Message%20ID',Summary),filters:!(),index:'emp_*',interval:auto,query:(query_string:(analyze_wildcard:!t,query:'%22rtdc.l.rtdc.4062%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3" customFormat="1" x14ac:dyDescent="0.25">
      <c r="A127" s="229" t="s">
        <v>855</v>
      </c>
      <c r="B127" s="225">
        <v>4061</v>
      </c>
      <c r="C127" s="227" t="s">
        <v>192</v>
      </c>
      <c r="D127" s="227" t="s">
        <v>611</v>
      </c>
      <c r="E127" s="226">
        <v>43089.776296296295</v>
      </c>
      <c r="F127" s="226">
        <v>43089.779317129629</v>
      </c>
      <c r="G127" s="225">
        <v>106</v>
      </c>
      <c r="H127" s="227" t="s">
        <v>978</v>
      </c>
      <c r="I127" s="226">
        <v>43089.80736111111</v>
      </c>
      <c r="J127" s="225">
        <v>0</v>
      </c>
      <c r="K127" s="237" t="str">
        <f t="shared" si="35"/>
        <v>4061/4062</v>
      </c>
      <c r="L127" s="245" t="str">
        <f>VLOOKUP(A127,'Trips&amp;Operators'!$C$1:$G$99911,5,FALSE)</f>
        <v>RESPASS AARON</v>
      </c>
      <c r="M127" s="224">
        <f t="shared" si="36"/>
        <v>2.8043981481459923E-2</v>
      </c>
      <c r="N127" s="225">
        <f t="shared" si="54"/>
        <v>40.383333333302289</v>
      </c>
      <c r="O127" s="225"/>
      <c r="P127" s="225"/>
      <c r="Q127" s="228"/>
      <c r="R127" s="242"/>
      <c r="S127" s="249">
        <f t="shared" si="55"/>
        <v>1</v>
      </c>
      <c r="T127" s="242" t="str">
        <f t="shared" si="39"/>
        <v>Southbound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 t="shared" si="40"/>
        <v>https://d0f6bd738d7f1b3e5a7ca70fe4ff75f0.us-east-1.aws.found.io/app/kibana#/discover/Steve-Slow-Train-Analysis-(2080s-and-2083s)?_g=(refreshInterval:(display:Off,pause:!f,section:0,value:0),time:(from:'2017-12-20T17:37:52-0700',mode:absolute,to:'2017-12-20T20:22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7" s="247" t="str">
        <f>IF(AA127&lt;VLOOKUP(AG127,Variables!$AC$3:$AD$8,2,FALSE),"Y","N")</f>
        <v>N</v>
      </c>
      <c r="X127" s="247">
        <f t="shared" si="58"/>
        <v>1</v>
      </c>
      <c r="Y127" s="247">
        <f t="shared" si="56"/>
        <v>23.291699999999999</v>
      </c>
      <c r="Z127" s="247">
        <f t="shared" si="57"/>
        <v>2.6200000000000001E-2</v>
      </c>
      <c r="AA127" s="247">
        <f t="shared" si="41"/>
        <v>23.265499999999999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42"/>
        <v>214</v>
      </c>
      <c r="AE127" s="235" t="str">
        <f t="shared" si="43"/>
        <v>aws s3 cp s3://rtdc.mdm.uploadarchive.raw/RTDC4061/ "%USERPROFILE%\AppData\Local\Temp\OnboardLogs"\RTDC4061\2017-12-20 --exclude "*" --recursive --include "*20171220*" &amp; "%USERPROFILE%\Documents\GitHub\mrs-test-scripts\Headless Mode &amp; Sideloading\WalkAndUnGZ.bat" "%USERPROFILE%\AppData\Local\Temp\OnboardLogs"\RTDC4061\2017-12-20 &amp; aws s3 cp s3://rtdc.mdm.uploadarchive.raw/RTDC4061/ "%USERPROFILE%\AppData\Local\Temp\OnboardLogs"\RTDC4061\2017-12-21 --exclude "*" --recursive --include "*20171221*" &amp; "%USERPROFILE%\Documents\GitHub\mrs-test-scripts\Headless Mode &amp; Sideloading\WalkAndUnGZ.bat" "%USERPROFILE%\AppData\Local\Temp\OnboardLogs"\RTDC4061\2017-12-21</v>
      </c>
      <c r="AF127" s="234" t="str">
        <f t="shared" si="44"/>
        <v>"C:\Program Files (x86)\AstroGrep\AstroGrep.exe" /e /r /s /spath="%USERPROFILE%\AppData\Local\Temp\OnboardLogs" /stypes="app*4061*20171221*" /stext=" 02:.+((SYSTEM_STATE.+slice.+state.+changed )|(ment ac)|(multiple cpu faults)|(system.+state.+changed )|(\[timeout)|(PRM\|1\|D)|(kpr)|(kdp)|(train st.+moving)|(\|gpps)|(penalty))"</v>
      </c>
      <c r="AG127" s="244" t="str">
        <f t="shared" si="45"/>
        <v>EC</v>
      </c>
      <c r="AH127" s="236" t="str">
        <f t="shared" si="48"/>
        <v>"%USERPROFILE%\Documents\GitHub\eaglep3\Utilities\RefineRTDCRunTimes.py" --tripid 214-20 --locoid 4061 --swversion DE.1.0.9.0 --startMP 204:232917 --initTime 2017-12-20T18:37:52 --startdatetime 2017-12-20T18:42:13 --delay 106 --endMP 204:262 --enddatetime 2017-12-20T19:22:36 --enforcementcount 0 &gt;&gt;%USERPROFILE%\Documents\GitHub\eaglep3-reporting\EC\2017-12-20-refined-times.txt</v>
      </c>
      <c r="AI127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{"issue":{"subject":"","project_id":79,"tracker_id":40,"status_id":1,"priority_id":2,"assigned_to_id":338,"start_date":"2017-12-20","description":"","custom_fields":[{"id":1,"name":"Subdivision","value":"EC"},{"id":4,"name":"Milepost","value":"0.0262"},{"id":17,"name":"Train ID","value":"214-20"},{"id":16,"name":"Locomotive ID","value":"4061"},{"id":130,"name":"Impact","value":""},{"id":150,"name":"Time of Event (Mountain Time)","value":"19:22:36"},{"id":151,"name":"Denver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1"/>
      <c r="AL127" s="231"/>
      <c r="AM127" s="240" t="str">
        <f t="shared" si="50"/>
        <v>start /low /b %USERPROFILE%\Documents\GitHub\eaglep3\Utilities\DownloadLogsFromS3.py --loco 4061 --day 2017-12-20</v>
      </c>
      <c r="AN127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02:22:36"},{"id":29,"name":"Sharepoint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52"/>
        <v>https://d0f6bd738d7f1b3e5a7ca70fe4ff75f0.us-east-1.aws.found.io/app/kibana#/discover/Steve-Slow-Train-Analysis-(2080s-and-2083s)?_g=(refreshInterval:(display:Off,pause:!f,section:0,value:0),time:(from:'2017-12-20T17:37:52-0700',mode:absolute,to:'2017-12-20T20:22:36-0700'))&amp;_a=(columns:!('Message%20ID',Summary),filters:!(),index:'emp_*',interval:auto,query:(query_string:(analyze_wildcard:!t,query:'%22rtdc.l.rtdc.4061%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3" customFormat="1" x14ac:dyDescent="0.25">
      <c r="A128" s="229" t="s">
        <v>847</v>
      </c>
      <c r="B128" s="225">
        <v>4052</v>
      </c>
      <c r="C128" s="227" t="s">
        <v>192</v>
      </c>
      <c r="D128" s="227" t="s">
        <v>979</v>
      </c>
      <c r="E128" s="226">
        <v>43089.747662037036</v>
      </c>
      <c r="F128" s="226">
        <v>43089.750347222223</v>
      </c>
      <c r="G128" s="225">
        <v>49</v>
      </c>
      <c r="H128" s="227" t="s">
        <v>980</v>
      </c>
      <c r="I128" s="226">
        <v>43089.775289351855</v>
      </c>
      <c r="J128" s="225">
        <v>0</v>
      </c>
      <c r="K128" s="237" t="str">
        <f t="shared" si="35"/>
        <v>4051/4052</v>
      </c>
      <c r="L128" s="245" t="str">
        <f>VLOOKUP(A128,'Trips&amp;Operators'!$C$1:$G$99911,5,FALSE)</f>
        <v>HOLCOMB KAMDEN</v>
      </c>
      <c r="M128" s="224">
        <f t="shared" si="36"/>
        <v>2.4942129632108845E-2</v>
      </c>
      <c r="N128" s="225">
        <f t="shared" si="54"/>
        <v>35.916666670236737</v>
      </c>
      <c r="O128" s="225"/>
      <c r="P128" s="225"/>
      <c r="Q128" s="228"/>
      <c r="R128" s="242"/>
      <c r="S128" s="249">
        <f t="shared" si="55"/>
        <v>1</v>
      </c>
      <c r="T128" s="242" t="str">
        <f t="shared" si="39"/>
        <v>NorthBound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 t="shared" si="40"/>
        <v>https://d0f6bd738d7f1b3e5a7ca70fe4ff75f0.us-east-1.aws.found.io/app/kibana#/discover/Steve-Slow-Train-Analysis-(2080s-and-2083s)?_g=(refreshInterval:(display:Off,pause:!f,section:0,value:0),time:(from:'2017-12-20T16:56:38-0700',mode:absolute,to:'2017-12-20T19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8" s="247" t="str">
        <f>IF(AA128&lt;VLOOKUP(AG128,Variables!$AC$3:$AD$8,2,FALSE),"Y","N")</f>
        <v>N</v>
      </c>
      <c r="X128" s="247">
        <f t="shared" si="58"/>
        <v>1</v>
      </c>
      <c r="Y128" s="247">
        <f t="shared" si="56"/>
        <v>4.8000000000000001E-2</v>
      </c>
      <c r="Z128" s="247">
        <f t="shared" si="57"/>
        <v>23.3217</v>
      </c>
      <c r="AA128" s="247">
        <f t="shared" si="41"/>
        <v>23.273700000000002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42"/>
        <v>215</v>
      </c>
      <c r="AE128" s="235" t="str">
        <f t="shared" si="43"/>
        <v>aws s3 cp s3://rtdc.mdm.uploadarchive.raw/RTDC4052/ "%USERPROFILE%\AppData\Local\Temp\OnboardLogs"\RTDC4052\2017-12-20 --exclude "*" --recursive --include "*20171220*" &amp; "%USERPROFILE%\Documents\GitHub\mrs-test-scripts\Headless Mode &amp; Sideloading\WalkAndUnGZ.bat" "%USERPROFILE%\AppData\Local\Temp\OnboardLogs"\RTDC4052\2017-12-20 &amp; aws s3 cp s3://rtdc.mdm.uploadarchive.raw/RTDC4052/ "%USERPROFILE%\AppData\Local\Temp\OnboardLogs"\RTDC4052\2017-12-21 --exclude "*" --recursive --include "*20171221*" &amp; "%USERPROFILE%\Documents\GitHub\mrs-test-scripts\Headless Mode &amp; Sideloading\WalkAndUnGZ.bat" "%USERPROFILE%\AppData\Local\Temp\OnboardLogs"\RTDC4052\2017-12-21</v>
      </c>
      <c r="AF128" s="234" t="str">
        <f t="shared" si="44"/>
        <v>"C:\Program Files (x86)\AstroGrep\AstroGrep.exe" /e /r /s /spath="%USERPROFILE%\AppData\Local\Temp\OnboardLogs" /stypes="app*4052*20171221*" /stext=" 01:.+((SYSTEM_STATE.+slice.+state.+changed )|(ment ac)|(multiple cpu faults)|(system.+state.+changed )|(\[timeout)|(PRM\|1\|D)|(kpr)|(kdp)|(train st.+moving)|(\|gpps)|(penalty))"</v>
      </c>
      <c r="AG128" s="244" t="str">
        <f t="shared" si="45"/>
        <v>EC</v>
      </c>
      <c r="AH128" s="236" t="str">
        <f t="shared" si="48"/>
        <v>"%USERPROFILE%\Documents\GitHub\eaglep3\Utilities\RefineRTDCRunTimes.py" --tripid 215-20 --locoid 4052 --swversion DE.1.0.9.0 --startMP 204:480 --initTime 2017-12-20T17:56:38 --startdatetime 2017-12-20T18:00:30 --delay 49 --endMP 204:233217 --enddatetime 2017-12-20T18:36:25 --enforcementcount 0 &gt;&gt;%USERPROFILE%\Documents\GitHub\eaglep3-reporting\EC\2017-12-20-refined-times.txt</v>
      </c>
      <c r="AI128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{"issue":{"subject":"","project_id":79,"tracker_id":40,"status_id":1,"priority_id":2,"assigned_to_id":338,"start_date":"2017-12-20","description":"","custom_fields":[{"id":1,"name":"Subdivision","value":"EC"},{"id":4,"name":"Milepost","value":"23.3217"},{"id":17,"name":"Train ID","value":"215-20"},{"id":16,"name":"Locomotive ID","value":"4052"},{"id":130,"name":"Impact","value":""},{"id":150,"name":"Time of Event (Mountain Time)","value":"18:36:25"},{"id":151,"name":"Denver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1"/>
      <c r="AL128" s="231"/>
      <c r="AM128" s="240" t="str">
        <f t="shared" si="50"/>
        <v>start /low /b %USERPROFILE%\Documents\GitHub\eaglep3\Utilities\DownloadLogsFromS3.py --loco 4052 --day 2017-12-20</v>
      </c>
      <c r="AN128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01:36:25"},{"id":29,"name":"Sharepoint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52"/>
        <v>https://d0f6bd738d7f1b3e5a7ca70fe4ff75f0.us-east-1.aws.found.io/app/kibana#/discover/Steve-Slow-Train-Analysis-(2080s-and-2083s)?_g=(refreshInterval:(display:Off,pause:!f,section:0,value:0),time:(from:'2017-12-20T16:56:38-0700',mode:absolute,to:'2017-12-20T19:36:25-0700'))&amp;_a=(columns:!('Message%20ID',Summary),filters:!(),index:'emp_*',interval:auto,query:(query_string:(analyze_wildcard:!t,query:'%22rtdc.l.rtdc.4052%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25">
      <c r="A129" s="229" t="s">
        <v>858</v>
      </c>
      <c r="B129" s="225">
        <v>4051</v>
      </c>
      <c r="C129" s="227" t="s">
        <v>192</v>
      </c>
      <c r="D129" s="227" t="s">
        <v>981</v>
      </c>
      <c r="E129" s="226">
        <v>43089.78806712963</v>
      </c>
      <c r="F129" s="226">
        <v>43089.789872685185</v>
      </c>
      <c r="G129" s="225">
        <v>59</v>
      </c>
      <c r="H129" s="227" t="s">
        <v>540</v>
      </c>
      <c r="I129" s="226">
        <v>43089.815254629626</v>
      </c>
      <c r="J129" s="225">
        <v>0</v>
      </c>
      <c r="K129" s="237" t="str">
        <f t="shared" si="35"/>
        <v>4051/4052</v>
      </c>
      <c r="L129" s="245" t="str">
        <f>VLOOKUP(A129,'Trips&amp;Operators'!$C$1:$G$99911,5,FALSE)</f>
        <v>HOLCOMB KAMDEN</v>
      </c>
      <c r="M129" s="224">
        <f t="shared" si="36"/>
        <v>2.5381944440596271E-2</v>
      </c>
      <c r="N129" s="225">
        <f t="shared" si="54"/>
        <v>36.549999994458631</v>
      </c>
      <c r="O129" s="225"/>
      <c r="P129" s="225"/>
      <c r="Q129" s="228"/>
      <c r="R129" s="242"/>
      <c r="S129" s="249">
        <f t="shared" si="55"/>
        <v>1</v>
      </c>
      <c r="T129" s="242" t="str">
        <f t="shared" si="39"/>
        <v>Southbound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40"/>
        <v>https://d0f6bd738d7f1b3e5a7ca70fe4ff75f0.us-east-1.aws.found.io/app/kibana#/discover/Steve-Slow-Train-Analysis-(2080s-and-2083s)?_g=(refreshInterval:(display:Off,pause:!f,section:0,value:0),time:(from:'2017-12-20T17:54:49-0700',mode:absolute,to:'2017-12-20T20:33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9" s="247" t="str">
        <f>IF(AA129&lt;VLOOKUP(AG129,Variables!$AC$3:$AD$8,2,FALSE),"Y","N")</f>
        <v>N</v>
      </c>
      <c r="X129" s="247">
        <f t="shared" si="58"/>
        <v>1</v>
      </c>
      <c r="Y129" s="247">
        <f t="shared" si="56"/>
        <v>23.2942</v>
      </c>
      <c r="Z129" s="247">
        <f t="shared" si="57"/>
        <v>1.52E-2</v>
      </c>
      <c r="AA129" s="247">
        <f t="shared" si="41"/>
        <v>23.279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42"/>
        <v>216</v>
      </c>
      <c r="AE129" s="235" t="str">
        <f t="shared" si="43"/>
        <v>aws s3 cp s3://rtdc.mdm.uploadarchive.raw/RTDC4051/ "%USERPROFILE%\AppData\Local\Temp\OnboardLogs"\RTDC4051\2017-12-20 --exclude "*" --recursive --include "*20171220*" &amp; "%USERPROFILE%\Documents\GitHub\mrs-test-scripts\Headless Mode &amp; Sideloading\WalkAndUnGZ.bat" "%USERPROFILE%\AppData\Local\Temp\OnboardLogs"\RTDC4051\2017-12-20 &amp; aws s3 cp s3://rtdc.mdm.uploadarchive.raw/RTDC4051/ "%USERPROFILE%\AppData\Local\Temp\OnboardLogs"\RTDC4051\2017-12-21 --exclude "*" --recursive --include "*20171221*" &amp; "%USERPROFILE%\Documents\GitHub\mrs-test-scripts\Headless Mode &amp; Sideloading\WalkAndUnGZ.bat" "%USERPROFILE%\AppData\Local\Temp\OnboardLogs"\RTDC4051\2017-12-21</v>
      </c>
      <c r="AF129" s="234" t="str">
        <f t="shared" si="44"/>
        <v>"C:\Program Files (x86)\AstroGrep\AstroGrep.exe" /e /r /s /spath="%USERPROFILE%\AppData\Local\Temp\OnboardLogs" /stypes="app*4051*20171221*" /stext=" 02:.+((SYSTEM_STATE.+slice.+state.+changed )|(ment ac)|(multiple cpu faults)|(system.+state.+changed )|(\[timeout)|(PRM\|1\|D)|(kpr)|(kdp)|(train st.+moving)|(\|gpps)|(penalty))"</v>
      </c>
      <c r="AG129" s="244" t="str">
        <f t="shared" si="45"/>
        <v>EC</v>
      </c>
      <c r="AH129" s="236" t="str">
        <f t="shared" si="48"/>
        <v>"%USERPROFILE%\Documents\GitHub\eaglep3\Utilities\RefineRTDCRunTimes.py" --tripid 216-20 --locoid 4051 --swversion DE.1.0.9.0 --startMP 204:232942 --initTime 2017-12-20T18:54:49 --startdatetime 2017-12-20T18:57:25 --delay 59 --endMP 204:152 --enddatetime 2017-12-20T19:33:58 --enforcementcount 0 &gt;&gt;%USERPROFILE%\Documents\GitHub\eaglep3-reporting\EC\2017-12-20-refined-times.txt</v>
      </c>
      <c r="AI129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{"issue":{"subject":"","project_id":79,"tracker_id":40,"status_id":1,"priority_id":2,"assigned_to_id":338,"start_date":"2017-12-20","description":"","custom_fields":[{"id":1,"name":"Subdivision","value":"EC"},{"id":4,"name":"Milepost","value":"0.0152"},{"id":17,"name":"Train ID","value":"216-20"},{"id":16,"name":"Locomotive ID","value":"4051"},{"id":130,"name":"Impact","value":""},{"id":150,"name":"Time of Event (Mountain Time)","value":"19:33:58"},{"id":151,"name":"Denver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50"/>
        <v>start /low /b %USERPROFILE%\Documents\GitHub\eaglep3\Utilities\DownloadLogsFromS3.py --loco 4051 --day 2017-12-20</v>
      </c>
      <c r="AN129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02:33:58"},{"id":29,"name":"Sharepoint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52"/>
        <v>https://d0f6bd738d7f1b3e5a7ca70fe4ff75f0.us-east-1.aws.found.io/app/kibana#/discover/Steve-Slow-Train-Analysis-(2080s-and-2083s)?_g=(refreshInterval:(display:Off,pause:!f,section:0,value:0),time:(from:'2017-12-20T17:54:49-0700',mode:absolute,to:'2017-12-20T20:33:58-0700'))&amp;_a=(columns:!('Message%20ID',Summary),filters:!(),index:'emp_*',interval:auto,query:(query_string:(analyze_wildcard:!t,query:'%22rtdc.l.rtdc.4051%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229" t="s">
        <v>850</v>
      </c>
      <c r="B130" s="225">
        <v>4044</v>
      </c>
      <c r="C130" s="227" t="s">
        <v>192</v>
      </c>
      <c r="D130" s="227" t="s">
        <v>519</v>
      </c>
      <c r="E130" s="226">
        <v>43089.75712962963</v>
      </c>
      <c r="F130" s="226">
        <v>43089.760960648149</v>
      </c>
      <c r="G130" s="225">
        <v>113</v>
      </c>
      <c r="H130" s="227" t="s">
        <v>968</v>
      </c>
      <c r="I130" s="226">
        <v>43089.787083333336</v>
      </c>
      <c r="J130" s="225">
        <v>0</v>
      </c>
      <c r="K130" s="237" t="str">
        <f t="shared" si="35"/>
        <v>4043/4044</v>
      </c>
      <c r="L130" s="245" t="str">
        <f>VLOOKUP(A130,'Trips&amp;Operators'!$C$1:$G$99911,5,FALSE)</f>
        <v>LOZA FIDEL</v>
      </c>
      <c r="M130" s="224">
        <f t="shared" si="36"/>
        <v>2.6122685187146999E-2</v>
      </c>
      <c r="N130" s="225">
        <f t="shared" si="54"/>
        <v>37.616666669491678</v>
      </c>
      <c r="O130" s="225"/>
      <c r="P130" s="225"/>
      <c r="Q130" s="228"/>
      <c r="R130" s="242"/>
      <c r="S130" s="249">
        <f t="shared" si="55"/>
        <v>1</v>
      </c>
      <c r="T130" s="242" t="str">
        <f t="shared" si="39"/>
        <v>NorthBound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40"/>
        <v>https://d0f6bd738d7f1b3e5a7ca70fe4ff75f0.us-east-1.aws.found.io/app/kibana#/discover/Steve-Slow-Train-Analysis-(2080s-and-2083s)?_g=(refreshInterval:(display:Off,pause:!f,section:0,value:0),time:(from:'2017-12-20T17:10:16-0700',mode:absolute,to:'2017-12-20T19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0" s="247" t="str">
        <f>IF(AA130&lt;VLOOKUP(AG130,Variables!$AC$3:$AD$8,2,FALSE),"Y","N")</f>
        <v>N</v>
      </c>
      <c r="X130" s="247">
        <f t="shared" si="58"/>
        <v>1</v>
      </c>
      <c r="Y130" s="247">
        <f t="shared" si="56"/>
        <v>4.4900000000000002E-2</v>
      </c>
      <c r="Z130" s="247">
        <f t="shared" si="57"/>
        <v>23.325099999999999</v>
      </c>
      <c r="AA130" s="247">
        <f t="shared" si="41"/>
        <v>23.280200000000001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 t="shared" si="42"/>
        <v>217</v>
      </c>
      <c r="AE130" s="235" t="str">
        <f t="shared" si="43"/>
        <v>aws s3 cp s3://rtdc.mdm.uploadarchive.raw/RTDC4044/ "%USERPROFILE%\AppData\Local\Temp\OnboardLogs"\RTDC4044\2017-12-20 --exclude "*" --recursive --include "*20171220*" &amp; "%USERPROFILE%\Documents\GitHub\mrs-test-scripts\Headless Mode &amp; Sideloading\WalkAndUnGZ.bat" "%USERPROFILE%\AppData\Local\Temp\OnboardLogs"\RTDC4044\2017-12-20 &amp; aws s3 cp s3://rtdc.mdm.uploadarchive.raw/RTDC4044/ "%USERPROFILE%\AppData\Local\Temp\OnboardLogs"\RTDC4044\2017-12-21 --exclude "*" --recursive --include "*20171221*" &amp; "%USERPROFILE%\Documents\GitHub\mrs-test-scripts\Headless Mode &amp; Sideloading\WalkAndUnGZ.bat" "%USERPROFILE%\AppData\Local\Temp\OnboardLogs"\RTDC4044\2017-12-21</v>
      </c>
      <c r="AF130" s="234" t="str">
        <f t="shared" si="44"/>
        <v>"C:\Program Files (x86)\AstroGrep\AstroGrep.exe" /e /r /s /spath="%USERPROFILE%\AppData\Local\Temp\OnboardLogs" /stypes="app*4044*20171221*" /stext=" 01:.+((SYSTEM_STATE.+slice.+state.+changed )|(ment ac)|(multiple cpu faults)|(system.+state.+changed )|(\[timeout)|(PRM\|1\|D)|(kpr)|(kdp)|(train st.+moving)|(\|gpps)|(penalty))"</v>
      </c>
      <c r="AG130" s="244" t="str">
        <f t="shared" si="45"/>
        <v>EC</v>
      </c>
      <c r="AH130" s="236" t="str">
        <f t="shared" si="48"/>
        <v>"%USERPROFILE%\Documents\GitHub\eaglep3\Utilities\RefineRTDCRunTimes.py" --tripid 217-20 --locoid 4044 --swversion DE.1.0.9.0 --startMP 204:449 --initTime 2017-12-20T18:10:16 --startdatetime 2017-12-20T18:15:47 --delay 113 --endMP 204:233251 --enddatetime 2017-12-20T18:53:24 --enforcementcount 0 &gt;&gt;%USERPROFILE%\Documents\GitHub\eaglep3-reporting\EC\2017-12-20-refined-times.txt</v>
      </c>
      <c r="AI130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{"issue":{"subject":"","project_id":79,"tracker_id":40,"status_id":1,"priority_id":2,"assigned_to_id":338,"start_date":"2017-12-20","description":"","custom_fields":[{"id":1,"name":"Subdivision","value":"EC"},{"id":4,"name":"Milepost","value":"23.3251"},{"id":17,"name":"Train ID","value":"217-20"},{"id":16,"name":"Locomotive ID","value":"4044"},{"id":130,"name":"Impact","value":""},{"id":150,"name":"Time of Event (Mountain Time)","value":"18:53:24"},{"id":151,"name":"Denver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3"/>
      <c r="AK130" s="231"/>
      <c r="AL130" s="231"/>
      <c r="AM130" s="240" t="str">
        <f t="shared" si="50"/>
        <v>start /low /b %USERPROFILE%\Documents\GitHub\eaglep3\Utilities\DownloadLogsFromS3.py --loco 4044 --day 2017-12-20</v>
      </c>
      <c r="AN130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01:53:24"},{"id":29,"name":"Sharepoint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52"/>
        <v>https://d0f6bd738d7f1b3e5a7ca70fe4ff75f0.us-east-1.aws.found.io/app/kibana#/discover/Steve-Slow-Train-Analysis-(2080s-and-2083s)?_g=(refreshInterval:(display:Off,pause:!f,section:0,value:0),time:(from:'2017-12-20T17:10:16-0700',mode:absolute,to:'2017-12-20T19:53:24-0700'))&amp;_a=(columns:!('Message%20ID',Summary),filters:!(),index:'emp_*',interval:auto,query:(query_string:(analyze_wildcard:!t,query:'%22rtdc.l.rtdc.4044%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229" t="s">
        <v>860</v>
      </c>
      <c r="B131" s="225">
        <v>4043</v>
      </c>
      <c r="C131" s="227" t="s">
        <v>192</v>
      </c>
      <c r="D131" s="227" t="s">
        <v>548</v>
      </c>
      <c r="E131" s="226">
        <v>43089.793321759258</v>
      </c>
      <c r="F131" s="226">
        <v>43089.800173611111</v>
      </c>
      <c r="G131" s="225">
        <v>92</v>
      </c>
      <c r="H131" s="227" t="s">
        <v>493</v>
      </c>
      <c r="I131" s="226">
        <v>43089.82534722222</v>
      </c>
      <c r="J131" s="225">
        <v>0</v>
      </c>
      <c r="K131" s="237" t="str">
        <f t="shared" si="35"/>
        <v>4043/4044</v>
      </c>
      <c r="L131" s="245" t="str">
        <f>VLOOKUP(A131,'Trips&amp;Operators'!$C$1:$G$99911,5,FALSE)</f>
        <v>LOZA FIDEL</v>
      </c>
      <c r="M131" s="224">
        <f t="shared" si="36"/>
        <v>2.5173611109494232E-2</v>
      </c>
      <c r="N131" s="225">
        <f t="shared" si="54"/>
        <v>36.249999997671694</v>
      </c>
      <c r="O131" s="225"/>
      <c r="P131" s="225"/>
      <c r="Q131" s="228"/>
      <c r="R131" s="242"/>
      <c r="S131" s="249">
        <f t="shared" si="55"/>
        <v>1</v>
      </c>
      <c r="T131" s="242" t="str">
        <f t="shared" si="39"/>
        <v>Southbound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40"/>
        <v>https://d0f6bd738d7f1b3e5a7ca70fe4ff75f0.us-east-1.aws.found.io/app/kibana#/discover/Steve-Slow-Train-Analysis-(2080s-and-2083s)?_g=(refreshInterval:(display:Off,pause:!f,section:0,value:0),time:(from:'2017-12-20T18:02:23-0700',mode:absolute,to:'2017-12-20T20:48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1" s="247" t="str">
        <f>IF(AA131&lt;VLOOKUP(AG131,Variables!$AC$3:$AD$8,2,FALSE),"Y","N")</f>
        <v>N</v>
      </c>
      <c r="X131" s="247">
        <f t="shared" si="58"/>
        <v>1</v>
      </c>
      <c r="Y131" s="247">
        <f t="shared" si="56"/>
        <v>23.293399999999998</v>
      </c>
      <c r="Z131" s="247">
        <f t="shared" si="57"/>
        <v>2.2100000000000002E-2</v>
      </c>
      <c r="AA131" s="247">
        <f t="shared" si="41"/>
        <v>23.2713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42"/>
        <v>218</v>
      </c>
      <c r="AE131" s="235" t="str">
        <f t="shared" si="43"/>
        <v>aws s3 cp s3://rtdc.mdm.uploadarchive.raw/RTDC4043/ "%USERPROFILE%\AppData\Local\Temp\OnboardLogs"\RTDC4043\2017-12-20 --exclude "*" --recursive --include "*20171220*" &amp; "%USERPROFILE%\Documents\GitHub\mrs-test-scripts\Headless Mode &amp; Sideloading\WalkAndUnGZ.bat" "%USERPROFILE%\AppData\Local\Temp\OnboardLogs"\RTDC4043\2017-12-20 &amp; aws s3 cp s3://rtdc.mdm.uploadarchive.raw/RTDC4043/ "%USERPROFILE%\AppData\Local\Temp\OnboardLogs"\RTDC4043\2017-12-21 --exclude "*" --recursive --include "*20171221*" &amp; "%USERPROFILE%\Documents\GitHub\mrs-test-scripts\Headless Mode &amp; Sideloading\WalkAndUnGZ.bat" "%USERPROFILE%\AppData\Local\Temp\OnboardLogs"\RTDC4043\2017-12-21</v>
      </c>
      <c r="AF131" s="234" t="str">
        <f t="shared" si="44"/>
        <v>"C:\Program Files (x86)\AstroGrep\AstroGrep.exe" /e /r /s /spath="%USERPROFILE%\AppData\Local\Temp\OnboardLogs" /stypes="app*4043*20171221*" /stext=" 02:.+((SYSTEM_STATE.+slice.+state.+changed )|(ment ac)|(multiple cpu faults)|(system.+state.+changed )|(\[timeout)|(PRM\|1\|D)|(kpr)|(kdp)|(train st.+moving)|(\|gpps)|(penalty))"</v>
      </c>
      <c r="AG131" s="244" t="str">
        <f t="shared" si="45"/>
        <v>EC</v>
      </c>
      <c r="AH131" s="236" t="str">
        <f t="shared" si="48"/>
        <v>"%USERPROFILE%\Documents\GitHub\eaglep3\Utilities\RefineRTDCRunTimes.py" --tripid 218-20 --locoid 4043 --swversion DE.1.0.9.0 --startMP 204:232934 --initTime 2017-12-20T19:02:23 --startdatetime 2017-12-20T19:12:15 --delay 92 --endMP 204:221 --enddatetime 2017-12-20T19:48:30 --enforcementcount 0 &gt;&gt;%USERPROFILE%\Documents\GitHub\eaglep3-reporting\EC\2017-12-20-refined-times.txt</v>
      </c>
      <c r="AI131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{"issue":{"subject":"","project_id":79,"tracker_id":40,"status_id":1,"priority_id":2,"assigned_to_id":338,"start_date":"2017-12-20","description":"","custom_fields":[{"id":1,"name":"Subdivision","value":"EC"},{"id":4,"name":"Milepost","value":"0.0221"},{"id":17,"name":"Train ID","value":"218-20"},{"id":16,"name":"Locomotive ID","value":"4043"},{"id":130,"name":"Impact","value":""},{"id":150,"name":"Time of Event (Mountain Time)","value":"19:48:30"},{"id":151,"name":"Denver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50"/>
        <v>start /low /b %USERPROFILE%\Documents\GitHub\eaglep3\Utilities\DownloadLogsFromS3.py --loco 4043 --day 2017-12-20</v>
      </c>
      <c r="AN131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02:48:30"},{"id":29,"name":"Sharepoint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52"/>
        <v>https://d0f6bd738d7f1b3e5a7ca70fe4ff75f0.us-east-1.aws.found.io/app/kibana#/discover/Steve-Slow-Train-Analysis-(2080s-and-2083s)?_g=(refreshInterval:(display:Off,pause:!f,section:0,value:0),time:(from:'2017-12-20T18:02:23-0700',mode:absolute,to:'2017-12-20T20:48:30-0700'))&amp;_a=(columns:!('Message%20ID',Summary),filters:!(),index:'emp_*',interval:auto,query:(query_string:(analyze_wildcard:!t,query:'%22rtdc.l.rtdc.4043%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229" t="s">
        <v>852</v>
      </c>
      <c r="B132" s="225">
        <v>4020</v>
      </c>
      <c r="C132" s="227" t="s">
        <v>192</v>
      </c>
      <c r="D132" s="227" t="s">
        <v>490</v>
      </c>
      <c r="E132" s="226">
        <v>43089.767071759263</v>
      </c>
      <c r="F132" s="226">
        <v>43089.770995370367</v>
      </c>
      <c r="G132" s="225">
        <v>114</v>
      </c>
      <c r="H132" s="227" t="s">
        <v>982</v>
      </c>
      <c r="I132" s="226">
        <v>43089.796238425923</v>
      </c>
      <c r="J132" s="225">
        <v>0</v>
      </c>
      <c r="K132" s="237" t="str">
        <f t="shared" si="35"/>
        <v>4019/4020</v>
      </c>
      <c r="L132" s="245" t="str">
        <f>VLOOKUP(A132,'Trips&amp;Operators'!$C$1:$G$99911,5,FALSE)</f>
        <v>MCREYNOLDS KYLE</v>
      </c>
      <c r="M132" s="224">
        <f t="shared" si="36"/>
        <v>2.5243055555620231E-2</v>
      </c>
      <c r="N132" s="225">
        <f t="shared" si="54"/>
        <v>36.350000000093132</v>
      </c>
      <c r="O132" s="225"/>
      <c r="P132" s="225"/>
      <c r="Q132" s="228"/>
      <c r="R132" s="242"/>
      <c r="S132" s="249">
        <f t="shared" si="55"/>
        <v>1</v>
      </c>
      <c r="T132" s="242" t="str">
        <f t="shared" si="39"/>
        <v>NorthBound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 t="shared" si="40"/>
        <v>https://d0f6bd738d7f1b3e5a7ca70fe4ff75f0.us-east-1.aws.found.io/app/kibana#/discover/Steve-Slow-Train-Analysis-(2080s-and-2083s)?_g=(refreshInterval:(display:Off,pause:!f,section:0,value:0),time:(from:'2017-12-20T17:24:35-0700',mode:absolute,to:'2017-12-20T20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2" s="247" t="str">
        <f>IF(AA132&lt;VLOOKUP(AG132,Variables!$AC$3:$AD$8,2,FALSE),"Y","N")</f>
        <v>N</v>
      </c>
      <c r="X132" s="247">
        <f t="shared" si="58"/>
        <v>1</v>
      </c>
      <c r="Y132" s="247">
        <f t="shared" si="56"/>
        <v>5.1700000000000003E-2</v>
      </c>
      <c r="Z132" s="247">
        <f t="shared" si="57"/>
        <v>23.325500000000002</v>
      </c>
      <c r="AA132" s="247">
        <f t="shared" si="41"/>
        <v>23.273800000000001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 t="shared" si="42"/>
        <v>219</v>
      </c>
      <c r="AE132" s="235" t="str">
        <f t="shared" si="43"/>
        <v>aws s3 cp s3://rtdc.mdm.uploadarchive.raw/RTDC4020/ "%USERPROFILE%\AppData\Local\Temp\OnboardLogs"\RTDC4020\2017-12-20 --exclude "*" --recursive --include "*20171220*" &amp; "%USERPROFILE%\Documents\GitHub\mrs-test-scripts\Headless Mode &amp; Sideloading\WalkAndUnGZ.bat" "%USERPROFILE%\AppData\Local\Temp\OnboardLogs"\RTDC4020\2017-12-20 &amp; aws s3 cp s3://rtdc.mdm.uploadarchive.raw/RTDC4020/ "%USERPROFILE%\AppData\Local\Temp\OnboardLogs"\RTDC4020\2017-12-21 --exclude "*" --recursive --include "*20171221*" &amp; "%USERPROFILE%\Documents\GitHub\mrs-test-scripts\Headless Mode &amp; Sideloading\WalkAndUnGZ.bat" "%USERPROFILE%\AppData\Local\Temp\OnboardLogs"\RTDC4020\2017-12-21</v>
      </c>
      <c r="AF132" s="234" t="str">
        <f t="shared" si="44"/>
        <v>"C:\Program Files (x86)\AstroGrep\AstroGrep.exe" /e /r /s /spath="%USERPROFILE%\AppData\Local\Temp\OnboardLogs" /stypes="app*4020*20171221*" /stext=" 02:.+((SYSTEM_STATE.+slice.+state.+changed )|(ment ac)|(multiple cpu faults)|(system.+state.+changed )|(\[timeout)|(PRM\|1\|D)|(kpr)|(kdp)|(train st.+moving)|(\|gpps)|(penalty))"</v>
      </c>
      <c r="AG132" s="244" t="str">
        <f t="shared" si="45"/>
        <v>EC</v>
      </c>
      <c r="AH132" s="236" t="str">
        <f t="shared" si="48"/>
        <v>"%USERPROFILE%\Documents\GitHub\eaglep3\Utilities\RefineRTDCRunTimes.py" --tripid 219-20 --locoid 4020 --swversion DE.1.0.9.0 --startMP 204:517 --initTime 2017-12-20T18:24:35 --startdatetime 2017-12-20T18:30:14 --delay 114 --endMP 204:233255 --enddatetime 2017-12-20T19:06:35 --enforcementcount 0 &gt;&gt;%USERPROFILE%\Documents\GitHub\eaglep3-reporting\EC\2017-12-20-refined-times.txt</v>
      </c>
      <c r="AI132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{"issue":{"subject":"","project_id":79,"tracker_id":40,"status_id":1,"priority_id":2,"assigned_to_id":338,"start_date":"2017-12-20","description":"","custom_fields":[{"id":1,"name":"Subdivision","value":"EC"},{"id":4,"name":"Milepost","value":"23.3255"},{"id":17,"name":"Train ID","value":"219-20"},{"id":16,"name":"Locomotive ID","value":"4020"},{"id":130,"name":"Impact","value":""},{"id":150,"name":"Time of Event (Mountain Time)","value":"19:06:35"},{"id":151,"name":"Denver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50"/>
        <v>start /low /b %USERPROFILE%\Documents\GitHub\eaglep3\Utilities\DownloadLogsFromS3.py --loco 4020 --day 2017-12-20</v>
      </c>
      <c r="AN132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02:06:35"},{"id":29,"name":"Sharepoint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52"/>
        <v>https://d0f6bd738d7f1b3e5a7ca70fe4ff75f0.us-east-1.aws.found.io/app/kibana#/discover/Steve-Slow-Train-Analysis-(2080s-and-2083s)?_g=(refreshInterval:(display:Off,pause:!f,section:0,value:0),time:(from:'2017-12-20T17:24:35-0700',mode:absolute,to:'2017-12-20T20:06:35-0700'))&amp;_a=(columns:!('Message%20ID',Summary),filters:!(),index:'emp_*',interval:auto,query:(query_string:(analyze_wildcard:!t,query:'%22rtdc.l.rtdc.4020%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229" t="s">
        <v>863</v>
      </c>
      <c r="B133" s="225">
        <v>4019</v>
      </c>
      <c r="C133" s="227" t="s">
        <v>192</v>
      </c>
      <c r="D133" s="227" t="s">
        <v>526</v>
      </c>
      <c r="E133" s="226">
        <v>43089.804513888892</v>
      </c>
      <c r="F133" s="226">
        <v>43089.810613425929</v>
      </c>
      <c r="G133" s="225">
        <v>67</v>
      </c>
      <c r="H133" s="227" t="s">
        <v>493</v>
      </c>
      <c r="I133" s="226">
        <v>43089.8362037037</v>
      </c>
      <c r="J133" s="225">
        <v>0</v>
      </c>
      <c r="K133" s="237" t="str">
        <f t="shared" si="35"/>
        <v>4019/4020</v>
      </c>
      <c r="L133" s="245" t="str">
        <f>VLOOKUP(A133,'Trips&amp;Operators'!$C$1:$G$99911,5,FALSE)</f>
        <v>MCREYNOLDS KYLE</v>
      </c>
      <c r="M133" s="224">
        <f t="shared" si="36"/>
        <v>2.5590277771698311E-2</v>
      </c>
      <c r="N133" s="225">
        <f t="shared" si="54"/>
        <v>36.849999991245568</v>
      </c>
      <c r="O133" s="225"/>
      <c r="P133" s="225"/>
      <c r="Q133" s="228"/>
      <c r="R133" s="242"/>
      <c r="S133" s="249">
        <f t="shared" si="55"/>
        <v>1</v>
      </c>
      <c r="T133" s="242" t="str">
        <f t="shared" si="39"/>
        <v>Southbound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40"/>
        <v>https://d0f6bd738d7f1b3e5a7ca70fe4ff75f0.us-east-1.aws.found.io/app/kibana#/discover/Steve-Slow-Train-Analysis-(2080s-and-2083s)?_g=(refreshInterval:(display:Off,pause:!f,section:0,value:0),time:(from:'2017-12-20T18:18:30-0700',mode:absolute,to:'2017-12-20T21:04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3" s="247" t="str">
        <f>IF(AA133&lt;VLOOKUP(AG133,Variables!$AC$3:$AD$8,2,FALSE),"Y","N")</f>
        <v>N</v>
      </c>
      <c r="X133" s="247">
        <f t="shared" si="58"/>
        <v>1</v>
      </c>
      <c r="Y133" s="247">
        <f t="shared" si="56"/>
        <v>23.2943</v>
      </c>
      <c r="Z133" s="247">
        <f t="shared" si="57"/>
        <v>2.2100000000000002E-2</v>
      </c>
      <c r="AA133" s="247">
        <f t="shared" si="41"/>
        <v>23.272200000000002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42"/>
        <v>220</v>
      </c>
      <c r="AE133" s="235" t="str">
        <f t="shared" si="43"/>
        <v>aws s3 cp s3://rtdc.mdm.uploadarchive.raw/RTDC4019/ "%USERPROFILE%\AppData\Local\Temp\OnboardLogs"\RTDC4019\2017-12-20 --exclude "*" --recursive --include "*20171220*" &amp; "%USERPROFILE%\Documents\GitHub\mrs-test-scripts\Headless Mode &amp; Sideloading\WalkAndUnGZ.bat" "%USERPROFILE%\AppData\Local\Temp\OnboardLogs"\RTDC4019\2017-12-20 &amp; aws s3 cp s3://rtdc.mdm.uploadarchive.raw/RTDC4019/ "%USERPROFILE%\AppData\Local\Temp\OnboardLogs"\RTDC4019\2017-12-21 --exclude "*" --recursive --include "*20171221*" &amp; "%USERPROFILE%\Documents\GitHub\mrs-test-scripts\Headless Mode &amp; Sideloading\WalkAndUnGZ.bat" "%USERPROFILE%\AppData\Local\Temp\OnboardLogs"\RTDC4019\2017-12-21</v>
      </c>
      <c r="AF133" s="234" t="str">
        <f t="shared" si="44"/>
        <v>"C:\Program Files (x86)\AstroGrep\AstroGrep.exe" /e /r /s /spath="%USERPROFILE%\AppData\Local\Temp\OnboardLogs" /stypes="app*4019*20171221*" /stext=" 03:.+((SYSTEM_STATE.+slice.+state.+changed )|(ment ac)|(multiple cpu faults)|(system.+state.+changed )|(\[timeout)|(PRM\|1\|D)|(kpr)|(kdp)|(train st.+moving)|(\|gpps)|(penalty))"</v>
      </c>
      <c r="AG133" s="244" t="str">
        <f t="shared" si="45"/>
        <v>EC</v>
      </c>
      <c r="AH133" s="236" t="str">
        <f t="shared" si="48"/>
        <v>"%USERPROFILE%\Documents\GitHub\eaglep3\Utilities\RefineRTDCRunTimes.py" --tripid 220-20 --locoid 4019 --swversion DE.1.0.9.0 --startMP 204:232943 --initTime 2017-12-20T19:18:30 --startdatetime 2017-12-20T19:27:17 --delay 67 --endMP 204:221 --enddatetime 2017-12-20T20:04:08 --enforcementcount 0 &gt;&gt;%USERPROFILE%\Documents\GitHub\eaglep3-reporting\EC\2017-12-20-refined-times.txt</v>
      </c>
      <c r="AI133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{"issue":{"subject":"","project_id":79,"tracker_id":40,"status_id":1,"priority_id":2,"assigned_to_id":338,"start_date":"2017-12-20","description":"","custom_fields":[{"id":1,"name":"Subdivision","value":"EC"},{"id":4,"name":"Milepost","value":"0.0221"},{"id":17,"name":"Train ID","value":"220-20"},{"id":16,"name":"Locomotive ID","value":"4019"},{"id":130,"name":"Impact","value":""},{"id":150,"name":"Time of Event (Mountain Time)","value":"20:04:08"},{"id":151,"name":"Denver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50"/>
        <v>start /low /b %USERPROFILE%\Documents\GitHub\eaglep3\Utilities\DownloadLogsFromS3.py --loco 4019 --day 2017-12-20</v>
      </c>
      <c r="AN133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03:04:08"},{"id":29,"name":"Sharepoint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52"/>
        <v>https://d0f6bd738d7f1b3e5a7ca70fe4ff75f0.us-east-1.aws.found.io/app/kibana#/discover/Steve-Slow-Train-Analysis-(2080s-and-2083s)?_g=(refreshInterval:(display:Off,pause:!f,section:0,value:0),time:(from:'2017-12-20T18:18:30-0700',mode:absolute,to:'2017-12-20T21:04:08-0700'))&amp;_a=(columns:!('Message%20ID',Summary),filters:!(),index:'emp_*',interval:auto,query:(query_string:(analyze_wildcard:!t,query:'%22rtdc.l.rtdc.4019%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29" t="s">
        <v>859</v>
      </c>
      <c r="B134" s="225">
        <v>4010</v>
      </c>
      <c r="C134" s="227" t="s">
        <v>192</v>
      </c>
      <c r="D134" s="227" t="s">
        <v>612</v>
      </c>
      <c r="E134" s="226">
        <v>43089.789456018516</v>
      </c>
      <c r="F134" s="226">
        <v>43089.792581018519</v>
      </c>
      <c r="G134" s="225">
        <v>87</v>
      </c>
      <c r="H134" s="227" t="s">
        <v>627</v>
      </c>
      <c r="I134" s="226">
        <v>43089.817118055558</v>
      </c>
      <c r="J134" s="225">
        <v>0</v>
      </c>
      <c r="K134" s="237" t="str">
        <f t="shared" si="35"/>
        <v>4009/4010</v>
      </c>
      <c r="L134" s="245" t="str">
        <f>VLOOKUP(A134,'Trips&amp;Operators'!$C$1:$G$99911,5,FALSE)</f>
        <v>NICHOLSON WESLEY</v>
      </c>
      <c r="M134" s="224">
        <f t="shared" si="36"/>
        <v>2.453703703940846E-2</v>
      </c>
      <c r="N134" s="225">
        <f t="shared" si="54"/>
        <v>35.333333336748183</v>
      </c>
      <c r="O134" s="225"/>
      <c r="P134" s="225"/>
      <c r="Q134" s="228"/>
      <c r="R134" s="242"/>
      <c r="S134" s="249">
        <f t="shared" si="55"/>
        <v>1</v>
      </c>
      <c r="T134" s="242" t="str">
        <f t="shared" si="39"/>
        <v>NorthBound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40"/>
        <v>https://d0f6bd738d7f1b3e5a7ca70fe4ff75f0.us-east-1.aws.found.io/app/kibana#/discover/Steve-Slow-Train-Analysis-(2080s-and-2083s)?_g=(refreshInterval:(display:Off,pause:!f,section:0,value:0),time:(from:'2017-12-20T17:56:49-0700',mode:absolute,to:'2017-12-20T20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4" s="247" t="str">
        <f>IF(AA134&lt;VLOOKUP(AG134,Variables!$AC$3:$AD$8,2,FALSE),"Y","N")</f>
        <v>N</v>
      </c>
      <c r="X134" s="247">
        <f t="shared" si="58"/>
        <v>1</v>
      </c>
      <c r="Y134" s="247">
        <f t="shared" si="56"/>
        <v>4.9099999999999998E-2</v>
      </c>
      <c r="Z134" s="247">
        <f t="shared" si="57"/>
        <v>23.319299999999998</v>
      </c>
      <c r="AA134" s="247">
        <f t="shared" si="41"/>
        <v>23.270199999999999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42"/>
        <v>221</v>
      </c>
      <c r="AE134" s="235" t="str">
        <f t="shared" si="43"/>
        <v>aws s3 cp s3://rtdc.mdm.uploadarchive.raw/RTDC4010/ "%USERPROFILE%\AppData\Local\Temp\OnboardLogs"\RTDC4010\2017-12-20 --exclude "*" --recursive --include "*20171220*" &amp; "%USERPROFILE%\Documents\GitHub\mrs-test-scripts\Headless Mode &amp; Sideloading\WalkAndUnGZ.bat" "%USERPROFILE%\AppData\Local\Temp\OnboardLogs"\RTDC4010\2017-12-20 &amp; aws s3 cp s3://rtdc.mdm.uploadarchive.raw/RTDC4010/ "%USERPROFILE%\AppData\Local\Temp\OnboardLogs"\RTDC4010\2017-12-21 --exclude "*" --recursive --include "*20171221*" &amp; "%USERPROFILE%\Documents\GitHub\mrs-test-scripts\Headless Mode &amp; Sideloading\WalkAndUnGZ.bat" "%USERPROFILE%\AppData\Local\Temp\OnboardLogs"\RTDC4010\2017-12-21</v>
      </c>
      <c r="AF134" s="234" t="str">
        <f t="shared" si="44"/>
        <v>"C:\Program Files (x86)\AstroGrep\AstroGrep.exe" /e /r /s /spath="%USERPROFILE%\AppData\Local\Temp\OnboardLogs" /stypes="app*4010*20171221*" /stext=" 02:.+((SYSTEM_STATE.+slice.+state.+changed )|(ment ac)|(multiple cpu faults)|(system.+state.+changed )|(\[timeout)|(PRM\|1\|D)|(kpr)|(kdp)|(train st.+moving)|(\|gpps)|(penalty))"</v>
      </c>
      <c r="AG134" s="244" t="str">
        <f t="shared" si="45"/>
        <v>EC</v>
      </c>
      <c r="AH134" s="236" t="str">
        <f t="shared" si="48"/>
        <v>"%USERPROFILE%\Documents\GitHub\eaglep3\Utilities\RefineRTDCRunTimes.py" --tripid 221-20 --locoid 4010 --swversion DE.1.0.9.0 --startMP 204:491 --initTime 2017-12-20T18:56:49 --startdatetime 2017-12-20T19:01:19 --delay 87 --endMP 204:233193 --enddatetime 2017-12-20T19:36:39 --enforcementcount 0 &gt;&gt;%USERPROFILE%\Documents\GitHub\eaglep3-reporting\EC\2017-12-20-refined-times.txt</v>
      </c>
      <c r="AI134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{"issue":{"subject":"","project_id":79,"tracker_id":40,"status_id":1,"priority_id":2,"assigned_to_id":338,"start_date":"2017-12-20","description":"","custom_fields":[{"id":1,"name":"Subdivision","value":"EC"},{"id":4,"name":"Milepost","value":"23.3193"},{"id":17,"name":"Train ID","value":"221-20"},{"id":16,"name":"Locomotive ID","value":"4010"},{"id":130,"name":"Impact","value":""},{"id":150,"name":"Time of Event (Mountain Time)","value":"19:36:39"},{"id":151,"name":"Denver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50"/>
        <v>start /low /b %USERPROFILE%\Documents\GitHub\eaglep3\Utilities\DownloadLogsFromS3.py --loco 4010 --day 2017-12-20</v>
      </c>
      <c r="AN134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02:36:39"},{"id":29,"name":"Sharepoint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52"/>
        <v>https://d0f6bd738d7f1b3e5a7ca70fe4ff75f0.us-east-1.aws.found.io/app/kibana#/discover/Steve-Slow-Train-Analysis-(2080s-and-2083s)?_g=(refreshInterval:(display:Off,pause:!f,section:0,value:0),time:(from:'2017-12-20T17:56:49-0700',mode:absolute,to:'2017-12-20T20:36:39-0700'))&amp;_a=(columns:!('Message%20ID',Summary),filters:!(),index:'emp_*',interval:auto,query:(query_string:(analyze_wildcard:!t,query:'%22rtdc.l.rtdc.4010%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3" customFormat="1" x14ac:dyDescent="0.25">
      <c r="A135" s="229" t="s">
        <v>867</v>
      </c>
      <c r="B135" s="225">
        <v>4009</v>
      </c>
      <c r="C135" s="227" t="s">
        <v>192</v>
      </c>
      <c r="D135" s="227" t="s">
        <v>983</v>
      </c>
      <c r="E135" s="226">
        <v>43089.822754629633</v>
      </c>
      <c r="F135" s="226">
        <v>43089.831446759257</v>
      </c>
      <c r="G135" s="225">
        <v>73</v>
      </c>
      <c r="H135" s="227" t="s">
        <v>616</v>
      </c>
      <c r="I135" s="226">
        <v>43089.858530092592</v>
      </c>
      <c r="J135" s="225">
        <v>0</v>
      </c>
      <c r="K135" s="237" t="str">
        <f t="shared" si="35"/>
        <v>4009/4010</v>
      </c>
      <c r="L135" s="245" t="str">
        <f>VLOOKUP(A135,'Trips&amp;Operators'!$C$1:$G$99911,5,FALSE)</f>
        <v>NICHOLSON WESLEY</v>
      </c>
      <c r="M135" s="224">
        <f t="shared" si="36"/>
        <v>2.7083333334303461E-2</v>
      </c>
      <c r="N135" s="225">
        <f t="shared" si="54"/>
        <v>39.000000001396984</v>
      </c>
      <c r="O135" s="225"/>
      <c r="P135" s="225"/>
      <c r="Q135" s="228"/>
      <c r="R135" s="242"/>
      <c r="S135" s="249">
        <f t="shared" si="55"/>
        <v>1</v>
      </c>
      <c r="T135" s="242" t="str">
        <f t="shared" si="39"/>
        <v>Southbound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40"/>
        <v>https://d0f6bd738d7f1b3e5a7ca70fe4ff75f0.us-east-1.aws.found.io/app/kibana#/discover/Steve-Slow-Train-Analysis-(2080s-and-2083s)?_g=(refreshInterval:(display:Off,pause:!f,section:0,value:0),time:(from:'2017-12-20T18:44:46-0700',mode:absolute,to:'2017-12-20T21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5" s="247" t="str">
        <f>IF(AA135&lt;VLOOKUP(AG135,Variables!$AC$3:$AD$8,2,FALSE),"Y","N")</f>
        <v>N</v>
      </c>
      <c r="X135" s="247">
        <f t="shared" si="58"/>
        <v>1</v>
      </c>
      <c r="Y135" s="247">
        <f t="shared" si="56"/>
        <v>23.287099999999999</v>
      </c>
      <c r="Z135" s="247">
        <f t="shared" si="57"/>
        <v>2.4500000000000001E-2</v>
      </c>
      <c r="AA135" s="247">
        <f t="shared" si="41"/>
        <v>23.262599999999999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42"/>
        <v>222</v>
      </c>
      <c r="AE135" s="235" t="str">
        <f t="shared" si="43"/>
        <v>aws s3 cp s3://rtdc.mdm.uploadarchive.raw/RTDC4009/ "%USERPROFILE%\AppData\Local\Temp\OnboardLogs"\RTDC4009\2017-12-20 --exclude "*" --recursive --include "*20171220*" &amp; "%USERPROFILE%\Documents\GitHub\mrs-test-scripts\Headless Mode &amp; Sideloading\WalkAndUnGZ.bat" "%USERPROFILE%\AppData\Local\Temp\OnboardLogs"\RTDC4009\2017-12-20 &amp; aws s3 cp s3://rtdc.mdm.uploadarchive.raw/RTDC4009/ "%USERPROFILE%\AppData\Local\Temp\OnboardLogs"\RTDC4009\2017-12-21 --exclude "*" --recursive --include "*20171221*" &amp; "%USERPROFILE%\Documents\GitHub\mrs-test-scripts\Headless Mode &amp; Sideloading\WalkAndUnGZ.bat" "%USERPROFILE%\AppData\Local\Temp\OnboardLogs"\RTDC4009\2017-12-21</v>
      </c>
      <c r="AF135" s="234" t="str">
        <f t="shared" si="44"/>
        <v>"C:\Program Files (x86)\AstroGrep\AstroGrep.exe" /e /r /s /spath="%USERPROFILE%\AppData\Local\Temp\OnboardLogs" /stypes="app*4009*20171221*" /stext=" 03:.+((SYSTEM_STATE.+slice.+state.+changed )|(ment ac)|(multiple cpu faults)|(system.+state.+changed )|(\[timeout)|(PRM\|1\|D)|(kpr)|(kdp)|(train st.+moving)|(\|gpps)|(penalty))"</v>
      </c>
      <c r="AG135" s="244" t="str">
        <f t="shared" si="45"/>
        <v>EC</v>
      </c>
      <c r="AH135" s="236" t="str">
        <f t="shared" si="48"/>
        <v>"%USERPROFILE%\Documents\GitHub\eaglep3\Utilities\RefineRTDCRunTimes.py" --tripid 222-20 --locoid 4009 --swversion DE.1.0.9.0 --startMP 204:232871 --initTime 2017-12-20T19:44:46 --startdatetime 2017-12-20T19:57:17 --delay 73 --endMP 204:245 --enddatetime 2017-12-20T20:36:17 --enforcementcount 0 &gt;&gt;%USERPROFILE%\Documents\GitHub\eaglep3-reporting\EC\2017-12-20-refined-times.txt</v>
      </c>
      <c r="AI135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{"issue":{"subject":"","project_id":79,"tracker_id":40,"status_id":1,"priority_id":2,"assigned_to_id":338,"start_date":"2017-12-20","description":"","custom_fields":[{"id":1,"name":"Subdivision","value":"EC"},{"id":4,"name":"Milepost","value":"0.0245"},{"id":17,"name":"Train ID","value":"222-20"},{"id":16,"name":"Locomotive ID","value":"4009"},{"id":130,"name":"Impact","value":""},{"id":150,"name":"Time of Event (Mountain Time)","value":"20:36:17"},{"id":151,"name":"Denver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1"/>
      <c r="AL135" s="231"/>
      <c r="AM135" s="240" t="str">
        <f t="shared" si="50"/>
        <v>start /low /b %USERPROFILE%\Documents\GitHub\eaglep3\Utilities\DownloadLogsFromS3.py --loco 4009 --day 2017-12-20</v>
      </c>
      <c r="AN135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03:36:17"},{"id":29,"name":"Sharepoint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52"/>
        <v>https://d0f6bd738d7f1b3e5a7ca70fe4ff75f0.us-east-1.aws.found.io/app/kibana#/discover/Steve-Slow-Train-Analysis-(2080s-and-2083s)?_g=(refreshInterval:(display:Off,pause:!f,section:0,value:0),time:(from:'2017-12-20T18:44:46-0700',mode:absolute,to:'2017-12-20T21:36:17-0700'))&amp;_a=(columns:!('Message%20ID',Summary),filters:!(),index:'emp_*',interval:auto,query:(query_string:(analyze_wildcard:!t,query:'%22rtdc.l.rtdc.4009%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3" customFormat="1" x14ac:dyDescent="0.25">
      <c r="A136" s="229" t="s">
        <v>864</v>
      </c>
      <c r="B136" s="225">
        <v>4062</v>
      </c>
      <c r="C136" s="227" t="s">
        <v>192</v>
      </c>
      <c r="D136" s="227" t="s">
        <v>524</v>
      </c>
      <c r="E136" s="226">
        <v>43089.808749999997</v>
      </c>
      <c r="F136" s="226">
        <v>43089.812731481485</v>
      </c>
      <c r="G136" s="225">
        <v>103</v>
      </c>
      <c r="H136" s="227" t="s">
        <v>937</v>
      </c>
      <c r="I136" s="226">
        <v>43089.837037037039</v>
      </c>
      <c r="J136" s="225">
        <v>0</v>
      </c>
      <c r="K136" s="237" t="str">
        <f t="shared" si="35"/>
        <v>4061/4062</v>
      </c>
      <c r="L136" s="245" t="str">
        <f>VLOOKUP(A136,'Trips&amp;Operators'!$C$1:$G$99911,5,FALSE)</f>
        <v>RESPASS AARON</v>
      </c>
      <c r="M136" s="224">
        <f t="shared" si="36"/>
        <v>2.4305555554747116E-2</v>
      </c>
      <c r="N136" s="225">
        <f t="shared" si="54"/>
        <v>34.999999998835847</v>
      </c>
      <c r="O136" s="225"/>
      <c r="P136" s="225"/>
      <c r="Q136" s="228"/>
      <c r="R136" s="242"/>
      <c r="S136" s="249">
        <f t="shared" si="55"/>
        <v>1</v>
      </c>
      <c r="T136" s="242" t="str">
        <f t="shared" si="39"/>
        <v>NorthBound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40"/>
        <v>https://d0f6bd738d7f1b3e5a7ca70fe4ff75f0.us-east-1.aws.found.io/app/kibana#/discover/Steve-Slow-Train-Analysis-(2080s-and-2083s)?_g=(refreshInterval:(display:Off,pause:!f,section:0,value:0),time:(from:'2017-12-20T18:24:36-0700',mode:absolute,to:'2017-12-20T21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6" s="247" t="str">
        <f>IF(AA136&lt;VLOOKUP(AG136,Variables!$AC$3:$AD$8,2,FALSE),"Y","N")</f>
        <v>N</v>
      </c>
      <c r="X136" s="247">
        <f t="shared" si="58"/>
        <v>1</v>
      </c>
      <c r="Y136" s="247">
        <f t="shared" si="56"/>
        <v>5.3999999999999999E-2</v>
      </c>
      <c r="Z136" s="247">
        <f t="shared" si="57"/>
        <v>23.324400000000001</v>
      </c>
      <c r="AA136" s="247">
        <f t="shared" si="41"/>
        <v>23.270400000000002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 t="shared" si="42"/>
        <v>223</v>
      </c>
      <c r="AE136" s="235" t="str">
        <f t="shared" si="43"/>
        <v>aws s3 cp s3://rtdc.mdm.uploadarchive.raw/RTDC4062/ "%USERPROFILE%\AppData\Local\Temp\OnboardLogs"\RTDC4062\2017-12-20 --exclude "*" --recursive --include "*20171220*" &amp; "%USERPROFILE%\Documents\GitHub\mrs-test-scripts\Headless Mode &amp; Sideloading\WalkAndUnGZ.bat" "%USERPROFILE%\AppData\Local\Temp\OnboardLogs"\RTDC4062\2017-12-20 &amp; aws s3 cp s3://rtdc.mdm.uploadarchive.raw/RTDC4062/ "%USERPROFILE%\AppData\Local\Temp\OnboardLogs"\RTDC4062\2017-12-21 --exclude "*" --recursive --include "*20171221*" &amp; "%USERPROFILE%\Documents\GitHub\mrs-test-scripts\Headless Mode &amp; Sideloading\WalkAndUnGZ.bat" "%USERPROFILE%\AppData\Local\Temp\OnboardLogs"\RTDC4062\2017-12-21</v>
      </c>
      <c r="AF136" s="234" t="str">
        <f t="shared" si="44"/>
        <v>"C:\Program Files (x86)\AstroGrep\AstroGrep.exe" /e /r /s /spath="%USERPROFILE%\AppData\Local\Temp\OnboardLogs" /stypes="app*4062*20171221*" /stext=" 03:.+((SYSTEM_STATE.+slice.+state.+changed )|(ment ac)|(multiple cpu faults)|(system.+state.+changed )|(\[timeout)|(PRM\|1\|D)|(kpr)|(kdp)|(train st.+moving)|(\|gpps)|(penalty))"</v>
      </c>
      <c r="AG136" s="244" t="str">
        <f t="shared" si="45"/>
        <v>EC</v>
      </c>
      <c r="AH136" s="236" t="str">
        <f t="shared" si="48"/>
        <v>"%USERPROFILE%\Documents\GitHub\eaglep3\Utilities\RefineRTDCRunTimes.py" --tripid 223-20 --locoid 4062 --swversion DE.1.0.9.0 --startMP 204:540 --initTime 2017-12-20T19:24:36 --startdatetime 2017-12-20T19:30:20 --delay 103 --endMP 204:233244 --enddatetime 2017-12-20T20:05:20 --enforcementcount 0 &gt;&gt;%USERPROFILE%\Documents\GitHub\eaglep3-reporting\EC\2017-12-20-refined-times.txt</v>
      </c>
      <c r="AI136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{"issue":{"subject":"","project_id":79,"tracker_id":40,"status_id":1,"priority_id":2,"assigned_to_id":338,"start_date":"2017-12-20","description":"","custom_fields":[{"id":1,"name":"Subdivision","value":"EC"},{"id":4,"name":"Milepost","value":"23.3244"},{"id":17,"name":"Train ID","value":"223-20"},{"id":16,"name":"Locomotive ID","value":"4062"},{"id":130,"name":"Impact","value":""},{"id":150,"name":"Time of Event (Mountain Time)","value":"20:05:20"},{"id":151,"name":"Denver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1"/>
      <c r="AL136" s="231"/>
      <c r="AM136" s="240" t="str">
        <f t="shared" si="50"/>
        <v>start /low /b %USERPROFILE%\Documents\GitHub\eaglep3\Utilities\DownloadLogsFromS3.py --loco 4062 --day 2017-12-20</v>
      </c>
      <c r="AN136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03:05:20"},{"id":29,"name":"Sharepoint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52"/>
        <v>https://d0f6bd738d7f1b3e5a7ca70fe4ff75f0.us-east-1.aws.found.io/app/kibana#/discover/Steve-Slow-Train-Analysis-(2080s-and-2083s)?_g=(refreshInterval:(display:Off,pause:!f,section:0,value:0),time:(from:'2017-12-20T18:24:36-0700',mode:absolute,to:'2017-12-20T21:05:20-0700'))&amp;_a=(columns:!('Message%20ID',Summary),filters:!(),index:'emp_*',interval:auto,query:(query_string:(analyze_wildcard:!t,query:'%22rtdc.l.rtdc.4062%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29" t="s">
        <v>669</v>
      </c>
      <c r="B137" s="225">
        <v>4061</v>
      </c>
      <c r="C137" s="227" t="s">
        <v>192</v>
      </c>
      <c r="D137" s="227" t="s">
        <v>984</v>
      </c>
      <c r="E137" s="226">
        <v>43089.841608796298</v>
      </c>
      <c r="F137" s="226">
        <v>43089.852233796293</v>
      </c>
      <c r="G137" s="225">
        <v>45</v>
      </c>
      <c r="H137" s="227" t="s">
        <v>616</v>
      </c>
      <c r="I137" s="226">
        <v>43089.878842592596</v>
      </c>
      <c r="J137" s="225">
        <v>0</v>
      </c>
      <c r="K137" s="237" t="str">
        <f t="shared" si="35"/>
        <v>4061/4062</v>
      </c>
      <c r="L137" s="245" t="str">
        <f>VLOOKUP(A137,'Trips&amp;Operators'!$C$1:$G$99911,5,FALSE)</f>
        <v>RESPASS AARON</v>
      </c>
      <c r="M137" s="224">
        <f t="shared" si="36"/>
        <v>2.6608796302753035E-2</v>
      </c>
      <c r="N137" s="225">
        <f t="shared" si="54"/>
        <v>38.31666667596437</v>
      </c>
      <c r="O137" s="225"/>
      <c r="P137" s="225"/>
      <c r="Q137" s="228"/>
      <c r="R137" s="242"/>
      <c r="S137" s="249">
        <f t="shared" si="55"/>
        <v>1</v>
      </c>
      <c r="T137" s="242" t="str">
        <f t="shared" si="39"/>
        <v>Southbound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40"/>
        <v>https://d0f6bd738d7f1b3e5a7ca70fe4ff75f0.us-east-1.aws.found.io/app/kibana#/discover/Steve-Slow-Train-Analysis-(2080s-and-2083s)?_g=(refreshInterval:(display:Off,pause:!f,section:0,value:0),time:(from:'2017-12-20T19:11:55-0700',mode:absolute,to:'2017-12-20T22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7" s="247" t="str">
        <f>IF(AA137&lt;VLOOKUP(AG137,Variables!$AC$3:$AD$8,2,FALSE),"Y","N")</f>
        <v>N</v>
      </c>
      <c r="X137" s="247">
        <f t="shared" si="58"/>
        <v>1</v>
      </c>
      <c r="Y137" s="247">
        <f t="shared" si="56"/>
        <v>23.2926</v>
      </c>
      <c r="Z137" s="247">
        <f t="shared" si="57"/>
        <v>2.4500000000000001E-2</v>
      </c>
      <c r="AA137" s="247">
        <f t="shared" si="41"/>
        <v>23.2681</v>
      </c>
      <c r="AB137" s="233" t="str">
        <f>VLOOKUP(A137,Enforcements!$C$7:$K$9,8,0)</f>
        <v>Bulletin (2)</v>
      </c>
      <c r="AC137" s="232" t="str">
        <f>VLOOKUP(A137,Enforcements!$C$7:$E$9,3,0)</f>
        <v>GRADE CROSSING</v>
      </c>
      <c r="AD137" s="243">
        <f t="shared" si="42"/>
        <v>224</v>
      </c>
      <c r="AE137" s="235" t="str">
        <f t="shared" si="43"/>
        <v>aws s3 cp s3://rtdc.mdm.uploadarchive.raw/RTDC4061/ "%USERPROFILE%\AppData\Local\Temp\OnboardLogs"\RTDC4061\2017-12-20 --exclude "*" --recursive --include "*20171220*" &amp; "%USERPROFILE%\Documents\GitHub\mrs-test-scripts\Headless Mode &amp; Sideloading\WalkAndUnGZ.bat" "%USERPROFILE%\AppData\Local\Temp\OnboardLogs"\RTDC4061\2017-12-20 &amp; aws s3 cp s3://rtdc.mdm.uploadarchive.raw/RTDC4061/ "%USERPROFILE%\AppData\Local\Temp\OnboardLogs"\RTDC4061\2017-12-21 --exclude "*" --recursive --include "*20171221*" &amp; "%USERPROFILE%\Documents\GitHub\mrs-test-scripts\Headless Mode &amp; Sideloading\WalkAndUnGZ.bat" "%USERPROFILE%\AppData\Local\Temp\OnboardLogs"\RTDC4061\2017-12-21</v>
      </c>
      <c r="AF137" s="234" t="str">
        <f t="shared" si="44"/>
        <v>"C:\Program Files (x86)\AstroGrep\AstroGrep.exe" /e /r /s /spath="%USERPROFILE%\AppData\Local\Temp\OnboardLogs" /stypes="app*4061*20171221*" /stext=" 04:.+((SYSTEM_STATE.+slice.+state.+changed )|(ment ac)|(multiple cpu faults)|(system.+state.+changed )|(\[timeout)|(PRM\|1\|D)|(kpr)|(kdp)|(train st.+moving)|(\|gpps)|(penalty))"</v>
      </c>
      <c r="AG137" s="244" t="str">
        <f t="shared" si="45"/>
        <v>EC</v>
      </c>
      <c r="AH137" s="236" t="str">
        <f t="shared" si="48"/>
        <v>"%USERPROFILE%\Documents\GitHub\eaglep3\Utilities\RefineRTDCRunTimes.py" --tripid 224-20 --locoid 4061 --swversion DE.1.0.9.0 --startMP 204:232926 --initTime 2017-12-20T20:11:55 --startdatetime 2017-12-20T20:27:13 --delay 45 --endMP 204:245 --enddatetime 2017-12-20T21:05:32 --enforcementcount 0 &gt;&gt;%USERPROFILE%\Documents\GitHub\eaglep3-reporting\EC\2017-12-20-refined-times.txt</v>
      </c>
      <c r="AI137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{"issue":{"subject":"","project_id":79,"tracker_id":40,"status_id":1,"priority_id":2,"assigned_to_id":338,"start_date":"2017-12-20","description":"","custom_fields":[{"id":1,"name":"Subdivision","value":"EC"},{"id":4,"name":"Milepost","value":"0.0245"},{"id":17,"name":"Train ID","value":"224-20"},{"id":16,"name":"Locomotive ID","value":"4061"},{"id":130,"name":"Impact","value":""},{"id":150,"name":"Time of Event (Mountain Time)","value":"21:05:32"},{"id":151,"name":"Denver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50"/>
        <v>start /low /b %USERPROFILE%\Documents\GitHub\eaglep3\Utilities\DownloadLogsFromS3.py --loco 4061 --day 2017-12-20</v>
      </c>
      <c r="AN137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04:05:32"},{"id":29,"name":"Sharepoint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52"/>
        <v>https://d0f6bd738d7f1b3e5a7ca70fe4ff75f0.us-east-1.aws.found.io/app/kibana#/discover/Steve-Slow-Train-Analysis-(2080s-and-2083s)?_g=(refreshInterval:(display:Off,pause:!f,section:0,value:0),time:(from:'2017-12-20T19:11:55-0700',mode:absolute,to:'2017-12-20T22:05:32-0700'))&amp;_a=(columns:!('Message%20ID',Summary),filters:!(),index:'emp_*',interval:auto,query:(query_string:(analyze_wildcard:!t,query:'%22rtdc.l.rtdc.4061%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29" t="s">
        <v>868</v>
      </c>
      <c r="B138" s="225">
        <v>4044</v>
      </c>
      <c r="C138" s="227" t="s">
        <v>192</v>
      </c>
      <c r="D138" s="227" t="s">
        <v>628</v>
      </c>
      <c r="E138" s="226">
        <v>43089.830740740741</v>
      </c>
      <c r="F138" s="226">
        <v>43089.833726851852</v>
      </c>
      <c r="G138" s="225">
        <v>68</v>
      </c>
      <c r="H138" s="227" t="s">
        <v>985</v>
      </c>
      <c r="I138" s="226">
        <v>43089.857442129629</v>
      </c>
      <c r="J138" s="225">
        <v>0</v>
      </c>
      <c r="K138" s="237" t="str">
        <f t="shared" si="35"/>
        <v>4043/4044</v>
      </c>
      <c r="L138" s="245" t="str">
        <f>VLOOKUP(A138,'Trips&amp;Operators'!$C$1:$G$99911,5,FALSE)</f>
        <v>LOZA FIDEL</v>
      </c>
      <c r="M138" s="224">
        <f t="shared" si="36"/>
        <v>2.3715277777228039E-2</v>
      </c>
      <c r="N138" s="225">
        <f t="shared" si="54"/>
        <v>34.149999999208376</v>
      </c>
      <c r="O138" s="225"/>
      <c r="P138" s="225"/>
      <c r="Q138" s="228"/>
      <c r="R138" s="242"/>
      <c r="S138" s="249">
        <f t="shared" si="55"/>
        <v>1</v>
      </c>
      <c r="T138" s="242" t="str">
        <f t="shared" si="39"/>
        <v>NorthBound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40"/>
        <v>https://d0f6bd738d7f1b3e5a7ca70fe4ff75f0.us-east-1.aws.found.io/app/kibana#/discover/Steve-Slow-Train-Analysis-(2080s-and-2083s)?_g=(refreshInterval:(display:Off,pause:!f,section:0,value:0),time:(from:'2017-12-20T18:56:16-0700',mode:absolute,to:'2017-12-20T21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8" s="247" t="str">
        <f>IF(AA138&lt;VLOOKUP(AG138,Variables!$AC$3:$AD$8,2,FALSE),"Y","N")</f>
        <v>N</v>
      </c>
      <c r="X138" s="247">
        <f t="shared" si="58"/>
        <v>1</v>
      </c>
      <c r="Y138" s="247">
        <f t="shared" si="56"/>
        <v>5.2900000000000003E-2</v>
      </c>
      <c r="Z138" s="247">
        <f t="shared" si="57"/>
        <v>23.3263</v>
      </c>
      <c r="AA138" s="247">
        <f t="shared" si="41"/>
        <v>23.273399999999999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42"/>
        <v>225</v>
      </c>
      <c r="AE138" s="235" t="str">
        <f t="shared" si="43"/>
        <v>aws s3 cp s3://rtdc.mdm.uploadarchive.raw/RTDC4044/ "%USERPROFILE%\AppData\Local\Temp\OnboardLogs"\RTDC4044\2017-12-20 --exclude "*" --recursive --include "*20171220*" &amp; "%USERPROFILE%\Documents\GitHub\mrs-test-scripts\Headless Mode &amp; Sideloading\WalkAndUnGZ.bat" "%USERPROFILE%\AppData\Local\Temp\OnboardLogs"\RTDC4044\2017-12-20 &amp; aws s3 cp s3://rtdc.mdm.uploadarchive.raw/RTDC4044/ "%USERPROFILE%\AppData\Local\Temp\OnboardLogs"\RTDC4044\2017-12-21 --exclude "*" --recursive --include "*20171221*" &amp; "%USERPROFILE%\Documents\GitHub\mrs-test-scripts\Headless Mode &amp; Sideloading\WalkAndUnGZ.bat" "%USERPROFILE%\AppData\Local\Temp\OnboardLogs"\RTDC4044\2017-12-21</v>
      </c>
      <c r="AF138" s="234" t="str">
        <f t="shared" si="44"/>
        <v>"C:\Program Files (x86)\AstroGrep\AstroGrep.exe" /e /r /s /spath="%USERPROFILE%\AppData\Local\Temp\OnboardLogs" /stypes="app*4044*20171221*" /stext=" 03:.+((SYSTEM_STATE.+slice.+state.+changed )|(ment ac)|(multiple cpu faults)|(system.+state.+changed )|(\[timeout)|(PRM\|1\|D)|(kpr)|(kdp)|(train st.+moving)|(\|gpps)|(penalty))"</v>
      </c>
      <c r="AG138" s="244" t="str">
        <f t="shared" si="45"/>
        <v>EC</v>
      </c>
      <c r="AH138" s="236" t="str">
        <f t="shared" si="48"/>
        <v>"%USERPROFILE%\Documents\GitHub\eaglep3\Utilities\RefineRTDCRunTimes.py" --tripid 225-20 --locoid 4044 --swversion DE.1.0.9.0 --startMP 204:529 --initTime 2017-12-20T19:56:16 --startdatetime 2017-12-20T20:00:34 --delay 68 --endMP 204:233263 --enddatetime 2017-12-20T20:34:43 --enforcementcount 0 &gt;&gt;%USERPROFILE%\Documents\GitHub\eaglep3-reporting\EC\2017-12-20-refined-times.txt</v>
      </c>
      <c r="AI138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{"issue":{"subject":"","project_id":79,"tracker_id":40,"status_id":1,"priority_id":2,"assigned_to_id":338,"start_date":"2017-12-20","description":"","custom_fields":[{"id":1,"name":"Subdivision","value":"EC"},{"id":4,"name":"Milepost","value":"23.3263"},{"id":17,"name":"Train ID","value":"225-20"},{"id":16,"name":"Locomotive ID","value":"4044"},{"id":130,"name":"Impact","value":""},{"id":150,"name":"Time of Event (Mountain Time)","value":"20:34:43"},{"id":151,"name":"Denver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50"/>
        <v>start /low /b %USERPROFILE%\Documents\GitHub\eaglep3\Utilities\DownloadLogsFromS3.py --loco 4044 --day 2017-12-20</v>
      </c>
      <c r="AN138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03:34:43"},{"id":29,"name":"Sharepoint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52"/>
        <v>https://d0f6bd738d7f1b3e5a7ca70fe4ff75f0.us-east-1.aws.found.io/app/kibana#/discover/Steve-Slow-Train-Analysis-(2080s-and-2083s)?_g=(refreshInterval:(display:Off,pause:!f,section:0,value:0),time:(from:'2017-12-20T18:56:16-0700',mode:absolute,to:'2017-12-20T21:34:43-0700'))&amp;_a=(columns:!('Message%20ID',Summary),filters:!(),index:'emp_*',interval:auto,query:(query_string:(analyze_wildcard:!t,query:'%22rtdc.l.rtdc.4044%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29" t="s">
        <v>873</v>
      </c>
      <c r="B139" s="225">
        <v>4043</v>
      </c>
      <c r="C139" s="227" t="s">
        <v>192</v>
      </c>
      <c r="D139" s="227" t="s">
        <v>626</v>
      </c>
      <c r="E139" s="226">
        <v>43089.867777777778</v>
      </c>
      <c r="F139" s="226">
        <v>43089.873229166667</v>
      </c>
      <c r="G139" s="225">
        <v>66</v>
      </c>
      <c r="H139" s="227" t="s">
        <v>986</v>
      </c>
      <c r="I139" s="226">
        <v>43089.898726851854</v>
      </c>
      <c r="J139" s="225">
        <v>0</v>
      </c>
      <c r="K139" s="237" t="str">
        <f t="shared" si="35"/>
        <v>4043/4044</v>
      </c>
      <c r="L139" s="245" t="str">
        <f>VLOOKUP(A139,'Trips&amp;Operators'!$C$1:$G$99911,5,FALSE)</f>
        <v>LOZA FIDEL</v>
      </c>
      <c r="M139" s="224">
        <f t="shared" si="36"/>
        <v>2.5497685186564922E-2</v>
      </c>
      <c r="N139" s="225">
        <f t="shared" si="54"/>
        <v>36.716666668653488</v>
      </c>
      <c r="O139" s="225"/>
      <c r="P139" s="225"/>
      <c r="Q139" s="228"/>
      <c r="R139" s="242"/>
      <c r="S139" s="249">
        <f t="shared" si="55"/>
        <v>1</v>
      </c>
      <c r="T139" s="242" t="str">
        <f t="shared" si="39"/>
        <v>Southbound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40"/>
        <v>https://d0f6bd738d7f1b3e5a7ca70fe4ff75f0.us-east-1.aws.found.io/app/kibana#/discover/Steve-Slow-Train-Analysis-(2080s-and-2083s)?_g=(refreshInterval:(display:Off,pause:!f,section:0,value:0),time:(from:'2017-12-20T19:49:36-0700',mode:absolute,to:'2017-12-20T22:34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9" s="247" t="str">
        <f>IF(AA139&lt;VLOOKUP(AG139,Variables!$AC$3:$AD$8,2,FALSE),"Y","N")</f>
        <v>N</v>
      </c>
      <c r="X139" s="247">
        <f t="shared" si="58"/>
        <v>1</v>
      </c>
      <c r="Y139" s="247">
        <f t="shared" si="56"/>
        <v>23.294599999999999</v>
      </c>
      <c r="Z139" s="247">
        <f t="shared" si="57"/>
        <v>2.18E-2</v>
      </c>
      <c r="AA139" s="247">
        <f t="shared" si="41"/>
        <v>23.2728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 t="shared" si="42"/>
        <v>226</v>
      </c>
      <c r="AE139" s="235" t="str">
        <f t="shared" si="43"/>
        <v>aws s3 cp s3://rtdc.mdm.uploadarchive.raw/RTDC4043/ "%USERPROFILE%\AppData\Local\Temp\OnboardLogs"\RTDC4043\2017-12-20 --exclude "*" --recursive --include "*20171220*" &amp; "%USERPROFILE%\Documents\GitHub\mrs-test-scripts\Headless Mode &amp; Sideloading\WalkAndUnGZ.bat" "%USERPROFILE%\AppData\Local\Temp\OnboardLogs"\RTDC4043\2017-12-20 &amp; aws s3 cp s3://rtdc.mdm.uploadarchive.raw/RTDC4043/ "%USERPROFILE%\AppData\Local\Temp\OnboardLogs"\RTDC4043\2017-12-21 --exclude "*" --recursive --include "*20171221*" &amp; "%USERPROFILE%\Documents\GitHub\mrs-test-scripts\Headless Mode &amp; Sideloading\WalkAndUnGZ.bat" "%USERPROFILE%\AppData\Local\Temp\OnboardLogs"\RTDC4043\2017-12-21</v>
      </c>
      <c r="AF139" s="234" t="str">
        <f t="shared" si="44"/>
        <v>"C:\Program Files (x86)\AstroGrep\AstroGrep.exe" /e /r /s /spath="%USERPROFILE%\AppData\Local\Temp\OnboardLogs" /stypes="app*4043*20171221*" /stext=" 04:.+((SYSTEM_STATE.+slice.+state.+changed )|(ment ac)|(multiple cpu faults)|(system.+state.+changed )|(\[timeout)|(PRM\|1\|D)|(kpr)|(kdp)|(train st.+moving)|(\|gpps)|(penalty))"</v>
      </c>
      <c r="AG139" s="244" t="str">
        <f t="shared" si="45"/>
        <v>EC</v>
      </c>
      <c r="AH139" s="236" t="str">
        <f t="shared" si="48"/>
        <v>"%USERPROFILE%\Documents\GitHub\eaglep3\Utilities\RefineRTDCRunTimes.py" --tripid 226-20 --locoid 4043 --swversion DE.1.0.9.0 --startMP 204:232946 --initTime 2017-12-20T20:49:36 --startdatetime 2017-12-20T20:57:27 --delay 66 --endMP 204:218 --enddatetime 2017-12-20T21:34:10 --enforcementcount 0 &gt;&gt;%USERPROFILE%\Documents\GitHub\eaglep3-reporting\EC\2017-12-20-refined-times.txt</v>
      </c>
      <c r="AI139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{"issue":{"subject":"","project_id":79,"tracker_id":40,"status_id":1,"priority_id":2,"assigned_to_id":338,"start_date":"2017-12-20","description":"","custom_fields":[{"id":1,"name":"Subdivision","value":"EC"},{"id":4,"name":"Milepost","value":"0.0218"},{"id":17,"name":"Train ID","value":"226-20"},{"id":16,"name":"Locomotive ID","value":"4043"},{"id":130,"name":"Impact","value":""},{"id":150,"name":"Time of Event (Mountain Time)","value":"21:34:10"},{"id":151,"name":"Denver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50"/>
        <v>start /low /b %USERPROFILE%\Documents\GitHub\eaglep3\Utilities\DownloadLogsFromS3.py --loco 4043 --day 2017-12-20</v>
      </c>
      <c r="AN139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04:34:10"},{"id":29,"name":"Sharepoint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52"/>
        <v>https://d0f6bd738d7f1b3e5a7ca70fe4ff75f0.us-east-1.aws.found.io/app/kibana#/discover/Steve-Slow-Train-Analysis-(2080s-and-2083s)?_g=(refreshInterval:(display:Off,pause:!f,section:0,value:0),time:(from:'2017-12-20T19:49:36-0700',mode:absolute,to:'2017-12-20T22:34:10-0700'))&amp;_a=(columns:!('Message%20ID',Summary),filters:!(),index:'emp_*',interval:auto,query:(query_string:(analyze_wildcard:!t,query:'%22rtdc.l.rtdc.4043%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29" t="s">
        <v>870</v>
      </c>
      <c r="B140" s="225">
        <v>4020</v>
      </c>
      <c r="C140" s="227" t="s">
        <v>192</v>
      </c>
      <c r="D140" s="227" t="s">
        <v>923</v>
      </c>
      <c r="E140" s="226">
        <v>43089.840011574073</v>
      </c>
      <c r="F140" s="226">
        <v>43089.854317129626</v>
      </c>
      <c r="G140" s="225">
        <v>46</v>
      </c>
      <c r="H140" s="227" t="s">
        <v>613</v>
      </c>
      <c r="I140" s="226">
        <v>43089.878645833334</v>
      </c>
      <c r="J140" s="225">
        <v>0</v>
      </c>
      <c r="K140" s="237" t="str">
        <f t="shared" si="35"/>
        <v>4019/4020</v>
      </c>
      <c r="L140" s="245" t="str">
        <f>VLOOKUP(A140,'Trips&amp;Operators'!$C$1:$G$99911,5,FALSE)</f>
        <v>MCREYNOLDS KYLE</v>
      </c>
      <c r="M140" s="224">
        <f t="shared" si="36"/>
        <v>2.4328703708306421E-2</v>
      </c>
      <c r="N140" s="225">
        <f t="shared" si="54"/>
        <v>35.033333339961246</v>
      </c>
      <c r="O140" s="225"/>
      <c r="P140" s="225"/>
      <c r="Q140" s="228"/>
      <c r="R140" s="242"/>
      <c r="S140" s="249">
        <f t="shared" si="55"/>
        <v>1</v>
      </c>
      <c r="T140" s="242" t="str">
        <f t="shared" si="39"/>
        <v>NorthBound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40"/>
        <v>https://d0f6bd738d7f1b3e5a7ca70fe4ff75f0.us-east-1.aws.found.io/app/kibana#/discover/Steve-Slow-Train-Analysis-(2080s-and-2083s)?_g=(refreshInterval:(display:Off,pause:!f,section:0,value:0),time:(from:'2017-12-20T19:09:37-0700',mode:absolute,to:'2017-12-20T22:05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0" s="247" t="str">
        <f>IF(AA140&lt;VLOOKUP(AG140,Variables!$AC$3:$AD$8,2,FALSE),"Y","N")</f>
        <v>N</v>
      </c>
      <c r="X140" s="247">
        <f t="shared" si="58"/>
        <v>1</v>
      </c>
      <c r="Y140" s="247">
        <f t="shared" si="56"/>
        <v>5.4399999999999997E-2</v>
      </c>
      <c r="Z140" s="247">
        <f t="shared" si="57"/>
        <v>23.3276</v>
      </c>
      <c r="AA140" s="247">
        <f t="shared" si="41"/>
        <v>23.273199999999999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 t="shared" si="42"/>
        <v>227</v>
      </c>
      <c r="AE140" s="235" t="str">
        <f t="shared" si="43"/>
        <v>aws s3 cp s3://rtdc.mdm.uploadarchive.raw/RTDC4020/ "%USERPROFILE%\AppData\Local\Temp\OnboardLogs"\RTDC4020\2017-12-20 --exclude "*" --recursive --include "*20171220*" &amp; "%USERPROFILE%\Documents\GitHub\mrs-test-scripts\Headless Mode &amp; Sideloading\WalkAndUnGZ.bat" "%USERPROFILE%\AppData\Local\Temp\OnboardLogs"\RTDC4020\2017-12-20 &amp; aws s3 cp s3://rtdc.mdm.uploadarchive.raw/RTDC4020/ "%USERPROFILE%\AppData\Local\Temp\OnboardLogs"\RTDC4020\2017-12-21 --exclude "*" --recursive --include "*20171221*" &amp; "%USERPROFILE%\Documents\GitHub\mrs-test-scripts\Headless Mode &amp; Sideloading\WalkAndUnGZ.bat" "%USERPROFILE%\AppData\Local\Temp\OnboardLogs"\RTDC4020\2017-12-21</v>
      </c>
      <c r="AF140" s="234" t="str">
        <f t="shared" si="44"/>
        <v>"C:\Program Files (x86)\AstroGrep\AstroGrep.exe" /e /r /s /spath="%USERPROFILE%\AppData\Local\Temp\OnboardLogs" /stypes="app*4020*20171221*" /stext=" 04:.+((SYSTEM_STATE.+slice.+state.+changed )|(ment ac)|(multiple cpu faults)|(system.+state.+changed )|(\[timeout)|(PRM\|1\|D)|(kpr)|(kdp)|(train st.+moving)|(\|gpps)|(penalty))"</v>
      </c>
      <c r="AG140" s="244" t="str">
        <f t="shared" si="45"/>
        <v>EC</v>
      </c>
      <c r="AH140" s="236" t="str">
        <f t="shared" si="48"/>
        <v>"%USERPROFILE%\Documents\GitHub\eaglep3\Utilities\RefineRTDCRunTimes.py" --tripid 227-20 --locoid 4020 --swversion DE.1.0.9.0 --startMP 204:544 --initTime 2017-12-20T20:09:37 --startdatetime 2017-12-20T20:30:13 --delay 46 --endMP 204:233276 --enddatetime 2017-12-20T21:05:15 --enforcementcount 0 &gt;&gt;%USERPROFILE%\Documents\GitHub\eaglep3-reporting\EC\2017-12-20-refined-times.txt</v>
      </c>
      <c r="AI140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{"issue":{"subject":"","project_id":79,"tracker_id":40,"status_id":1,"priority_id":2,"assigned_to_id":338,"start_date":"2017-12-20","description":"","custom_fields":[{"id":1,"name":"Subdivision","value":"EC"},{"id":4,"name":"Milepost","value":"23.3276"},{"id":17,"name":"Train ID","value":"227-20"},{"id":16,"name":"Locomotive ID","value":"4020"},{"id":130,"name":"Impact","value":""},{"id":150,"name":"Time of Event (Mountain Time)","value":"21:05:15"},{"id":151,"name":"Denver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50"/>
        <v>start /low /b %USERPROFILE%\Documents\GitHub\eaglep3\Utilities\DownloadLogsFromS3.py --loco 4020 --day 2017-12-20</v>
      </c>
      <c r="AN140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04:05:15"},{"id":29,"name":"Sharepoint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52"/>
        <v>https://d0f6bd738d7f1b3e5a7ca70fe4ff75f0.us-east-1.aws.found.io/app/kibana#/discover/Steve-Slow-Train-Analysis-(2080s-and-2083s)?_g=(refreshInterval:(display:Off,pause:!f,section:0,value:0),time:(from:'2017-12-20T19:09:37-0700',mode:absolute,to:'2017-12-20T22:05:15-0700'))&amp;_a=(columns:!('Message%20ID',Summary),filters:!(),index:'emp_*',interval:auto,query:(query_string:(analyze_wildcard:!t,query:'%22rtdc.l.rtdc.4020%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29" t="s">
        <v>875</v>
      </c>
      <c r="B141" s="225">
        <v>4019</v>
      </c>
      <c r="C141" s="227" t="s">
        <v>192</v>
      </c>
      <c r="D141" s="227" t="s">
        <v>987</v>
      </c>
      <c r="E141" s="226">
        <v>43089.888356481482</v>
      </c>
      <c r="F141" s="226">
        <v>43089.89398148148</v>
      </c>
      <c r="G141" s="225">
        <v>47</v>
      </c>
      <c r="H141" s="227" t="s">
        <v>617</v>
      </c>
      <c r="I141" s="226">
        <v>43089.921435185184</v>
      </c>
      <c r="J141" s="225">
        <v>0</v>
      </c>
      <c r="K141" s="237" t="str">
        <f t="shared" ref="K141:K204" si="59">IF(ISEVEN(B141),(B141-1)&amp;"/"&amp;B141,B141&amp;"/"&amp;(B141+1))</f>
        <v>4019/4020</v>
      </c>
      <c r="L141" s="245" t="str">
        <f>VLOOKUP(A141,'Trips&amp;Operators'!$C$1:$G$99911,5,FALSE)</f>
        <v>MCREYNOLDS KYLE</v>
      </c>
      <c r="M141" s="224">
        <f t="shared" ref="M141:M204" si="60">I141-F141</f>
        <v>2.7453703703940846E-2</v>
      </c>
      <c r="N141" s="225">
        <f t="shared" ref="N141:N172" si="61">24*60*SUM($M141:$M141)</f>
        <v>39.533333333674818</v>
      </c>
      <c r="O141" s="225"/>
      <c r="P141" s="225"/>
      <c r="Q141" s="228"/>
      <c r="R141" s="242"/>
      <c r="S141" s="249">
        <f t="shared" ref="S141:S172" si="62">1/IF(AG141="EC",12,1)*SUM(U141:U141)</f>
        <v>1</v>
      </c>
      <c r="T141" s="242" t="str">
        <f t="shared" ref="T141:T204" si="63">IF(ISEVEN(LEFT(AD141,4)),"Southbound","NorthBound")</f>
        <v>Southbound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6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-20T20:19:14-0700',mode:absolute,to:'2017-12-20T23:06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1" s="247" t="str">
        <f>IF(AA141&lt;VLOOKUP(AG141,Variables!$AC$3:$AD$8,2,FALSE),"Y","N")</f>
        <v>N</v>
      </c>
      <c r="X141" s="247">
        <f t="shared" si="58"/>
        <v>1</v>
      </c>
      <c r="Y141" s="247">
        <f t="shared" si="56"/>
        <v>23.295999999999999</v>
      </c>
      <c r="Z141" s="247">
        <f t="shared" si="57"/>
        <v>2.4E-2</v>
      </c>
      <c r="AA141" s="247">
        <f t="shared" ref="AA141:AA204" si="65">ABS(Z141-Y141)</f>
        <v>23.271999999999998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ref="AD141:AD204" si="66">VALUE(LEFT(A141,LEN(A141)-3))</f>
        <v>228</v>
      </c>
      <c r="AE141" s="235" t="str">
        <f t="shared" ref="AE141:AE204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s3://rtdc.mdm.uploadarchive.raw/RTDC4019/ "%USERPROFILE%\AppData\Local\Temp\OnboardLogs"\RTDC4019\2017-12-20 --exclude "*" --recursive --include "*20171220*" &amp; "%USERPROFILE%\Documents\GitHub\mrs-test-scripts\Headless Mode &amp; Sideloading\WalkAndUnGZ.bat" "%USERPROFILE%\AppData\Local\Temp\OnboardLogs"\RTDC4019\2017-12-20 &amp; aws s3 cp s3://rtdc.mdm.uploadarchive.raw/RTDC4019/ "%USERPROFILE%\AppData\Local\Temp\OnboardLogs"\RTDC4019\2017-12-21 --exclude "*" --recursive --include "*20171221*" &amp; "%USERPROFILE%\Documents\GitHub\mrs-test-scripts\Headless Mode &amp; Sideloading\WalkAndUnGZ.bat" "%USERPROFILE%\AppData\Local\Temp\OnboardLogs"\RTDC4019\2017-12-21</v>
      </c>
      <c r="AF141" s="234" t="str">
        <f t="shared" ref="AF141:AF204" si="6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/stypes="app*4019*20171221*" /stext=" 05:.+((SYSTEM_STATE.+slice.+state.+changed )|(ment ac)|(multiple cpu faults)|(system.+state.+changed )|(\[timeout)|(PRM\|1\|D)|(kpr)|(kdp)|(train st.+moving)|(\|gpps)|(penalty))"</v>
      </c>
      <c r="AG141" s="244" t="str">
        <f t="shared" ref="AG141:AG204" si="69">DetSubdiv(A141)</f>
        <v>EC</v>
      </c>
      <c r="AH141" s="236" t="str">
        <f t="shared" si="48"/>
        <v>"%USERPROFILE%\Documents\GitHub\eaglep3\Utilities\RefineRTDCRunTimes.py" --tripid 228-20 --locoid 4019 --swversion DE.1.0.9.0 --startMP 204:232960 --initTime 2017-12-20T21:19:14 --startdatetime 2017-12-20T21:27:20 --delay 47 --endMP 204:240 --enddatetime 2017-12-20T22:06:52 --enforcementcount 0 &gt;&gt;%USERPROFILE%\Documents\GitHub\eaglep3-reporting\EC\2017-12-20-refined-times.txt</v>
      </c>
      <c r="AI141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{"issue":{"subject":"","project_id":79,"tracker_id":40,"status_id":1,"priority_id":2,"assigned_to_id":338,"start_date":"2017-12-20","description":"","custom_fields":[{"id":1,"name":"Subdivision","value":"EC"},{"id":4,"name":"Milepost","value":"0.024"},{"id":17,"name":"Train ID","value":"228-20"},{"id":16,"name":"Locomotive ID","value":"4019"},{"id":130,"name":"Impact","value":""},{"id":150,"name":"Time of Event (Mountain Time)","value":"22:06:52"},{"id":151,"name":"Denver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3"/>
      <c r="AK141" s="231"/>
      <c r="AL141" s="231"/>
      <c r="AM141" s="240" t="str">
        <f t="shared" si="50"/>
        <v>start /low /b %USERPROFILE%\Documents\GitHub\eaglep3\Utilities\DownloadLogsFromS3.py --loco 4019 --day 2017-12-20</v>
      </c>
      <c r="AN141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05:06:52"},{"id":29,"name":"Sharepoint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52"/>
        <v>https://d0f6bd738d7f1b3e5a7ca70fe4ff75f0.us-east-1.aws.found.io/app/kibana#/discover/Steve-Slow-Train-Analysis-(2080s-and-2083s)?_g=(refreshInterval:(display:Off,pause:!f,section:0,value:0),time:(from:'2017-12-20T20:19:14-0700',mode:absolute,to:'2017-12-20T23:06:52-0700'))&amp;_a=(columns:!('Message%20ID',Summary),filters:!(),index:'emp_*',interval:auto,query:(query_string:(analyze_wildcard:!t,query:'%22rtdc.l.rtdc.4019%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3" customFormat="1" x14ac:dyDescent="0.25">
      <c r="A142" s="229" t="s">
        <v>872</v>
      </c>
      <c r="B142" s="225">
        <v>4010</v>
      </c>
      <c r="C142" s="227" t="s">
        <v>192</v>
      </c>
      <c r="D142" s="227" t="s">
        <v>988</v>
      </c>
      <c r="E142" s="226">
        <v>43089.862650462965</v>
      </c>
      <c r="F142" s="226">
        <v>43089.875196759262</v>
      </c>
      <c r="G142" s="225">
        <v>59</v>
      </c>
      <c r="H142" s="227" t="s">
        <v>625</v>
      </c>
      <c r="I142" s="226">
        <v>43089.899930555555</v>
      </c>
      <c r="J142" s="225">
        <v>0</v>
      </c>
      <c r="K142" s="237" t="str">
        <f t="shared" si="59"/>
        <v>4009/4010</v>
      </c>
      <c r="L142" s="245" t="str">
        <f>VLOOKUP(A142,'Trips&amp;Operators'!$C$1:$G$99911,5,FALSE)</f>
        <v>NICHOLSON WESLEY</v>
      </c>
      <c r="M142" s="224">
        <f t="shared" si="60"/>
        <v>2.4733796293730848E-2</v>
      </c>
      <c r="N142" s="225">
        <f t="shared" si="61"/>
        <v>35.61666666297242</v>
      </c>
      <c r="O142" s="225"/>
      <c r="P142" s="225"/>
      <c r="Q142" s="228"/>
      <c r="R142" s="242"/>
      <c r="S142" s="249">
        <f t="shared" si="62"/>
        <v>1</v>
      </c>
      <c r="T142" s="242" t="str">
        <f t="shared" si="63"/>
        <v>NorthBound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 t="shared" si="64"/>
        <v>https://d0f6bd738d7f1b3e5a7ca70fe4ff75f0.us-east-1.aws.found.io/app/kibana#/discover/Steve-Slow-Train-Analysis-(2080s-and-2083s)?_g=(refreshInterval:(display:Off,pause:!f,section:0,value:0),time:(from:'2017-12-20T19:42:13-0700',mode:absolute,to:'2017-12-20T22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2" s="247" t="str">
        <f>IF(AA142&lt;VLOOKUP(AG142,Variables!$AC$3:$AD$8,2,FALSE),"Y","N")</f>
        <v>N</v>
      </c>
      <c r="X142" s="247">
        <f t="shared" si="58"/>
        <v>1</v>
      </c>
      <c r="Y142" s="247">
        <f t="shared" si="56"/>
        <v>5.6599999999999998E-2</v>
      </c>
      <c r="Z142" s="247">
        <f t="shared" si="57"/>
        <v>23.319500000000001</v>
      </c>
      <c r="AA142" s="247">
        <f t="shared" si="65"/>
        <v>23.262900000000002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 t="shared" si="66"/>
        <v>229</v>
      </c>
      <c r="AE142" s="235" t="str">
        <f t="shared" si="67"/>
        <v>aws s3 cp s3://rtdc.mdm.uploadarchive.raw/RTDC4010/ "%USERPROFILE%\AppData\Local\Temp\OnboardLogs"\RTDC4010\2017-12-20 --exclude "*" --recursive --include "*20171220*" &amp; "%USERPROFILE%\Documents\GitHub\mrs-test-scripts\Headless Mode &amp; Sideloading\WalkAndUnGZ.bat" "%USERPROFILE%\AppData\Local\Temp\OnboardLogs"\RTDC4010\2017-12-20 &amp; aws s3 cp s3://rtdc.mdm.uploadarchive.raw/RTDC4010/ "%USERPROFILE%\AppData\Local\Temp\OnboardLogs"\RTDC4010\2017-12-21 --exclude "*" --recursive --include "*20171221*" &amp; "%USERPROFILE%\Documents\GitHub\mrs-test-scripts\Headless Mode &amp; Sideloading\WalkAndUnGZ.bat" "%USERPROFILE%\AppData\Local\Temp\OnboardLogs"\RTDC4010\2017-12-21</v>
      </c>
      <c r="AF142" s="234" t="str">
        <f t="shared" si="68"/>
        <v>"C:\Program Files (x86)\AstroGrep\AstroGrep.exe" /e /r /s /spath="%USERPROFILE%\AppData\Local\Temp\OnboardLogs" /stypes="app*4010*20171221*" /stext=" 04:.+((SYSTEM_STATE.+slice.+state.+changed )|(ment ac)|(multiple cpu faults)|(system.+state.+changed )|(\[timeout)|(PRM\|1\|D)|(kpr)|(kdp)|(train st.+moving)|(\|gpps)|(penalty))"</v>
      </c>
      <c r="AG142" s="244" t="str">
        <f t="shared" si="69"/>
        <v>EC</v>
      </c>
      <c r="AH142" s="236" t="str">
        <f t="shared" si="48"/>
        <v>"%USERPROFILE%\Documents\GitHub\eaglep3\Utilities\RefineRTDCRunTimes.py" --tripid 229-20 --locoid 4010 --swversion DE.1.0.9.0 --startMP 204:566 --initTime 2017-12-20T20:42:13 --startdatetime 2017-12-20T21:00:17 --delay 59 --endMP 204:233195 --enddatetime 2017-12-20T21:35:54 --enforcementcount 0 &gt;&gt;%USERPROFILE%\Documents\GitHub\eaglep3-reporting\EC\2017-12-20-refined-times.txt</v>
      </c>
      <c r="AI142" s="238" t="str">
        <f t="shared" si="49"/>
        <v>echo {"issue":{"subject":"","project_id":79,"tracker_id":40,"status_id":1,"priority_id":2,"assigned_to_id":338,"start_date":"2017-12-20","description":"","custom_fields":[{"id":1,"name":"Subdivision","value":"EC"},{"id":4,"name":"Milepost","value":"23.3195"},{"id":17,"name":"Train ID","value":"229-20"},{"id":16,"name":"Locomotive ID","value":"4010"},{"id":130,"name":"Impact","value":""},{"id":150,"name":"Time of Event (Mountain Time)","value":"21:35:54"},{"id":151,"name":"Denver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1"/>
      <c r="AL142" s="231"/>
      <c r="AM142" s="240" t="str">
        <f t="shared" si="50"/>
        <v>start /low /b %USERPROFILE%\Documents\GitHub\eaglep3\Utilities\DownloadLogsFromS3.py --loco 4010 --day 2017-12-20</v>
      </c>
      <c r="AN142" s="241" t="str">
        <f t="shared" si="51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04:35:54"},{"id":29,"name":"Sharepoint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52"/>
        <v>https://d0f6bd738d7f1b3e5a7ca70fe4ff75f0.us-east-1.aws.found.io/app/kibana#/discover/Steve-Slow-Train-Analysis-(2080s-and-2083s)?_g=(refreshInterval:(display:Off,pause:!f,section:0,value:0),time:(from:'2017-12-20T19:42:13-0700',mode:absolute,to:'2017-12-20T22:35:54-0700'))&amp;_a=(columns:!('Message%20ID',Summary),filters:!(),index:'emp_*',interval:auto,query:(query_string:(analyze_wildcard:!t,query:'%22rtdc.l.rtdc.4010%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3" customFormat="1" x14ac:dyDescent="0.25">
      <c r="A143" s="229" t="s">
        <v>879</v>
      </c>
      <c r="B143" s="225">
        <v>4009</v>
      </c>
      <c r="C143" s="227" t="s">
        <v>192</v>
      </c>
      <c r="D143" s="227" t="s">
        <v>989</v>
      </c>
      <c r="E143" s="226">
        <v>43089.909212962964</v>
      </c>
      <c r="F143" s="226">
        <v>43089.914803240739</v>
      </c>
      <c r="G143" s="225">
        <v>98</v>
      </c>
      <c r="H143" s="227" t="s">
        <v>550</v>
      </c>
      <c r="I143" s="226">
        <v>43089.944143518522</v>
      </c>
      <c r="J143" s="225">
        <v>0</v>
      </c>
      <c r="K143" s="237" t="str">
        <f t="shared" si="59"/>
        <v>4009/4010</v>
      </c>
      <c r="L143" s="245" t="str">
        <f>VLOOKUP(A143,'Trips&amp;Operators'!$C$1:$G$99911,5,FALSE)</f>
        <v>NICHOLSON WESLEY</v>
      </c>
      <c r="M143" s="224">
        <f t="shared" si="60"/>
        <v>2.9340277782466728E-2</v>
      </c>
      <c r="N143" s="225">
        <f t="shared" si="61"/>
        <v>42.250000006752089</v>
      </c>
      <c r="O143" s="225"/>
      <c r="P143" s="225"/>
      <c r="Q143" s="228"/>
      <c r="R143" s="242"/>
      <c r="S143" s="249">
        <f t="shared" si="62"/>
        <v>1</v>
      </c>
      <c r="T143" s="242" t="str">
        <f t="shared" si="63"/>
        <v>Southbound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64"/>
        <v>https://d0f6bd738d7f1b3e5a7ca70fe4ff75f0.us-east-1.aws.found.io/app/kibana#/discover/Steve-Slow-Train-Analysis-(2080s-and-2083s)?_g=(refreshInterval:(display:Off,pause:!f,section:0,value:0),time:(from:'2017-12-20T20:49:16-0700',mode:absolute,to:'2017-12-20T23:39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3" s="247" t="str">
        <f>IF(AA143&lt;VLOOKUP(AG143,Variables!$AC$3:$AD$8,2,FALSE),"Y","N")</f>
        <v>N</v>
      </c>
      <c r="X143" s="247">
        <f t="shared" si="58"/>
        <v>1</v>
      </c>
      <c r="Y143" s="247">
        <f t="shared" ref="Y143:Y174" si="70">RIGHT(D143,LEN(D143)-4)/10000</f>
        <v>23.287299999999998</v>
      </c>
      <c r="Z143" s="247">
        <f t="shared" ref="Z143:Z174" si="71">RIGHT(H143,LEN(H143)-4)/10000</f>
        <v>2.4299999999999999E-2</v>
      </c>
      <c r="AA143" s="247">
        <f t="shared" si="65"/>
        <v>23.262999999999998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66"/>
        <v>230</v>
      </c>
      <c r="AE143" s="235" t="str">
        <f t="shared" si="67"/>
        <v>aws s3 cp s3://rtdc.mdm.uploadarchive.raw/RTDC4009/ "%USERPROFILE%\AppData\Local\Temp\OnboardLogs"\RTDC4009\2017-12-20 --exclude "*" --recursive --include "*20171220*" &amp; "%USERPROFILE%\Documents\GitHub\mrs-test-scripts\Headless Mode &amp; Sideloading\WalkAndUnGZ.bat" "%USERPROFILE%\AppData\Local\Temp\OnboardLogs"\RTDC4009\2017-12-20 &amp; aws s3 cp s3://rtdc.mdm.uploadarchive.raw/RTDC4009/ "%USERPROFILE%\AppData\Local\Temp\OnboardLogs"\RTDC4009\2017-12-21 --exclude "*" --recursive --include "*20171221*" &amp; "%USERPROFILE%\Documents\GitHub\mrs-test-scripts\Headless Mode &amp; Sideloading\WalkAndUnGZ.bat" "%USERPROFILE%\AppData\Local\Temp\OnboardLogs"\RTDC4009\2017-12-21</v>
      </c>
      <c r="AF143" s="234" t="str">
        <f t="shared" si="68"/>
        <v>"C:\Program Files (x86)\AstroGrep\AstroGrep.exe" /e /r /s /spath="%USERPROFILE%\AppData\Local\Temp\OnboardLogs" /stypes="app*4009*20171221*" /stext=" 05:.+((SYSTEM_STATE.+slice.+state.+changed )|(ment ac)|(multiple cpu faults)|(system.+state.+changed )|(\[timeout)|(PRM\|1\|D)|(kpr)|(kdp)|(train st.+moving)|(\|gpps)|(penalty))"</v>
      </c>
      <c r="AG143" s="244" t="str">
        <f t="shared" si="69"/>
        <v>EC</v>
      </c>
      <c r="AH143" s="236" t="str">
        <f t="shared" ref="AH143:AH209" si="72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230-20 --locoid 4009 --swversion DE.1.0.9.0 --startMP 204:232873 --initTime 2017-12-20T21:49:16 --startdatetime 2017-12-20T21:57:19 --delay 98 --endMP 204:243 --enddatetime 2017-12-20T22:39:34 --enforcementcount 0 &gt;&gt;%USERPROFILE%\Documents\GitHub\eaglep3-reporting\EC\2017-12-20-refined-times.txt</v>
      </c>
      <c r="AI143" s="238" t="str">
        <f t="shared" ref="AI143:AI209" si="73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{"issue":{"subject":"","project_id":79,"tracker_id":40,"status_id":1,"priority_id":2,"assigned_to_id":338,"start_date":"2017-12-20","description":"","custom_fields":[{"id":1,"name":"Subdivision","value":"EC"},{"id":4,"name":"Milepost","value":"0.0243"},{"id":17,"name":"Train ID","value":"230-20"},{"id":16,"name":"Locomotive ID","value":"4009"},{"id":130,"name":"Impact","value":""},{"id":150,"name":"Time of Event (Mountain Time)","value":"22:39:34"},{"id":151,"name":"Denver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ref="AM143:AM209" si="74">"start /low /b "&amp;dls3logs&amp;" --loco "&amp;B143&amp;" --day "&amp;TEXT(F143,"YYYY-MM-DD")</f>
        <v>start /low /b %USERPROFILE%\Documents\GitHub\eaglep3\Utilities\DownloadLogsFromS3.py --loco 4009 --day 2017-12-20</v>
      </c>
      <c r="AN143" s="241" t="str">
        <f t="shared" ref="AN143:AN209" si="75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05:39:34"},{"id":29,"name":"Sharepoint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ref="AO143:AO209" si="76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-20T20:49:16-0700',mode:absolute,to:'2017-12-20T23:39:34-0700'))&amp;_a=(columns:!('Message%20ID',Summary),filters:!(),index:'emp_*',interval:auto,query:(query_string:(analyze_wildcard:!t,query:'%22rtdc.l.rtdc.4009%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29" t="s">
        <v>877</v>
      </c>
      <c r="B144" s="225">
        <v>4062</v>
      </c>
      <c r="C144" s="227" t="s">
        <v>192</v>
      </c>
      <c r="D144" s="227" t="s">
        <v>990</v>
      </c>
      <c r="E144" s="226">
        <v>43089.89303240741</v>
      </c>
      <c r="F144" s="226">
        <v>43089.896168981482</v>
      </c>
      <c r="G144" s="225">
        <v>58</v>
      </c>
      <c r="H144" s="227" t="s">
        <v>977</v>
      </c>
      <c r="I144" s="226">
        <v>43089.922303240739</v>
      </c>
      <c r="J144" s="225">
        <v>0</v>
      </c>
      <c r="K144" s="237" t="str">
        <f t="shared" si="59"/>
        <v>4061/4062</v>
      </c>
      <c r="L144" s="245" t="str">
        <f>VLOOKUP(A144,'Trips&amp;Operators'!$C$1:$G$99911,5,FALSE)</f>
        <v>RESPASS AARON</v>
      </c>
      <c r="M144" s="224">
        <f t="shared" si="60"/>
        <v>2.6134259256650694E-2</v>
      </c>
      <c r="N144" s="225">
        <f t="shared" si="61"/>
        <v>37.633333329576999</v>
      </c>
      <c r="O144" s="225"/>
      <c r="P144" s="225"/>
      <c r="Q144" s="228"/>
      <c r="R144" s="242"/>
      <c r="S144" s="249">
        <f t="shared" si="62"/>
        <v>1</v>
      </c>
      <c r="T144" s="242" t="str">
        <f t="shared" si="63"/>
        <v>NorthBound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64"/>
        <v>https://d0f6bd738d7f1b3e5a7ca70fe4ff75f0.us-east-1.aws.found.io/app/kibana#/discover/Steve-Slow-Train-Analysis-(2080s-and-2083s)?_g=(refreshInterval:(display:Off,pause:!f,section:0,value:0),time:(from:'2017-12-20T20:25:58-0700',mode:absolute,to:'2017-12-20T23:08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4" s="247" t="str">
        <f>IF(AA144&lt;VLOOKUP(AG144,Variables!$AC$3:$AD$8,2,FALSE),"Y","N")</f>
        <v>N</v>
      </c>
      <c r="X144" s="247">
        <f t="shared" si="58"/>
        <v>1</v>
      </c>
      <c r="Y144" s="247">
        <f t="shared" si="70"/>
        <v>5.7099999999999998E-2</v>
      </c>
      <c r="Z144" s="247">
        <f t="shared" si="71"/>
        <v>23.3249</v>
      </c>
      <c r="AA144" s="247">
        <f t="shared" si="65"/>
        <v>23.267800000000001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66"/>
        <v>231</v>
      </c>
      <c r="AE144" s="235" t="str">
        <f t="shared" si="67"/>
        <v>aws s3 cp s3://rtdc.mdm.uploadarchive.raw/RTDC4062/ "%USERPROFILE%\AppData\Local\Temp\OnboardLogs"\RTDC4062\2017-12-20 --exclude "*" --recursive --include "*20171220*" &amp; "%USERPROFILE%\Documents\GitHub\mrs-test-scripts\Headless Mode &amp; Sideloading\WalkAndUnGZ.bat" "%USERPROFILE%\AppData\Local\Temp\OnboardLogs"\RTDC4062\2017-12-20 &amp; aws s3 cp s3://rtdc.mdm.uploadarchive.raw/RTDC4062/ "%USERPROFILE%\AppData\Local\Temp\OnboardLogs"\RTDC4062\2017-12-21 --exclude "*" --recursive --include "*20171221*" &amp; "%USERPROFILE%\Documents\GitHub\mrs-test-scripts\Headless Mode &amp; Sideloading\WalkAndUnGZ.bat" "%USERPROFILE%\AppData\Local\Temp\OnboardLogs"\RTDC4062\2017-12-21</v>
      </c>
      <c r="AF144" s="234" t="str">
        <f t="shared" si="68"/>
        <v>"C:\Program Files (x86)\AstroGrep\AstroGrep.exe" /e /r /s /spath="%USERPROFILE%\AppData\Local\Temp\OnboardLogs" /stypes="app*4062*20171221*" /stext=" 05:.+((SYSTEM_STATE.+slice.+state.+changed )|(ment ac)|(multiple cpu faults)|(system.+state.+changed )|(\[timeout)|(PRM\|1\|D)|(kpr)|(kdp)|(train st.+moving)|(\|gpps)|(penalty))"</v>
      </c>
      <c r="AG144" s="244" t="str">
        <f t="shared" si="69"/>
        <v>EC</v>
      </c>
      <c r="AH144" s="236" t="str">
        <f t="shared" si="72"/>
        <v>"%USERPROFILE%\Documents\GitHub\eaglep3\Utilities\RefineRTDCRunTimes.py" --tripid 231-20 --locoid 4062 --swversion DE.1.0.9.0 --startMP 204:571 --initTime 2017-12-20T21:25:58 --startdatetime 2017-12-20T21:30:29 --delay 58 --endMP 204:233249 --enddatetime 2017-12-20T22:08:07 --enforcementcount 0 &gt;&gt;%USERPROFILE%\Documents\GitHub\eaglep3-reporting\EC\2017-12-20-refined-times.txt</v>
      </c>
      <c r="AI144" s="238" t="str">
        <f t="shared" si="73"/>
        <v>echo {"issue":{"subject":"","project_id":79,"tracker_id":40,"status_id":1,"priority_id":2,"assigned_to_id":338,"start_date":"2017-12-20","description":"","custom_fields":[{"id":1,"name":"Subdivision","value":"EC"},{"id":4,"name":"Milepost","value":"23.3249"},{"id":17,"name":"Train ID","value":"231-20"},{"id":16,"name":"Locomotive ID","value":"4062"},{"id":130,"name":"Impact","value":""},{"id":150,"name":"Time of Event (Mountain Time)","value":"22:08:07"},{"id":151,"name":"Denver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3"/>
      <c r="AK144" s="231"/>
      <c r="AL144" s="231"/>
      <c r="AM144" s="240" t="str">
        <f t="shared" si="74"/>
        <v>start /low /b %USERPROFILE%\Documents\GitHub\eaglep3\Utilities\DownloadLogsFromS3.py --loco 4062 --day 2017-12-20</v>
      </c>
      <c r="AN144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05:08:07"},{"id":29,"name":"Sharepoint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76"/>
        <v>https://d0f6bd738d7f1b3e5a7ca70fe4ff75f0.us-east-1.aws.found.io/app/kibana#/discover/Steve-Slow-Train-Analysis-(2080s-and-2083s)?_g=(refreshInterval:(display:Off,pause:!f,section:0,value:0),time:(from:'2017-12-20T20:25:58-0700',mode:absolute,to:'2017-12-20T23:08:07-0700'))&amp;_a=(columns:!('Message%20ID',Summary),filters:!(),index:'emp_*',interval:auto,query:(query_string:(analyze_wildcard:!t,query:'%22rtdc.l.rtdc.4062%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229" t="s">
        <v>670</v>
      </c>
      <c r="B145" s="225">
        <v>4061</v>
      </c>
      <c r="C145" s="227" t="s">
        <v>192</v>
      </c>
      <c r="D145" s="227" t="s">
        <v>549</v>
      </c>
      <c r="E145" s="226">
        <v>43089.932673611111</v>
      </c>
      <c r="F145" s="226">
        <v>43089.935567129629</v>
      </c>
      <c r="G145" s="225">
        <v>46</v>
      </c>
      <c r="H145" s="227" t="s">
        <v>552</v>
      </c>
      <c r="I145" s="226">
        <v>43089.962627314817</v>
      </c>
      <c r="J145" s="225">
        <v>0</v>
      </c>
      <c r="K145" s="237" t="str">
        <f t="shared" si="59"/>
        <v>4061/4062</v>
      </c>
      <c r="L145" s="245" t="str">
        <f>VLOOKUP(A145,'Trips&amp;Operators'!$C$1:$G$99911,5,FALSE)</f>
        <v>RESPASS AARON</v>
      </c>
      <c r="M145" s="224">
        <f t="shared" si="60"/>
        <v>2.7060185188020114E-2</v>
      </c>
      <c r="N145" s="225">
        <f t="shared" si="61"/>
        <v>38.966666670748964</v>
      </c>
      <c r="O145" s="225"/>
      <c r="P145" s="225"/>
      <c r="Q145" s="228"/>
      <c r="R145" s="242"/>
      <c r="S145" s="249">
        <f t="shared" si="62"/>
        <v>1</v>
      </c>
      <c r="T145" s="242" t="str">
        <f t="shared" si="63"/>
        <v>Southbound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64"/>
        <v>https://d0f6bd738d7f1b3e5a7ca70fe4ff75f0.us-east-1.aws.found.io/app/kibana#/discover/Steve-Slow-Train-Analysis-(2080s-and-2083s)?_g=(refreshInterval:(display:Off,pause:!f,section:0,value:0),time:(from:'2017-12-20T21:23:03-0700',mode:absolute,to:'2017-12-21T00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5" s="247" t="str">
        <f>IF(AA145&lt;VLOOKUP(AG145,Variables!$AC$3:$AD$8,2,FALSE),"Y","N")</f>
        <v>N</v>
      </c>
      <c r="X145" s="247">
        <f t="shared" si="58"/>
        <v>1</v>
      </c>
      <c r="Y145" s="247">
        <f t="shared" si="70"/>
        <v>23.293199999999999</v>
      </c>
      <c r="Z145" s="247">
        <f t="shared" si="71"/>
        <v>2.52E-2</v>
      </c>
      <c r="AA145" s="247">
        <f t="shared" si="65"/>
        <v>23.267999999999997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66"/>
        <v>232</v>
      </c>
      <c r="AE145" s="235" t="str">
        <f t="shared" si="67"/>
        <v>aws s3 cp s3://rtdc.mdm.uploadarchive.raw/RTDC4061/ "%USERPROFILE%\AppData\Local\Temp\OnboardLogs"\RTDC4061\2017-12-20 --exclude "*" --recursive --include "*20171220*" &amp; "%USERPROFILE%\Documents\GitHub\mrs-test-scripts\Headless Mode &amp; Sideloading\WalkAndUnGZ.bat" "%USERPROFILE%\AppData\Local\Temp\OnboardLogs"\RTDC4061\2017-12-20 &amp; aws s3 cp s3://rtdc.mdm.uploadarchive.raw/RTDC4061/ "%USERPROFILE%\AppData\Local\Temp\OnboardLogs"\RTDC4061\2017-12-21 --exclude "*" --recursive --include "*20171221*" &amp; "%USERPROFILE%\Documents\GitHub\mrs-test-scripts\Headless Mode &amp; Sideloading\WalkAndUnGZ.bat" "%USERPROFILE%\AppData\Local\Temp\OnboardLogs"\RTDC4061\2017-12-21</v>
      </c>
      <c r="AF145" s="234" t="str">
        <f t="shared" si="68"/>
        <v>"C:\Program Files (x86)\AstroGrep\AstroGrep.exe" /e /r /s /spath="%USERPROFILE%\AppData\Local\Temp\OnboardLogs" /stypes="app*4061*20171221*" /stext=" 06:.+((SYSTEM_STATE.+slice.+state.+changed )|(ment ac)|(multiple cpu faults)|(system.+state.+changed )|(\[timeout)|(PRM\|1\|D)|(kpr)|(kdp)|(train st.+moving)|(\|gpps)|(penalty))"</v>
      </c>
      <c r="AG145" s="244" t="str">
        <f t="shared" si="69"/>
        <v>EC</v>
      </c>
      <c r="AH145" s="236" t="str">
        <f t="shared" si="72"/>
        <v>"%USERPROFILE%\Documents\GitHub\eaglep3\Utilities\RefineRTDCRunTimes.py" --tripid 232-20 --locoid 4061 --swversion DE.1.0.9.0 --startMP 204:232932 --initTime 2017-12-20T22:23:03 --startdatetime 2017-12-20T22:27:13 --delay 46 --endMP 204:252 --enddatetime 2017-12-20T23:06:11 --enforcementcount 0 &gt;&gt;%USERPROFILE%\Documents\GitHub\eaglep3-reporting\EC\2017-12-20-refined-times.txt</v>
      </c>
      <c r="AI145" s="238" t="str">
        <f t="shared" si="73"/>
        <v>echo {"issue":{"subject":"","project_id":79,"tracker_id":40,"status_id":1,"priority_id":2,"assigned_to_id":338,"start_date":"2017-12-20","description":"","custom_fields":[{"id":1,"name":"Subdivision","value":"EC"},{"id":4,"name":"Milepost","value":"0.0252"},{"id":17,"name":"Train ID","value":"232-20"},{"id":16,"name":"Locomotive ID","value":"4061"},{"id":130,"name":"Impact","value":""},{"id":150,"name":"Time of Event (Mountain Time)","value":"23:06:11"},{"id":151,"name":"Denver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3"/>
      <c r="AK145" s="231"/>
      <c r="AL145" s="231"/>
      <c r="AM145" s="240" t="str">
        <f t="shared" si="74"/>
        <v>start /low /b %USERPROFILE%\Documents\GitHub\eaglep3\Utilities\DownloadLogsFromS3.py --loco 4061 --day 2017-12-20</v>
      </c>
      <c r="AN145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06:06:11"},{"id":29,"name":"Sharepoint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76"/>
        <v>https://d0f6bd738d7f1b3e5a7ca70fe4ff75f0.us-east-1.aws.found.io/app/kibana#/discover/Steve-Slow-Train-Analysis-(2080s-and-2083s)?_g=(refreshInterval:(display:Off,pause:!f,section:0,value:0),time:(from:'2017-12-20T21:23:03-0700',mode:absolute,to:'2017-12-21T00:06:11-0700'))&amp;_a=(columns:!('Message%20ID',Summary),filters:!(),index:'emp_*',interval:auto,query:(query_string:(analyze_wildcard:!t,query:'%22rtdc.l.rtdc.4061%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25">
      <c r="A146" s="229" t="s">
        <v>878</v>
      </c>
      <c r="B146" s="225">
        <v>4044</v>
      </c>
      <c r="C146" s="227" t="s">
        <v>192</v>
      </c>
      <c r="D146" s="227" t="s">
        <v>490</v>
      </c>
      <c r="E146" s="226">
        <v>43089.904317129629</v>
      </c>
      <c r="F146" s="226">
        <v>43089.91684027778</v>
      </c>
      <c r="G146" s="225">
        <v>66</v>
      </c>
      <c r="H146" s="227" t="s">
        <v>618</v>
      </c>
      <c r="I146" s="226">
        <v>43089.941944444443</v>
      </c>
      <c r="J146" s="225">
        <v>0</v>
      </c>
      <c r="K146" s="237" t="str">
        <f t="shared" si="59"/>
        <v>4043/4044</v>
      </c>
      <c r="L146" s="245" t="str">
        <f>VLOOKUP(A146,'Trips&amp;Operators'!$C$1:$G$99911,5,FALSE)</f>
        <v>LOZA FIDEL</v>
      </c>
      <c r="M146" s="224">
        <f t="shared" si="60"/>
        <v>2.5104166663368233E-2</v>
      </c>
      <c r="N146" s="225">
        <f t="shared" si="61"/>
        <v>36.149999995250255</v>
      </c>
      <c r="O146" s="225"/>
      <c r="P146" s="225"/>
      <c r="Q146" s="228"/>
      <c r="R146" s="242"/>
      <c r="S146" s="249">
        <f t="shared" si="62"/>
        <v>1</v>
      </c>
      <c r="T146" s="242" t="str">
        <f t="shared" si="63"/>
        <v>NorthBound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64"/>
        <v>https://d0f6bd738d7f1b3e5a7ca70fe4ff75f0.us-east-1.aws.found.io/app/kibana#/discover/Steve-Slow-Train-Analysis-(2080s-and-2083s)?_g=(refreshInterval:(display:Off,pause:!f,section:0,value:0),time:(from:'2017-12-20T20:42:13-0700',mode:absolute,to:'2017-12-20T23:36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6" s="247" t="str">
        <f>IF(AA146&lt;VLOOKUP(AG146,Variables!$AC$3:$AD$8,2,FALSE),"Y","N")</f>
        <v>N</v>
      </c>
      <c r="X146" s="247">
        <f t="shared" ref="X146:X177" si="77">VALUE(LEFT(AD146,4))-VALUE(LEFT(AD145,4))</f>
        <v>1</v>
      </c>
      <c r="Y146" s="247">
        <f t="shared" si="70"/>
        <v>5.1700000000000003E-2</v>
      </c>
      <c r="Z146" s="247">
        <f t="shared" si="71"/>
        <v>23.325900000000001</v>
      </c>
      <c r="AA146" s="247">
        <f t="shared" si="65"/>
        <v>23.2742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66"/>
        <v>233</v>
      </c>
      <c r="AE146" s="235" t="str">
        <f t="shared" si="67"/>
        <v>aws s3 cp s3://rtdc.mdm.uploadarchive.raw/RTDC4044/ "%USERPROFILE%\AppData\Local\Temp\OnboardLogs"\RTDC4044\2017-12-20 --exclude "*" --recursive --include "*20171220*" &amp; "%USERPROFILE%\Documents\GitHub\mrs-test-scripts\Headless Mode &amp; Sideloading\WalkAndUnGZ.bat" "%USERPROFILE%\AppData\Local\Temp\OnboardLogs"\RTDC4044\2017-12-20 &amp; aws s3 cp s3://rtdc.mdm.uploadarchive.raw/RTDC4044/ "%USERPROFILE%\AppData\Local\Temp\OnboardLogs"\RTDC4044\2017-12-21 --exclude "*" --recursive --include "*20171221*" &amp; "%USERPROFILE%\Documents\GitHub\mrs-test-scripts\Headless Mode &amp; Sideloading\WalkAndUnGZ.bat" "%USERPROFILE%\AppData\Local\Temp\OnboardLogs"\RTDC4044\2017-12-21</v>
      </c>
      <c r="AF146" s="234" t="str">
        <f t="shared" si="68"/>
        <v>"C:\Program Files (x86)\AstroGrep\AstroGrep.exe" /e /r /s /spath="%USERPROFILE%\AppData\Local\Temp\OnboardLogs" /stypes="app*4044*20171221*" /stext=" 05:.+((SYSTEM_STATE.+slice.+state.+changed )|(ment ac)|(multiple cpu faults)|(system.+state.+changed )|(\[timeout)|(PRM\|1\|D)|(kpr)|(kdp)|(train st.+moving)|(\|gpps)|(penalty))"</v>
      </c>
      <c r="AG146" s="244" t="str">
        <f t="shared" si="69"/>
        <v>EC</v>
      </c>
      <c r="AH146" s="236" t="str">
        <f t="shared" si="72"/>
        <v>"%USERPROFILE%\Documents\GitHub\eaglep3\Utilities\RefineRTDCRunTimes.py" --tripid 233-20 --locoid 4044 --swversion DE.1.0.9.0 --startMP 204:517 --initTime 2017-12-20T21:42:13 --startdatetime 2017-12-20T22:00:15 --delay 66 --endMP 204:233259 --enddatetime 2017-12-20T22:36:24 --enforcementcount 0 &gt;&gt;%USERPROFILE%\Documents\GitHub\eaglep3-reporting\EC\2017-12-20-refined-times.txt</v>
      </c>
      <c r="AI146" s="238" t="str">
        <f t="shared" si="73"/>
        <v>echo {"issue":{"subject":"","project_id":79,"tracker_id":40,"status_id":1,"priority_id":2,"assigned_to_id":338,"start_date":"2017-12-20","description":"","custom_fields":[{"id":1,"name":"Subdivision","value":"EC"},{"id":4,"name":"Milepost","value":"23.3259"},{"id":17,"name":"Train ID","value":"233-20"},{"id":16,"name":"Locomotive ID","value":"4044"},{"id":130,"name":"Impact","value":""},{"id":150,"name":"Time of Event (Mountain Time)","value":"22:36:24"},{"id":151,"name":"Denver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si="74"/>
        <v>start /low /b %USERPROFILE%\Documents\GitHub\eaglep3\Utilities\DownloadLogsFromS3.py --loco 4044 --day 2017-12-20</v>
      </c>
      <c r="AN146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05:36:24"},{"id":29,"name":"Sharepoint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76"/>
        <v>https://d0f6bd738d7f1b3e5a7ca70fe4ff75f0.us-east-1.aws.found.io/app/kibana#/discover/Steve-Slow-Train-Analysis-(2080s-and-2083s)?_g=(refreshInterval:(display:Off,pause:!f,section:0,value:0),time:(from:'2017-12-20T20:42:13-0700',mode:absolute,to:'2017-12-20T23:36:24-0700'))&amp;_a=(columns:!('Message%20ID',Summary),filters:!(),index:'emp_*',interval:auto,query:(query_string:(analyze_wildcard:!t,query:'%22rtdc.l.rtdc.4044%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3" customFormat="1" x14ac:dyDescent="0.25">
      <c r="A147" s="229" t="s">
        <v>883</v>
      </c>
      <c r="B147" s="225">
        <v>4043</v>
      </c>
      <c r="C147" s="227" t="s">
        <v>192</v>
      </c>
      <c r="D147" s="227" t="s">
        <v>623</v>
      </c>
      <c r="E147" s="226">
        <v>43089.94740740741</v>
      </c>
      <c r="F147" s="226">
        <v>43089.956678240742</v>
      </c>
      <c r="G147" s="225">
        <v>471</v>
      </c>
      <c r="H147" s="227" t="s">
        <v>550</v>
      </c>
      <c r="I147" s="226">
        <v>43089.983634259261</v>
      </c>
      <c r="J147" s="225">
        <v>0</v>
      </c>
      <c r="K147" s="237" t="str">
        <f t="shared" si="59"/>
        <v>4043/4044</v>
      </c>
      <c r="L147" s="245" t="str">
        <f>VLOOKUP(A147,'Trips&amp;Operators'!$C$1:$G$99911,5,FALSE)</f>
        <v>LOZA FIDEL</v>
      </c>
      <c r="M147" s="224">
        <f t="shared" si="60"/>
        <v>2.6956018518831115E-2</v>
      </c>
      <c r="N147" s="225">
        <f t="shared" si="61"/>
        <v>38.816666667116806</v>
      </c>
      <c r="O147" s="225"/>
      <c r="P147" s="225"/>
      <c r="Q147" s="228"/>
      <c r="R147" s="242"/>
      <c r="S147" s="249">
        <f t="shared" si="62"/>
        <v>1</v>
      </c>
      <c r="T147" s="242" t="str">
        <f t="shared" si="63"/>
        <v>Southbound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64"/>
        <v>https://d0f6bd738d7f1b3e5a7ca70fe4ff75f0.us-east-1.aws.found.io/app/kibana#/discover/Steve-Slow-Train-Analysis-(2080s-and-2083s)?_g=(refreshInterval:(display:Off,pause:!f,section:0,value:0),time:(from:'2017-12-20T21:44:16-0700',mode:absolute,to:'2017-12-21T00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7" s="247" t="str">
        <f>IF(AA147&lt;VLOOKUP(AG147,Variables!$AC$3:$AD$8,2,FALSE),"Y","N")</f>
        <v>N</v>
      </c>
      <c r="X147" s="247">
        <f t="shared" si="77"/>
        <v>1</v>
      </c>
      <c r="Y147" s="247">
        <f t="shared" si="70"/>
        <v>23.292999999999999</v>
      </c>
      <c r="Z147" s="247">
        <f t="shared" si="71"/>
        <v>2.4299999999999999E-2</v>
      </c>
      <c r="AA147" s="247">
        <f t="shared" si="65"/>
        <v>23.268699999999999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 t="shared" si="66"/>
        <v>234</v>
      </c>
      <c r="AE147" s="235" t="str">
        <f t="shared" si="67"/>
        <v>aws s3 cp s3://rtdc.mdm.uploadarchive.raw/RTDC4043/ "%USERPROFILE%\AppData\Local\Temp\OnboardLogs"\RTDC4043\2017-12-20 --exclude "*" --recursive --include "*20171220*" &amp; "%USERPROFILE%\Documents\GitHub\mrs-test-scripts\Headless Mode &amp; Sideloading\WalkAndUnGZ.bat" "%USERPROFILE%\AppData\Local\Temp\OnboardLogs"\RTDC4043\2017-12-20 &amp; aws s3 cp s3://rtdc.mdm.uploadarchive.raw/RTDC4043/ "%USERPROFILE%\AppData\Local\Temp\OnboardLogs"\RTDC4043\2017-12-21 --exclude "*" --recursive --include "*20171221*" &amp; "%USERPROFILE%\Documents\GitHub\mrs-test-scripts\Headless Mode &amp; Sideloading\WalkAndUnGZ.bat" "%USERPROFILE%\AppData\Local\Temp\OnboardLogs"\RTDC4043\2017-12-21</v>
      </c>
      <c r="AF147" s="234" t="str">
        <f t="shared" si="68"/>
        <v>"C:\Program Files (x86)\AstroGrep\AstroGrep.exe" /e /r /s /spath="%USERPROFILE%\AppData\Local\Temp\OnboardLogs" /stypes="app*4043*20171221*" /stext=" 06:.+((SYSTEM_STATE.+slice.+state.+changed )|(ment ac)|(multiple cpu faults)|(system.+state.+changed )|(\[timeout)|(PRM\|1\|D)|(kpr)|(kdp)|(train st.+moving)|(\|gpps)|(penalty))"</v>
      </c>
      <c r="AG147" s="244" t="str">
        <f t="shared" si="69"/>
        <v>EC</v>
      </c>
      <c r="AH147" s="236" t="str">
        <f t="shared" si="72"/>
        <v>"%USERPROFILE%\Documents\GitHub\eaglep3\Utilities\RefineRTDCRunTimes.py" --tripid 234-20 --locoid 4043 --swversion DE.1.0.9.0 --startMP 204:232930 --initTime 2017-12-20T22:44:16 --startdatetime 2017-12-20T22:57:37 --delay 471 --endMP 204:243 --enddatetime 2017-12-20T23:36:26 --enforcementcount 0 &gt;&gt;%USERPROFILE%\Documents\GitHub\eaglep3-reporting\EC\2017-12-20-refined-times.txt</v>
      </c>
      <c r="AI147" s="238" t="str">
        <f t="shared" si="73"/>
        <v>echo {"issue":{"subject":"","project_id":79,"tracker_id":40,"status_id":1,"priority_id":2,"assigned_to_id":338,"start_date":"2017-12-20","description":"","custom_fields":[{"id":1,"name":"Subdivision","value":"EC"},{"id":4,"name":"Milepost","value":"0.0243"},{"id":17,"name":"Train ID","value":"234-20"},{"id":16,"name":"Locomotive ID","value":"4043"},{"id":130,"name":"Impact","value":""},{"id":150,"name":"Time of Event (Mountain Time)","value":"23:36:26"},{"id":151,"name":"Denver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1"/>
      <c r="AL147" s="231"/>
      <c r="AM147" s="240" t="str">
        <f t="shared" si="74"/>
        <v>start /low /b %USERPROFILE%\Documents\GitHub\eaglep3\Utilities\DownloadLogsFromS3.py --loco 4043 --day 2017-12-20</v>
      </c>
      <c r="AN147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06:36:26"},{"id":29,"name":"Sharepoint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76"/>
        <v>https://d0f6bd738d7f1b3e5a7ca70fe4ff75f0.us-east-1.aws.found.io/app/kibana#/discover/Steve-Slow-Train-Analysis-(2080s-and-2083s)?_g=(refreshInterval:(display:Off,pause:!f,section:0,value:0),time:(from:'2017-12-20T21:44:16-0700',mode:absolute,to:'2017-12-21T00:36:26-0700'))&amp;_a=(columns:!('Message%20ID',Summary),filters:!(),index:'emp_*',interval:auto,query:(query_string:(analyze_wildcard:!t,query:'%22rtdc.l.rtdc.4043%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229" t="s">
        <v>881</v>
      </c>
      <c r="B148" s="225">
        <v>4020</v>
      </c>
      <c r="C148" s="227" t="s">
        <v>192</v>
      </c>
      <c r="D148" s="227" t="s">
        <v>923</v>
      </c>
      <c r="E148" s="226">
        <v>43089.927581018521</v>
      </c>
      <c r="F148" s="226">
        <v>43089.937650462962</v>
      </c>
      <c r="G148" s="225">
        <v>349</v>
      </c>
      <c r="H148" s="227" t="s">
        <v>991</v>
      </c>
      <c r="I148" s="226">
        <v>43089.962905092594</v>
      </c>
      <c r="J148" s="225">
        <v>0</v>
      </c>
      <c r="K148" s="237" t="str">
        <f t="shared" si="59"/>
        <v>4019/4020</v>
      </c>
      <c r="L148" s="245" t="str">
        <f>VLOOKUP(A148,'Trips&amp;Operators'!$C$1:$G$99911,5,FALSE)</f>
        <v>MCREYNOLDS KYLE</v>
      </c>
      <c r="M148" s="224">
        <f t="shared" si="60"/>
        <v>2.5254629632399883E-2</v>
      </c>
      <c r="N148" s="225">
        <f t="shared" si="61"/>
        <v>36.366666670655832</v>
      </c>
      <c r="O148" s="225"/>
      <c r="P148" s="225"/>
      <c r="Q148" s="228"/>
      <c r="R148" s="242"/>
      <c r="S148" s="249">
        <f t="shared" si="62"/>
        <v>1</v>
      </c>
      <c r="T148" s="242" t="str">
        <f t="shared" si="63"/>
        <v>NorthBound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64"/>
        <v>https://d0f6bd738d7f1b3e5a7ca70fe4ff75f0.us-east-1.aws.found.io/app/kibana#/discover/Steve-Slow-Train-Analysis-(2080s-and-2083s)?_g=(refreshInterval:(display:Off,pause:!f,section:0,value:0),time:(from:'2017-12-20T21:15:43-0700',mode:absolute,to:'2017-12-21T00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8" s="247" t="str">
        <f>IF(AA148&lt;VLOOKUP(AG148,Variables!$AC$3:$AD$8,2,FALSE),"Y","N")</f>
        <v>N</v>
      </c>
      <c r="X148" s="247">
        <f t="shared" si="77"/>
        <v>1</v>
      </c>
      <c r="Y148" s="247">
        <f t="shared" si="70"/>
        <v>5.4399999999999997E-2</v>
      </c>
      <c r="Z148" s="247">
        <f t="shared" si="71"/>
        <v>23.327200000000001</v>
      </c>
      <c r="AA148" s="247">
        <f t="shared" si="65"/>
        <v>23.2728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66"/>
        <v>235</v>
      </c>
      <c r="AE148" s="235" t="str">
        <f t="shared" si="67"/>
        <v>aws s3 cp s3://rtdc.mdm.uploadarchive.raw/RTDC4020/ "%USERPROFILE%\AppData\Local\Temp\OnboardLogs"\RTDC4020\2017-12-20 --exclude "*" --recursive --include "*20171220*" &amp; "%USERPROFILE%\Documents\GitHub\mrs-test-scripts\Headless Mode &amp; Sideloading\WalkAndUnGZ.bat" "%USERPROFILE%\AppData\Local\Temp\OnboardLogs"\RTDC4020\2017-12-20 &amp; aws s3 cp s3://rtdc.mdm.uploadarchive.raw/RTDC4020/ "%USERPROFILE%\AppData\Local\Temp\OnboardLogs"\RTDC4020\2017-12-21 --exclude "*" --recursive --include "*20171221*" &amp; "%USERPROFILE%\Documents\GitHub\mrs-test-scripts\Headless Mode &amp; Sideloading\WalkAndUnGZ.bat" "%USERPROFILE%\AppData\Local\Temp\OnboardLogs"\RTDC4020\2017-12-21</v>
      </c>
      <c r="AF148" s="234" t="str">
        <f t="shared" si="68"/>
        <v>"C:\Program Files (x86)\AstroGrep\AstroGrep.exe" /e /r /s /spath="%USERPROFILE%\AppData\Local\Temp\OnboardLogs" /stypes="app*4020*20171221*" /stext=" 06:.+((SYSTEM_STATE.+slice.+state.+changed )|(ment ac)|(multiple cpu faults)|(system.+state.+changed )|(\[timeout)|(PRM\|1\|D)|(kpr)|(kdp)|(train st.+moving)|(\|gpps)|(penalty))"</v>
      </c>
      <c r="AG148" s="244" t="str">
        <f t="shared" si="69"/>
        <v>EC</v>
      </c>
      <c r="AH148" s="236" t="str">
        <f t="shared" si="72"/>
        <v>"%USERPROFILE%\Documents\GitHub\eaglep3\Utilities\RefineRTDCRunTimes.py" --tripid 235-20 --locoid 4020 --swversion DE.1.0.9.0 --startMP 204:544 --initTime 2017-12-20T22:15:43 --startdatetime 2017-12-20T22:30:13 --delay 349 --endMP 204:233272 --enddatetime 2017-12-20T23:06:35 --enforcementcount 0 &gt;&gt;%USERPROFILE%\Documents\GitHub\eaglep3-reporting\EC\2017-12-20-refined-times.txt</v>
      </c>
      <c r="AI148" s="238" t="str">
        <f t="shared" si="73"/>
        <v>echo {"issue":{"subject":"","project_id":79,"tracker_id":40,"status_id":1,"priority_id":2,"assigned_to_id":338,"start_date":"2017-12-20","description":"","custom_fields":[{"id":1,"name":"Subdivision","value":"EC"},{"id":4,"name":"Milepost","value":"23.3272"},{"id":17,"name":"Train ID","value":"235-20"},{"id":16,"name":"Locomotive ID","value":"4020"},{"id":130,"name":"Impact","value":""},{"id":150,"name":"Time of Event (Mountain Time)","value":"23:06:35"},{"id":151,"name":"Denver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3"/>
      <c r="AK148" s="231"/>
      <c r="AL148" s="231"/>
      <c r="AM148" s="240" t="str">
        <f t="shared" si="74"/>
        <v>start /low /b %USERPROFILE%\Documents\GitHub\eaglep3\Utilities\DownloadLogsFromS3.py --loco 4020 --day 2017-12-20</v>
      </c>
      <c r="AN148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06:06:35"},{"id":29,"name":"Sharepoint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76"/>
        <v>https://d0f6bd738d7f1b3e5a7ca70fe4ff75f0.us-east-1.aws.found.io/app/kibana#/discover/Steve-Slow-Train-Analysis-(2080s-and-2083s)?_g=(refreshInterval:(display:Off,pause:!f,section:0,value:0),time:(from:'2017-12-20T21:15:43-0700',mode:absolute,to:'2017-12-21T00:06:35-0700'))&amp;_a=(columns:!('Message%20ID',Summary),filters:!(),index:'emp_*',interval:auto,query:(query_string:(analyze_wildcard:!t,query:'%22rtdc.l.rtdc.4020%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229" t="s">
        <v>886</v>
      </c>
      <c r="B149" s="225">
        <v>4019</v>
      </c>
      <c r="C149" s="227" t="s">
        <v>192</v>
      </c>
      <c r="D149" s="227" t="s">
        <v>914</v>
      </c>
      <c r="E149" s="226">
        <v>43089.969942129632</v>
      </c>
      <c r="F149" s="226">
        <v>43089.977233796293</v>
      </c>
      <c r="G149" s="225">
        <v>51</v>
      </c>
      <c r="H149" s="227" t="s">
        <v>489</v>
      </c>
      <c r="I149" s="226">
        <v>43090.004629629628</v>
      </c>
      <c r="J149" s="225">
        <v>0</v>
      </c>
      <c r="K149" s="237" t="str">
        <f t="shared" si="59"/>
        <v>4019/4020</v>
      </c>
      <c r="L149" s="245" t="str">
        <f>VLOOKUP(A149,'Trips&amp;Operators'!$C$1:$G$99911,5,FALSE)</f>
        <v>MCREYNOLDS KYLE</v>
      </c>
      <c r="M149" s="224">
        <f t="shared" si="60"/>
        <v>2.7395833334594499E-2</v>
      </c>
      <c r="N149" s="225">
        <f t="shared" si="61"/>
        <v>39.450000001816079</v>
      </c>
      <c r="O149" s="225"/>
      <c r="P149" s="225"/>
      <c r="Q149" s="228"/>
      <c r="R149" s="242"/>
      <c r="S149" s="249">
        <f t="shared" si="62"/>
        <v>1</v>
      </c>
      <c r="T149" s="242" t="str">
        <f t="shared" si="63"/>
        <v>Southbound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64"/>
        <v>https://d0f6bd738d7f1b3e5a7ca70fe4ff75f0.us-east-1.aws.found.io/app/kibana#/discover/Steve-Slow-Train-Analysis-(2080s-and-2083s)?_g=(refreshInterval:(display:Off,pause:!f,section:0,value:0),time:(from:'2017-12-20T22:16:43-0700',mode:absolute,to:'2017-12-21T01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9" s="247" t="str">
        <f>IF(AA149&lt;VLOOKUP(AG149,Variables!$AC$3:$AD$8,2,FALSE),"Y","N")</f>
        <v>N</v>
      </c>
      <c r="X149" s="247">
        <f t="shared" si="77"/>
        <v>1</v>
      </c>
      <c r="Y149" s="247">
        <f t="shared" si="70"/>
        <v>23.296199999999999</v>
      </c>
      <c r="Z149" s="247">
        <f t="shared" si="71"/>
        <v>1.9800000000000002E-2</v>
      </c>
      <c r="AA149" s="247">
        <f t="shared" si="65"/>
        <v>23.276399999999999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66"/>
        <v>236</v>
      </c>
      <c r="AE149" s="235" t="str">
        <f t="shared" si="67"/>
        <v>aws s3 cp s3://rtdc.mdm.uploadarchive.raw/RTDC4019/ "%USERPROFILE%\AppData\Local\Temp\OnboardLogs"\RTDC4019\2017-12-20 --exclude "*" --recursive --include "*20171220*" &amp; "%USERPROFILE%\Documents\GitHub\mrs-test-scripts\Headless Mode &amp; Sideloading\WalkAndUnGZ.bat" "%USERPROFILE%\AppData\Local\Temp\OnboardLogs"\RTDC4019\2017-12-20 &amp; aws s3 cp s3://rtdc.mdm.uploadarchive.raw/RTDC4019/ "%USERPROFILE%\AppData\Local\Temp\OnboardLogs"\RTDC4019\2017-12-21 --exclude "*" --recursive --include "*20171221*" &amp; "%USERPROFILE%\Documents\GitHub\mrs-test-scripts\Headless Mode &amp; Sideloading\WalkAndUnGZ.bat" "%USERPROFILE%\AppData\Local\Temp\OnboardLogs"\RTDC4019\2017-12-21</v>
      </c>
      <c r="AF149" s="234" t="str">
        <f t="shared" si="68"/>
        <v>"C:\Program Files (x86)\AstroGrep\AstroGrep.exe" /e /r /s /spath="%USERPROFILE%\AppData\Local\Temp\OnboardLogs" /stypes="app*4019*20171221*" /stext=" 07:.+((SYSTEM_STATE.+slice.+state.+changed )|(ment ac)|(multiple cpu faults)|(system.+state.+changed )|(\[timeout)|(PRM\|1\|D)|(kpr)|(kdp)|(train st.+moving)|(\|gpps)|(penalty))"</v>
      </c>
      <c r="AG149" s="244" t="str">
        <f t="shared" si="69"/>
        <v>EC</v>
      </c>
      <c r="AH149" s="236" t="str">
        <f t="shared" si="72"/>
        <v>"%USERPROFILE%\Documents\GitHub\eaglep3\Utilities\RefineRTDCRunTimes.py" --tripid 236-20 --locoid 4019 --swversion DE.1.0.9.0 --startMP 204:232962 --initTime 2017-12-20T23:16:43 --startdatetime 2017-12-20T23:27:13 --delay 51 --endMP 204:198 --enddatetime 2017-12-21T00:06:40 --enforcementcount 0 &gt;&gt;%USERPROFILE%\Documents\GitHub\eaglep3-reporting\EC\2017-12-20-refined-times.txt</v>
      </c>
      <c r="AI149" s="238" t="str">
        <f t="shared" si="73"/>
        <v>echo {"issue":{"subject":"","project_id":79,"tracker_id":40,"status_id":1,"priority_id":2,"assigned_to_id":338,"start_date":"2017-12-21","description":"","custom_fields":[{"id":1,"name":"Subdivision","value":"EC"},{"id":4,"name":"Milepost","value":"0.0198"},{"id":17,"name":"Train ID","value":"236-20"},{"id":16,"name":"Locomotive ID","value":"4019"},{"id":130,"name":"Impact","value":""},{"id":150,"name":"Time of Event (Mountain Time)","value":"00:06:40"},{"id":151,"name":"Denver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3"/>
      <c r="AK149" s="231"/>
      <c r="AL149" s="231"/>
      <c r="AM149" s="240" t="str">
        <f t="shared" si="74"/>
        <v>start /low /b %USERPROFILE%\Documents\GitHub\eaglep3\Utilities\DownloadLogsFromS3.py --loco 4019 --day 2017-12-20</v>
      </c>
      <c r="AN149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07:06:40"},{"id":29,"name":"Sharepoint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76"/>
        <v>https://d0f6bd738d7f1b3e5a7ca70fe4ff75f0.us-east-1.aws.found.io/app/kibana#/discover/Steve-Slow-Train-Analysis-(2080s-and-2083s)?_g=(refreshInterval:(display:Off,pause:!f,section:0,value:0),time:(from:'2017-12-20T22:16:43-0700',mode:absolute,to:'2017-12-21T01:06:40-0700'))&amp;_a=(columns:!('Message%20ID',Summary),filters:!(),index:'emp_*',interval:auto,query:(query_string:(analyze_wildcard:!t,query:'%22rtdc.l.rtdc.4019%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229" t="s">
        <v>884</v>
      </c>
      <c r="B150" s="225">
        <v>4010</v>
      </c>
      <c r="C150" s="227" t="s">
        <v>192</v>
      </c>
      <c r="D150" s="227" t="s">
        <v>543</v>
      </c>
      <c r="E150" s="226">
        <v>43089.953738425924</v>
      </c>
      <c r="F150" s="226">
        <v>43089.958564814813</v>
      </c>
      <c r="G150" s="225">
        <v>53</v>
      </c>
      <c r="H150" s="227" t="s">
        <v>992</v>
      </c>
      <c r="I150" s="226">
        <v>43089.984756944446</v>
      </c>
      <c r="J150" s="225">
        <v>0</v>
      </c>
      <c r="K150" s="237" t="str">
        <f t="shared" si="59"/>
        <v>4009/4010</v>
      </c>
      <c r="L150" s="245" t="str">
        <f>VLOOKUP(A150,'Trips&amp;Operators'!$C$1:$G$99911,5,FALSE)</f>
        <v>NICHOLSON WESLEY</v>
      </c>
      <c r="M150" s="224">
        <f t="shared" si="60"/>
        <v>2.6192129633272998E-2</v>
      </c>
      <c r="N150" s="225">
        <f t="shared" si="61"/>
        <v>37.716666671913117</v>
      </c>
      <c r="O150" s="225"/>
      <c r="P150" s="225"/>
      <c r="Q150" s="228"/>
      <c r="R150" s="242"/>
      <c r="S150" s="249">
        <f t="shared" si="62"/>
        <v>1</v>
      </c>
      <c r="T150" s="242" t="str">
        <f t="shared" si="63"/>
        <v>NorthBound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 t="shared" si="64"/>
        <v>https://d0f6bd738d7f1b3e5a7ca70fe4ff75f0.us-east-1.aws.found.io/app/kibana#/discover/Steve-Slow-Train-Analysis-(2080s-and-2083s)?_g=(refreshInterval:(display:Off,pause:!f,section:0,value:0),time:(from:'2017-12-20T21:53:23-0700',mode:absolute,to:'2017-12-21T00:38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0" s="247" t="str">
        <f>IF(AA150&lt;VLOOKUP(AG150,Variables!$AC$3:$AD$8,2,FALSE),"Y","N")</f>
        <v>N</v>
      </c>
      <c r="X150" s="247">
        <f t="shared" si="77"/>
        <v>1</v>
      </c>
      <c r="Y150" s="247">
        <f t="shared" si="70"/>
        <v>5.3900000000000003E-2</v>
      </c>
      <c r="Z150" s="247">
        <f t="shared" si="71"/>
        <v>23.317799999999998</v>
      </c>
      <c r="AA150" s="247">
        <f t="shared" si="65"/>
        <v>23.2639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66"/>
        <v>237</v>
      </c>
      <c r="AE150" s="235" t="str">
        <f t="shared" si="67"/>
        <v>aws s3 cp s3://rtdc.mdm.uploadarchive.raw/RTDC4010/ "%USERPROFILE%\AppData\Local\Temp\OnboardLogs"\RTDC4010\2017-12-20 --exclude "*" --recursive --include "*20171220*" &amp; "%USERPROFILE%\Documents\GitHub\mrs-test-scripts\Headless Mode &amp; Sideloading\WalkAndUnGZ.bat" "%USERPROFILE%\AppData\Local\Temp\OnboardLogs"\RTDC4010\2017-12-20 &amp; aws s3 cp s3://rtdc.mdm.uploadarchive.raw/RTDC4010/ "%USERPROFILE%\AppData\Local\Temp\OnboardLogs"\RTDC4010\2017-12-21 --exclude "*" --recursive --include "*20171221*" &amp; "%USERPROFILE%\Documents\GitHub\mrs-test-scripts\Headless Mode &amp; Sideloading\WalkAndUnGZ.bat" "%USERPROFILE%\AppData\Local\Temp\OnboardLogs"\RTDC4010\2017-12-21</v>
      </c>
      <c r="AF150" s="234" t="str">
        <f t="shared" si="68"/>
        <v>"C:\Program Files (x86)\AstroGrep\AstroGrep.exe" /e /r /s /spath="%USERPROFILE%\AppData\Local\Temp\OnboardLogs" /stypes="app*4010*20171221*" /stext=" 06:.+((SYSTEM_STATE.+slice.+state.+changed )|(ment ac)|(multiple cpu faults)|(system.+state.+changed )|(\[timeout)|(PRM\|1\|D)|(kpr)|(kdp)|(train st.+moving)|(\|gpps)|(penalty))"</v>
      </c>
      <c r="AG150" s="244" t="str">
        <f t="shared" si="69"/>
        <v>EC</v>
      </c>
      <c r="AH150" s="236" t="str">
        <f t="shared" si="72"/>
        <v>"%USERPROFILE%\Documents\GitHub\eaglep3\Utilities\RefineRTDCRunTimes.py" --tripid 237-20 --locoid 4010 --swversion DE.1.0.9.0 --startMP 204:539 --initTime 2017-12-20T22:53:23 --startdatetime 2017-12-20T23:00:20 --delay 53 --endMP 204:233178 --enddatetime 2017-12-20T23:38:03 --enforcementcount 0 &gt;&gt;%USERPROFILE%\Documents\GitHub\eaglep3-reporting\EC\2017-12-20-refined-times.txt</v>
      </c>
      <c r="AI150" s="238" t="str">
        <f t="shared" si="73"/>
        <v>echo {"issue":{"subject":"","project_id":79,"tracker_id":40,"status_id":1,"priority_id":2,"assigned_to_id":338,"start_date":"2017-12-20","description":"","custom_fields":[{"id":1,"name":"Subdivision","value":"EC"},{"id":4,"name":"Milepost","value":"23.3178"},{"id":17,"name":"Train ID","value":"237-20"},{"id":16,"name":"Locomotive ID","value":"4010"},{"id":130,"name":"Impact","value":""},{"id":150,"name":"Time of Event (Mountain Time)","value":"23:38:03"},{"id":151,"name":"Denver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3"/>
      <c r="AK150" s="231"/>
      <c r="AL150" s="231"/>
      <c r="AM150" s="240" t="str">
        <f t="shared" si="74"/>
        <v>start /low /b %USERPROFILE%\Documents\GitHub\eaglep3\Utilities\DownloadLogsFromS3.py --loco 4010 --day 2017-12-20</v>
      </c>
      <c r="AN150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06:38:03"},{"id":29,"name":"Sharepoint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76"/>
        <v>https://d0f6bd738d7f1b3e5a7ca70fe4ff75f0.us-east-1.aws.found.io/app/kibana#/discover/Steve-Slow-Train-Analysis-(2080s-and-2083s)?_g=(refreshInterval:(display:Off,pause:!f,section:0,value:0),time:(from:'2017-12-20T21:53:23-0700',mode:absolute,to:'2017-12-21T00:38:03-0700'))&amp;_a=(columns:!('Message%20ID',Summary),filters:!(),index:'emp_*',interval:auto,query:(query_string:(analyze_wildcard:!t,query:'%22rtdc.l.rtdc.4010%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25">
      <c r="A151" s="229" t="s">
        <v>890</v>
      </c>
      <c r="B151" s="225">
        <v>4009</v>
      </c>
      <c r="C151" s="227" t="s">
        <v>192</v>
      </c>
      <c r="D151" s="227" t="s">
        <v>993</v>
      </c>
      <c r="E151" s="226">
        <v>43089.995694444442</v>
      </c>
      <c r="F151" s="226">
        <v>43089.998206018521</v>
      </c>
      <c r="G151" s="225">
        <v>58</v>
      </c>
      <c r="H151" s="227" t="s">
        <v>994</v>
      </c>
      <c r="I151" s="226">
        <v>43090.026562500003</v>
      </c>
      <c r="J151" s="225">
        <v>0</v>
      </c>
      <c r="K151" s="237" t="str">
        <f t="shared" si="59"/>
        <v>4009/4010</v>
      </c>
      <c r="L151" s="245" t="str">
        <f>VLOOKUP(A151,'Trips&amp;Operators'!$C$1:$G$99911,5,FALSE)</f>
        <v>NICHOLSON WESLEY</v>
      </c>
      <c r="M151" s="224">
        <f t="shared" si="60"/>
        <v>2.8356481481750961E-2</v>
      </c>
      <c r="N151" s="225">
        <f t="shared" si="61"/>
        <v>40.833333333721384</v>
      </c>
      <c r="O151" s="225"/>
      <c r="P151" s="225"/>
      <c r="Q151" s="228"/>
      <c r="R151" s="242"/>
      <c r="S151" s="249">
        <f t="shared" si="62"/>
        <v>1</v>
      </c>
      <c r="T151" s="242" t="str">
        <f t="shared" si="63"/>
        <v>Southbound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 t="shared" si="64"/>
        <v>https://d0f6bd738d7f1b3e5a7ca70fe4ff75f0.us-east-1.aws.found.io/app/kibana#/discover/Steve-Slow-Train-Analysis-(2080s-and-2083s)?_g=(refreshInterval:(display:Off,pause:!f,section:0,value:0),time:(from:'2017-12-20T22:53:48-0700',mode:absolute,to:'2017-12-21T01:38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1" s="247" t="str">
        <f>IF(AA151&lt;VLOOKUP(AG151,Variables!$AC$3:$AD$8,2,FALSE),"Y","N")</f>
        <v>N</v>
      </c>
      <c r="X151" s="247">
        <f t="shared" si="77"/>
        <v>1</v>
      </c>
      <c r="Y151" s="247">
        <f t="shared" si="70"/>
        <v>23.2852</v>
      </c>
      <c r="Z151" s="247">
        <f t="shared" si="71"/>
        <v>2.5100000000000001E-2</v>
      </c>
      <c r="AA151" s="247">
        <f t="shared" si="65"/>
        <v>23.260100000000001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66"/>
        <v>238</v>
      </c>
      <c r="AE151" s="235" t="str">
        <f t="shared" si="67"/>
        <v>aws s3 cp s3://rtdc.mdm.uploadarchive.raw/RTDC4009/ "%USERPROFILE%\AppData\Local\Temp\OnboardLogs"\RTDC4009\2017-12-20 --exclude "*" --recursive --include "*20171220*" &amp; "%USERPROFILE%\Documents\GitHub\mrs-test-scripts\Headless Mode &amp; Sideloading\WalkAndUnGZ.bat" "%USERPROFILE%\AppData\Local\Temp\OnboardLogs"\RTDC4009\2017-12-20 &amp; aws s3 cp s3://rtdc.mdm.uploadarchive.raw/RTDC4009/ "%USERPROFILE%\AppData\Local\Temp\OnboardLogs"\RTDC4009\2017-12-21 --exclude "*" --recursive --include "*20171221*" &amp; "%USERPROFILE%\Documents\GitHub\mrs-test-scripts\Headless Mode &amp; Sideloading\WalkAndUnGZ.bat" "%USERPROFILE%\AppData\Local\Temp\OnboardLogs"\RTDC4009\2017-12-21</v>
      </c>
      <c r="AF151" s="234" t="str">
        <f t="shared" si="68"/>
        <v>"C:\Program Files (x86)\AstroGrep\AstroGrep.exe" /e /r /s /spath="%USERPROFILE%\AppData\Local\Temp\OnboardLogs" /stypes="app*4009*20171221*" /stext=" 07:.+((SYSTEM_STATE.+slice.+state.+changed )|(ment ac)|(multiple cpu faults)|(system.+state.+changed )|(\[timeout)|(PRM\|1\|D)|(kpr)|(kdp)|(train st.+moving)|(\|gpps)|(penalty))"</v>
      </c>
      <c r="AG151" s="244" t="str">
        <f t="shared" si="69"/>
        <v>EC</v>
      </c>
      <c r="AH151" s="236" t="str">
        <f t="shared" si="72"/>
        <v>"%USERPROFILE%\Documents\GitHub\eaglep3\Utilities\RefineRTDCRunTimes.py" --tripid 238-20 --locoid 4009 --swversion DE.1.0.9.0 --startMP 204:232852 --initTime 2017-12-20T23:53:48 --startdatetime 2017-12-20T23:57:25 --delay 58 --endMP 204:251 --enddatetime 2017-12-21T00:38:15 --enforcementcount 0 &gt;&gt;%USERPROFILE%\Documents\GitHub\eaglep3-reporting\EC\2017-12-20-refined-times.txt</v>
      </c>
      <c r="AI151" s="238" t="str">
        <f t="shared" si="73"/>
        <v>echo {"issue":{"subject":"","project_id":79,"tracker_id":40,"status_id":1,"priority_id":2,"assigned_to_id":338,"start_date":"2017-12-21","description":"","custom_fields":[{"id":1,"name":"Subdivision","value":"EC"},{"id":4,"name":"Milepost","value":"0.0251"},{"id":17,"name":"Train ID","value":"238-20"},{"id":16,"name":"Locomotive ID","value":"4009"},{"id":130,"name":"Impact","value":""},{"id":150,"name":"Time of Event (Mountain Time)","value":"00:38:15"},{"id":151,"name":"Denver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74"/>
        <v>start /low /b %USERPROFILE%\Documents\GitHub\eaglep3\Utilities\DownloadLogsFromS3.py --loco 4009 --day 2017-12-20</v>
      </c>
      <c r="AN151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07:38:15"},{"id":29,"name":"Sharepoint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76"/>
        <v>https://d0f6bd738d7f1b3e5a7ca70fe4ff75f0.us-east-1.aws.found.io/app/kibana#/discover/Steve-Slow-Train-Analysis-(2080s-and-2083s)?_g=(refreshInterval:(display:Off,pause:!f,section:0,value:0),time:(from:'2017-12-20T22:53:48-0700',mode:absolute,to:'2017-12-21T01:38:15-0700'))&amp;_a=(columns:!('Message%20ID',Summary),filters:!(),index:'emp_*',interval:auto,query:(query_string:(analyze_wildcard:!t,query:'%22rtdc.l.rtdc.4009%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25">
      <c r="A152" s="229" t="s">
        <v>887</v>
      </c>
      <c r="B152" s="225">
        <v>4062</v>
      </c>
      <c r="C152" s="227" t="s">
        <v>192</v>
      </c>
      <c r="D152" s="227" t="s">
        <v>995</v>
      </c>
      <c r="E152" s="226">
        <v>43089.974305555559</v>
      </c>
      <c r="F152" s="226">
        <v>43089.97934027778</v>
      </c>
      <c r="G152" s="225">
        <v>59</v>
      </c>
      <c r="H152" s="227" t="s">
        <v>996</v>
      </c>
      <c r="I152" s="226">
        <v>43090.003750000003</v>
      </c>
      <c r="J152" s="225">
        <v>0</v>
      </c>
      <c r="K152" s="237" t="str">
        <f t="shared" si="59"/>
        <v>4061/4062</v>
      </c>
      <c r="L152" s="245" t="str">
        <f>VLOOKUP(A152,'Trips&amp;Operators'!$C$1:$G$99911,5,FALSE)</f>
        <v>RESPASS AARON</v>
      </c>
      <c r="M152" s="224">
        <f t="shared" si="60"/>
        <v>2.4409722223936114E-2</v>
      </c>
      <c r="N152" s="225">
        <f t="shared" si="61"/>
        <v>35.150000002468005</v>
      </c>
      <c r="O152" s="225"/>
      <c r="P152" s="225"/>
      <c r="Q152" s="228"/>
      <c r="R152" s="242"/>
      <c r="S152" s="249">
        <f t="shared" si="62"/>
        <v>1</v>
      </c>
      <c r="T152" s="242" t="str">
        <f t="shared" si="63"/>
        <v>NorthBound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64"/>
        <v>https://d0f6bd738d7f1b3e5a7ca70fe4ff75f0.us-east-1.aws.found.io/app/kibana#/discover/Steve-Slow-Train-Analysis-(2080s-and-2083s)?_g=(refreshInterval:(display:Off,pause:!f,section:0,value:0),time:(from:'2017-12-20T22:23:00-0700',mode:absolute,to:'2017-12-21T01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2" s="247" t="str">
        <f>IF(AA152&lt;VLOOKUP(AG152,Variables!$AC$3:$AD$8,2,FALSE),"Y","N")</f>
        <v>N</v>
      </c>
      <c r="X152" s="247">
        <f t="shared" si="77"/>
        <v>1</v>
      </c>
      <c r="Y152" s="247">
        <f t="shared" si="70"/>
        <v>5.7299999999999997E-2</v>
      </c>
      <c r="Z152" s="247">
        <f t="shared" si="71"/>
        <v>23.323399999999999</v>
      </c>
      <c r="AA152" s="247">
        <f t="shared" si="65"/>
        <v>23.266099999999998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 t="shared" si="66"/>
        <v>239</v>
      </c>
      <c r="AE152" s="235" t="str">
        <f t="shared" si="67"/>
        <v>aws s3 cp s3://rtdc.mdm.uploadarchive.raw/RTDC4062/ "%USERPROFILE%\AppData\Local\Temp\OnboardLogs"\RTDC4062\2017-12-20 --exclude "*" --recursive --include "*20171220*" &amp; "%USERPROFILE%\Documents\GitHub\mrs-test-scripts\Headless Mode &amp; Sideloading\WalkAndUnGZ.bat" "%USERPROFILE%\AppData\Local\Temp\OnboardLogs"\RTDC4062\2017-12-20 &amp; aws s3 cp s3://rtdc.mdm.uploadarchive.raw/RTDC4062/ "%USERPROFILE%\AppData\Local\Temp\OnboardLogs"\RTDC4062\2017-12-21 --exclude "*" --recursive --include "*20171221*" &amp; "%USERPROFILE%\Documents\GitHub\mrs-test-scripts\Headless Mode &amp; Sideloading\WalkAndUnGZ.bat" "%USERPROFILE%\AppData\Local\Temp\OnboardLogs"\RTDC4062\2017-12-21</v>
      </c>
      <c r="AF152" s="234" t="str">
        <f t="shared" si="68"/>
        <v>"C:\Program Files (x86)\AstroGrep\AstroGrep.exe" /e /r /s /spath="%USERPROFILE%\AppData\Local\Temp\OnboardLogs" /stypes="app*4062*20171221*" /stext=" 07:.+((SYSTEM_STATE.+slice.+state.+changed )|(ment ac)|(multiple cpu faults)|(system.+state.+changed )|(\[timeout)|(PRM\|1\|D)|(kpr)|(kdp)|(train st.+moving)|(\|gpps)|(penalty))"</v>
      </c>
      <c r="AG152" s="244" t="str">
        <f t="shared" si="69"/>
        <v>EC</v>
      </c>
      <c r="AH152" s="236" t="str">
        <f t="shared" si="72"/>
        <v>"%USERPROFILE%\Documents\GitHub\eaglep3\Utilities\RefineRTDCRunTimes.py" --tripid 239-20 --locoid 4062 --swversion DE.1.0.9.0 --startMP 204:573 --initTime 2017-12-20T23:23:00 --startdatetime 2017-12-20T23:30:15 --delay 59 --endMP 204:233234 --enddatetime 2017-12-21T00:05:24 --enforcementcount 0 &gt;&gt;%USERPROFILE%\Documents\GitHub\eaglep3-reporting\EC\2017-12-20-refined-times.txt</v>
      </c>
      <c r="AI152" s="238" t="str">
        <f t="shared" si="73"/>
        <v>echo {"issue":{"subject":"","project_id":79,"tracker_id":40,"status_id":1,"priority_id":2,"assigned_to_id":338,"start_date":"2017-12-21","description":"","custom_fields":[{"id":1,"name":"Subdivision","value":"EC"},{"id":4,"name":"Milepost","value":"23.3234"},{"id":17,"name":"Train ID","value":"239-20"},{"id":16,"name":"Locomotive ID","value":"4062"},{"id":130,"name":"Impact","value":""},{"id":150,"name":"Time of Event (Mountain Time)","value":"00:05:24"},{"id":151,"name":"Denver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74"/>
        <v>start /low /b %USERPROFILE%\Documents\GitHub\eaglep3\Utilities\DownloadLogsFromS3.py --loco 4062 --day 2017-12-20</v>
      </c>
      <c r="AN152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07:05:24"},{"id":29,"name":"Sharepoint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76"/>
        <v>https://d0f6bd738d7f1b3e5a7ca70fe4ff75f0.us-east-1.aws.found.io/app/kibana#/discover/Steve-Slow-Train-Analysis-(2080s-and-2083s)?_g=(refreshInterval:(display:Off,pause:!f,section:0,value:0),time:(from:'2017-12-20T22:23:00-0700',mode:absolute,to:'2017-12-21T01:05:24-0700'))&amp;_a=(columns:!('Message%20ID',Summary),filters:!(),index:'emp_*',interval:auto,query:(query_string:(analyze_wildcard:!t,query:'%22rtdc.l.rtdc.4062%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25">
      <c r="A153" s="229" t="s">
        <v>892</v>
      </c>
      <c r="B153" s="225">
        <v>4061</v>
      </c>
      <c r="C153" s="227" t="s">
        <v>192</v>
      </c>
      <c r="D153" s="227" t="s">
        <v>997</v>
      </c>
      <c r="E153" s="226">
        <v>43090.015972222223</v>
      </c>
      <c r="F153" s="226">
        <v>43090.018923611111</v>
      </c>
      <c r="G153" s="225">
        <v>85</v>
      </c>
      <c r="H153" s="227" t="s">
        <v>998</v>
      </c>
      <c r="I153" s="226">
        <v>43090.045752314814</v>
      </c>
      <c r="J153" s="225">
        <v>0</v>
      </c>
      <c r="K153" s="237" t="str">
        <f t="shared" si="59"/>
        <v>4061/4062</v>
      </c>
      <c r="L153" s="245" t="str">
        <f>VLOOKUP(A153,'Trips&amp;Operators'!$C$1:$G$99911,5,FALSE)</f>
        <v>RESPASS AARON</v>
      </c>
      <c r="M153" s="224">
        <f t="shared" si="60"/>
        <v>2.6828703703358769E-2</v>
      </c>
      <c r="N153" s="225">
        <f t="shared" si="61"/>
        <v>38.633333332836628</v>
      </c>
      <c r="O153" s="225"/>
      <c r="P153" s="225"/>
      <c r="Q153" s="228"/>
      <c r="R153" s="242"/>
      <c r="S153" s="249">
        <f t="shared" si="62"/>
        <v>1</v>
      </c>
      <c r="T153" s="242" t="str">
        <f t="shared" si="63"/>
        <v>Southbound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64"/>
        <v>https://d0f6bd738d7f1b3e5a7ca70fe4ff75f0.us-east-1.aws.found.io/app/kibana#/discover/Steve-Slow-Train-Analysis-(2080s-and-2083s)?_g=(refreshInterval:(display:Off,pause:!f,section:0,value:0),time:(from:'2017-12-20T23:23:00-0700',mode:absolute,to:'2017-12-21T02:05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3" s="247" t="str">
        <f>IF(AA153&lt;VLOOKUP(AG153,Variables!$AC$3:$AD$8,2,FALSE),"Y","N")</f>
        <v>N</v>
      </c>
      <c r="X153" s="247">
        <f t="shared" si="77"/>
        <v>1</v>
      </c>
      <c r="Y153" s="247">
        <f t="shared" si="70"/>
        <v>23.290800000000001</v>
      </c>
      <c r="Z153" s="247">
        <f t="shared" si="71"/>
        <v>2.7099999999999999E-2</v>
      </c>
      <c r="AA153" s="247">
        <f t="shared" si="65"/>
        <v>23.2637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66"/>
        <v>240</v>
      </c>
      <c r="AE153" s="235" t="str">
        <f t="shared" si="67"/>
        <v>aws s3 cp s3://rtdc.mdm.uploadarchive.raw/RTDC4061/ "%USERPROFILE%\AppData\Local\Temp\OnboardLogs"\RTDC4061\2017-12-21 --exclude "*" --recursive --include "*20171221*" &amp; "%USERPROFILE%\Documents\GitHub\mrs-test-scripts\Headless Mode &amp; Sideloading\WalkAndUnGZ.bat" "%USERPROFILE%\AppData\Local\Temp\OnboardLogs"\RTDC4061\2017-12-21 &amp; aws s3 cp s3://rtdc.mdm.uploadarchive.raw/RTDC4061/ "%USERPROFILE%\AppData\Local\Temp\OnboardLogs"\RTDC4061\2017-12-22 --exclude "*" --recursive --include "*20171222*" &amp; "%USERPROFILE%\Documents\GitHub\mrs-test-scripts\Headless Mode &amp; Sideloading\WalkAndUnGZ.bat" "%USERPROFILE%\AppData\Local\Temp\OnboardLogs"\RTDC4061\2017-12-22</v>
      </c>
      <c r="AF153" s="234" t="str">
        <f t="shared" si="68"/>
        <v>"C:\Program Files (x86)\AstroGrep\AstroGrep.exe" /e /r /s /spath="%USERPROFILE%\AppData\Local\Temp\OnboardLogs" /stypes="app*4061*20171221*" /stext=" 08:.+((SYSTEM_STATE.+slice.+state.+changed )|(ment ac)|(multiple cpu faults)|(system.+state.+changed )|(\[timeout)|(PRM\|1\|D)|(kpr)|(kdp)|(train st.+moving)|(\|gpps)|(penalty))"</v>
      </c>
      <c r="AG153" s="244" t="str">
        <f t="shared" si="69"/>
        <v>EC</v>
      </c>
      <c r="AH153" s="236" t="str">
        <f t="shared" si="72"/>
        <v>"%USERPROFILE%\Documents\GitHub\eaglep3\Utilities\RefineRTDCRunTimes.py" --tripid 240-20 --locoid 4061 --swversion DE.1.0.9.0 --startMP 204:232908 --initTime 2017-12-21T00:23:00 --startdatetime 2017-12-21T00:27:15 --delay 85 --endMP 204:271 --enddatetime 2017-12-21T01:05:53 --enforcementcount 0 &gt;&gt;%USERPROFILE%\Documents\GitHub\eaglep3-reporting\EC\2017-12-20-refined-times.txt</v>
      </c>
      <c r="AI153" s="238" t="str">
        <f t="shared" si="73"/>
        <v>echo {"issue":{"subject":"","project_id":79,"tracker_id":40,"status_id":1,"priority_id":2,"assigned_to_id":338,"start_date":"2017-12-21","description":"","custom_fields":[{"id":1,"name":"Subdivision","value":"EC"},{"id":4,"name":"Milepost","value":"0.0271"},{"id":17,"name":"Train ID","value":"240-20"},{"id":16,"name":"Locomotive ID","value":"4061"},{"id":130,"name":"Impact","value":""},{"id":150,"name":"Time of Event (Mountain Time)","value":"01:05:53"},{"id":151,"name":"Denver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si="74"/>
        <v>start /low /b %USERPROFILE%\Documents\GitHub\eaglep3\Utilities\DownloadLogsFromS3.py --loco 4061 --day 2017-12-21</v>
      </c>
      <c r="AN153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08:05:53"},{"id":29,"name":"Sharepoint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76"/>
        <v>https://d0f6bd738d7f1b3e5a7ca70fe4ff75f0.us-east-1.aws.found.io/app/kibana#/discover/Steve-Slow-Train-Analysis-(2080s-and-2083s)?_g=(refreshInterval:(display:Off,pause:!f,section:0,value:0),time:(from:'2017-12-20T23:23:00-0700',mode:absolute,to:'2017-12-21T02:05:53-0700'))&amp;_a=(columns:!('Message%20ID',Summary),filters:!(),index:'emp_*',interval:auto,query:(query_string:(analyze_wildcard:!t,query:'%22rtdc.l.rtdc.4061%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229" t="s">
        <v>889</v>
      </c>
      <c r="B154" s="225">
        <v>4044</v>
      </c>
      <c r="C154" s="227" t="s">
        <v>192</v>
      </c>
      <c r="D154" s="227" t="s">
        <v>999</v>
      </c>
      <c r="E154" s="226">
        <v>43089.985011574077</v>
      </c>
      <c r="F154" s="226">
        <v>43090.000844907408</v>
      </c>
      <c r="G154" s="225">
        <v>65</v>
      </c>
      <c r="H154" s="227" t="s">
        <v>982</v>
      </c>
      <c r="I154" s="226">
        <v>43090.025891203702</v>
      </c>
      <c r="J154" s="225">
        <v>0</v>
      </c>
      <c r="K154" s="237" t="str">
        <f t="shared" si="59"/>
        <v>4043/4044</v>
      </c>
      <c r="L154" s="245" t="str">
        <f>VLOOKUP(A154,'Trips&amp;Operators'!$C$1:$G$99911,5,FALSE)</f>
        <v>LOZA FIDEL</v>
      </c>
      <c r="M154" s="224">
        <f t="shared" si="60"/>
        <v>2.5046296294021886E-2</v>
      </c>
      <c r="N154" s="225">
        <f t="shared" si="61"/>
        <v>36.066666663391516</v>
      </c>
      <c r="O154" s="225"/>
      <c r="P154" s="225"/>
      <c r="Q154" s="228"/>
      <c r="R154" s="242"/>
      <c r="S154" s="249">
        <f t="shared" si="62"/>
        <v>1</v>
      </c>
      <c r="T154" s="242" t="str">
        <f t="shared" si="63"/>
        <v>NorthBound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64"/>
        <v>https://d0f6bd738d7f1b3e5a7ca70fe4ff75f0.us-east-1.aws.found.io/app/kibana#/discover/Steve-Slow-Train-Analysis-(2080s-and-2083s)?_g=(refreshInterval:(display:Off,pause:!f,section:0,value:0),time:(from:'2017-12-20T22:38:25-0700',mode:absolute,to:'2017-12-21T01:37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4" s="247" t="str">
        <f>IF(AA154&lt;VLOOKUP(AG154,Variables!$AC$3:$AD$8,2,FALSE),"Y","N")</f>
        <v>N</v>
      </c>
      <c r="X154" s="247">
        <f t="shared" si="77"/>
        <v>1</v>
      </c>
      <c r="Y154" s="247">
        <f t="shared" si="70"/>
        <v>5.33E-2</v>
      </c>
      <c r="Z154" s="247">
        <f t="shared" si="71"/>
        <v>23.325500000000002</v>
      </c>
      <c r="AA154" s="247">
        <f t="shared" si="65"/>
        <v>23.272200000000002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66"/>
        <v>241</v>
      </c>
      <c r="AE154" s="235" t="str">
        <f t="shared" si="67"/>
        <v>aws s3 cp s3://rtdc.mdm.uploadarchive.raw/RTDC4044/ "%USERPROFILE%\AppData\Local\Temp\OnboardLogs"\RTDC4044\2017-12-21 --exclude "*" --recursive --include "*20171221*" &amp; "%USERPROFILE%\Documents\GitHub\mrs-test-scripts\Headless Mode &amp; Sideloading\WalkAndUnGZ.bat" "%USERPROFILE%\AppData\Local\Temp\OnboardLogs"\RTDC4044\2017-12-21 &amp; aws s3 cp s3://rtdc.mdm.uploadarchive.raw/RTDC4044/ "%USERPROFILE%\AppData\Local\Temp\OnboardLogs"\RTDC4044\2017-12-22 --exclude "*" --recursive --include "*20171222*" &amp; "%USERPROFILE%\Documents\GitHub\mrs-test-scripts\Headless Mode &amp; Sideloading\WalkAndUnGZ.bat" "%USERPROFILE%\AppData\Local\Temp\OnboardLogs"\RTDC4044\2017-12-22</v>
      </c>
      <c r="AF154" s="234" t="str">
        <f t="shared" si="68"/>
        <v>"C:\Program Files (x86)\AstroGrep\AstroGrep.exe" /e /r /s /spath="%USERPROFILE%\AppData\Local\Temp\OnboardLogs" /stypes="app*4044*20171221*" /stext=" 07:.+((SYSTEM_STATE.+slice.+state.+changed )|(ment ac)|(multiple cpu faults)|(system.+state.+changed )|(\[timeout)|(PRM\|1\|D)|(kpr)|(kdp)|(train st.+moving)|(\|gpps)|(penalty))"</v>
      </c>
      <c r="AG154" s="244" t="str">
        <f t="shared" si="69"/>
        <v>EC</v>
      </c>
      <c r="AH154" s="236" t="str">
        <f t="shared" si="72"/>
        <v>"%USERPROFILE%\Documents\GitHub\eaglep3\Utilities\RefineRTDCRunTimes.py" --tripid 241-20 --locoid 4044 --swversion DE.1.0.9.0 --startMP 204:533 --initTime 2017-12-20T23:38:25 --startdatetime 2017-12-21T00:01:13 --delay 65 --endMP 204:233255 --enddatetime 2017-12-21T00:37:17 --enforcementcount 0 &gt;&gt;%USERPROFILE%\Documents\GitHub\eaglep3-reporting\EC\2017-12-20-refined-times.txt</v>
      </c>
      <c r="AI154" s="238" t="str">
        <f t="shared" si="73"/>
        <v>echo {"issue":{"subject":"","project_id":79,"tracker_id":40,"status_id":1,"priority_id":2,"assigned_to_id":338,"start_date":"2017-12-21","description":"","custom_fields":[{"id":1,"name":"Subdivision","value":"EC"},{"id":4,"name":"Milepost","value":"23.3255"},{"id":17,"name":"Train ID","value":"241-20"},{"id":16,"name":"Locomotive ID","value":"4044"},{"id":130,"name":"Impact","value":""},{"id":150,"name":"Time of Event (Mountain Time)","value":"00:37:17"},{"id":151,"name":"Denver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3"/>
      <c r="AK154" s="231"/>
      <c r="AL154" s="231"/>
      <c r="AM154" s="240" t="str">
        <f t="shared" si="74"/>
        <v>start /low /b %USERPROFILE%\Documents\GitHub\eaglep3\Utilities\DownloadLogsFromS3.py --loco 4044 --day 2017-12-21</v>
      </c>
      <c r="AN154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07:37:17"},{"id":29,"name":"Sharepoint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76"/>
        <v>https://d0f6bd738d7f1b3e5a7ca70fe4ff75f0.us-east-1.aws.found.io/app/kibana#/discover/Steve-Slow-Train-Analysis-(2080s-and-2083s)?_g=(refreshInterval:(display:Off,pause:!f,section:0,value:0),time:(from:'2017-12-20T22:38:25-0700',mode:absolute,to:'2017-12-21T01:37:17-0700'))&amp;_a=(columns:!('Message%20ID',Summary),filters:!(),index:'emp_*',interval:auto,query:(query_string:(analyze_wildcard:!t,query:'%22rtdc.l.rtdc.4044%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29" t="s">
        <v>894</v>
      </c>
      <c r="B155" s="225">
        <v>4043</v>
      </c>
      <c r="C155" s="227" t="s">
        <v>192</v>
      </c>
      <c r="D155" s="227" t="s">
        <v>521</v>
      </c>
      <c r="E155" s="226">
        <v>43090.035925925928</v>
      </c>
      <c r="F155" s="226">
        <v>43090.039768518516</v>
      </c>
      <c r="G155" s="225">
        <v>151</v>
      </c>
      <c r="H155" s="227" t="s">
        <v>624</v>
      </c>
      <c r="I155" s="226">
        <v>43090.06621527778</v>
      </c>
      <c r="J155" s="225">
        <v>0</v>
      </c>
      <c r="K155" s="237" t="str">
        <f t="shared" si="59"/>
        <v>4043/4044</v>
      </c>
      <c r="L155" s="245" t="str">
        <f>VLOOKUP(A155,'Trips&amp;Operators'!$C$1:$G$99911,5,FALSE)</f>
        <v>LOZA FIDEL</v>
      </c>
      <c r="M155" s="224">
        <f t="shared" si="60"/>
        <v>2.644675926421769E-2</v>
      </c>
      <c r="N155" s="225">
        <f t="shared" si="61"/>
        <v>38.083333340473473</v>
      </c>
      <c r="O155" s="225"/>
      <c r="P155" s="225"/>
      <c r="Q155" s="228"/>
      <c r="R155" s="242"/>
      <c r="S155" s="249">
        <f t="shared" si="62"/>
        <v>1</v>
      </c>
      <c r="T155" s="242" t="str">
        <f t="shared" si="63"/>
        <v>Southbound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 t="shared" si="64"/>
        <v>https://d0f6bd738d7f1b3e5a7ca70fe4ff75f0.us-east-1.aws.found.io/app/kibana#/discover/Steve-Slow-Train-Analysis-(2080s-and-2083s)?_g=(refreshInterval:(display:Off,pause:!f,section:0,value:0),time:(from:'2017-12-20T23:51:44-0700',mode:absolute,to:'2017-12-21T02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5" s="247" t="str">
        <f>IF(AA155&lt;VLOOKUP(AG155,Variables!$AC$3:$AD$8,2,FALSE),"Y","N")</f>
        <v>N</v>
      </c>
      <c r="X155" s="247">
        <f t="shared" si="77"/>
        <v>1</v>
      </c>
      <c r="Y155" s="247">
        <f t="shared" si="70"/>
        <v>23.293600000000001</v>
      </c>
      <c r="Z155" s="247">
        <f t="shared" si="71"/>
        <v>2.5399999999999999E-2</v>
      </c>
      <c r="AA155" s="247">
        <f t="shared" si="65"/>
        <v>23.2682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66"/>
        <v>242</v>
      </c>
      <c r="AE155" s="235" t="str">
        <f t="shared" si="67"/>
        <v>aws s3 cp s3://rtdc.mdm.uploadarchive.raw/RTDC4043/ "%USERPROFILE%\AppData\Local\Temp\OnboardLogs"\RTDC4043\2017-12-21 --exclude "*" --recursive --include "*20171221*" &amp; "%USERPROFILE%\Documents\GitHub\mrs-test-scripts\Headless Mode &amp; Sideloading\WalkAndUnGZ.bat" "%USERPROFILE%\AppData\Local\Temp\OnboardLogs"\RTDC4043\2017-12-21 &amp; aws s3 cp s3://rtdc.mdm.uploadarchive.raw/RTDC4043/ "%USERPROFILE%\AppData\Local\Temp\OnboardLogs"\RTDC4043\2017-12-22 --exclude "*" --recursive --include "*20171222*" &amp; "%USERPROFILE%\Documents\GitHub\mrs-test-scripts\Headless Mode &amp; Sideloading\WalkAndUnGZ.bat" "%USERPROFILE%\AppData\Local\Temp\OnboardLogs"\RTDC4043\2017-12-22</v>
      </c>
      <c r="AF155" s="234" t="str">
        <f t="shared" si="68"/>
        <v>"C:\Program Files (x86)\AstroGrep\AstroGrep.exe" /e /r /s /spath="%USERPROFILE%\AppData\Local\Temp\OnboardLogs" /stypes="app*4043*20171221*" /stext=" 08:.+((SYSTEM_STATE.+slice.+state.+changed )|(ment ac)|(multiple cpu faults)|(system.+state.+changed )|(\[timeout)|(PRM\|1\|D)|(kpr)|(kdp)|(train st.+moving)|(\|gpps)|(penalty))"</v>
      </c>
      <c r="AG155" s="244" t="str">
        <f t="shared" si="69"/>
        <v>EC</v>
      </c>
      <c r="AH155" s="236" t="str">
        <f t="shared" si="72"/>
        <v>"%USERPROFILE%\Documents\GitHub\eaglep3\Utilities\RefineRTDCRunTimes.py" --tripid 242-20 --locoid 4043 --swversion DE.1.0.9.0 --startMP 204:232936 --initTime 2017-12-21T00:51:44 --startdatetime 2017-12-21T00:57:16 --delay 151 --endMP 204:254 --enddatetime 2017-12-21T01:35:21 --enforcementcount 0 &gt;&gt;%USERPROFILE%\Documents\GitHub\eaglep3-reporting\EC\2017-12-20-refined-times.txt</v>
      </c>
      <c r="AI155" s="238" t="str">
        <f t="shared" si="73"/>
        <v>echo {"issue":{"subject":"","project_id":79,"tracker_id":40,"status_id":1,"priority_id":2,"assigned_to_id":338,"start_date":"2017-12-21","description":"","custom_fields":[{"id":1,"name":"Subdivision","value":"EC"},{"id":4,"name":"Milepost","value":"0.0254"},{"id":17,"name":"Train ID","value":"242-20"},{"id":16,"name":"Locomotive ID","value":"4043"},{"id":130,"name":"Impact","value":""},{"id":150,"name":"Time of Event (Mountain Time)","value":"01:35:21"},{"id":151,"name":"Denver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74"/>
        <v>start /low /b %USERPROFILE%\Documents\GitHub\eaglep3\Utilities\DownloadLogsFromS3.py --loco 4043 --day 2017-12-21</v>
      </c>
      <c r="AN155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08:35:21"},{"id":29,"name":"Sharepoint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76"/>
        <v>https://d0f6bd738d7f1b3e5a7ca70fe4ff75f0.us-east-1.aws.found.io/app/kibana#/discover/Steve-Slow-Train-Analysis-(2080s-and-2083s)?_g=(refreshInterval:(display:Off,pause:!f,section:0,value:0),time:(from:'2017-12-20T23:51:44-0700',mode:absolute,to:'2017-12-21T02:35:21-0700'))&amp;_a=(columns:!('Message%20ID',Summary),filters:!(),index:'emp_*',interval:auto,query:(query_string:(analyze_wildcard:!t,query:'%22rtdc.l.rtdc.4043%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229" t="s">
        <v>891</v>
      </c>
      <c r="B156" s="225">
        <v>4020</v>
      </c>
      <c r="C156" s="227" t="s">
        <v>192</v>
      </c>
      <c r="D156" s="227" t="s">
        <v>955</v>
      </c>
      <c r="E156" s="226">
        <v>43090.006249999999</v>
      </c>
      <c r="F156" s="226">
        <v>43090.021041666667</v>
      </c>
      <c r="G156" s="225">
        <v>52</v>
      </c>
      <c r="H156" s="227" t="s">
        <v>603</v>
      </c>
      <c r="I156" s="226">
        <v>43090.046215277776</v>
      </c>
      <c r="J156" s="225">
        <v>0</v>
      </c>
      <c r="K156" s="237" t="str">
        <f t="shared" si="59"/>
        <v>4019/4020</v>
      </c>
      <c r="L156" s="245" t="str">
        <f>VLOOKUP(A156,'Trips&amp;Operators'!$C$1:$G$99911,5,FALSE)</f>
        <v>MCREYNOLDS KYLE</v>
      </c>
      <c r="M156" s="224">
        <f t="shared" si="60"/>
        <v>2.5173611109494232E-2</v>
      </c>
      <c r="N156" s="225">
        <f t="shared" si="61"/>
        <v>36.249999997671694</v>
      </c>
      <c r="O156" s="225"/>
      <c r="P156" s="225"/>
      <c r="Q156" s="228"/>
      <c r="R156" s="242"/>
      <c r="S156" s="249">
        <f t="shared" si="62"/>
        <v>1</v>
      </c>
      <c r="T156" s="242" t="str">
        <f t="shared" si="63"/>
        <v>NorthBound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 t="shared" si="64"/>
        <v>https://d0f6bd738d7f1b3e5a7ca70fe4ff75f0.us-east-1.aws.found.io/app/kibana#/discover/Steve-Slow-Train-Analysis-(2080s-and-2083s)?_g=(refreshInterval:(display:Off,pause:!f,section:0,value:0),time:(from:'2017-12-20T23:09:00-0700',mode:absolute,to:'2017-12-21T02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6" s="247" t="str">
        <f>IF(AA156&lt;VLOOKUP(AG156,Variables!$AC$3:$AD$8,2,FALSE),"Y","N")</f>
        <v>N</v>
      </c>
      <c r="X156" s="247">
        <f t="shared" si="77"/>
        <v>1</v>
      </c>
      <c r="Y156" s="247">
        <f t="shared" si="70"/>
        <v>5.0599999999999999E-2</v>
      </c>
      <c r="Z156" s="247">
        <f t="shared" si="71"/>
        <v>23.3291</v>
      </c>
      <c r="AA156" s="247">
        <f t="shared" si="65"/>
        <v>23.278500000000001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 t="shared" si="66"/>
        <v>243</v>
      </c>
      <c r="AE156" s="235" t="str">
        <f t="shared" si="67"/>
        <v>aws s3 cp s3://rtdc.mdm.uploadarchive.raw/RTDC4020/ "%USERPROFILE%\AppData\Local\Temp\OnboardLogs"\RTDC4020\2017-12-21 --exclude "*" --recursive --include "*20171221*" &amp; "%USERPROFILE%\Documents\GitHub\mrs-test-scripts\Headless Mode &amp; Sideloading\WalkAndUnGZ.bat" "%USERPROFILE%\AppData\Local\Temp\OnboardLogs"\RTDC4020\2017-12-21 &amp; aws s3 cp s3://rtdc.mdm.uploadarchive.raw/RTDC4020/ "%USERPROFILE%\AppData\Local\Temp\OnboardLogs"\RTDC4020\2017-12-22 --exclude "*" --recursive --include "*20171222*" &amp; "%USERPROFILE%\Documents\GitHub\mrs-test-scripts\Headless Mode &amp; Sideloading\WalkAndUnGZ.bat" "%USERPROFILE%\AppData\Local\Temp\OnboardLogs"\RTDC4020\2017-12-22</v>
      </c>
      <c r="AF156" s="234" t="str">
        <f t="shared" si="68"/>
        <v>"C:\Program Files (x86)\AstroGrep\AstroGrep.exe" /e /r /s /spath="%USERPROFILE%\AppData\Local\Temp\OnboardLogs" /stypes="app*4020*20171221*" /stext=" 08:.+((SYSTEM_STATE.+slice.+state.+changed )|(ment ac)|(multiple cpu faults)|(system.+state.+changed )|(\[timeout)|(PRM\|1\|D)|(kpr)|(kdp)|(train st.+moving)|(\|gpps)|(penalty))"</v>
      </c>
      <c r="AG156" s="244" t="str">
        <f t="shared" si="69"/>
        <v>EC</v>
      </c>
      <c r="AH156" s="236" t="str">
        <f t="shared" si="72"/>
        <v>"%USERPROFILE%\Documents\GitHub\eaglep3\Utilities\RefineRTDCRunTimes.py" --tripid 243-20 --locoid 4020 --swversion DE.1.0.9.0 --startMP 204:506 --initTime 2017-12-21T00:09:00 --startdatetime 2017-12-21T00:30:18 --delay 52 --endMP 204:233291 --enddatetime 2017-12-21T01:06:33 --enforcementcount 0 &gt;&gt;%USERPROFILE%\Documents\GitHub\eaglep3-reporting\EC\2017-12-20-refined-times.txt</v>
      </c>
      <c r="AI156" s="238" t="str">
        <f t="shared" si="73"/>
        <v>echo {"issue":{"subject":"","project_id":79,"tracker_id":40,"status_id":1,"priority_id":2,"assigned_to_id":338,"start_date":"2017-12-21","description":"","custom_fields":[{"id":1,"name":"Subdivision","value":"EC"},{"id":4,"name":"Milepost","value":"23.3291"},{"id":17,"name":"Train ID","value":"243-20"},{"id":16,"name":"Locomotive ID","value":"4020"},{"id":130,"name":"Impact","value":""},{"id":150,"name":"Time of Event (Mountain Time)","value":"01:06:33"},{"id":151,"name":"Denver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3"/>
      <c r="AK156" s="231"/>
      <c r="AL156" s="231"/>
      <c r="AM156" s="240" t="str">
        <f t="shared" si="74"/>
        <v>start /low /b %USERPROFILE%\Documents\GitHub\eaglep3\Utilities\DownloadLogsFromS3.py --loco 4020 --day 2017-12-21</v>
      </c>
      <c r="AN156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08:06:33"},{"id":29,"name":"Sharepoint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76"/>
        <v>https://d0f6bd738d7f1b3e5a7ca70fe4ff75f0.us-east-1.aws.found.io/app/kibana#/discover/Steve-Slow-Train-Analysis-(2080s-and-2083s)?_g=(refreshInterval:(display:Off,pause:!f,section:0,value:0),time:(from:'2017-12-20T23:09:00-0700',mode:absolute,to:'2017-12-21T02:06:33-0700'))&amp;_a=(columns:!('Message%20ID',Summary),filters:!(),index:'emp_*',interval:auto,query:(query_string:(analyze_wildcard:!t,query:'%22rtdc.l.rtdc.4020%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3" customFormat="1" x14ac:dyDescent="0.25">
      <c r="A157" s="229" t="s">
        <v>896</v>
      </c>
      <c r="B157" s="225">
        <v>4019</v>
      </c>
      <c r="C157" s="227" t="s">
        <v>192</v>
      </c>
      <c r="D157" s="227" t="s">
        <v>601</v>
      </c>
      <c r="E157" s="226">
        <v>43090.052129629628</v>
      </c>
      <c r="F157" s="226">
        <v>43090.060567129629</v>
      </c>
      <c r="G157" s="225">
        <v>50</v>
      </c>
      <c r="H157" s="227" t="s">
        <v>1000</v>
      </c>
      <c r="I157" s="226">
        <v>43090.087129629632</v>
      </c>
      <c r="J157" s="225">
        <v>0</v>
      </c>
      <c r="K157" s="237" t="str">
        <f t="shared" si="59"/>
        <v>4019/4020</v>
      </c>
      <c r="L157" s="245" t="str">
        <f>VLOOKUP(A157,'Trips&amp;Operators'!$C$1:$G$99911,5,FALSE)</f>
        <v>MCREYNOLDS KYLE</v>
      </c>
      <c r="M157" s="224">
        <f t="shared" si="60"/>
        <v>2.6562500002910383E-2</v>
      </c>
      <c r="N157" s="225">
        <f t="shared" si="61"/>
        <v>38.250000004190952</v>
      </c>
      <c r="O157" s="225"/>
      <c r="P157" s="225"/>
      <c r="Q157" s="228"/>
      <c r="R157" s="242"/>
      <c r="S157" s="249">
        <f t="shared" si="62"/>
        <v>1</v>
      </c>
      <c r="T157" s="242" t="str">
        <f t="shared" si="63"/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 t="shared" si="64"/>
        <v>https://d0f6bd738d7f1b3e5a7ca70fe4ff75f0.us-east-1.aws.found.io/app/kibana#/discover/Steve-Slow-Train-Analysis-(2080s-and-2083s)?_g=(refreshInterval:(display:Off,pause:!f,section:0,value:0),time:(from:'2017-12-21T00:15:04-0700',mode:absolute,to:'2017-12-21T03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7" s="247" t="str">
        <f>IF(AA157&lt;VLOOKUP(AG157,Variables!$AC$3:$AD$8,2,FALSE),"Y","N")</f>
        <v>N</v>
      </c>
      <c r="X157" s="247">
        <f t="shared" si="77"/>
        <v>1</v>
      </c>
      <c r="Y157" s="247">
        <f t="shared" si="70"/>
        <v>23.2972</v>
      </c>
      <c r="Z157" s="247">
        <f t="shared" si="71"/>
        <v>2.2700000000000001E-2</v>
      </c>
      <c r="AA157" s="247">
        <f t="shared" si="65"/>
        <v>23.2745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66"/>
        <v>244</v>
      </c>
      <c r="AE157" s="235" t="str">
        <f t="shared" si="67"/>
        <v>aws s3 cp s3://rtdc.mdm.uploadarchive.raw/RTDC4019/ "%USERPROFILE%\AppData\Local\Temp\OnboardLogs"\RTDC4019\2017-12-21 --exclude "*" --recursive --include "*20171221*" &amp; "%USERPROFILE%\Documents\GitHub\mrs-test-scripts\Headless Mode &amp; Sideloading\WalkAndUnGZ.bat" "%USERPROFILE%\AppData\Local\Temp\OnboardLogs"\RTDC4019\2017-12-21 &amp; aws s3 cp s3://rtdc.mdm.uploadarchive.raw/RTDC4019/ "%USERPROFILE%\AppData\Local\Temp\OnboardLogs"\RTDC4019\2017-12-22 --exclude "*" --recursive --include "*20171222*" &amp; "%USERPROFILE%\Documents\GitHub\mrs-test-scripts\Headless Mode &amp; Sideloading\WalkAndUnGZ.bat" "%USERPROFILE%\AppData\Local\Temp\OnboardLogs"\RTDC4019\2017-12-22</v>
      </c>
      <c r="AF157" s="234" t="str">
        <f t="shared" si="68"/>
        <v>"C:\Program Files (x86)\AstroGrep\AstroGrep.exe" /e /r /s /spath="%USERPROFILE%\AppData\Local\Temp\OnboardLogs" /stypes="app*4019*20171221*" /stext=" 09:.+((SYSTEM_STATE.+slice.+state.+changed )|(ment ac)|(multiple cpu faults)|(system.+state.+changed )|(\[timeout)|(PRM\|1\|D)|(kpr)|(kdp)|(train st.+moving)|(\|gpps)|(penalty))"</v>
      </c>
      <c r="AG157" s="244" t="str">
        <f t="shared" si="69"/>
        <v>EC</v>
      </c>
      <c r="AH157" s="236" t="str">
        <f t="shared" si="72"/>
        <v>"%USERPROFILE%\Documents\GitHub\eaglep3\Utilities\RefineRTDCRunTimes.py" --tripid 244-20 --locoid 4019 --swversion DE.1.0.9.0 --startMP 204:232972 --initTime 2017-12-21T01:15:04 --startdatetime 2017-12-21T01:27:13 --delay 50 --endMP 204:227 --enddatetime 2017-12-21T02:05:28 --enforcementcount 0 &gt;&gt;%USERPROFILE%\Documents\GitHub\eaglep3-reporting\EC\2017-12-20-refined-times.txt</v>
      </c>
      <c r="AI157" s="238" t="str">
        <f t="shared" si="73"/>
        <v>echo {"issue":{"subject":"","project_id":79,"tracker_id":40,"status_id":1,"priority_id":2,"assigned_to_id":338,"start_date":"2017-12-21","description":"","custom_fields":[{"id":1,"name":"Subdivision","value":"EC"},{"id":4,"name":"Milepost","value":"0.0227"},{"id":17,"name":"Train ID","value":"244-20"},{"id":16,"name":"Locomotive ID","value":"4019"},{"id":130,"name":"Impact","value":""},{"id":150,"name":"Time of Event (Mountain Time)","value":"02:05:28"},{"id":151,"name":"Denver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si="74"/>
        <v>start /low /b %USERPROFILE%\Documents\GitHub\eaglep3\Utilities\DownloadLogsFromS3.py --loco 4019 --day 2017-12-21</v>
      </c>
      <c r="AN157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09:05:28"},{"id":29,"name":"Sharepoint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76"/>
        <v>https://d0f6bd738d7f1b3e5a7ca70fe4ff75f0.us-east-1.aws.found.io/app/kibana#/discover/Steve-Slow-Train-Analysis-(2080s-and-2083s)?_g=(refreshInterval:(display:Off,pause:!f,section:0,value:0),time:(from:'2017-12-21T00:15:04-0700',mode:absolute,to:'2017-12-21T03:05:28-0700'))&amp;_a=(columns:!('Message%20ID',Summary),filters:!(),index:'emp_*',interval:auto,query:(query_string:(analyze_wildcard:!t,query:'%22rtdc.l.rtdc.4019%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25">
      <c r="A158" s="229" t="s">
        <v>694</v>
      </c>
      <c r="B158" s="225">
        <v>4039</v>
      </c>
      <c r="C158" s="227" t="s">
        <v>192</v>
      </c>
      <c r="D158" s="227" t="s">
        <v>1049</v>
      </c>
      <c r="E158" s="226">
        <v>43089.212222222224</v>
      </c>
      <c r="F158" s="226">
        <v>43089.213645833333</v>
      </c>
      <c r="G158" s="225">
        <v>68</v>
      </c>
      <c r="H158" s="227" t="s">
        <v>1050</v>
      </c>
      <c r="I158" s="226">
        <v>43089.226018518515</v>
      </c>
      <c r="J158" s="225">
        <v>0</v>
      </c>
      <c r="K158" s="237" t="str">
        <f t="shared" si="59"/>
        <v>4039/4040</v>
      </c>
      <c r="L158" s="245" t="str">
        <f>VLOOKUP(A158,'Trips&amp;Operators'!$C$1:$G$99911,5,FALSE)</f>
        <v>LAMAR NEKESHA</v>
      </c>
      <c r="M158" s="224">
        <f t="shared" si="60"/>
        <v>1.2372685181617271E-2</v>
      </c>
      <c r="N158" s="225">
        <f t="shared" si="61"/>
        <v>17.81666666152887</v>
      </c>
      <c r="O158" s="225"/>
      <c r="P158" s="225"/>
      <c r="Q158" s="228"/>
      <c r="R158" s="242"/>
      <c r="S158" s="249">
        <f t="shared" si="62"/>
        <v>1</v>
      </c>
      <c r="T158" s="242" t="str">
        <f t="shared" si="63"/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48" t="str">
        <f t="shared" si="64"/>
        <v>https://d0f6bd738d7f1b3e5a7ca70fe4ff75f0.us-east-1.aws.found.io/app/kibana#/discover/Steve-Slow-Train-Analysis-(2080s-and-2083s)?_g=(refreshInterval:(display:Off,pause:!f,section:0,value:0),time:(from:'2017-12-20T04:05:36-0700',mode:absolute,to:'2017-12-20T06:25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8" s="247" t="str">
        <f>IF(AA158&lt;VLOOKUP(AG158,Variables!$AC$3:$AD$8,2,FALSE),"Y","N")</f>
        <v>N</v>
      </c>
      <c r="X158" s="247">
        <f t="shared" si="77"/>
        <v>556</v>
      </c>
      <c r="Y158" s="247">
        <f t="shared" si="70"/>
        <v>5.8659999999999997</v>
      </c>
      <c r="Z158" s="247">
        <f t="shared" si="71"/>
        <v>1.7600000000000001E-2</v>
      </c>
      <c r="AA158" s="247">
        <f t="shared" si="65"/>
        <v>5.8483999999999998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66"/>
        <v>800</v>
      </c>
      <c r="AE158" s="235" t="str">
        <f t="shared" si="67"/>
        <v>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 &amp; aws s3 cp s3://rtdc.mdm.uploadarchive.raw/RTDC4039/ "%USERPROFILE%\AppData\Local\Temp\OnboardLogs"\RTDC4039\2017-12-21 --exclude "*" --recursive --include "*20171221*" &amp; "%USERPROFILE%\Documents\GitHub\mrs-test-scripts\Headless Mode &amp; Sideloading\WalkAndUnGZ.bat" "%USERPROFILE%\AppData\Local\Temp\OnboardLogs"\RTDC4039\2017-12-21</v>
      </c>
      <c r="AF158" s="234" t="str">
        <f t="shared" si="68"/>
        <v>"C:\Program Files (x86)\AstroGrep\AstroGrep.exe" /e /r /s /spath="%USERPROFILE%\AppData\Local\Temp\OnboardLogs" /stypes="app*4039*20171220*" /stext=" 12:.+((SYSTEM_STATE.+slice.+state.+changed )|(ment ac)|(multiple cpu faults)|(system.+state.+changed )|(\[timeout)|(PRM\|1\|D)|(kpr)|(kdp)|(train st.+moving)|(\|gpps)|(penalty))"</v>
      </c>
      <c r="AG158" s="244" t="str">
        <f t="shared" si="69"/>
        <v>NW</v>
      </c>
      <c r="AH158" s="236" t="str">
        <f t="shared" si="72"/>
        <v>"%USERPROFILE%\Documents\GitHub\eaglep3\Utilities\RefineRTDCRunTimes.py" --tripid 800-20 --locoid 4039 --swversion DE.1.0.9.0 --startMP 300:58660 --initTime 2017-12-20T05:05:36 --startdatetime 2017-12-20T05:07:39 --delay 68 --endMP 204:176 --enddatetime 2017-12-20T05:25:28 --enforcementcount 0 &gt;&gt;%USERPROFILE%\Documents\GitHub\eaglep3-reporting\EC\2017-12-20-refined-times.txt</v>
      </c>
      <c r="AI158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{"issue":{"subject":"","project_id":79,"tracker_id":40,"status_id":1,"priority_id":2,"assigned_to_id":338,"start_date":"2017-12-20","description":"","custom_fields":[{"id":1,"name":"Subdivision","value":"NW"},{"id":4,"name":"Milepost","value":"0.0176"},{"id":17,"name":"Train ID","value":"800-20"},{"id":16,"name":"Locomotive ID","value":"4039"},{"id":130,"name":"Impact","value":""},{"id":150,"name":"Time of Event (Mountain Time)","value":"05:25:28"},{"id":151,"name":"Denver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si="74"/>
        <v>start /low /b %USERPROFILE%\Documents\GitHub\eaglep3\Utilities\DownloadLogsFromS3.py --loco 4039 --day 2017-12-20</v>
      </c>
      <c r="AN158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12:25:28"},{"id":29,"name":"Sharepoint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76"/>
        <v>https://d0f6bd738d7f1b3e5a7ca70fe4ff75f0.us-east-1.aws.found.io/app/kibana#/discover/Steve-Slow-Train-Analysis-(2080s-and-2083s)?_g=(refreshInterval:(display:Off,pause:!f,section:0,value:0),time:(from:'2017-12-20T04:05:36-0700',mode:absolute,to:'2017-12-20T06:25:28-0700'))&amp;_a=(columns:!('Message%20ID',Summary),filters:!(),index:'emp_*',interval:auto,query:(query_string:(analyze_wildcard:!t,query:'%22rtdc.l.rtdc.4039%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3" customFormat="1" x14ac:dyDescent="0.25">
      <c r="A159" s="229" t="s">
        <v>701</v>
      </c>
      <c r="B159" s="225">
        <v>4040</v>
      </c>
      <c r="C159" s="227" t="s">
        <v>192</v>
      </c>
      <c r="D159" s="227" t="s">
        <v>979</v>
      </c>
      <c r="E159" s="226">
        <v>43089.229062500002</v>
      </c>
      <c r="F159" s="226">
        <v>43089.236006944448</v>
      </c>
      <c r="G159" s="225">
        <v>48</v>
      </c>
      <c r="H159" s="227" t="s">
        <v>1051</v>
      </c>
      <c r="I159" s="226">
        <v>43089.245127314818</v>
      </c>
      <c r="J159" s="225">
        <v>0</v>
      </c>
      <c r="K159" s="237" t="str">
        <f t="shared" si="59"/>
        <v>4039/4040</v>
      </c>
      <c r="L159" s="245" t="str">
        <f>VLOOKUP(A159,'Trips&amp;Operators'!$C$1:$G$99911,5,FALSE)</f>
        <v>LAMAR NEKESHA</v>
      </c>
      <c r="M159" s="224">
        <f t="shared" si="60"/>
        <v>9.1203703705104999E-3</v>
      </c>
      <c r="N159" s="225">
        <f t="shared" si="61"/>
        <v>13.13333333353512</v>
      </c>
      <c r="O159" s="225"/>
      <c r="P159" s="225"/>
      <c r="Q159" s="228"/>
      <c r="R159" s="242"/>
      <c r="S159" s="249">
        <f t="shared" si="62"/>
        <v>1</v>
      </c>
      <c r="T159" s="242" t="str">
        <f t="shared" si="63"/>
        <v>NorthBound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8" t="str">
        <f t="shared" si="64"/>
        <v>https://d0f6bd738d7f1b3e5a7ca70fe4ff75f0.us-east-1.aws.found.io/app/kibana#/discover/Steve-Slow-Train-Analysis-(2080s-and-2083s)?_g=(refreshInterval:(display:Off,pause:!f,section:0,value:0),time:(from:'2017-12-20T04:29:51-0700',mode:absolute,to:'2017-12-20T06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9" s="247" t="str">
        <f>IF(AA159&lt;VLOOKUP(AG159,Variables!$AC$3:$AD$8,2,FALSE),"Y","N")</f>
        <v>N</v>
      </c>
      <c r="X159" s="247">
        <f t="shared" si="77"/>
        <v>1</v>
      </c>
      <c r="Y159" s="247">
        <f t="shared" si="70"/>
        <v>4.8000000000000001E-2</v>
      </c>
      <c r="Z159" s="247">
        <f t="shared" si="71"/>
        <v>5.8994999999999997</v>
      </c>
      <c r="AA159" s="247">
        <f t="shared" si="65"/>
        <v>5.8514999999999997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66"/>
        <v>801</v>
      </c>
      <c r="AE159" s="235" t="str">
        <f t="shared" si="67"/>
        <v>aws s3 cp s3://rtdc.mdm.uploadarchive.raw/RTDC4040/ "%USERPROFILE%\AppData\Local\Temp\OnboardLogs"\RTDC4040\2017-12-20 --exclude "*" --recursive --include "*20171220*" &amp; "%USERPROFILE%\Documents\GitHub\mrs-test-scripts\Headless Mode &amp; Sideloading\WalkAndUnGZ.bat" "%USERPROFILE%\AppData\Local\Temp\OnboardLogs"\RTDC4040\2017-12-20 &amp; aws s3 cp s3://rtdc.mdm.uploadarchive.raw/RTDC4040/ "%USERPROFILE%\AppData\Local\Temp\OnboardLogs"\RTDC4040\2017-12-21 --exclude "*" --recursive --include "*20171221*" &amp; "%USERPROFILE%\Documents\GitHub\mrs-test-scripts\Headless Mode &amp; Sideloading\WalkAndUnGZ.bat" "%USERPROFILE%\AppData\Local\Temp\OnboardLogs"\RTDC4040\2017-12-21</v>
      </c>
      <c r="AF159" s="234" t="str">
        <f t="shared" si="68"/>
        <v>"C:\Program Files (x86)\AstroGrep\AstroGrep.exe" /e /r /s /spath="%USERPROFILE%\AppData\Local\Temp\OnboardLogs" /stypes="app*4040*20171220*" /stext=" 12:.+((SYSTEM_STATE.+slice.+state.+changed )|(ment ac)|(multiple cpu faults)|(system.+state.+changed )|(\[timeout)|(PRM\|1\|D)|(kpr)|(kdp)|(train st.+moving)|(\|gpps)|(penalty))"</v>
      </c>
      <c r="AG159" s="244" t="str">
        <f t="shared" si="69"/>
        <v>NW</v>
      </c>
      <c r="AH159" s="236" t="str">
        <f t="shared" si="72"/>
        <v>"%USERPROFILE%\Documents\GitHub\eaglep3\Utilities\RefineRTDCRunTimes.py" --tripid 801-20 --locoid 4040 --swversion DE.1.0.9.0 --startMP 204:480 --initTime 2017-12-20T05:29:51 --startdatetime 2017-12-20T05:39:51 --delay 48 --endMP 300:58995 --enddatetime 2017-12-20T05:52:59 --enforcementcount 0 &gt;&gt;%USERPROFILE%\Documents\GitHub\eaglep3-reporting\EC\2017-12-20-refined-times.txt</v>
      </c>
      <c r="AI159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{"issue":{"subject":"","project_id":79,"tracker_id":40,"status_id":1,"priority_id":2,"assigned_to_id":338,"start_date":"2017-12-20","description":"","custom_fields":[{"id":1,"name":"Subdivision","value":"NW"},{"id":4,"name":"Milepost","value":"5.8995"},{"id":17,"name":"Train ID","value":"801-20"},{"id":16,"name":"Locomotive ID","value":"4040"},{"id":130,"name":"Impact","value":""},{"id":150,"name":"Time of Event (Mountain Time)","value":"05:52:59"},{"id":151,"name":"Denver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74"/>
        <v>start /low /b %USERPROFILE%\Documents\GitHub\eaglep3\Utilities\DownloadLogsFromS3.py --loco 4040 --day 2017-12-20</v>
      </c>
      <c r="AN159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12:52:59"},{"id":29,"name":"Sharepoint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76"/>
        <v>https://d0f6bd738d7f1b3e5a7ca70fe4ff75f0.us-east-1.aws.found.io/app/kibana#/discover/Steve-Slow-Train-Analysis-(2080s-and-2083s)?_g=(refreshInterval:(display:Off,pause:!f,section:0,value:0),time:(from:'2017-12-20T04:29:51-0700',mode:absolute,to:'2017-12-20T06:52:59-0700'))&amp;_a=(columns:!('Message%20ID',Summary),filters:!(),index:'emp_*',interval:auto,query:(query_string:(analyze_wildcard:!t,query:'%22rtdc.l.rtdc.4040%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3" customFormat="1" x14ac:dyDescent="0.25">
      <c r="A160" s="229" t="s">
        <v>650</v>
      </c>
      <c r="B160" s="225">
        <v>4039</v>
      </c>
      <c r="C160" s="227" t="s">
        <v>192</v>
      </c>
      <c r="D160" s="227" t="s">
        <v>636</v>
      </c>
      <c r="E160" s="226">
        <v>43089.246365740742</v>
      </c>
      <c r="F160" s="226">
        <v>43089.258333333331</v>
      </c>
      <c r="G160" s="225">
        <v>50</v>
      </c>
      <c r="H160" s="227" t="s">
        <v>1052</v>
      </c>
      <c r="I160" s="226">
        <v>43089.266296296293</v>
      </c>
      <c r="J160" s="225">
        <v>0</v>
      </c>
      <c r="K160" s="237" t="str">
        <f t="shared" si="59"/>
        <v>4039/4040</v>
      </c>
      <c r="L160" s="245" t="str">
        <f>VLOOKUP(A160,'Trips&amp;Operators'!$C$1:$G$99911,5,FALSE)</f>
        <v>LAMAR NEKESHA</v>
      </c>
      <c r="M160" s="224">
        <f t="shared" si="60"/>
        <v>7.962962961755693E-3</v>
      </c>
      <c r="N160" s="225">
        <f t="shared" si="61"/>
        <v>11.466666664928198</v>
      </c>
      <c r="O160" s="225"/>
      <c r="P160" s="225"/>
      <c r="Q160" s="228"/>
      <c r="R160" s="242"/>
      <c r="S160" s="249">
        <f t="shared" si="62"/>
        <v>1</v>
      </c>
      <c r="T160" s="242" t="str">
        <f t="shared" si="63"/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 t="shared" si="64"/>
        <v>https://d0f6bd738d7f1b3e5a7ca70fe4ff75f0.us-east-1.aws.found.io/app/kibana#/discover/Steve-Slow-Train-Analysis-(2080s-and-2083s)?_g=(refreshInterval:(display:Off,pause:!f,section:0,value:0),time:(from:'2017-12-20T04:54:46-0700',mode:absolute,to:'2017-12-20T07:23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0" s="247" t="str">
        <f>IF(AA160&lt;VLOOKUP(AG160,Variables!$AC$3:$AD$8,2,FALSE),"Y","N")</f>
        <v>Y</v>
      </c>
      <c r="X160" s="247">
        <f t="shared" si="77"/>
        <v>1</v>
      </c>
      <c r="Y160" s="247">
        <f t="shared" si="70"/>
        <v>5.8674999999999997</v>
      </c>
      <c r="Z160" s="247">
        <f t="shared" si="71"/>
        <v>0.46529999999999999</v>
      </c>
      <c r="AA160" s="247">
        <f t="shared" si="65"/>
        <v>5.4021999999999997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66"/>
        <v>802</v>
      </c>
      <c r="AE160" s="235" t="str">
        <f t="shared" si="67"/>
        <v>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 &amp; aws s3 cp s3://rtdc.mdm.uploadarchive.raw/RTDC4039/ "%USERPROFILE%\AppData\Local\Temp\OnboardLogs"\RTDC4039\2017-12-21 --exclude "*" --recursive --include "*20171221*" &amp; "%USERPROFILE%\Documents\GitHub\mrs-test-scripts\Headless Mode &amp; Sideloading\WalkAndUnGZ.bat" "%USERPROFILE%\AppData\Local\Temp\OnboardLogs"\RTDC4039\2017-12-21</v>
      </c>
      <c r="AF160" s="234" t="str">
        <f t="shared" si="68"/>
        <v>"C:\Program Files (x86)\AstroGrep\AstroGrep.exe" /e /r /s /spath="%USERPROFILE%\AppData\Local\Temp\OnboardLogs" /stypes="app*4039*20171220*" /stext=" 13:.+((SYSTEM_STATE.+slice.+state.+changed )|(ment ac)|(multiple cpu faults)|(system.+state.+changed )|(\[timeout)|(PRM\|1\|D)|(kpr)|(kdp)|(train st.+moving)|(\|gpps)|(penalty))"</v>
      </c>
      <c r="AG160" s="244" t="str">
        <f t="shared" si="69"/>
        <v>NW</v>
      </c>
      <c r="AH160" s="236" t="str">
        <f t="shared" si="72"/>
        <v>"%USERPROFILE%\Documents\GitHub\eaglep3\Utilities\RefineRTDCRunTimes.py" --tripid 802-20 --locoid 4039 --swversion DE.1.0.9.0 --startMP 300:58675 --initTime 2017-12-20T05:54:46 --startdatetime 2017-12-20T06:12:00 --delay 50 --endMP 204:4653 --enddatetime 2017-12-20T06:23:28 --enforcementcount 0 &gt;&gt;%USERPROFILE%\Documents\GitHub\eaglep3-reporting\EC\2017-12-20-refined-times.txt</v>
      </c>
      <c r="AI160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{"issue":{"subject":"","project_id":79,"tracker_id":40,"status_id":1,"priority_id":2,"assigned_to_id":338,"start_date":"2017-12-20","description":"","custom_fields":[{"id":1,"name":"Subdivision","value":"NW"},{"id":4,"name":"Milepost","value":"0.4653"},{"id":17,"name":"Train ID","value":"802-20"},{"id":16,"name":"Locomotive ID","value":"4039"},{"id":130,"name":"Impact","value":""},{"id":150,"name":"Time of Event (Mountain Time)","value":"06:23:28"},{"id":151,"name":"Denver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1"/>
      <c r="AL160" s="231"/>
      <c r="AM160" s="240" t="str">
        <f t="shared" si="74"/>
        <v>start /low /b %USERPROFILE%\Documents\GitHub\eaglep3\Utilities\DownloadLogsFromS3.py --loco 4039 --day 2017-12-20</v>
      </c>
      <c r="AN160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13:23:28"},{"id":29,"name":"Sharepoint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76"/>
        <v>https://d0f6bd738d7f1b3e5a7ca70fe4ff75f0.us-east-1.aws.found.io/app/kibana#/discover/Steve-Slow-Train-Analysis-(2080s-and-2083s)?_g=(refreshInterval:(display:Off,pause:!f,section:0,value:0),time:(from:'2017-12-20T04:54:46-0700',mode:absolute,to:'2017-12-20T07:23:28-0700'))&amp;_a=(columns:!('Message%20ID',Summary),filters:!(),index:'emp_*',interval:auto,query:(query_string:(analyze_wildcard:!t,query:'%22rtdc.l.rtdc.4039%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25">
      <c r="A161" s="229" t="s">
        <v>710</v>
      </c>
      <c r="B161" s="225">
        <v>4054</v>
      </c>
      <c r="C161" s="227" t="s">
        <v>192</v>
      </c>
      <c r="D161" s="227" t="s">
        <v>491</v>
      </c>
      <c r="E161" s="226">
        <v>43089.250659722224</v>
      </c>
      <c r="F161" s="226">
        <v>43089.256469907406</v>
      </c>
      <c r="G161" s="225">
        <v>66</v>
      </c>
      <c r="H161" s="227" t="s">
        <v>637</v>
      </c>
      <c r="I161" s="226">
        <v>43089.266215277778</v>
      </c>
      <c r="J161" s="225">
        <v>0</v>
      </c>
      <c r="K161" s="237" t="str">
        <f t="shared" si="59"/>
        <v>4053/4054</v>
      </c>
      <c r="L161" s="245" t="str">
        <f>VLOOKUP(A161,'Trips&amp;Operators'!$C$1:$G$99911,5,FALSE)</f>
        <v>GEBRETEKLE DAGNEW</v>
      </c>
      <c r="M161" s="224">
        <f t="shared" si="60"/>
        <v>9.7453703710925765E-3</v>
      </c>
      <c r="N161" s="225">
        <f t="shared" si="61"/>
        <v>14.03333333437331</v>
      </c>
      <c r="O161" s="225"/>
      <c r="P161" s="225"/>
      <c r="Q161" s="228"/>
      <c r="R161" s="242"/>
      <c r="S161" s="249">
        <f t="shared" si="62"/>
        <v>1</v>
      </c>
      <c r="T161" s="242" t="str">
        <f t="shared" si="63"/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 t="shared" si="64"/>
        <v>https://d0f6bd738d7f1b3e5a7ca70fe4ff75f0.us-east-1.aws.found.io/app/kibana#/discover/Steve-Slow-Train-Analysis-(2080s-and-2083s)?_g=(refreshInterval:(display:Off,pause:!f,section:0,value:0),time:(from:'2017-12-20T05:00:57-0700',mode:absolute,to:'2017-12-20T07:23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1" s="247" t="str">
        <f>IF(AA161&lt;VLOOKUP(AG161,Variables!$AC$3:$AD$8,2,FALSE),"Y","N")</f>
        <v>N</v>
      </c>
      <c r="X161" s="247">
        <f t="shared" si="77"/>
        <v>1</v>
      </c>
      <c r="Y161" s="247">
        <f t="shared" si="70"/>
        <v>4.5699999999999998E-2</v>
      </c>
      <c r="Z161" s="247">
        <f t="shared" si="71"/>
        <v>5.8971</v>
      </c>
      <c r="AA161" s="247">
        <f t="shared" si="65"/>
        <v>5.8513999999999999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66"/>
        <v>803</v>
      </c>
      <c r="AE161" s="235" t="str">
        <f t="shared" si="67"/>
        <v>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 &amp; 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</v>
      </c>
      <c r="AF161" s="234" t="str">
        <f t="shared" si="68"/>
        <v>"C:\Program Files (x86)\AstroGrep\AstroGrep.exe" /e /r /s /spath="%USERPROFILE%\AppData\Local\Temp\OnboardLogs" /stypes="app*4054*20171220*" /stext=" 13:.+((SYSTEM_STATE.+slice.+state.+changed )|(ment ac)|(multiple cpu faults)|(system.+state.+changed )|(\[timeout)|(PRM\|1\|D)|(kpr)|(kdp)|(train st.+moving)|(\|gpps)|(penalty))"</v>
      </c>
      <c r="AG161" s="244" t="str">
        <f t="shared" si="69"/>
        <v>NW</v>
      </c>
      <c r="AH161" s="236" t="str">
        <f t="shared" si="72"/>
        <v>"%USERPROFILE%\Documents\GitHub\eaglep3\Utilities\RefineRTDCRunTimes.py" --tripid 803-20 --locoid 4054 --swversion DE.1.0.9.0 --startMP 204:457 --initTime 2017-12-20T06:00:57 --startdatetime 2017-12-20T06:09:19 --delay 66 --endMP 300:58971 --enddatetime 2017-12-20T06:23:21 --enforcementcount 0 &gt;&gt;%USERPROFILE%\Documents\GitHub\eaglep3-reporting\EC\2017-12-20-refined-times.txt</v>
      </c>
      <c r="AI161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{"issue":{"subject":"","project_id":79,"tracker_id":40,"status_id":1,"priority_id":2,"assigned_to_id":338,"start_date":"2017-12-20","description":"","custom_fields":[{"id":1,"name":"Subdivision","value":"NW"},{"id":4,"name":"Milepost","value":"5.8971"},{"id":17,"name":"Train ID","value":"803-20"},{"id":16,"name":"Locomotive ID","value":"4054"},{"id":130,"name":"Impact","value":""},{"id":150,"name":"Time of Event (Mountain Time)","value":"06:23:21"},{"id":151,"name":"Denver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74"/>
        <v>start /low /b %USERPROFILE%\Documents\GitHub\eaglep3\Utilities\DownloadLogsFromS3.py --loco 4054 --day 2017-12-20</v>
      </c>
      <c r="AN161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13:23:21"},{"id":29,"name":"Sharepoint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76"/>
        <v>https://d0f6bd738d7f1b3e5a7ca70fe4ff75f0.us-east-1.aws.found.io/app/kibana#/discover/Steve-Slow-Train-Analysis-(2080s-and-2083s)?_g=(refreshInterval:(display:Off,pause:!f,section:0,value:0),time:(from:'2017-12-20T05:00:57-0700',mode:absolute,to:'2017-12-20T07:23:21-0700'))&amp;_a=(columns:!('Message%20ID',Summary),filters:!(),index:'emp_*',interval:auto,query:(query_string:(analyze_wildcard:!t,query:'%22rtdc.l.rtdc.4054%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25">
      <c r="A162" s="229" t="s">
        <v>713</v>
      </c>
      <c r="B162" s="225">
        <v>4053</v>
      </c>
      <c r="C162" s="227" t="s">
        <v>192</v>
      </c>
      <c r="D162" s="227" t="s">
        <v>1053</v>
      </c>
      <c r="E162" s="226">
        <v>43089.268182870372</v>
      </c>
      <c r="F162" s="226">
        <v>43089.279166666667</v>
      </c>
      <c r="G162" s="225">
        <v>54</v>
      </c>
      <c r="H162" s="227" t="s">
        <v>1054</v>
      </c>
      <c r="I162" s="226">
        <v>43089.287731481483</v>
      </c>
      <c r="J162" s="225">
        <v>0</v>
      </c>
      <c r="K162" s="237" t="str">
        <f t="shared" si="59"/>
        <v>4053/4054</v>
      </c>
      <c r="L162" s="245" t="str">
        <f>VLOOKUP(A162,'Trips&amp;Operators'!$C$1:$G$99911,5,FALSE)</f>
        <v>GEBRETEKLE DAGNEW</v>
      </c>
      <c r="M162" s="224">
        <f t="shared" si="60"/>
        <v>8.5648148160544224E-3</v>
      </c>
      <c r="N162" s="225">
        <f t="shared" si="61"/>
        <v>12.333333335118368</v>
      </c>
      <c r="O162" s="225"/>
      <c r="P162" s="225"/>
      <c r="Q162" s="228"/>
      <c r="R162" s="242"/>
      <c r="S162" s="249">
        <f t="shared" si="62"/>
        <v>1</v>
      </c>
      <c r="T162" s="242" t="str">
        <f t="shared" si="63"/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 t="shared" si="64"/>
        <v>https://d0f6bd738d7f1b3e5a7ca70fe4ff75f0.us-east-1.aws.found.io/app/kibana#/discover/Steve-Slow-Train-Analysis-(2080s-and-2083s)?_g=(refreshInterval:(display:Off,pause:!f,section:0,value:0),time:(from:'2017-12-20T05:26:11-0700',mode:absolute,to:'2017-12-20T07:54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2" s="247" t="str">
        <f>IF(AA162&lt;VLOOKUP(AG162,Variables!$AC$3:$AD$8,2,FALSE),"Y","N")</f>
        <v>N</v>
      </c>
      <c r="X162" s="247">
        <f t="shared" si="77"/>
        <v>1</v>
      </c>
      <c r="Y162" s="247">
        <f t="shared" si="70"/>
        <v>5.8654999999999999</v>
      </c>
      <c r="Z162" s="247">
        <f t="shared" si="71"/>
        <v>1.17E-2</v>
      </c>
      <c r="AA162" s="247">
        <f t="shared" si="65"/>
        <v>5.8537999999999997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66"/>
        <v>804</v>
      </c>
      <c r="AE162" s="235" t="str">
        <f t="shared" si="67"/>
        <v>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 &amp; 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</v>
      </c>
      <c r="AF162" s="234" t="str">
        <f t="shared" si="68"/>
        <v>"C:\Program Files (x86)\AstroGrep\AstroGrep.exe" /e /r /s /spath="%USERPROFILE%\AppData\Local\Temp\OnboardLogs" /stypes="app*4053*20171220*" /stext=" 13:.+((SYSTEM_STATE.+slice.+state.+changed )|(ment ac)|(multiple cpu faults)|(system.+state.+changed )|(\[timeout)|(PRM\|1\|D)|(kpr)|(kdp)|(train st.+moving)|(\|gpps)|(penalty))"</v>
      </c>
      <c r="AG162" s="244" t="str">
        <f t="shared" si="69"/>
        <v>NW</v>
      </c>
      <c r="AH162" s="236" t="str">
        <f t="shared" si="72"/>
        <v>"%USERPROFILE%\Documents\GitHub\eaglep3\Utilities\RefineRTDCRunTimes.py" --tripid 804-20 --locoid 4053 --swversion DE.1.0.9.0 --startMP 300:58655 --initTime 2017-12-20T06:26:11 --startdatetime 2017-12-20T06:42:00 --delay 54 --endMP 204:117 --enddatetime 2017-12-20T06:54:20 --enforcementcount 0 &gt;&gt;%USERPROFILE%\Documents\GitHub\eaglep3-reporting\EC\2017-12-20-refined-times.txt</v>
      </c>
      <c r="AI162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{"issue":{"subject":"","project_id":79,"tracker_id":40,"status_id":1,"priority_id":2,"assigned_to_id":338,"start_date":"2017-12-20","description":"","custom_fields":[{"id":1,"name":"Subdivision","value":"NW"},{"id":4,"name":"Milepost","value":"0.0117"},{"id":17,"name":"Train ID","value":"804-20"},{"id":16,"name":"Locomotive ID","value":"4053"},{"id":130,"name":"Impact","value":""},{"id":150,"name":"Time of Event (Mountain Time)","value":"06:54:20"},{"id":151,"name":"Denver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74"/>
        <v>start /low /b %USERPROFILE%\Documents\GitHub\eaglep3\Utilities\DownloadLogsFromS3.py --loco 4053 --day 2017-12-20</v>
      </c>
      <c r="AN162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13:54:20"},{"id":29,"name":"Sharepoint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76"/>
        <v>https://d0f6bd738d7f1b3e5a7ca70fe4ff75f0.us-east-1.aws.found.io/app/kibana#/discover/Steve-Slow-Train-Analysis-(2080s-and-2083s)?_g=(refreshInterval:(display:Off,pause:!f,section:0,value:0),time:(from:'2017-12-20T05:26:11-0700',mode:absolute,to:'2017-12-20T07:54:20-0700'))&amp;_a=(columns:!('Message%20ID',Summary),filters:!(),index:'emp_*',interval:auto,query:(query_string:(analyze_wildcard:!t,query:'%22rtdc.l.rtdc.4053%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3" customFormat="1" x14ac:dyDescent="0.25">
      <c r="A163" s="229" t="s">
        <v>715</v>
      </c>
      <c r="B163" s="225">
        <v>4040</v>
      </c>
      <c r="C163" s="227" t="s">
        <v>192</v>
      </c>
      <c r="D163" s="227" t="s">
        <v>492</v>
      </c>
      <c r="E163" s="226">
        <v>43089.273877314816</v>
      </c>
      <c r="F163" s="226">
        <v>43089.277245370373</v>
      </c>
      <c r="G163" s="225">
        <v>61</v>
      </c>
      <c r="H163" s="227" t="s">
        <v>637</v>
      </c>
      <c r="I163" s="226">
        <v>43089.287268518521</v>
      </c>
      <c r="J163" s="225">
        <v>0</v>
      </c>
      <c r="K163" s="237" t="str">
        <f t="shared" si="59"/>
        <v>4039/4040</v>
      </c>
      <c r="L163" s="245" t="str">
        <f>VLOOKUP(A163,'Trips&amp;Operators'!$C$1:$G$99911,5,FALSE)</f>
        <v>LAMAR NEKESHA</v>
      </c>
      <c r="M163" s="224">
        <f t="shared" si="60"/>
        <v>1.0023148148320615E-2</v>
      </c>
      <c r="N163" s="225">
        <f t="shared" si="61"/>
        <v>14.433333333581686</v>
      </c>
      <c r="O163" s="225"/>
      <c r="P163" s="225"/>
      <c r="Q163" s="228"/>
      <c r="R163" s="242"/>
      <c r="S163" s="249">
        <f t="shared" si="62"/>
        <v>1</v>
      </c>
      <c r="T163" s="242" t="str">
        <f t="shared" si="63"/>
        <v>NorthBound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64"/>
        <v>https://d0f6bd738d7f1b3e5a7ca70fe4ff75f0.us-east-1.aws.found.io/app/kibana#/discover/Steve-Slow-Train-Analysis-(2080s-and-2083s)?_g=(refreshInterval:(display:Off,pause:!f,section:0,value:0),time:(from:'2017-12-20T05:34:23-0700',mode:absolute,to:'2017-12-20T07:53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3" s="247" t="str">
        <f>IF(AA163&lt;VLOOKUP(AG163,Variables!$AC$3:$AD$8,2,FALSE),"Y","N")</f>
        <v>N</v>
      </c>
      <c r="X163" s="247">
        <f t="shared" si="77"/>
        <v>1</v>
      </c>
      <c r="Y163" s="247">
        <f t="shared" si="70"/>
        <v>4.6199999999999998E-2</v>
      </c>
      <c r="Z163" s="247">
        <f t="shared" si="71"/>
        <v>5.8971</v>
      </c>
      <c r="AA163" s="247">
        <f t="shared" si="65"/>
        <v>5.8509000000000002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66"/>
        <v>805</v>
      </c>
      <c r="AE163" s="235" t="str">
        <f t="shared" si="67"/>
        <v>aws s3 cp s3://rtdc.mdm.uploadarchive.raw/RTDC4040/ "%USERPROFILE%\AppData\Local\Temp\OnboardLogs"\RTDC4040\2017-12-20 --exclude "*" --recursive --include "*20171220*" &amp; "%USERPROFILE%\Documents\GitHub\mrs-test-scripts\Headless Mode &amp; Sideloading\WalkAndUnGZ.bat" "%USERPROFILE%\AppData\Local\Temp\OnboardLogs"\RTDC4040\2017-12-20 &amp; aws s3 cp s3://rtdc.mdm.uploadarchive.raw/RTDC4040/ "%USERPROFILE%\AppData\Local\Temp\OnboardLogs"\RTDC4040\2017-12-21 --exclude "*" --recursive --include "*20171221*" &amp; "%USERPROFILE%\Documents\GitHub\mrs-test-scripts\Headless Mode &amp; Sideloading\WalkAndUnGZ.bat" "%USERPROFILE%\AppData\Local\Temp\OnboardLogs"\RTDC4040\2017-12-21</v>
      </c>
      <c r="AF163" s="234" t="str">
        <f t="shared" si="68"/>
        <v>"C:\Program Files (x86)\AstroGrep\AstroGrep.exe" /e /r /s /spath="%USERPROFILE%\AppData\Local\Temp\OnboardLogs" /stypes="app*4040*20171220*" /stext=" 13:.+((SYSTEM_STATE.+slice.+state.+changed )|(ment ac)|(multiple cpu faults)|(system.+state.+changed )|(\[timeout)|(PRM\|1\|D)|(kpr)|(kdp)|(train st.+moving)|(\|gpps)|(penalty))"</v>
      </c>
      <c r="AG163" s="244" t="str">
        <f t="shared" si="69"/>
        <v>NW</v>
      </c>
      <c r="AH163" s="236" t="str">
        <f t="shared" si="72"/>
        <v>"%USERPROFILE%\Documents\GitHub\eaglep3\Utilities\RefineRTDCRunTimes.py" --tripid 805-20 --locoid 4040 --swversion DE.1.0.9.0 --startMP 204:462 --initTime 2017-12-20T06:34:23 --startdatetime 2017-12-20T06:39:14 --delay 61 --endMP 300:58971 --enddatetime 2017-12-20T06:53:40 --enforcementcount 0 &gt;&gt;%USERPROFILE%\Documents\GitHub\eaglep3-reporting\EC\2017-12-20-refined-times.txt</v>
      </c>
      <c r="AI163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{"issue":{"subject":"","project_id":79,"tracker_id":40,"status_id":1,"priority_id":2,"assigned_to_id":338,"start_date":"2017-12-20","description":"","custom_fields":[{"id":1,"name":"Subdivision","value":"NW"},{"id":4,"name":"Milepost","value":"5.8971"},{"id":17,"name":"Train ID","value":"805-20"},{"id":16,"name":"Locomotive ID","value":"4040"},{"id":130,"name":"Impact","value":""},{"id":150,"name":"Time of Event (Mountain Time)","value":"06:53:40"},{"id":151,"name":"Denver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1"/>
      <c r="AL163" s="231"/>
      <c r="AM163" s="240" t="str">
        <f t="shared" si="74"/>
        <v>start /low /b %USERPROFILE%\Documents\GitHub\eaglep3\Utilities\DownloadLogsFromS3.py --loco 4040 --day 2017-12-20</v>
      </c>
      <c r="AN163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13:53:40"},{"id":29,"name":"Sharepoint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76"/>
        <v>https://d0f6bd738d7f1b3e5a7ca70fe4ff75f0.us-east-1.aws.found.io/app/kibana#/discover/Steve-Slow-Train-Analysis-(2080s-and-2083s)?_g=(refreshInterval:(display:Off,pause:!f,section:0,value:0),time:(from:'2017-12-20T05:34:23-0700',mode:absolute,to:'2017-12-20T07:53:40-0700'))&amp;_a=(columns:!('Message%20ID',Summary),filters:!(),index:'emp_*',interval:auto,query:(query_string:(analyze_wildcard:!t,query:'%22rtdc.l.rtdc.4040%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229" t="s">
        <v>719</v>
      </c>
      <c r="B164" s="225">
        <v>4039</v>
      </c>
      <c r="C164" s="227" t="s">
        <v>192</v>
      </c>
      <c r="D164" s="227" t="s">
        <v>1055</v>
      </c>
      <c r="E164" s="226">
        <v>43089.288587962961</v>
      </c>
      <c r="F164" s="226">
        <v>43089.3</v>
      </c>
      <c r="G164" s="225">
        <v>66</v>
      </c>
      <c r="H164" s="227" t="s">
        <v>569</v>
      </c>
      <c r="I164" s="226">
        <v>43089.308715277781</v>
      </c>
      <c r="J164" s="225">
        <v>0</v>
      </c>
      <c r="K164" s="237" t="str">
        <f t="shared" si="59"/>
        <v>4039/4040</v>
      </c>
      <c r="L164" s="245" t="str">
        <f>VLOOKUP(A164,'Trips&amp;Operators'!$C$1:$G$99911,5,FALSE)</f>
        <v>LAMAR NEKESHA</v>
      </c>
      <c r="M164" s="224">
        <f t="shared" si="60"/>
        <v>8.7152777778101154E-3</v>
      </c>
      <c r="N164" s="225">
        <f t="shared" si="61"/>
        <v>12.550000000046566</v>
      </c>
      <c r="O164" s="225"/>
      <c r="P164" s="225"/>
      <c r="Q164" s="228"/>
      <c r="R164" s="242"/>
      <c r="S164" s="249">
        <f t="shared" si="62"/>
        <v>1</v>
      </c>
      <c r="T164" s="242" t="str">
        <f t="shared" si="63"/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 t="shared" si="64"/>
        <v>https://d0f6bd738d7f1b3e5a7ca70fe4ff75f0.us-east-1.aws.found.io/app/kibana#/discover/Steve-Slow-Train-Analysis-(2080s-and-2083s)?_g=(refreshInterval:(display:Off,pause:!f,section:0,value:0),time:(from:'2017-12-20T05:55:34-0700',mode:absolute,to:'2017-12-20T08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4" s="247" t="str">
        <f>IF(AA164&lt;VLOOKUP(AG164,Variables!$AC$3:$AD$8,2,FALSE),"Y","N")</f>
        <v>N</v>
      </c>
      <c r="X164" s="247">
        <f t="shared" si="77"/>
        <v>1</v>
      </c>
      <c r="Y164" s="247">
        <f t="shared" si="70"/>
        <v>5.8653000000000004</v>
      </c>
      <c r="Z164" s="247">
        <f t="shared" si="71"/>
        <v>1.6400000000000001E-2</v>
      </c>
      <c r="AA164" s="247">
        <f t="shared" si="65"/>
        <v>5.8489000000000004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66"/>
        <v>806</v>
      </c>
      <c r="AE164" s="235" t="str">
        <f t="shared" si="67"/>
        <v>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 &amp; aws s3 cp s3://rtdc.mdm.uploadarchive.raw/RTDC4039/ "%USERPROFILE%\AppData\Local\Temp\OnboardLogs"\RTDC4039\2017-12-21 --exclude "*" --recursive --include "*20171221*" &amp; "%USERPROFILE%\Documents\GitHub\mrs-test-scripts\Headless Mode &amp; Sideloading\WalkAndUnGZ.bat" "%USERPROFILE%\AppData\Local\Temp\OnboardLogs"\RTDC4039\2017-12-21</v>
      </c>
      <c r="AF164" s="234" t="str">
        <f t="shared" si="68"/>
        <v>"C:\Program Files (x86)\AstroGrep\AstroGrep.exe" /e /r /s /spath="%USERPROFILE%\AppData\Local\Temp\OnboardLogs" /stypes="app*4039*20171220*" /stext=" 14:.+((SYSTEM_STATE.+slice.+state.+changed )|(ment ac)|(multiple cpu faults)|(system.+state.+changed )|(\[timeout)|(PRM\|1\|D)|(kpr)|(kdp)|(train st.+moving)|(\|gpps)|(penalty))"</v>
      </c>
      <c r="AG164" s="244" t="str">
        <f t="shared" si="69"/>
        <v>NW</v>
      </c>
      <c r="AH164" s="236" t="str">
        <f t="shared" si="72"/>
        <v>"%USERPROFILE%\Documents\GitHub\eaglep3\Utilities\RefineRTDCRunTimes.py" --tripid 806-20 --locoid 4039 --swversion DE.1.0.9.0 --startMP 300:58653 --initTime 2017-12-20T06:55:34 --startdatetime 2017-12-20T07:12:00 --delay 66 --endMP 204:164 --enddatetime 2017-12-20T07:24:33 --enforcementcount 0 &gt;&gt;%USERPROFILE%\Documents\GitHub\eaglep3-reporting\EC\2017-12-20-refined-times.txt</v>
      </c>
      <c r="AI164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{"issue":{"subject":"","project_id":79,"tracker_id":40,"status_id":1,"priority_id":2,"assigned_to_id":338,"start_date":"2017-12-20","description":"","custom_fields":[{"id":1,"name":"Subdivision","value":"NW"},{"id":4,"name":"Milepost","value":"0.0164"},{"id":17,"name":"Train ID","value":"806-20"},{"id":16,"name":"Locomotive ID","value":"4039"},{"id":130,"name":"Impact","value":""},{"id":150,"name":"Time of Event (Mountain Time)","value":"07:24:33"},{"id":151,"name":"Denver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3"/>
      <c r="AK164" s="231"/>
      <c r="AL164" s="231"/>
      <c r="AM164" s="240" t="str">
        <f t="shared" si="74"/>
        <v>start /low /b %USERPROFILE%\Documents\GitHub\eaglep3\Utilities\DownloadLogsFromS3.py --loco 4039 --day 2017-12-20</v>
      </c>
      <c r="AN164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14:24:33"},{"id":29,"name":"Sharepoint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76"/>
        <v>https://d0f6bd738d7f1b3e5a7ca70fe4ff75f0.us-east-1.aws.found.io/app/kibana#/discover/Steve-Slow-Train-Analysis-(2080s-and-2083s)?_g=(refreshInterval:(display:Off,pause:!f,section:0,value:0),time:(from:'2017-12-20T05:55:34-0700',mode:absolute,to:'2017-12-20T08:24:33-0700'))&amp;_a=(columns:!('Message%20ID',Summary),filters:!(),index:'emp_*',interval:auto,query:(query_string:(analyze_wildcard:!t,query:'%22rtdc.l.rtdc.4039%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29" t="s">
        <v>721</v>
      </c>
      <c r="B165" s="225">
        <v>4054</v>
      </c>
      <c r="C165" s="227" t="s">
        <v>192</v>
      </c>
      <c r="D165" s="227" t="s">
        <v>522</v>
      </c>
      <c r="E165" s="226">
        <v>43089.29047453704</v>
      </c>
      <c r="F165" s="226">
        <v>43089.298113425924</v>
      </c>
      <c r="G165" s="225">
        <v>70</v>
      </c>
      <c r="H165" s="227" t="s">
        <v>637</v>
      </c>
      <c r="I165" s="226">
        <v>43089.308472222219</v>
      </c>
      <c r="J165" s="225">
        <v>0</v>
      </c>
      <c r="K165" s="237" t="str">
        <f t="shared" si="59"/>
        <v>4053/4054</v>
      </c>
      <c r="L165" s="245" t="str">
        <f>VLOOKUP(A165,'Trips&amp;Operators'!$C$1:$G$99911,5,FALSE)</f>
        <v>GEBRETEKLE DAGNEW</v>
      </c>
      <c r="M165" s="224">
        <f t="shared" si="60"/>
        <v>1.0358796294895001E-2</v>
      </c>
      <c r="N165" s="225">
        <f t="shared" si="61"/>
        <v>14.916666664648801</v>
      </c>
      <c r="O165" s="225"/>
      <c r="P165" s="225"/>
      <c r="Q165" s="228"/>
      <c r="R165" s="242"/>
      <c r="S165" s="249">
        <f t="shared" si="62"/>
        <v>1</v>
      </c>
      <c r="T165" s="242" t="str">
        <f t="shared" si="63"/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64"/>
        <v>https://d0f6bd738d7f1b3e5a7ca70fe4ff75f0.us-east-1.aws.found.io/app/kibana#/discover/Steve-Slow-Train-Analysis-(2080s-and-2083s)?_g=(refreshInterval:(display:Off,pause:!f,section:0,value:0),time:(from:'2017-12-20T05:58:17-0700',mode:absolute,to:'2017-12-20T08:24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5" s="247" t="str">
        <f>IF(AA165&lt;VLOOKUP(AG165,Variables!$AC$3:$AD$8,2,FALSE),"Y","N")</f>
        <v>N</v>
      </c>
      <c r="X165" s="247">
        <f t="shared" si="77"/>
        <v>1</v>
      </c>
      <c r="Y165" s="247">
        <f t="shared" si="70"/>
        <v>4.41E-2</v>
      </c>
      <c r="Z165" s="247">
        <f t="shared" si="71"/>
        <v>5.8971</v>
      </c>
      <c r="AA165" s="247">
        <f t="shared" si="65"/>
        <v>5.8529999999999998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66"/>
        <v>807</v>
      </c>
      <c r="AE165" s="235" t="str">
        <f t="shared" si="67"/>
        <v>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 &amp; 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</v>
      </c>
      <c r="AF165" s="234" t="str">
        <f t="shared" si="68"/>
        <v>"C:\Program Files (x86)\AstroGrep\AstroGrep.exe" /e /r /s /spath="%USERPROFILE%\AppData\Local\Temp\OnboardLogs" /stypes="app*4054*20171220*" /stext=" 14:.+((SYSTEM_STATE.+slice.+state.+changed )|(ment ac)|(multiple cpu faults)|(system.+state.+changed )|(\[timeout)|(PRM\|1\|D)|(kpr)|(kdp)|(train st.+moving)|(\|gpps)|(penalty))"</v>
      </c>
      <c r="AG165" s="244" t="str">
        <f t="shared" si="69"/>
        <v>NW</v>
      </c>
      <c r="AH165" s="236" t="str">
        <f t="shared" si="72"/>
        <v>"%USERPROFILE%\Documents\GitHub\eaglep3\Utilities\RefineRTDCRunTimes.py" --tripid 807-20 --locoid 4054 --swversion DE.1.0.9.0 --startMP 204:441 --initTime 2017-12-20T06:58:17 --startdatetime 2017-12-20T07:09:17 --delay 70 --endMP 300:58971 --enddatetime 2017-12-20T07:24:12 --enforcementcount 0 &gt;&gt;%USERPROFILE%\Documents\GitHub\eaglep3-reporting\EC\2017-12-20-refined-times.txt</v>
      </c>
      <c r="AI165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{"issue":{"subject":"","project_id":79,"tracker_id":40,"status_id":1,"priority_id":2,"assigned_to_id":338,"start_date":"2017-12-20","description":"","custom_fields":[{"id":1,"name":"Subdivision","value":"NW"},{"id":4,"name":"Milepost","value":"5.8971"},{"id":17,"name":"Train ID","value":"807-20"},{"id":16,"name":"Locomotive ID","value":"4054"},{"id":130,"name":"Impact","value":""},{"id":150,"name":"Time of Event (Mountain Time)","value":"07:24:12"},{"id":151,"name":"Denver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3"/>
      <c r="AK165" s="231"/>
      <c r="AL165" s="231"/>
      <c r="AM165" s="240" t="str">
        <f t="shared" si="74"/>
        <v>start /low /b %USERPROFILE%\Documents\GitHub\eaglep3\Utilities\DownloadLogsFromS3.py --loco 4054 --day 2017-12-20</v>
      </c>
      <c r="AN165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14:24:12"},{"id":29,"name":"Sharepoint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76"/>
        <v>https://d0f6bd738d7f1b3e5a7ca70fe4ff75f0.us-east-1.aws.found.io/app/kibana#/discover/Steve-Slow-Train-Analysis-(2080s-and-2083s)?_g=(refreshInterval:(display:Off,pause:!f,section:0,value:0),time:(from:'2017-12-20T05:58:17-0700',mode:absolute,to:'2017-12-20T08:24:12-0700'))&amp;_a=(columns:!('Message%20ID',Summary),filters:!(),index:'emp_*',interval:auto,query:(query_string:(analyze_wildcard:!t,query:'%22rtdc.l.rtdc.4054%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229" t="s">
        <v>724</v>
      </c>
      <c r="B166" s="225">
        <v>4053</v>
      </c>
      <c r="C166" s="227" t="s">
        <v>192</v>
      </c>
      <c r="D166" s="227" t="s">
        <v>565</v>
      </c>
      <c r="E166" s="226">
        <v>43089.310011574074</v>
      </c>
      <c r="F166" s="226">
        <v>43089.320833333331</v>
      </c>
      <c r="G166" s="225">
        <v>64</v>
      </c>
      <c r="H166" s="227" t="s">
        <v>597</v>
      </c>
      <c r="I166" s="226">
        <v>43089.32949074074</v>
      </c>
      <c r="J166" s="225">
        <v>0</v>
      </c>
      <c r="K166" s="237" t="str">
        <f t="shared" si="59"/>
        <v>4053/4054</v>
      </c>
      <c r="L166" s="245" t="str">
        <f>VLOOKUP(A166,'Trips&amp;Operators'!$C$1:$G$99911,5,FALSE)</f>
        <v>GEBRETEKLE DAGNEW</v>
      </c>
      <c r="M166" s="224">
        <f t="shared" si="60"/>
        <v>8.6574074084637687E-3</v>
      </c>
      <c r="N166" s="225">
        <f t="shared" si="61"/>
        <v>12.466666668187827</v>
      </c>
      <c r="O166" s="225"/>
      <c r="P166" s="225"/>
      <c r="Q166" s="228"/>
      <c r="R166" s="242"/>
      <c r="S166" s="249">
        <f t="shared" si="62"/>
        <v>1</v>
      </c>
      <c r="T166" s="242" t="str">
        <f t="shared" si="63"/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64"/>
        <v>https://d0f6bd738d7f1b3e5a7ca70fe4ff75f0.us-east-1.aws.found.io/app/kibana#/discover/Steve-Slow-Train-Analysis-(2080s-and-2083s)?_g=(refreshInterval:(display:Off,pause:!f,section:0,value:0),time:(from:'2017-12-20T06:26:25-0700',mode:absolute,to:'2017-12-20T08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6" s="247" t="str">
        <f>IF(AA166&lt;VLOOKUP(AG166,Variables!$AC$3:$AD$8,2,FALSE),"Y","N")</f>
        <v>N</v>
      </c>
      <c r="X166" s="247">
        <f t="shared" si="77"/>
        <v>1</v>
      </c>
      <c r="Y166" s="247">
        <f t="shared" si="70"/>
        <v>5.8655999999999997</v>
      </c>
      <c r="Z166" s="247">
        <f t="shared" si="71"/>
        <v>1.49E-2</v>
      </c>
      <c r="AA166" s="247">
        <f t="shared" si="65"/>
        <v>5.8506999999999998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66"/>
        <v>808</v>
      </c>
      <c r="AE166" s="235" t="str">
        <f t="shared" si="67"/>
        <v>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 &amp; 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</v>
      </c>
      <c r="AF166" s="234" t="str">
        <f t="shared" si="68"/>
        <v>"C:\Program Files (x86)\AstroGrep\AstroGrep.exe" /e /r /s /spath="%USERPROFILE%\AppData\Local\Temp\OnboardLogs" /stypes="app*4053*20171220*" /stext=" 14:.+((SYSTEM_STATE.+slice.+state.+changed )|(ment ac)|(multiple cpu faults)|(system.+state.+changed )|(\[timeout)|(PRM\|1\|D)|(kpr)|(kdp)|(train st.+moving)|(\|gpps)|(penalty))"</v>
      </c>
      <c r="AG166" s="244" t="str">
        <f t="shared" si="69"/>
        <v>NW</v>
      </c>
      <c r="AH166" s="236" t="str">
        <f t="shared" si="72"/>
        <v>"%USERPROFILE%\Documents\GitHub\eaglep3\Utilities\RefineRTDCRunTimes.py" --tripid 808-20 --locoid 4053 --swversion DE.1.0.9.0 --startMP 300:58656 --initTime 2017-12-20T07:26:25 --startdatetime 2017-12-20T07:42:00 --delay 64 --endMP 204:149 --enddatetime 2017-12-20T07:54:28 --enforcementcount 0 &gt;&gt;%USERPROFILE%\Documents\GitHub\eaglep3-reporting\EC\2017-12-20-refined-times.txt</v>
      </c>
      <c r="AI166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{"issue":{"subject":"","project_id":79,"tracker_id":40,"status_id":1,"priority_id":2,"assigned_to_id":338,"start_date":"2017-12-20","description":"","custom_fields":[{"id":1,"name":"Subdivision","value":"NW"},{"id":4,"name":"Milepost","value":"0.0149"},{"id":17,"name":"Train ID","value":"808-20"},{"id":16,"name":"Locomotive ID","value":"4053"},{"id":130,"name":"Impact","value":""},{"id":150,"name":"Time of Event (Mountain Time)","value":"07:54:28"},{"id":151,"name":"Denver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3"/>
      <c r="AK166" s="231"/>
      <c r="AL166" s="231"/>
      <c r="AM166" s="240" t="str">
        <f t="shared" si="74"/>
        <v>start /low /b %USERPROFILE%\Documents\GitHub\eaglep3\Utilities\DownloadLogsFromS3.py --loco 4053 --day 2017-12-20</v>
      </c>
      <c r="AN166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14:54:28"},{"id":29,"name":"Sharepoint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76"/>
        <v>https://d0f6bd738d7f1b3e5a7ca70fe4ff75f0.us-east-1.aws.found.io/app/kibana#/discover/Steve-Slow-Train-Analysis-(2080s-and-2083s)?_g=(refreshInterval:(display:Off,pause:!f,section:0,value:0),time:(from:'2017-12-20T06:26:25-0700',mode:absolute,to:'2017-12-20T08:54:28-0700'))&amp;_a=(columns:!('Message%20ID',Summary),filters:!(),index:'emp_*',interval:auto,query:(query_string:(analyze_wildcard:!t,query:'%22rtdc.l.rtdc.4053%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25">
      <c r="A167" s="229" t="s">
        <v>725</v>
      </c>
      <c r="B167" s="225">
        <v>4040</v>
      </c>
      <c r="C167" s="227" t="s">
        <v>192</v>
      </c>
      <c r="D167" s="227" t="s">
        <v>491</v>
      </c>
      <c r="E167" s="226">
        <v>43089.316041666665</v>
      </c>
      <c r="F167" s="226">
        <v>43089.319733796299</v>
      </c>
      <c r="G167" s="225">
        <v>63</v>
      </c>
      <c r="H167" s="227" t="s">
        <v>1056</v>
      </c>
      <c r="I167" s="226">
        <v>43089.32916666667</v>
      </c>
      <c r="J167" s="225">
        <v>0</v>
      </c>
      <c r="K167" s="237" t="str">
        <f t="shared" si="59"/>
        <v>4039/4040</v>
      </c>
      <c r="L167" s="245" t="str">
        <f>VLOOKUP(A167,'Trips&amp;Operators'!$C$1:$G$99911,5,FALSE)</f>
        <v>LAMAR NEKESHA</v>
      </c>
      <c r="M167" s="224">
        <f t="shared" si="60"/>
        <v>9.4328703708015382E-3</v>
      </c>
      <c r="N167" s="225">
        <f t="shared" si="61"/>
        <v>13.583333333954215</v>
      </c>
      <c r="O167" s="225"/>
      <c r="P167" s="225"/>
      <c r="Q167" s="228"/>
      <c r="R167" s="242"/>
      <c r="S167" s="249">
        <f t="shared" si="62"/>
        <v>1</v>
      </c>
      <c r="T167" s="242" t="str">
        <f t="shared" si="63"/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64"/>
        <v>https://d0f6bd738d7f1b3e5a7ca70fe4ff75f0.us-east-1.aws.found.io/app/kibana#/discover/Steve-Slow-Train-Analysis-(2080s-and-2083s)?_g=(refreshInterval:(display:Off,pause:!f,section:0,value:0),time:(from:'2017-12-20T06:35:06-0700',mode:absolute,to:'2017-12-20T08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7" s="247" t="str">
        <f>IF(AA167&lt;VLOOKUP(AG167,Variables!$AC$3:$AD$8,2,FALSE),"Y","N")</f>
        <v>N</v>
      </c>
      <c r="X167" s="247">
        <f t="shared" si="77"/>
        <v>1</v>
      </c>
      <c r="Y167" s="247">
        <f t="shared" si="70"/>
        <v>4.5699999999999998E-2</v>
      </c>
      <c r="Z167" s="247">
        <f t="shared" si="71"/>
        <v>5.8960999999999997</v>
      </c>
      <c r="AA167" s="247">
        <f t="shared" si="65"/>
        <v>5.8503999999999996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66"/>
        <v>809</v>
      </c>
      <c r="AE167" s="235" t="str">
        <f t="shared" si="67"/>
        <v>aws s3 cp s3://rtdc.mdm.uploadarchive.raw/RTDC4040/ "%USERPROFILE%\AppData\Local\Temp\OnboardLogs"\RTDC4040\2017-12-20 --exclude "*" --recursive --include "*20171220*" &amp; "%USERPROFILE%\Documents\GitHub\mrs-test-scripts\Headless Mode &amp; Sideloading\WalkAndUnGZ.bat" "%USERPROFILE%\AppData\Local\Temp\OnboardLogs"\RTDC4040\2017-12-20 &amp; aws s3 cp s3://rtdc.mdm.uploadarchive.raw/RTDC4040/ "%USERPROFILE%\AppData\Local\Temp\OnboardLogs"\RTDC4040\2017-12-21 --exclude "*" --recursive --include "*20171221*" &amp; "%USERPROFILE%\Documents\GitHub\mrs-test-scripts\Headless Mode &amp; Sideloading\WalkAndUnGZ.bat" "%USERPROFILE%\AppData\Local\Temp\OnboardLogs"\RTDC4040\2017-12-21</v>
      </c>
      <c r="AF167" s="234" t="str">
        <f t="shared" si="68"/>
        <v>"C:\Program Files (x86)\AstroGrep\AstroGrep.exe" /e /r /s /spath="%USERPROFILE%\AppData\Local\Temp\OnboardLogs" /stypes="app*4040*20171220*" /stext=" 14:.+((SYSTEM_STATE.+slice.+state.+changed )|(ment ac)|(multiple cpu faults)|(system.+state.+changed )|(\[timeout)|(PRM\|1\|D)|(kpr)|(kdp)|(train st.+moving)|(\|gpps)|(penalty))"</v>
      </c>
      <c r="AG167" s="244" t="str">
        <f t="shared" si="69"/>
        <v>NW</v>
      </c>
      <c r="AH167" s="236" t="str">
        <f t="shared" si="72"/>
        <v>"%USERPROFILE%\Documents\GitHub\eaglep3\Utilities\RefineRTDCRunTimes.py" --tripid 809-20 --locoid 4040 --swversion DE.1.0.9.0 --startMP 204:457 --initTime 2017-12-20T07:35:06 --startdatetime 2017-12-20T07:40:25 --delay 63 --endMP 300:58961 --enddatetime 2017-12-20T07:54:00 --enforcementcount 0 &gt;&gt;%USERPROFILE%\Documents\GitHub\eaglep3-reporting\EC\2017-12-20-refined-times.txt</v>
      </c>
      <c r="AI167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{"issue":{"subject":"","project_id":79,"tracker_id":40,"status_id":1,"priority_id":2,"assigned_to_id":338,"start_date":"2017-12-20","description":"","custom_fields":[{"id":1,"name":"Subdivision","value":"NW"},{"id":4,"name":"Milepost","value":"5.8961"},{"id":17,"name":"Train ID","value":"809-20"},{"id":16,"name":"Locomotive ID","value":"4040"},{"id":130,"name":"Impact","value":""},{"id":150,"name":"Time of Event (Mountain Time)","value":"07:54:00"},{"id":151,"name":"Denver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74"/>
        <v>start /low /b %USERPROFILE%\Documents\GitHub\eaglep3\Utilities\DownloadLogsFromS3.py --loco 4040 --day 2017-12-20</v>
      </c>
      <c r="AN167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14:54:00"},{"id":29,"name":"Sharepoint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76"/>
        <v>https://d0f6bd738d7f1b3e5a7ca70fe4ff75f0.us-east-1.aws.found.io/app/kibana#/discover/Steve-Slow-Train-Analysis-(2080s-and-2083s)?_g=(refreshInterval:(display:Off,pause:!f,section:0,value:0),time:(from:'2017-12-20T06:35:06-0700',mode:absolute,to:'2017-12-20T08:54:00-0700'))&amp;_a=(columns:!('Message%20ID',Summary),filters:!(),index:'emp_*',interval:auto,query:(query_string:(analyze_wildcard:!t,query:'%22rtdc.l.rtdc.4040%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25">
      <c r="A168" s="229" t="s">
        <v>654</v>
      </c>
      <c r="B168" s="225">
        <v>4039</v>
      </c>
      <c r="C168" s="227" t="s">
        <v>192</v>
      </c>
      <c r="D168" s="227" t="s">
        <v>1058</v>
      </c>
      <c r="E168" s="226">
        <v>43089.33017361111</v>
      </c>
      <c r="F168" s="226">
        <v>43089.341666666667</v>
      </c>
      <c r="G168" s="225">
        <v>50</v>
      </c>
      <c r="H168" s="227" t="s">
        <v>941</v>
      </c>
      <c r="I168" s="226">
        <v>43089.350821759261</v>
      </c>
      <c r="J168" s="225">
        <v>0</v>
      </c>
      <c r="K168" s="237" t="str">
        <f t="shared" si="59"/>
        <v>4039/4040</v>
      </c>
      <c r="L168" s="245" t="str">
        <f>VLOOKUP(A168,'Trips&amp;Operators'!$C$1:$G$99911,5,FALSE)</f>
        <v>LAMAR NEKESHA</v>
      </c>
      <c r="M168" s="224">
        <f t="shared" si="60"/>
        <v>9.1550925935734995E-3</v>
      </c>
      <c r="N168" s="225">
        <f t="shared" si="61"/>
        <v>13.183333334745839</v>
      </c>
      <c r="O168" s="225"/>
      <c r="P168" s="225"/>
      <c r="Q168" s="228"/>
      <c r="R168" s="242"/>
      <c r="S168" s="249">
        <f t="shared" si="62"/>
        <v>1</v>
      </c>
      <c r="T168" s="242" t="str">
        <f t="shared" si="63"/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64"/>
        <v>https://d0f6bd738d7f1b3e5a7ca70fe4ff75f0.us-east-1.aws.found.io/app/kibana#/discover/Steve-Slow-Train-Analysis-(2080s-and-2083s)?_g=(refreshInterval:(display:Off,pause:!f,section:0,value:0),time:(from:'2017-12-20T06:55:27-0700',mode:absolute,to:'2017-12-20T09:25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8" s="247" t="str">
        <f>IF(AA168&lt;VLOOKUP(AG168,Variables!$AC$3:$AD$8,2,FALSE),"Y","N")</f>
        <v>N</v>
      </c>
      <c r="X168" s="247">
        <f t="shared" si="77"/>
        <v>1</v>
      </c>
      <c r="Y168" s="247">
        <f t="shared" si="70"/>
        <v>5.8651</v>
      </c>
      <c r="Z168" s="247">
        <f t="shared" si="71"/>
        <v>1.78E-2</v>
      </c>
      <c r="AA168" s="247">
        <f t="shared" si="65"/>
        <v>5.8472999999999997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66"/>
        <v>810</v>
      </c>
      <c r="AE168" s="235" t="str">
        <f t="shared" si="67"/>
        <v>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 &amp; aws s3 cp s3://rtdc.mdm.uploadarchive.raw/RTDC4039/ "%USERPROFILE%\AppData\Local\Temp\OnboardLogs"\RTDC4039\2017-12-21 --exclude "*" --recursive --include "*20171221*" &amp; "%USERPROFILE%\Documents\GitHub\mrs-test-scripts\Headless Mode &amp; Sideloading\WalkAndUnGZ.bat" "%USERPROFILE%\AppData\Local\Temp\OnboardLogs"\RTDC4039\2017-12-21</v>
      </c>
      <c r="AF168" s="234" t="str">
        <f t="shared" si="68"/>
        <v>"C:\Program Files (x86)\AstroGrep\AstroGrep.exe" /e /r /s /spath="%USERPROFILE%\AppData\Local\Temp\OnboardLogs" /stypes="app*4039*20171220*" /stext=" 15:.+((SYSTEM_STATE.+slice.+state.+changed )|(ment ac)|(multiple cpu faults)|(system.+state.+changed )|(\[timeout)|(PRM\|1\|D)|(kpr)|(kdp)|(train st.+moving)|(\|gpps)|(penalty))"</v>
      </c>
      <c r="AG168" s="244" t="str">
        <f t="shared" si="69"/>
        <v>NW</v>
      </c>
      <c r="AH168" s="236" t="str">
        <f t="shared" si="72"/>
        <v>"%USERPROFILE%\Documents\GitHub\eaglep3\Utilities\RefineRTDCRunTimes.py" --tripid 810-20 --locoid 4039 --swversion DE.1.0.9.0 --startMP 300:58651 --initTime 2017-12-20T07:55:27 --startdatetime 2017-12-20T08:12:00 --delay 50 --endMP 204:178 --enddatetime 2017-12-20T08:25:11 --enforcementcount 0 &gt;&gt;%USERPROFILE%\Documents\GitHub\eaglep3-reporting\EC\2017-12-20-refined-times.txt</v>
      </c>
      <c r="AI168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{"issue":{"subject":"","project_id":79,"tracker_id":40,"status_id":1,"priority_id":2,"assigned_to_id":338,"start_date":"2017-12-20","description":"","custom_fields":[{"id":1,"name":"Subdivision","value":"NW"},{"id":4,"name":"Milepost","value":"0.0178"},{"id":17,"name":"Train ID","value":"810-20"},{"id":16,"name":"Locomotive ID","value":"4039"},{"id":130,"name":"Impact","value":""},{"id":150,"name":"Time of Event (Mountain Time)","value":"08:25:11"},{"id":151,"name":"Denver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74"/>
        <v>start /low /b %USERPROFILE%\Documents\GitHub\eaglep3\Utilities\DownloadLogsFromS3.py --loco 4039 --day 2017-12-20</v>
      </c>
      <c r="AN168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15:25:11"},{"id":29,"name":"Sharepoint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76"/>
        <v>https://d0f6bd738d7f1b3e5a7ca70fe4ff75f0.us-east-1.aws.found.io/app/kibana#/discover/Steve-Slow-Train-Analysis-(2080s-and-2083s)?_g=(refreshInterval:(display:Off,pause:!f,section:0,value:0),time:(from:'2017-12-20T06:55:27-0700',mode:absolute,to:'2017-12-20T09:25:11-0700'))&amp;_a=(columns:!('Message%20ID',Summary),filters:!(),index:'emp_*',interval:auto,query:(query_string:(analyze_wildcard:!t,query:'%22rtdc.l.rtdc.4039%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25">
      <c r="A169" s="229" t="s">
        <v>729</v>
      </c>
      <c r="B169" s="225">
        <v>4054</v>
      </c>
      <c r="C169" s="227" t="s">
        <v>192</v>
      </c>
      <c r="D169" s="227" t="s">
        <v>1059</v>
      </c>
      <c r="E169" s="226">
        <v>43089.331747685188</v>
      </c>
      <c r="F169" s="226">
        <v>43089.339780092596</v>
      </c>
      <c r="G169" s="225">
        <v>69</v>
      </c>
      <c r="H169" s="227" t="s">
        <v>1060</v>
      </c>
      <c r="I169" s="226">
        <v>43089.350694444445</v>
      </c>
      <c r="J169" s="225">
        <v>0</v>
      </c>
      <c r="K169" s="237" t="str">
        <f t="shared" si="59"/>
        <v>4053/4054</v>
      </c>
      <c r="L169" s="245" t="str">
        <f>VLOOKUP(A169,'Trips&amp;Operators'!$C$1:$G$99911,5,FALSE)</f>
        <v>GEBRETEKLE DAGNEW</v>
      </c>
      <c r="M169" s="224">
        <f t="shared" si="60"/>
        <v>1.0914351849351078E-2</v>
      </c>
      <c r="N169" s="225">
        <f t="shared" si="61"/>
        <v>15.716666663065553</v>
      </c>
      <c r="O169" s="225"/>
      <c r="P169" s="225"/>
      <c r="Q169" s="228"/>
      <c r="R169" s="242"/>
      <c r="S169" s="249">
        <f t="shared" si="62"/>
        <v>1</v>
      </c>
      <c r="T169" s="242" t="str">
        <f t="shared" si="63"/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64"/>
        <v>https://d0f6bd738d7f1b3e5a7ca70fe4ff75f0.us-east-1.aws.found.io/app/kibana#/discover/Steve-Slow-Train-Analysis-(2080s-and-2083s)?_g=(refreshInterval:(display:Off,pause:!f,section:0,value:0),time:(from:'2017-12-20T06:57:43-0700',mode:absolute,to:'2017-12-20T09:25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9" s="247" t="str">
        <f>IF(AA169&lt;VLOOKUP(AG169,Variables!$AC$3:$AD$8,2,FALSE),"Y","N")</f>
        <v>N</v>
      </c>
      <c r="X169" s="247">
        <f t="shared" si="77"/>
        <v>1</v>
      </c>
      <c r="Y169" s="247">
        <f t="shared" si="70"/>
        <v>4.5499999999999999E-2</v>
      </c>
      <c r="Z169" s="247">
        <f t="shared" si="71"/>
        <v>5.8975</v>
      </c>
      <c r="AA169" s="247">
        <f t="shared" si="65"/>
        <v>5.8520000000000003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66"/>
        <v>811</v>
      </c>
      <c r="AE169" s="235" t="str">
        <f t="shared" si="67"/>
        <v>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 &amp; 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</v>
      </c>
      <c r="AF169" s="234" t="str">
        <f t="shared" si="68"/>
        <v>"C:\Program Files (x86)\AstroGrep\AstroGrep.exe" /e /r /s /spath="%USERPROFILE%\AppData\Local\Temp\OnboardLogs" /stypes="app*4054*20171220*" /stext=" 15:.+((SYSTEM_STATE.+slice.+state.+changed )|(ment ac)|(multiple cpu faults)|(system.+state.+changed )|(\[timeout)|(PRM\|1\|D)|(kpr)|(kdp)|(train st.+moving)|(\|gpps)|(penalty))"</v>
      </c>
      <c r="AG169" s="244" t="str">
        <f t="shared" si="69"/>
        <v>NW</v>
      </c>
      <c r="AH169" s="236" t="str">
        <f t="shared" si="72"/>
        <v>"%USERPROFILE%\Documents\GitHub\eaglep3\Utilities\RefineRTDCRunTimes.py" --tripid 811-20 --locoid 4054 --swversion DE.1.0.9.0 --startMP 204:455 --initTime 2017-12-20T07:57:43 --startdatetime 2017-12-20T08:09:17 --delay 69 --endMP 300:58975 --enddatetime 2017-12-20T08:25:00 --enforcementcount 0 &gt;&gt;%USERPROFILE%\Documents\GitHub\eaglep3-reporting\EC\2017-12-20-refined-times.txt</v>
      </c>
      <c r="AI169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{"issue":{"subject":"","project_id":79,"tracker_id":40,"status_id":1,"priority_id":2,"assigned_to_id":338,"start_date":"2017-12-20","description":"","custom_fields":[{"id":1,"name":"Subdivision","value":"NW"},{"id":4,"name":"Milepost","value":"5.8975"},{"id":17,"name":"Train ID","value":"811-20"},{"id":16,"name":"Locomotive ID","value":"4054"},{"id":130,"name":"Impact","value":""},{"id":150,"name":"Time of Event (Mountain Time)","value":"08:25:00"},{"id":151,"name":"Denver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74"/>
        <v>start /low /b %USERPROFILE%\Documents\GitHub\eaglep3\Utilities\DownloadLogsFromS3.py --loco 4054 --day 2017-12-20</v>
      </c>
      <c r="AN169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15:25:00"},{"id":29,"name":"Sharepoint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76"/>
        <v>https://d0f6bd738d7f1b3e5a7ca70fe4ff75f0.us-east-1.aws.found.io/app/kibana#/discover/Steve-Slow-Train-Analysis-(2080s-and-2083s)?_g=(refreshInterval:(display:Off,pause:!f,section:0,value:0),time:(from:'2017-12-20T06:57:43-0700',mode:absolute,to:'2017-12-20T09:25:00-0700'))&amp;_a=(columns:!('Message%20ID',Summary),filters:!(),index:'emp_*',interval:auto,query:(query_string:(analyze_wildcard:!t,query:'%22rtdc.l.rtdc.4054%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3" customFormat="1" x14ac:dyDescent="0.25">
      <c r="A170" s="229" t="s">
        <v>733</v>
      </c>
      <c r="B170" s="225">
        <v>4053</v>
      </c>
      <c r="C170" s="227" t="s">
        <v>192</v>
      </c>
      <c r="D170" s="227" t="s">
        <v>1061</v>
      </c>
      <c r="E170" s="226">
        <v>43089.352523148147</v>
      </c>
      <c r="F170" s="226">
        <v>43089.362500000003</v>
      </c>
      <c r="G170" s="225">
        <v>49</v>
      </c>
      <c r="H170" s="227" t="s">
        <v>639</v>
      </c>
      <c r="I170" s="226">
        <v>43089.371180555558</v>
      </c>
      <c r="J170" s="225">
        <v>0</v>
      </c>
      <c r="K170" s="237" t="str">
        <f t="shared" si="59"/>
        <v>4053/4054</v>
      </c>
      <c r="L170" s="245" t="str">
        <f>VLOOKUP(A170,'Trips&amp;Operators'!$C$1:$G$99911,5,FALSE)</f>
        <v>GEBRETEKLE DAGNEW</v>
      </c>
      <c r="M170" s="224">
        <f t="shared" si="60"/>
        <v>8.6805555547471158E-3</v>
      </c>
      <c r="N170" s="225">
        <f t="shared" si="61"/>
        <v>12.499999998835847</v>
      </c>
      <c r="O170" s="225"/>
      <c r="P170" s="225"/>
      <c r="Q170" s="228"/>
      <c r="R170" s="242"/>
      <c r="S170" s="249">
        <f t="shared" si="62"/>
        <v>1</v>
      </c>
      <c r="T170" s="242" t="str">
        <f t="shared" si="63"/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64"/>
        <v>https://d0f6bd738d7f1b3e5a7ca70fe4ff75f0.us-east-1.aws.found.io/app/kibana#/discover/Steve-Slow-Train-Analysis-(2080s-and-2083s)?_g=(refreshInterval:(display:Off,pause:!f,section:0,value:0),time:(from:'2017-12-20T07:27:38-0700',mode:absolute,to:'2017-12-20T09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0" s="247" t="str">
        <f>IF(AA170&lt;VLOOKUP(AG170,Variables!$AC$3:$AD$8,2,FALSE),"Y","N")</f>
        <v>N</v>
      </c>
      <c r="X170" s="247">
        <f t="shared" si="77"/>
        <v>1</v>
      </c>
      <c r="Y170" s="247">
        <f t="shared" si="70"/>
        <v>5.8658000000000001</v>
      </c>
      <c r="Z170" s="247">
        <f t="shared" si="71"/>
        <v>1.4800000000000001E-2</v>
      </c>
      <c r="AA170" s="247">
        <f t="shared" si="65"/>
        <v>5.851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66"/>
        <v>812</v>
      </c>
      <c r="AE170" s="235" t="str">
        <f t="shared" si="67"/>
        <v>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 &amp; 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</v>
      </c>
      <c r="AF170" s="234" t="str">
        <f t="shared" si="68"/>
        <v>"C:\Program Files (x86)\AstroGrep\AstroGrep.exe" /e /r /s /spath="%USERPROFILE%\AppData\Local\Temp\OnboardLogs" /stypes="app*4053*20171220*" /stext=" 15:.+((SYSTEM_STATE.+slice.+state.+changed )|(ment ac)|(multiple cpu faults)|(system.+state.+changed )|(\[timeout)|(PRM\|1\|D)|(kpr)|(kdp)|(train st.+moving)|(\|gpps)|(penalty))"</v>
      </c>
      <c r="AG170" s="244" t="str">
        <f t="shared" si="69"/>
        <v>NW</v>
      </c>
      <c r="AH170" s="236" t="str">
        <f t="shared" si="72"/>
        <v>"%USERPROFILE%\Documents\GitHub\eaglep3\Utilities\RefineRTDCRunTimes.py" --tripid 812-20 --locoid 4053 --swversion DE.1.0.9.0 --startMP 300:58658 --initTime 2017-12-20T08:27:38 --startdatetime 2017-12-20T08:42:00 --delay 49 --endMP 204:148 --enddatetime 2017-12-20T08:54:30 --enforcementcount 0 &gt;&gt;%USERPROFILE%\Documents\GitHub\eaglep3-reporting\EC\2017-12-20-refined-times.txt</v>
      </c>
      <c r="AI170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{"issue":{"subject":"","project_id":79,"tracker_id":40,"status_id":1,"priority_id":2,"assigned_to_id":338,"start_date":"2017-12-20","description":"","custom_fields":[{"id":1,"name":"Subdivision","value":"NW"},{"id":4,"name":"Milepost","value":"0.0148"},{"id":17,"name":"Train ID","value":"812-20"},{"id":16,"name":"Locomotive ID","value":"4053"},{"id":130,"name":"Impact","value":""},{"id":150,"name":"Time of Event (Mountain Time)","value":"08:54:30"},{"id":151,"name":"Denver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1"/>
      <c r="AL170" s="231"/>
      <c r="AM170" s="240" t="str">
        <f t="shared" si="74"/>
        <v>start /low /b %USERPROFILE%\Documents\GitHub\eaglep3\Utilities\DownloadLogsFromS3.py --loco 4053 --day 2017-12-20</v>
      </c>
      <c r="AN170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15:54:30"},{"id":29,"name":"Sharepoint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76"/>
        <v>https://d0f6bd738d7f1b3e5a7ca70fe4ff75f0.us-east-1.aws.found.io/app/kibana#/discover/Steve-Slow-Train-Analysis-(2080s-and-2083s)?_g=(refreshInterval:(display:Off,pause:!f,section:0,value:0),time:(from:'2017-12-20T07:27:38-0700',mode:absolute,to:'2017-12-20T09:54:30-0700'))&amp;_a=(columns:!('Message%20ID',Summary),filters:!(),index:'emp_*',interval:auto,query:(query_string:(analyze_wildcard:!t,query:'%22rtdc.l.rtdc.4053%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29" t="s">
        <v>739</v>
      </c>
      <c r="B171" s="225">
        <v>4054</v>
      </c>
      <c r="C171" s="227" t="s">
        <v>192</v>
      </c>
      <c r="D171" s="227" t="s">
        <v>1062</v>
      </c>
      <c r="E171" s="226">
        <v>43089.374930555554</v>
      </c>
      <c r="F171" s="226">
        <v>43089.381469907406</v>
      </c>
      <c r="G171" s="225">
        <v>94</v>
      </c>
      <c r="H171" s="227" t="s">
        <v>1063</v>
      </c>
      <c r="I171" s="226">
        <v>43089.391342592593</v>
      </c>
      <c r="J171" s="225">
        <v>0</v>
      </c>
      <c r="K171" s="237" t="str">
        <f t="shared" si="59"/>
        <v>4053/4054</v>
      </c>
      <c r="L171" s="245" t="str">
        <f>VLOOKUP(A171,'Trips&amp;Operators'!$C$1:$G$99911,5,FALSE)</f>
        <v>GEBRETEKLE DAGNEW</v>
      </c>
      <c r="M171" s="224">
        <f t="shared" si="60"/>
        <v>9.8726851865649223E-3</v>
      </c>
      <c r="N171" s="225">
        <f t="shared" si="61"/>
        <v>14.216666668653488</v>
      </c>
      <c r="O171" s="225"/>
      <c r="P171" s="225"/>
      <c r="Q171" s="228"/>
      <c r="R171" s="242"/>
      <c r="S171" s="249">
        <f t="shared" si="62"/>
        <v>1</v>
      </c>
      <c r="T171" s="242" t="str">
        <f t="shared" si="63"/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64"/>
        <v>https://d0f6bd738d7f1b3e5a7ca70fe4ff75f0.us-east-1.aws.found.io/app/kibana#/discover/Steve-Slow-Train-Analysis-(2080s-and-2083s)?_g=(refreshInterval:(display:Off,pause:!f,section:0,value:0),time:(from:'2017-12-20T07:59:54-0700',mode:absolute,to:'2017-12-20T10:23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1" s="247" t="str">
        <f>IF(AA171&lt;VLOOKUP(AG171,Variables!$AC$3:$AD$8,2,FALSE),"Y","N")</f>
        <v>N</v>
      </c>
      <c r="X171" s="247">
        <f t="shared" si="77"/>
        <v>1</v>
      </c>
      <c r="Y171" s="247">
        <f t="shared" si="70"/>
        <v>4.2099999999999999E-2</v>
      </c>
      <c r="Z171" s="247">
        <f t="shared" si="71"/>
        <v>5.8968999999999996</v>
      </c>
      <c r="AA171" s="247">
        <f t="shared" si="65"/>
        <v>5.8548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66"/>
        <v>813</v>
      </c>
      <c r="AE171" s="235" t="str">
        <f t="shared" si="67"/>
        <v>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 &amp; 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</v>
      </c>
      <c r="AF171" s="234" t="str">
        <f t="shared" si="68"/>
        <v>"C:\Program Files (x86)\AstroGrep\AstroGrep.exe" /e /r /s /spath="%USERPROFILE%\AppData\Local\Temp\OnboardLogs" /stypes="app*4054*20171220*" /stext=" 16:.+((SYSTEM_STATE.+slice.+state.+changed )|(ment ac)|(multiple cpu faults)|(system.+state.+changed )|(\[timeout)|(PRM\|1\|D)|(kpr)|(kdp)|(train st.+moving)|(\|gpps)|(penalty))"</v>
      </c>
      <c r="AG171" s="244" t="str">
        <f t="shared" si="69"/>
        <v>NW</v>
      </c>
      <c r="AH171" s="236" t="str">
        <f t="shared" si="72"/>
        <v>"%USERPROFILE%\Documents\GitHub\eaglep3\Utilities\RefineRTDCRunTimes.py" --tripid 813-20 --locoid 4054 --swversion DE.1.0.9.0 --startMP 204:421 --initTime 2017-12-20T08:59:54 --startdatetime 2017-12-20T09:09:19 --delay 94 --endMP 300:58969 --enddatetime 2017-12-20T09:23:32 --enforcementcount 0 &gt;&gt;%USERPROFILE%\Documents\GitHub\eaglep3-reporting\EC\2017-12-20-refined-times.txt</v>
      </c>
      <c r="AI171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{"issue":{"subject":"","project_id":79,"tracker_id":40,"status_id":1,"priority_id":2,"assigned_to_id":338,"start_date":"2017-12-20","description":"","custom_fields":[{"id":1,"name":"Subdivision","value":"NW"},{"id":4,"name":"Milepost","value":"5.8969"},{"id":17,"name":"Train ID","value":"813-20"},{"id":16,"name":"Locomotive ID","value":"4054"},{"id":130,"name":"Impact","value":""},{"id":150,"name":"Time of Event (Mountain Time)","value":"09:23:32"},{"id":151,"name":"Denver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3"/>
      <c r="AK171" s="231"/>
      <c r="AL171" s="231"/>
      <c r="AM171" s="240" t="str">
        <f t="shared" si="74"/>
        <v>start /low /b %USERPROFILE%\Documents\GitHub\eaglep3\Utilities\DownloadLogsFromS3.py --loco 4054 --day 2017-12-20</v>
      </c>
      <c r="AN171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16:23:32"},{"id":29,"name":"Sharepoint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76"/>
        <v>https://d0f6bd738d7f1b3e5a7ca70fe4ff75f0.us-east-1.aws.found.io/app/kibana#/discover/Steve-Slow-Train-Analysis-(2080s-and-2083s)?_g=(refreshInterval:(display:Off,pause:!f,section:0,value:0),time:(from:'2017-12-20T07:59:54-0700',mode:absolute,to:'2017-12-20T10:23:32-0700'))&amp;_a=(columns:!('Message%20ID',Summary),filters:!(),index:'emp_*',interval:auto,query:(query_string:(analyze_wildcard:!t,query:'%22rtdc.l.rtdc.4054%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25">
      <c r="A172" s="229" t="s">
        <v>752</v>
      </c>
      <c r="B172" s="225">
        <v>4053</v>
      </c>
      <c r="C172" s="227" t="s">
        <v>192</v>
      </c>
      <c r="D172" s="227" t="s">
        <v>1064</v>
      </c>
      <c r="E172" s="226">
        <v>43089.393159722225</v>
      </c>
      <c r="F172" s="226">
        <v>43089.404166666667</v>
      </c>
      <c r="G172" s="225">
        <v>66</v>
      </c>
      <c r="H172" s="227" t="s">
        <v>563</v>
      </c>
      <c r="I172" s="226">
        <v>43089.412986111114</v>
      </c>
      <c r="J172" s="225">
        <v>0</v>
      </c>
      <c r="K172" s="237" t="str">
        <f t="shared" si="59"/>
        <v>4053/4054</v>
      </c>
      <c r="L172" s="245" t="str">
        <f>VLOOKUP(A172,'Trips&amp;Operators'!$C$1:$G$99911,5,FALSE)</f>
        <v>GEBRETEKLE DAGNEW</v>
      </c>
      <c r="M172" s="224">
        <f t="shared" si="60"/>
        <v>8.819444446999114E-3</v>
      </c>
      <c r="N172" s="225">
        <f t="shared" si="61"/>
        <v>12.700000003678724</v>
      </c>
      <c r="O172" s="225"/>
      <c r="P172" s="225"/>
      <c r="Q172" s="228"/>
      <c r="R172" s="242"/>
      <c r="S172" s="249">
        <f t="shared" si="62"/>
        <v>1</v>
      </c>
      <c r="T172" s="242" t="str">
        <f t="shared" si="63"/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64"/>
        <v>https://d0f6bd738d7f1b3e5a7ca70fe4ff75f0.us-east-1.aws.found.io/app/kibana#/discover/Steve-Slow-Train-Analysis-(2080s-and-2083s)?_g=(refreshInterval:(display:Off,pause:!f,section:0,value:0),time:(from:'2017-12-20T08:26:09-0700',mode:absolute,to:'2017-12-20T10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2" s="247" t="str">
        <f>IF(AA172&lt;VLOOKUP(AG172,Variables!$AC$3:$AD$8,2,FALSE),"Y","N")</f>
        <v>N</v>
      </c>
      <c r="X172" s="247">
        <f t="shared" si="77"/>
        <v>1</v>
      </c>
      <c r="Y172" s="247">
        <f t="shared" si="70"/>
        <v>5.8648999999999996</v>
      </c>
      <c r="Z172" s="247">
        <f t="shared" si="71"/>
        <v>1.35E-2</v>
      </c>
      <c r="AA172" s="247">
        <f t="shared" si="65"/>
        <v>5.8513999999999999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66"/>
        <v>814</v>
      </c>
      <c r="AE172" s="235" t="str">
        <f t="shared" si="67"/>
        <v>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 &amp; 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</v>
      </c>
      <c r="AF172" s="234" t="str">
        <f t="shared" si="68"/>
        <v>"C:\Program Files (x86)\AstroGrep\AstroGrep.exe" /e /r /s /spath="%USERPROFILE%\AppData\Local\Temp\OnboardLogs" /stypes="app*4053*20171220*" /stext=" 16:.+((SYSTEM_STATE.+slice.+state.+changed )|(ment ac)|(multiple cpu faults)|(system.+state.+changed )|(\[timeout)|(PRM\|1\|D)|(kpr)|(kdp)|(train st.+moving)|(\|gpps)|(penalty))"</v>
      </c>
      <c r="AG172" s="244" t="str">
        <f t="shared" si="69"/>
        <v>NW</v>
      </c>
      <c r="AH172" s="236" t="str">
        <f t="shared" si="72"/>
        <v>"%USERPROFILE%\Documents\GitHub\eaglep3\Utilities\RefineRTDCRunTimes.py" --tripid 814-20 --locoid 4053 --swversion DE.1.0.9.0 --startMP 300:58649 --initTime 2017-12-20T09:26:09 --startdatetime 2017-12-20T09:42:00 --delay 66 --endMP 204:135 --enddatetime 2017-12-20T09:54:42 --enforcementcount 0 &gt;&gt;%USERPROFILE%\Documents\GitHub\eaglep3-reporting\EC\2017-12-20-refined-times.txt</v>
      </c>
      <c r="AI172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{"issue":{"subject":"","project_id":79,"tracker_id":40,"status_id":1,"priority_id":2,"assigned_to_id":338,"start_date":"2017-12-20","description":"","custom_fields":[{"id":1,"name":"Subdivision","value":"NW"},{"id":4,"name":"Milepost","value":"0.0135"},{"id":17,"name":"Train ID","value":"814-20"},{"id":16,"name":"Locomotive ID","value":"4053"},{"id":130,"name":"Impact","value":""},{"id":150,"name":"Time of Event (Mountain Time)","value":"09:54:42"},{"id":151,"name":"Denver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74"/>
        <v>start /low /b %USERPROFILE%\Documents\GitHub\eaglep3\Utilities\DownloadLogsFromS3.py --loco 4053 --day 2017-12-20</v>
      </c>
      <c r="AN172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16:54:42"},{"id":29,"name":"Sharepoint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76"/>
        <v>https://d0f6bd738d7f1b3e5a7ca70fe4ff75f0.us-east-1.aws.found.io/app/kibana#/discover/Steve-Slow-Train-Analysis-(2080s-and-2083s)?_g=(refreshInterval:(display:Off,pause:!f,section:0,value:0),time:(from:'2017-12-20T08:26:09-0700',mode:absolute,to:'2017-12-20T10:54:42-0700'))&amp;_a=(columns:!('Message%20ID',Summary),filters:!(),index:'emp_*',interval:auto,query:(query_string:(analyze_wildcard:!t,query:'%22rtdc.l.rtdc.4053%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25">
      <c r="A173" s="229" t="s">
        <v>757</v>
      </c>
      <c r="B173" s="225">
        <v>4054</v>
      </c>
      <c r="C173" s="227" t="s">
        <v>192</v>
      </c>
      <c r="D173" s="227" t="s">
        <v>1065</v>
      </c>
      <c r="E173" s="226">
        <v>43089.415324074071</v>
      </c>
      <c r="F173" s="226">
        <v>43089.423125000001</v>
      </c>
      <c r="G173" s="225">
        <v>52</v>
      </c>
      <c r="H173" s="227" t="s">
        <v>637</v>
      </c>
      <c r="I173" s="226">
        <v>43089.432997685188</v>
      </c>
      <c r="J173" s="225">
        <v>0</v>
      </c>
      <c r="K173" s="237" t="str">
        <f t="shared" si="59"/>
        <v>4053/4054</v>
      </c>
      <c r="L173" s="245" t="str">
        <f>VLOOKUP(A173,'Trips&amp;Operators'!$C$1:$G$99911,5,FALSE)</f>
        <v>GEBRETEKLE DAGNEW</v>
      </c>
      <c r="M173" s="224">
        <f t="shared" si="60"/>
        <v>9.8726851865649223E-3</v>
      </c>
      <c r="N173" s="225">
        <f t="shared" ref="N173:N204" si="78">24*60*SUM($M173:$M173)</f>
        <v>14.216666668653488</v>
      </c>
      <c r="O173" s="225"/>
      <c r="P173" s="225"/>
      <c r="Q173" s="228"/>
      <c r="R173" s="242"/>
      <c r="S173" s="249">
        <f t="shared" ref="S173:S204" si="79">1/IF(AG173="EC",12,1)*SUM(U173:U173)</f>
        <v>1</v>
      </c>
      <c r="T173" s="242" t="str">
        <f t="shared" si="63"/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64"/>
        <v>https://d0f6bd738d7f1b3e5a7ca70fe4ff75f0.us-east-1.aws.found.io/app/kibana#/discover/Steve-Slow-Train-Analysis-(2080s-and-2083s)?_g=(refreshInterval:(display:Off,pause:!f,section:0,value:0),time:(from:'2017-12-20T08:58:04-0700',mode:absolute,to:'2017-12-20T11:23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3" s="247" t="str">
        <f>IF(AA173&lt;VLOOKUP(AG173,Variables!$AC$3:$AD$8,2,FALSE),"Y","N")</f>
        <v>N</v>
      </c>
      <c r="X173" s="247">
        <f t="shared" si="77"/>
        <v>1</v>
      </c>
      <c r="Y173" s="247">
        <f t="shared" si="70"/>
        <v>4.3200000000000002E-2</v>
      </c>
      <c r="Z173" s="247">
        <f t="shared" si="71"/>
        <v>5.8971</v>
      </c>
      <c r="AA173" s="247">
        <f t="shared" si="65"/>
        <v>5.8539000000000003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66"/>
        <v>815</v>
      </c>
      <c r="AE173" s="235" t="str">
        <f t="shared" si="67"/>
        <v>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 &amp; 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</v>
      </c>
      <c r="AF173" s="234" t="str">
        <f t="shared" si="68"/>
        <v>"C:\Program Files (x86)\AstroGrep\AstroGrep.exe" /e /r /s /spath="%USERPROFILE%\AppData\Local\Temp\OnboardLogs" /stypes="app*4054*20171220*" /stext=" 17:.+((SYSTEM_STATE.+slice.+state.+changed )|(ment ac)|(multiple cpu faults)|(system.+state.+changed )|(\[timeout)|(PRM\|1\|D)|(kpr)|(kdp)|(train st.+moving)|(\|gpps)|(penalty))"</v>
      </c>
      <c r="AG173" s="244" t="str">
        <f t="shared" si="69"/>
        <v>NW</v>
      </c>
      <c r="AH173" s="236" t="str">
        <f t="shared" si="72"/>
        <v>"%USERPROFILE%\Documents\GitHub\eaglep3\Utilities\RefineRTDCRunTimes.py" --tripid 815-20 --locoid 4054 --swversion DE.1.0.9.0 --startMP 204:432 --initTime 2017-12-20T09:58:04 --startdatetime 2017-12-20T10:09:18 --delay 52 --endMP 300:58971 --enddatetime 2017-12-20T10:23:31 --enforcementcount 0 &gt;&gt;%USERPROFILE%\Documents\GitHub\eaglep3-reporting\EC\2017-12-20-refined-times.txt</v>
      </c>
      <c r="AI173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{"issue":{"subject":"","project_id":79,"tracker_id":40,"status_id":1,"priority_id":2,"assigned_to_id":338,"start_date":"2017-12-20","description":"","custom_fields":[{"id":1,"name":"Subdivision","value":"NW"},{"id":4,"name":"Milepost","value":"5.8971"},{"id":17,"name":"Train ID","value":"815-20"},{"id":16,"name":"Locomotive ID","value":"4054"},{"id":130,"name":"Impact","value":""},{"id":150,"name":"Time of Event (Mountain Time)","value":"10:23:31"},{"id":151,"name":"Denver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74"/>
        <v>start /low /b %USERPROFILE%\Documents\GitHub\eaglep3\Utilities\DownloadLogsFromS3.py --loco 4054 --day 2017-12-20</v>
      </c>
      <c r="AN173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17:23:31"},{"id":29,"name":"Sharepoint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76"/>
        <v>https://d0f6bd738d7f1b3e5a7ca70fe4ff75f0.us-east-1.aws.found.io/app/kibana#/discover/Steve-Slow-Train-Analysis-(2080s-and-2083s)?_g=(refreshInterval:(display:Off,pause:!f,section:0,value:0),time:(from:'2017-12-20T08:58:04-0700',mode:absolute,to:'2017-12-20T11:23:31-0700'))&amp;_a=(columns:!('Message%20ID',Summary),filters:!(),index:'emp_*',interval:auto,query:(query_string:(analyze_wildcard:!t,query:'%22rtdc.l.rtdc.4054%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29" t="s">
        <v>761</v>
      </c>
      <c r="B174" s="225">
        <v>4053</v>
      </c>
      <c r="C174" s="227" t="s">
        <v>192</v>
      </c>
      <c r="D174" s="227" t="s">
        <v>565</v>
      </c>
      <c r="E174" s="226">
        <v>43089.434224537035</v>
      </c>
      <c r="F174" s="226">
        <v>43089.445833333331</v>
      </c>
      <c r="G174" s="225">
        <v>59</v>
      </c>
      <c r="H174" s="227" t="s">
        <v>563</v>
      </c>
      <c r="I174" s="226">
        <v>43089.454548611109</v>
      </c>
      <c r="J174" s="225">
        <v>0</v>
      </c>
      <c r="K174" s="237" t="str">
        <f t="shared" si="59"/>
        <v>4053/4054</v>
      </c>
      <c r="L174" s="245" t="str">
        <f>VLOOKUP(A174,'Trips&amp;Operators'!$C$1:$G$99911,5,FALSE)</f>
        <v>GEBRETEKLE DAGNEW</v>
      </c>
      <c r="M174" s="224">
        <f t="shared" si="60"/>
        <v>8.7152777778101154E-3</v>
      </c>
      <c r="N174" s="225">
        <f t="shared" si="78"/>
        <v>12.550000000046566</v>
      </c>
      <c r="O174" s="225"/>
      <c r="P174" s="225"/>
      <c r="Q174" s="228"/>
      <c r="R174" s="242"/>
      <c r="S174" s="249">
        <f t="shared" si="79"/>
        <v>1</v>
      </c>
      <c r="T174" s="242" t="str">
        <f t="shared" si="63"/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64"/>
        <v>https://d0f6bd738d7f1b3e5a7ca70fe4ff75f0.us-east-1.aws.found.io/app/kibana#/discover/Steve-Slow-Train-Analysis-(2080s-and-2083s)?_g=(refreshInterval:(display:Off,pause:!f,section:0,value:0),time:(from:'2017-12-20T09:25:17-0700',mode:absolute,to:'2017-12-20T11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4" s="247" t="str">
        <f>IF(AA174&lt;VLOOKUP(AG174,Variables!$AC$3:$AD$8,2,FALSE),"Y","N")</f>
        <v>N</v>
      </c>
      <c r="X174" s="247">
        <f t="shared" si="77"/>
        <v>1</v>
      </c>
      <c r="Y174" s="247">
        <f t="shared" si="70"/>
        <v>5.8655999999999997</v>
      </c>
      <c r="Z174" s="247">
        <f t="shared" si="71"/>
        <v>1.35E-2</v>
      </c>
      <c r="AA174" s="247">
        <f t="shared" si="65"/>
        <v>5.8521000000000001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66"/>
        <v>816</v>
      </c>
      <c r="AE174" s="235" t="str">
        <f t="shared" si="67"/>
        <v>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 &amp; 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</v>
      </c>
      <c r="AF174" s="234" t="str">
        <f t="shared" si="68"/>
        <v>"C:\Program Files (x86)\AstroGrep\AstroGrep.exe" /e /r /s /spath="%USERPROFILE%\AppData\Local\Temp\OnboardLogs" /stypes="app*4053*20171220*" /stext=" 17:.+((SYSTEM_STATE.+slice.+state.+changed )|(ment ac)|(multiple cpu faults)|(system.+state.+changed )|(\[timeout)|(PRM\|1\|D)|(kpr)|(kdp)|(train st.+moving)|(\|gpps)|(penalty))"</v>
      </c>
      <c r="AG174" s="244" t="str">
        <f t="shared" si="69"/>
        <v>NW</v>
      </c>
      <c r="AH174" s="236" t="str">
        <f t="shared" si="72"/>
        <v>"%USERPROFILE%\Documents\GitHub\eaglep3\Utilities\RefineRTDCRunTimes.py" --tripid 816-20 --locoid 4053 --swversion DE.1.0.9.0 --startMP 300:58656 --initTime 2017-12-20T10:25:17 --startdatetime 2017-12-20T10:42:00 --delay 59 --endMP 204:135 --enddatetime 2017-12-20T10:54:33 --enforcementcount 0 &gt;&gt;%USERPROFILE%\Documents\GitHub\eaglep3-reporting\EC\2017-12-20-refined-times.txt</v>
      </c>
      <c r="AI174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{"issue":{"subject":"","project_id":79,"tracker_id":40,"status_id":1,"priority_id":2,"assigned_to_id":338,"start_date":"2017-12-20","description":"","custom_fields":[{"id":1,"name":"Subdivision","value":"NW"},{"id":4,"name":"Milepost","value":"0.0135"},{"id":17,"name":"Train ID","value":"816-20"},{"id":16,"name":"Locomotive ID","value":"4053"},{"id":130,"name":"Impact","value":""},{"id":150,"name":"Time of Event (Mountain Time)","value":"10:54:33"},{"id":151,"name":"Denver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74"/>
        <v>start /low /b %USERPROFILE%\Documents\GitHub\eaglep3\Utilities\DownloadLogsFromS3.py --loco 4053 --day 2017-12-20</v>
      </c>
      <c r="AN174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17:54:33"},{"id":29,"name":"Sharepoint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76"/>
        <v>https://d0f6bd738d7f1b3e5a7ca70fe4ff75f0.us-east-1.aws.found.io/app/kibana#/discover/Steve-Slow-Train-Analysis-(2080s-and-2083s)?_g=(refreshInterval:(display:Off,pause:!f,section:0,value:0),time:(from:'2017-12-20T09:25:17-0700',mode:absolute,to:'2017-12-20T11:54:33-0700'))&amp;_a=(columns:!('Message%20ID',Summary),filters:!(),index:'emp_*',interval:auto,query:(query_string:(analyze_wildcard:!t,query:'%22rtdc.l.rtdc.4053%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229" t="s">
        <v>768</v>
      </c>
      <c r="B175" s="225">
        <v>4054</v>
      </c>
      <c r="C175" s="227" t="s">
        <v>192</v>
      </c>
      <c r="D175" s="227" t="s">
        <v>544</v>
      </c>
      <c r="E175" s="226">
        <v>43089.458784722221</v>
      </c>
      <c r="F175" s="226">
        <v>43089.464826388888</v>
      </c>
      <c r="G175" s="225">
        <v>52</v>
      </c>
      <c r="H175" s="227" t="s">
        <v>637</v>
      </c>
      <c r="I175" s="226">
        <v>43089.474456018521</v>
      </c>
      <c r="J175" s="225">
        <v>0</v>
      </c>
      <c r="K175" s="237" t="str">
        <f t="shared" si="59"/>
        <v>4053/4054</v>
      </c>
      <c r="L175" s="245" t="str">
        <f>VLOOKUP(A175,'Trips&amp;Operators'!$C$1:$G$99911,5,FALSE)</f>
        <v>GEBRETEKLE DAGNEW</v>
      </c>
      <c r="M175" s="224">
        <f t="shared" si="60"/>
        <v>9.6296296323998831E-3</v>
      </c>
      <c r="N175" s="225">
        <f t="shared" si="78"/>
        <v>13.866666670655832</v>
      </c>
      <c r="O175" s="225"/>
      <c r="P175" s="225"/>
      <c r="Q175" s="228"/>
      <c r="R175" s="242"/>
      <c r="S175" s="249">
        <f t="shared" si="79"/>
        <v>1</v>
      </c>
      <c r="T175" s="242" t="str">
        <f t="shared" si="63"/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64"/>
        <v>https://d0f6bd738d7f1b3e5a7ca70fe4ff75f0.us-east-1.aws.found.io/app/kibana#/discover/Steve-Slow-Train-Analysis-(2080s-and-2083s)?_g=(refreshInterval:(display:Off,pause:!f,section:0,value:0),time:(from:'2017-12-20T10:00:39-0700',mode:absolute,to:'2017-12-20T12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5" s="247" t="str">
        <f>IF(AA175&lt;VLOOKUP(AG175,Variables!$AC$3:$AD$8,2,FALSE),"Y","N")</f>
        <v>N</v>
      </c>
      <c r="X175" s="247">
        <f t="shared" si="77"/>
        <v>1</v>
      </c>
      <c r="Y175" s="247">
        <f t="shared" ref="Y175:Y184" si="80">RIGHT(D175,LEN(D175)-4)/10000</f>
        <v>4.3700000000000003E-2</v>
      </c>
      <c r="Z175" s="247">
        <f t="shared" ref="Z175:Z184" si="81">RIGHT(H175,LEN(H175)-4)/10000</f>
        <v>5.8971</v>
      </c>
      <c r="AA175" s="247">
        <f t="shared" si="65"/>
        <v>5.8533999999999997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66"/>
        <v>817</v>
      </c>
      <c r="AE175" s="235" t="str">
        <f t="shared" si="67"/>
        <v>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 &amp; 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</v>
      </c>
      <c r="AF175" s="234" t="str">
        <f t="shared" si="68"/>
        <v>"C:\Program Files (x86)\AstroGrep\AstroGrep.exe" /e /r /s /spath="%USERPROFILE%\AppData\Local\Temp\OnboardLogs" /stypes="app*4054*20171220*" /stext=" 18:.+((SYSTEM_STATE.+slice.+state.+changed )|(ment ac)|(multiple cpu faults)|(system.+state.+changed )|(\[timeout)|(PRM\|1\|D)|(kpr)|(kdp)|(train st.+moving)|(\|gpps)|(penalty))"</v>
      </c>
      <c r="AG175" s="244" t="str">
        <f t="shared" si="69"/>
        <v>NW</v>
      </c>
      <c r="AH175" s="236" t="str">
        <f t="shared" si="72"/>
        <v>"%USERPROFILE%\Documents\GitHub\eaglep3\Utilities\RefineRTDCRunTimes.py" --tripid 817-20 --locoid 4054 --swversion DE.1.0.9.0 --startMP 204:437 --initTime 2017-12-20T11:00:39 --startdatetime 2017-12-20T11:09:21 --delay 52 --endMP 300:58971 --enddatetime 2017-12-20T11:23:13 --enforcementcount 0 &gt;&gt;%USERPROFILE%\Documents\GitHub\eaglep3-reporting\EC\2017-12-20-refined-times.txt</v>
      </c>
      <c r="AI175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{"issue":{"subject":"","project_id":79,"tracker_id":40,"status_id":1,"priority_id":2,"assigned_to_id":338,"start_date":"2017-12-20","description":"","custom_fields":[{"id":1,"name":"Subdivision","value":"NW"},{"id":4,"name":"Milepost","value":"5.8971"},{"id":17,"name":"Train ID","value":"817-20"},{"id":16,"name":"Locomotive ID","value":"4054"},{"id":130,"name":"Impact","value":""},{"id":150,"name":"Time of Event (Mountain Time)","value":"11:23:13"},{"id":151,"name":"Denver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3"/>
      <c r="AK175" s="231"/>
      <c r="AL175" s="231"/>
      <c r="AM175" s="240" t="str">
        <f t="shared" si="74"/>
        <v>start /low /b %USERPROFILE%\Documents\GitHub\eaglep3\Utilities\DownloadLogsFromS3.py --loco 4054 --day 2017-12-20</v>
      </c>
      <c r="AN175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18:23:13"},{"id":29,"name":"Sharepoint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76"/>
        <v>https://d0f6bd738d7f1b3e5a7ca70fe4ff75f0.us-east-1.aws.found.io/app/kibana#/discover/Steve-Slow-Train-Analysis-(2080s-and-2083s)?_g=(refreshInterval:(display:Off,pause:!f,section:0,value:0),time:(from:'2017-12-20T10:00:39-0700',mode:absolute,to:'2017-12-20T12:23:13-0700'))&amp;_a=(columns:!('Message%20ID',Summary),filters:!(),index:'emp_*',interval:auto,query:(query_string:(analyze_wildcard:!t,query:'%22rtdc.l.rtdc.4054%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25">
      <c r="A176" s="229" t="s">
        <v>772</v>
      </c>
      <c r="B176" s="225">
        <v>4053</v>
      </c>
      <c r="C176" s="227" t="s">
        <v>192</v>
      </c>
      <c r="D176" s="227" t="s">
        <v>1053</v>
      </c>
      <c r="E176" s="226">
        <v>43089.475787037038</v>
      </c>
      <c r="F176" s="226">
        <v>43089.487500000003</v>
      </c>
      <c r="G176" s="225">
        <v>55</v>
      </c>
      <c r="H176" s="227" t="s">
        <v>566</v>
      </c>
      <c r="I176" s="226">
        <v>43089.497199074074</v>
      </c>
      <c r="J176" s="225">
        <v>0</v>
      </c>
      <c r="K176" s="237" t="str">
        <f t="shared" si="59"/>
        <v>4053/4054</v>
      </c>
      <c r="L176" s="245" t="str">
        <f>VLOOKUP(A176,'Trips&amp;Operators'!$C$1:$G$99911,5,FALSE)</f>
        <v>GEBRETEKLE DAGNEW</v>
      </c>
      <c r="M176" s="224">
        <f t="shared" si="60"/>
        <v>9.6990740712499246E-3</v>
      </c>
      <c r="N176" s="225">
        <f t="shared" si="78"/>
        <v>13.966666662599891</v>
      </c>
      <c r="O176" s="225"/>
      <c r="P176" s="225"/>
      <c r="Q176" s="228"/>
      <c r="R176" s="242"/>
      <c r="S176" s="249">
        <f t="shared" si="79"/>
        <v>1</v>
      </c>
      <c r="T176" s="242" t="str">
        <f t="shared" si="63"/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 t="shared" si="64"/>
        <v>https://d0f6bd738d7f1b3e5a7ca70fe4ff75f0.us-east-1.aws.found.io/app/kibana#/discover/Steve-Slow-Train-Analysis-(2080s-and-2083s)?_g=(refreshInterval:(display:Off,pause:!f,section:0,value:0),time:(from:'2017-12-20T10:25:08-0700',mode:absolute,to:'2017-12-20T12:55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6" s="247" t="str">
        <f>IF(AA176&lt;VLOOKUP(AG176,Variables!$AC$3:$AD$8,2,FALSE),"Y","N")</f>
        <v>N</v>
      </c>
      <c r="X176" s="247">
        <f t="shared" si="77"/>
        <v>1</v>
      </c>
      <c r="Y176" s="247">
        <f t="shared" si="80"/>
        <v>5.8654999999999999</v>
      </c>
      <c r="Z176" s="247">
        <f t="shared" si="81"/>
        <v>1.3299999999999999E-2</v>
      </c>
      <c r="AA176" s="247">
        <f t="shared" si="65"/>
        <v>5.8521999999999998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66"/>
        <v>818</v>
      </c>
      <c r="AE176" s="235" t="str">
        <f t="shared" si="67"/>
        <v>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 &amp; 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</v>
      </c>
      <c r="AF176" s="234" t="str">
        <f t="shared" si="68"/>
        <v>"C:\Program Files (x86)\AstroGrep\AstroGrep.exe" /e /r /s /spath="%USERPROFILE%\AppData\Local\Temp\OnboardLogs" /stypes="app*4053*20171220*" /stext=" 18:.+((SYSTEM_STATE.+slice.+state.+changed )|(ment ac)|(multiple cpu faults)|(system.+state.+changed )|(\[timeout)|(PRM\|1\|D)|(kpr)|(kdp)|(train st.+moving)|(\|gpps)|(penalty))"</v>
      </c>
      <c r="AG176" s="244" t="str">
        <f t="shared" si="69"/>
        <v>NW</v>
      </c>
      <c r="AH176" s="236" t="str">
        <f t="shared" si="72"/>
        <v>"%USERPROFILE%\Documents\GitHub\eaglep3\Utilities\RefineRTDCRunTimes.py" --tripid 818-20 --locoid 4053 --swversion DE.1.0.9.0 --startMP 300:58655 --initTime 2017-12-20T11:25:08 --startdatetime 2017-12-20T11:42:00 --delay 55 --endMP 204:133 --enddatetime 2017-12-20T11:55:58 --enforcementcount 0 &gt;&gt;%USERPROFILE%\Documents\GitHub\eaglep3-reporting\EC\2017-12-20-refined-times.txt</v>
      </c>
      <c r="AI176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{"issue":{"subject":"","project_id":79,"tracker_id":40,"status_id":1,"priority_id":2,"assigned_to_id":338,"start_date":"2017-12-20","description":"","custom_fields":[{"id":1,"name":"Subdivision","value":"NW"},{"id":4,"name":"Milepost","value":"0.0133"},{"id":17,"name":"Train ID","value":"818-20"},{"id":16,"name":"Locomotive ID","value":"4053"},{"id":130,"name":"Impact","value":""},{"id":150,"name":"Time of Event (Mountain Time)","value":"11:55:58"},{"id":151,"name":"Denver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74"/>
        <v>start /low /b %USERPROFILE%\Documents\GitHub\eaglep3\Utilities\DownloadLogsFromS3.py --loco 4053 --day 2017-12-20</v>
      </c>
      <c r="AN176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18:55:58"},{"id":29,"name":"Sharepoint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76"/>
        <v>https://d0f6bd738d7f1b3e5a7ca70fe4ff75f0.us-east-1.aws.found.io/app/kibana#/discover/Steve-Slow-Train-Analysis-(2080s-and-2083s)?_g=(refreshInterval:(display:Off,pause:!f,section:0,value:0),time:(from:'2017-12-20T10:25:08-0700',mode:absolute,to:'2017-12-20T12:55:58-0700'))&amp;_a=(columns:!('Message%20ID',Summary),filters:!(),index:'emp_*',interval:auto,query:(query_string:(analyze_wildcard:!t,query:'%22rtdc.l.rtdc.4053%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229" t="s">
        <v>660</v>
      </c>
      <c r="B177" s="225">
        <v>4054</v>
      </c>
      <c r="C177" s="227" t="s">
        <v>192</v>
      </c>
      <c r="D177" s="227" t="s">
        <v>522</v>
      </c>
      <c r="E177" s="226">
        <v>43089.50105324074</v>
      </c>
      <c r="F177" s="226">
        <v>43089.50677083333</v>
      </c>
      <c r="G177" s="225">
        <v>76</v>
      </c>
      <c r="H177" s="227" t="s">
        <v>1066</v>
      </c>
      <c r="I177" s="226">
        <v>43089.517546296294</v>
      </c>
      <c r="J177" s="225">
        <v>0</v>
      </c>
      <c r="K177" s="237" t="str">
        <f t="shared" si="59"/>
        <v>4053/4054</v>
      </c>
      <c r="L177" s="245" t="str">
        <f>VLOOKUP(A177,'Trips&amp;Operators'!$C$1:$G$99911,5,FALSE)</f>
        <v>GEBRETEKLE DAGNEW</v>
      </c>
      <c r="M177" s="224">
        <f t="shared" si="60"/>
        <v>1.0775462964375038E-2</v>
      </c>
      <c r="N177" s="225">
        <f t="shared" si="78"/>
        <v>15.516666668700054</v>
      </c>
      <c r="O177" s="225"/>
      <c r="P177" s="225"/>
      <c r="Q177" s="228"/>
      <c r="R177" s="242"/>
      <c r="S177" s="249">
        <f t="shared" si="79"/>
        <v>1</v>
      </c>
      <c r="T177" s="242" t="str">
        <f t="shared" si="63"/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 t="shared" si="64"/>
        <v>https://d0f6bd738d7f1b3e5a7ca70fe4ff75f0.us-east-1.aws.found.io/app/kibana#/discover/Steve-Slow-Train-Analysis-(2080s-and-2083s)?_g=(refreshInterval:(display:Off,pause:!f,section:0,value:0),time:(from:'2017-12-20T11:01:31-0700',mode:absolute,to:'2017-12-20T13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7" s="247" t="str">
        <f>IF(AA177&lt;VLOOKUP(AG177,Variables!$AC$3:$AD$8,2,FALSE),"Y","N")</f>
        <v>N</v>
      </c>
      <c r="X177" s="247">
        <f t="shared" si="77"/>
        <v>1</v>
      </c>
      <c r="Y177" s="247">
        <f t="shared" si="80"/>
        <v>4.41E-2</v>
      </c>
      <c r="Z177" s="247">
        <f t="shared" si="81"/>
        <v>5.8964999999999996</v>
      </c>
      <c r="AA177" s="247">
        <f t="shared" si="65"/>
        <v>5.8523999999999994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66"/>
        <v>819</v>
      </c>
      <c r="AE177" s="235" t="str">
        <f t="shared" si="67"/>
        <v>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 &amp; 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</v>
      </c>
      <c r="AF177" s="234" t="str">
        <f t="shared" si="68"/>
        <v>"C:\Program Files (x86)\AstroGrep\AstroGrep.exe" /e /r /s /spath="%USERPROFILE%\AppData\Local\Temp\OnboardLogs" /stypes="app*4054*20171220*" /stext=" 19:.+((SYSTEM_STATE.+slice.+state.+changed )|(ment ac)|(multiple cpu faults)|(system.+state.+changed )|(\[timeout)|(PRM\|1\|D)|(kpr)|(kdp)|(train st.+moving)|(\|gpps)|(penalty))"</v>
      </c>
      <c r="AG177" s="244" t="str">
        <f t="shared" si="69"/>
        <v>NW</v>
      </c>
      <c r="AH177" s="236" t="str">
        <f t="shared" si="72"/>
        <v>"%USERPROFILE%\Documents\GitHub\eaglep3\Utilities\RefineRTDCRunTimes.py" --tripid 819-20 --locoid 4054 --swversion DE.1.0.9.0 --startMP 204:441 --initTime 2017-12-20T12:01:31 --startdatetime 2017-12-20T12:09:45 --delay 76 --endMP 300:58965 --enddatetime 2017-12-20T12:25:16 --enforcementcount 0 &gt;&gt;%USERPROFILE%\Documents\GitHub\eaglep3-reporting\EC\2017-12-20-refined-times.txt</v>
      </c>
      <c r="AI177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{"issue":{"subject":"","project_id":79,"tracker_id":40,"status_id":1,"priority_id":2,"assigned_to_id":338,"start_date":"2017-12-20","description":"","custom_fields":[{"id":1,"name":"Subdivision","value":"NW"},{"id":4,"name":"Milepost","value":"5.8965"},{"id":17,"name":"Train ID","value":"819-20"},{"id":16,"name":"Locomotive ID","value":"4054"},{"id":130,"name":"Impact","value":""},{"id":150,"name":"Time of Event (Mountain Time)","value":"12:25:16"},{"id":151,"name":"Denver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74"/>
        <v>start /low /b %USERPROFILE%\Documents\GitHub\eaglep3\Utilities\DownloadLogsFromS3.py --loco 4054 --day 2017-12-20</v>
      </c>
      <c r="AN177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19:25:16"},{"id":29,"name":"Sharepoint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76"/>
        <v>https://d0f6bd738d7f1b3e5a7ca70fe4ff75f0.us-east-1.aws.found.io/app/kibana#/discover/Steve-Slow-Train-Analysis-(2080s-and-2083s)?_g=(refreshInterval:(display:Off,pause:!f,section:0,value:0),time:(from:'2017-12-20T11:01:31-0700',mode:absolute,to:'2017-12-20T13:25:16-0700'))&amp;_a=(columns:!('Message%20ID',Summary),filters:!(),index:'emp_*',interval:auto,query:(query_string:(analyze_wildcard:!t,query:'%22rtdc.l.rtdc.4054%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23" customFormat="1" x14ac:dyDescent="0.25">
      <c r="A178" s="229" t="s">
        <v>783</v>
      </c>
      <c r="B178" s="225">
        <v>4053</v>
      </c>
      <c r="C178" s="227" t="s">
        <v>192</v>
      </c>
      <c r="D178" s="227" t="s">
        <v>1053</v>
      </c>
      <c r="E178" s="226">
        <v>43089.519166666665</v>
      </c>
      <c r="F178" s="226">
        <v>43089.529166666667</v>
      </c>
      <c r="G178" s="225">
        <v>54</v>
      </c>
      <c r="H178" s="227" t="s">
        <v>634</v>
      </c>
      <c r="I178" s="226">
        <v>43089.537835648145</v>
      </c>
      <c r="J178" s="225">
        <v>0</v>
      </c>
      <c r="K178" s="237" t="str">
        <f t="shared" si="59"/>
        <v>4053/4054</v>
      </c>
      <c r="L178" s="245" t="str">
        <f>VLOOKUP(A178,'Trips&amp;Operators'!$C$1:$G$99911,5,FALSE)</f>
        <v>GEBRETEKLE DAGNEW</v>
      </c>
      <c r="M178" s="224">
        <f t="shared" si="60"/>
        <v>8.6689814779674634E-3</v>
      </c>
      <c r="N178" s="225">
        <f t="shared" si="78"/>
        <v>12.483333328273147</v>
      </c>
      <c r="O178" s="225"/>
      <c r="P178" s="225"/>
      <c r="Q178" s="228"/>
      <c r="R178" s="242"/>
      <c r="S178" s="249">
        <f t="shared" si="79"/>
        <v>1</v>
      </c>
      <c r="T178" s="242" t="str">
        <f t="shared" si="63"/>
        <v>Southbound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 t="shared" si="64"/>
        <v>https://d0f6bd738d7f1b3e5a7ca70fe4ff75f0.us-east-1.aws.found.io/app/kibana#/discover/Steve-Slow-Train-Analysis-(2080s-and-2083s)?_g=(refreshInterval:(display:Off,pause:!f,section:0,value:0),time:(from:'2017-12-20T11:27:36-0700',mode:absolute,to:'2017-12-20T13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8" s="247" t="str">
        <f>IF(AA178&lt;VLOOKUP(AG178,Variables!$AC$3:$AD$8,2,FALSE),"Y","N")</f>
        <v>N</v>
      </c>
      <c r="X178" s="247">
        <f t="shared" ref="X178:X184" si="82">VALUE(LEFT(AD178,4))-VALUE(LEFT(AD177,4))</f>
        <v>1</v>
      </c>
      <c r="Y178" s="247">
        <f t="shared" si="80"/>
        <v>5.8654999999999999</v>
      </c>
      <c r="Z178" s="247">
        <f t="shared" si="81"/>
        <v>1.2E-2</v>
      </c>
      <c r="AA178" s="247">
        <f t="shared" si="65"/>
        <v>5.8535000000000004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66"/>
        <v>820</v>
      </c>
      <c r="AE178" s="235" t="str">
        <f t="shared" si="67"/>
        <v>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 &amp; 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</v>
      </c>
      <c r="AF178" s="234" t="str">
        <f t="shared" si="68"/>
        <v>"C:\Program Files (x86)\AstroGrep\AstroGrep.exe" /e /r /s /spath="%USERPROFILE%\AppData\Local\Temp\OnboardLogs" /stypes="app*4053*20171220*" /stext=" 19:.+((SYSTEM_STATE.+slice.+state.+changed )|(ment ac)|(multiple cpu faults)|(system.+state.+changed )|(\[timeout)|(PRM\|1\|D)|(kpr)|(kdp)|(train st.+moving)|(\|gpps)|(penalty))"</v>
      </c>
      <c r="AG178" s="244" t="str">
        <f t="shared" si="69"/>
        <v>NW</v>
      </c>
      <c r="AH178" s="236" t="str">
        <f t="shared" si="72"/>
        <v>"%USERPROFILE%\Documents\GitHub\eaglep3\Utilities\RefineRTDCRunTimes.py" --tripid 820-20 --locoid 4053 --swversion DE.1.0.9.0 --startMP 300:58655 --initTime 2017-12-20T12:27:36 --startdatetime 2017-12-20T12:42:00 --delay 54 --endMP 204:120 --enddatetime 2017-12-20T12:54:29 --enforcementcount 0 &gt;&gt;%USERPROFILE%\Documents\GitHub\eaglep3-reporting\EC\2017-12-20-refined-times.txt</v>
      </c>
      <c r="AI178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{"issue":{"subject":"","project_id":79,"tracker_id":40,"status_id":1,"priority_id":2,"assigned_to_id":338,"start_date":"2017-12-20","description":"","custom_fields":[{"id":1,"name":"Subdivision","value":"NW"},{"id":4,"name":"Milepost","value":"0.012"},{"id":17,"name":"Train ID","value":"820-20"},{"id":16,"name":"Locomotive ID","value":"4053"},{"id":130,"name":"Impact","value":""},{"id":150,"name":"Time of Event (Mountain Time)","value":"12:54:29"},{"id":151,"name":"Denver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231"/>
      <c r="AL178" s="231"/>
      <c r="AM178" s="240" t="str">
        <f t="shared" si="74"/>
        <v>start /low /b %USERPROFILE%\Documents\GitHub\eaglep3\Utilities\DownloadLogsFromS3.py --loco 4053 --day 2017-12-20</v>
      </c>
      <c r="AN178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19:54:29"},{"id":29,"name":"Sharepoint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76"/>
        <v>https://d0f6bd738d7f1b3e5a7ca70fe4ff75f0.us-east-1.aws.found.io/app/kibana#/discover/Steve-Slow-Train-Analysis-(2080s-and-2083s)?_g=(refreshInterval:(display:Off,pause:!f,section:0,value:0),time:(from:'2017-12-20T11:27:36-0700',mode:absolute,to:'2017-12-20T13:54:29-0700'))&amp;_a=(columns:!('Message%20ID',Summary),filters:!(),index:'emp_*',interval:auto,query:(query_string:(analyze_wildcard:!t,query:'%22rtdc.l.rtdc.4053%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25">
      <c r="A179" s="229" t="s">
        <v>789</v>
      </c>
      <c r="B179" s="225">
        <v>4054</v>
      </c>
      <c r="C179" s="227" t="s">
        <v>192</v>
      </c>
      <c r="D179" s="227" t="s">
        <v>1067</v>
      </c>
      <c r="E179" s="226">
        <v>43089.542094907411</v>
      </c>
      <c r="F179" s="226">
        <v>43089.548321759263</v>
      </c>
      <c r="G179" s="225">
        <v>73</v>
      </c>
      <c r="H179" s="227" t="s">
        <v>1068</v>
      </c>
      <c r="I179" s="226">
        <v>43089.55877314815</v>
      </c>
      <c r="J179" s="225">
        <v>0</v>
      </c>
      <c r="K179" s="237" t="str">
        <f t="shared" si="59"/>
        <v>4053/4054</v>
      </c>
      <c r="L179" s="245" t="str">
        <f>VLOOKUP(A179,'Trips&amp;Operators'!$C$1:$G$99911,5,FALSE)</f>
        <v>LEVERE CRAIG</v>
      </c>
      <c r="M179" s="224">
        <f t="shared" si="60"/>
        <v>1.0451388887304347E-2</v>
      </c>
      <c r="N179" s="225">
        <f t="shared" si="78"/>
        <v>15.04999999771826</v>
      </c>
      <c r="O179" s="225"/>
      <c r="P179" s="225"/>
      <c r="Q179" s="228"/>
      <c r="R179" s="242"/>
      <c r="S179" s="249">
        <f t="shared" si="79"/>
        <v>1</v>
      </c>
      <c r="T179" s="242" t="str">
        <f t="shared" si="63"/>
        <v>NorthBound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64"/>
        <v>https://d0f6bd738d7f1b3e5a7ca70fe4ff75f0.us-east-1.aws.found.io/app/kibana#/discover/Steve-Slow-Train-Analysis-(2080s-and-2083s)?_g=(refreshInterval:(display:Off,pause:!f,section:0,value:0),time:(from:'2017-12-20T12:00:37-0700',mode:absolute,to:'2017-12-20T14:24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9" s="247" t="str">
        <f>IF(AA179&lt;VLOOKUP(AG179,Variables!$AC$3:$AD$8,2,FALSE),"Y","N")</f>
        <v>N</v>
      </c>
      <c r="X179" s="247">
        <f t="shared" si="82"/>
        <v>1</v>
      </c>
      <c r="Y179" s="247">
        <f t="shared" si="80"/>
        <v>4.1000000000000002E-2</v>
      </c>
      <c r="Z179" s="247">
        <f t="shared" si="81"/>
        <v>5.8958000000000004</v>
      </c>
      <c r="AA179" s="247">
        <f t="shared" si="65"/>
        <v>5.8548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si="66"/>
        <v>821</v>
      </c>
      <c r="AE179" s="235" t="str">
        <f t="shared" si="67"/>
        <v>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 &amp; 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</v>
      </c>
      <c r="AF179" s="234" t="str">
        <f t="shared" si="68"/>
        <v>"C:\Program Files (x86)\AstroGrep\AstroGrep.exe" /e /r /s /spath="%USERPROFILE%\AppData\Local\Temp\OnboardLogs" /stypes="app*4054*20171220*" /stext=" 20:.+((SYSTEM_STATE.+slice.+state.+changed )|(ment ac)|(multiple cpu faults)|(system.+state.+changed )|(\[timeout)|(PRM\|1\|D)|(kpr)|(kdp)|(train st.+moving)|(\|gpps)|(penalty))"</v>
      </c>
      <c r="AG179" s="244" t="str">
        <f t="shared" si="69"/>
        <v>NW</v>
      </c>
      <c r="AH179" s="236" t="str">
        <f t="shared" si="72"/>
        <v>"%USERPROFILE%\Documents\GitHub\eaglep3\Utilities\RefineRTDCRunTimes.py" --tripid 821-20 --locoid 4054 --swversion DE.1.0.9.0 --startMP 204:410 --initTime 2017-12-20T13:00:37 --startdatetime 2017-12-20T13:09:35 --delay 73 --endMP 300:58958 --enddatetime 2017-12-20T13:24:38 --enforcementcount 0 &gt;&gt;%USERPROFILE%\Documents\GitHub\eaglep3-reporting\EC\2017-12-20-refined-times.txt</v>
      </c>
      <c r="AI179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{"issue":{"subject":"","project_id":79,"tracker_id":40,"status_id":1,"priority_id":2,"assigned_to_id":338,"start_date":"2017-12-20","description":"","custom_fields":[{"id":1,"name":"Subdivision","value":"NW"},{"id":4,"name":"Milepost","value":"5.8958"},{"id":17,"name":"Train ID","value":"821-20"},{"id":16,"name":"Locomotive ID","value":"4054"},{"id":130,"name":"Impact","value":""},{"id":150,"name":"Time of Event (Mountain Time)","value":"13:24:38"},{"id":151,"name":"Denver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74"/>
        <v>start /low /b %USERPROFILE%\Documents\GitHub\eaglep3\Utilities\DownloadLogsFromS3.py --loco 4054 --day 2017-12-20</v>
      </c>
      <c r="AN179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20:24:38"},{"id":29,"name":"Sharepoint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76"/>
        <v>https://d0f6bd738d7f1b3e5a7ca70fe4ff75f0.us-east-1.aws.found.io/app/kibana#/discover/Steve-Slow-Train-Analysis-(2080s-and-2083s)?_g=(refreshInterval:(display:Off,pause:!f,section:0,value:0),time:(from:'2017-12-20T12:00:37-0700',mode:absolute,to:'2017-12-20T14:24:38-0700'))&amp;_a=(columns:!('Message%20ID',Summary),filters:!(),index:'emp_*',interval:auto,query:(query_string:(analyze_wildcard:!t,query:'%22rtdc.l.rtdc.4054%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3" customFormat="1" x14ac:dyDescent="0.25">
      <c r="A180" s="229" t="s">
        <v>794</v>
      </c>
      <c r="B180" s="225">
        <v>4053</v>
      </c>
      <c r="C180" s="227" t="s">
        <v>192</v>
      </c>
      <c r="D180" s="227" t="s">
        <v>1069</v>
      </c>
      <c r="E180" s="226">
        <v>43089.562326388892</v>
      </c>
      <c r="F180" s="226">
        <v>43089.570833333331</v>
      </c>
      <c r="G180" s="225">
        <v>72</v>
      </c>
      <c r="H180" s="227" t="s">
        <v>1070</v>
      </c>
      <c r="I180" s="226">
        <v>43089.580208333333</v>
      </c>
      <c r="J180" s="225">
        <v>0</v>
      </c>
      <c r="K180" s="237" t="str">
        <f t="shared" si="59"/>
        <v>4053/4054</v>
      </c>
      <c r="L180" s="245" t="str">
        <f>VLOOKUP(A180,'Trips&amp;Operators'!$C$1:$G$99911,5,FALSE)</f>
        <v>LEVERE CRAIG</v>
      </c>
      <c r="M180" s="224">
        <f t="shared" si="60"/>
        <v>9.3750000014551915E-3</v>
      </c>
      <c r="N180" s="225">
        <f t="shared" si="78"/>
        <v>13.500000002095476</v>
      </c>
      <c r="O180" s="225"/>
      <c r="P180" s="225"/>
      <c r="Q180" s="228"/>
      <c r="R180" s="242"/>
      <c r="S180" s="249">
        <f t="shared" si="79"/>
        <v>1</v>
      </c>
      <c r="T180" s="242" t="str">
        <f t="shared" si="63"/>
        <v>Southbound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64"/>
        <v>https://d0f6bd738d7f1b3e5a7ca70fe4ff75f0.us-east-1.aws.found.io/app/kibana#/discover/Steve-Slow-Train-Analysis-(2080s-and-2083s)?_g=(refreshInterval:(display:Off,pause:!f,section:0,value:0),time:(from:'2017-12-20T12:29:45-0700',mode:absolute,to:'2017-12-20T14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0" s="247" t="str">
        <f>IF(AA180&lt;VLOOKUP(AG180,Variables!$AC$3:$AD$8,2,FALSE),"Y","N")</f>
        <v>N</v>
      </c>
      <c r="X180" s="247">
        <f t="shared" si="82"/>
        <v>1</v>
      </c>
      <c r="Y180" s="247">
        <f t="shared" si="80"/>
        <v>5.8647</v>
      </c>
      <c r="Z180" s="247">
        <f t="shared" si="81"/>
        <v>1.7500000000000002E-2</v>
      </c>
      <c r="AA180" s="247">
        <f t="shared" si="65"/>
        <v>5.8472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66"/>
        <v>822</v>
      </c>
      <c r="AE180" s="235" t="str">
        <f t="shared" si="67"/>
        <v>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 &amp; 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</v>
      </c>
      <c r="AF180" s="234" t="str">
        <f t="shared" si="68"/>
        <v>"C:\Program Files (x86)\AstroGrep\AstroGrep.exe" /e /r /s /spath="%USERPROFILE%\AppData\Local\Temp\OnboardLogs" /stypes="app*4053*20171220*" /stext=" 20:.+((SYSTEM_STATE.+slice.+state.+changed )|(ment ac)|(multiple cpu faults)|(system.+state.+changed )|(\[timeout)|(PRM\|1\|D)|(kpr)|(kdp)|(train st.+moving)|(\|gpps)|(penalty))"</v>
      </c>
      <c r="AG180" s="244" t="str">
        <f t="shared" si="69"/>
        <v>NW</v>
      </c>
      <c r="AH180" s="236" t="str">
        <f t="shared" si="72"/>
        <v>"%USERPROFILE%\Documents\GitHub\eaglep3\Utilities\RefineRTDCRunTimes.py" --tripid 822-20 --locoid 4053 --swversion DE.1.0.9.0 --startMP 300:58647 --initTime 2017-12-20T13:29:45 --startdatetime 2017-12-20T13:42:00 --delay 72 --endMP 204:175 --enddatetime 2017-12-20T13:55:30 --enforcementcount 0 &gt;&gt;%USERPROFILE%\Documents\GitHub\eaglep3-reporting\EC\2017-12-20-refined-times.txt</v>
      </c>
      <c r="AI180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{"issue":{"subject":"","project_id":79,"tracker_id":40,"status_id":1,"priority_id":2,"assigned_to_id":338,"start_date":"2017-12-20","description":"","custom_fields":[{"id":1,"name":"Subdivision","value":"NW"},{"id":4,"name":"Milepost","value":"0.0175"},{"id":17,"name":"Train ID","value":"822-20"},{"id":16,"name":"Locomotive ID","value":"4053"},{"id":130,"name":"Impact","value":""},{"id":150,"name":"Time of Event (Mountain Time)","value":"13:55:30"},{"id":151,"name":"Denver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1"/>
      <c r="AL180" s="231"/>
      <c r="AM180" s="240" t="str">
        <f t="shared" si="74"/>
        <v>start /low /b %USERPROFILE%\Documents\GitHub\eaglep3\Utilities\DownloadLogsFromS3.py --loco 4053 --day 2017-12-20</v>
      </c>
      <c r="AN180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20:55:30"},{"id":29,"name":"Sharepoint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76"/>
        <v>https://d0f6bd738d7f1b3e5a7ca70fe4ff75f0.us-east-1.aws.found.io/app/kibana#/discover/Steve-Slow-Train-Analysis-(2080s-and-2083s)?_g=(refreshInterval:(display:Off,pause:!f,section:0,value:0),time:(from:'2017-12-20T12:29:45-0700',mode:absolute,to:'2017-12-20T14:55:30-0700'))&amp;_a=(columns:!('Message%20ID',Summary),filters:!(),index:'emp_*',interval:auto,query:(query_string:(analyze_wildcard:!t,query:'%22rtdc.l.rtdc.4053%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3" customFormat="1" x14ac:dyDescent="0.25">
      <c r="A181" s="229" t="s">
        <v>801</v>
      </c>
      <c r="B181" s="225">
        <v>4054</v>
      </c>
      <c r="C181" s="227" t="s">
        <v>192</v>
      </c>
      <c r="D181" s="227" t="s">
        <v>515</v>
      </c>
      <c r="E181" s="226">
        <v>43089.585659722223</v>
      </c>
      <c r="F181" s="226">
        <v>43089.589837962965</v>
      </c>
      <c r="G181" s="225">
        <v>59</v>
      </c>
      <c r="H181" s="227" t="s">
        <v>1071</v>
      </c>
      <c r="I181" s="226">
        <v>43089.600543981483</v>
      </c>
      <c r="J181" s="225">
        <v>0</v>
      </c>
      <c r="K181" s="237" t="str">
        <f t="shared" si="59"/>
        <v>4053/4054</v>
      </c>
      <c r="L181" s="245" t="str">
        <f>VLOOKUP(A181,'Trips&amp;Operators'!$C$1:$G$99911,5,FALSE)</f>
        <v>LEVERE CRAIG</v>
      </c>
      <c r="M181" s="224">
        <f t="shared" si="60"/>
        <v>1.0706018518249039E-2</v>
      </c>
      <c r="N181" s="225">
        <f t="shared" si="78"/>
        <v>15.416666666278616</v>
      </c>
      <c r="O181" s="225"/>
      <c r="P181" s="225"/>
      <c r="Q181" s="228"/>
      <c r="R181" s="242"/>
      <c r="S181" s="249">
        <f t="shared" si="79"/>
        <v>1</v>
      </c>
      <c r="T181" s="242" t="str">
        <f t="shared" si="63"/>
        <v>NorthBound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64"/>
        <v>https://d0f6bd738d7f1b3e5a7ca70fe4ff75f0.us-east-1.aws.found.io/app/kibana#/discover/Steve-Slow-Train-Analysis-(2080s-and-2083s)?_g=(refreshInterval:(display:Off,pause:!f,section:0,value:0),time:(from:'2017-12-20T13:03:21-0700',mode:absolute,to:'2017-12-20T15:24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1" s="247" t="str">
        <f>IF(AA181&lt;VLOOKUP(AG181,Variables!$AC$3:$AD$8,2,FALSE),"Y","N")</f>
        <v>N</v>
      </c>
      <c r="X181" s="247">
        <f t="shared" si="82"/>
        <v>1</v>
      </c>
      <c r="Y181" s="247">
        <f t="shared" si="80"/>
        <v>4.5100000000000001E-2</v>
      </c>
      <c r="Z181" s="247">
        <f t="shared" si="81"/>
        <v>5.8956</v>
      </c>
      <c r="AA181" s="247">
        <f t="shared" si="65"/>
        <v>5.8505000000000003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66"/>
        <v>823</v>
      </c>
      <c r="AE181" s="235" t="str">
        <f t="shared" si="67"/>
        <v>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 &amp; 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</v>
      </c>
      <c r="AF181" s="234" t="str">
        <f t="shared" si="68"/>
        <v>"C:\Program Files (x86)\AstroGrep\AstroGrep.exe" /e /r /s /spath="%USERPROFILE%\AppData\Local\Temp\OnboardLogs" /stypes="app*4054*20171220*" /stext=" 21:.+((SYSTEM_STATE.+slice.+state.+changed )|(ment ac)|(multiple cpu faults)|(system.+state.+changed )|(\[timeout)|(PRM\|1\|D)|(kpr)|(kdp)|(train st.+moving)|(\|gpps)|(penalty))"</v>
      </c>
      <c r="AG181" s="244" t="str">
        <f t="shared" si="69"/>
        <v>NW</v>
      </c>
      <c r="AH181" s="236" t="str">
        <f t="shared" si="72"/>
        <v>"%USERPROFILE%\Documents\GitHub\eaglep3\Utilities\RefineRTDCRunTimes.py" --tripid 823-20 --locoid 4054 --swversion DE.1.0.9.0 --startMP 204:451 --initTime 2017-12-20T14:03:21 --startdatetime 2017-12-20T14:09:22 --delay 59 --endMP 300:58956 --enddatetime 2017-12-20T14:24:47 --enforcementcount 0 &gt;&gt;%USERPROFILE%\Documents\GitHub\eaglep3-reporting\EC\2017-12-20-refined-times.txt</v>
      </c>
      <c r="AI181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{"issue":{"subject":"","project_id":79,"tracker_id":40,"status_id":1,"priority_id":2,"assigned_to_id":338,"start_date":"2017-12-20","description":"","custom_fields":[{"id":1,"name":"Subdivision","value":"NW"},{"id":4,"name":"Milepost","value":"5.8956"},{"id":17,"name":"Train ID","value":"823-20"},{"id":16,"name":"Locomotive ID","value":"4054"},{"id":130,"name":"Impact","value":""},{"id":150,"name":"Time of Event (Mountain Time)","value":"14:24:47"},{"id":151,"name":"Denver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1"/>
      <c r="AL181" s="231"/>
      <c r="AM181" s="240" t="str">
        <f t="shared" si="74"/>
        <v>start /low /b %USERPROFILE%\Documents\GitHub\eaglep3\Utilities\DownloadLogsFromS3.py --loco 4054 --day 2017-12-20</v>
      </c>
      <c r="AN181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21:24:47"},{"id":29,"name":"Sharepoint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76"/>
        <v>https://d0f6bd738d7f1b3e5a7ca70fe4ff75f0.us-east-1.aws.found.io/app/kibana#/discover/Steve-Slow-Train-Analysis-(2080s-and-2083s)?_g=(refreshInterval:(display:Off,pause:!f,section:0,value:0),time:(from:'2017-12-20T13:03:21-0700',mode:absolute,to:'2017-12-20T15:24:47-0700'))&amp;_a=(columns:!('Message%20ID',Summary),filters:!(),index:'emp_*',interval:auto,query:(query_string:(analyze_wildcard:!t,query:'%22rtdc.l.rtdc.4054%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29" t="s">
        <v>806</v>
      </c>
      <c r="B182" s="225">
        <v>4053</v>
      </c>
      <c r="C182" s="227" t="s">
        <v>192</v>
      </c>
      <c r="D182" s="227" t="s">
        <v>1072</v>
      </c>
      <c r="E182" s="226">
        <v>43089.604675925926</v>
      </c>
      <c r="F182" s="226">
        <v>43089.612500000003</v>
      </c>
      <c r="G182" s="225">
        <v>61</v>
      </c>
      <c r="H182" s="227" t="s">
        <v>1073</v>
      </c>
      <c r="I182" s="226">
        <v>43089.622199074074</v>
      </c>
      <c r="J182" s="225">
        <v>0</v>
      </c>
      <c r="K182" s="237" t="str">
        <f t="shared" si="59"/>
        <v>4053/4054</v>
      </c>
      <c r="L182" s="245" t="str">
        <f>VLOOKUP(A182,'Trips&amp;Operators'!$C$1:$G$99911,5,FALSE)</f>
        <v>LEVERE CRAIG</v>
      </c>
      <c r="M182" s="224">
        <f t="shared" si="60"/>
        <v>9.6990740712499246E-3</v>
      </c>
      <c r="N182" s="225">
        <f t="shared" si="78"/>
        <v>13.966666662599891</v>
      </c>
      <c r="O182" s="225"/>
      <c r="P182" s="225"/>
      <c r="Q182" s="228"/>
      <c r="R182" s="242"/>
      <c r="S182" s="249">
        <f t="shared" si="79"/>
        <v>1</v>
      </c>
      <c r="T182" s="242" t="str">
        <f t="shared" si="63"/>
        <v>Southbound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64"/>
        <v>https://d0f6bd738d7f1b3e5a7ca70fe4ff75f0.us-east-1.aws.found.io/app/kibana#/discover/Steve-Slow-Train-Analysis-(2080s-and-2083s)?_g=(refreshInterval:(display:Off,pause:!f,section:0,value:0),time:(from:'2017-12-20T13:30:44-0700',mode:absolute,to:'2017-12-20T15:55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2" s="247" t="str">
        <f>IF(AA182&lt;VLOOKUP(AG182,Variables!$AC$3:$AD$8,2,FALSE),"Y","N")</f>
        <v>N</v>
      </c>
      <c r="X182" s="247">
        <f t="shared" si="82"/>
        <v>1</v>
      </c>
      <c r="Y182" s="247">
        <f t="shared" si="80"/>
        <v>5.8639999999999999</v>
      </c>
      <c r="Z182" s="247">
        <f t="shared" si="81"/>
        <v>1.66E-2</v>
      </c>
      <c r="AA182" s="247">
        <f t="shared" si="65"/>
        <v>5.8473999999999995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66"/>
        <v>824</v>
      </c>
      <c r="AE182" s="235" t="str">
        <f t="shared" si="67"/>
        <v>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 &amp; 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</v>
      </c>
      <c r="AF182" s="234" t="str">
        <f t="shared" si="68"/>
        <v>"C:\Program Files (x86)\AstroGrep\AstroGrep.exe" /e /r /s /spath="%USERPROFILE%\AppData\Local\Temp\OnboardLogs" /stypes="app*4053*20171220*" /stext=" 21:.+((SYSTEM_STATE.+slice.+state.+changed )|(ment ac)|(multiple cpu faults)|(system.+state.+changed )|(\[timeout)|(PRM\|1\|D)|(kpr)|(kdp)|(train st.+moving)|(\|gpps)|(penalty))"</v>
      </c>
      <c r="AG182" s="244" t="str">
        <f t="shared" si="69"/>
        <v>NW</v>
      </c>
      <c r="AH182" s="236" t="str">
        <f t="shared" si="72"/>
        <v>"%USERPROFILE%\Documents\GitHub\eaglep3\Utilities\RefineRTDCRunTimes.py" --tripid 824-20 --locoid 4053 --swversion DE.1.0.9.0 --startMP 300:58640 --initTime 2017-12-20T14:30:44 --startdatetime 2017-12-20T14:42:00 --delay 61 --endMP 204:166 --enddatetime 2017-12-20T14:55:58 --enforcementcount 0 &gt;&gt;%USERPROFILE%\Documents\GitHub\eaglep3-reporting\EC\2017-12-20-refined-times.txt</v>
      </c>
      <c r="AI182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{"issue":{"subject":"","project_id":79,"tracker_id":40,"status_id":1,"priority_id":2,"assigned_to_id":338,"start_date":"2017-12-20","description":"","custom_fields":[{"id":1,"name":"Subdivision","value":"NW"},{"id":4,"name":"Milepost","value":"0.0166"},{"id":17,"name":"Train ID","value":"824-20"},{"id":16,"name":"Locomotive ID","value":"4053"},{"id":130,"name":"Impact","value":""},{"id":150,"name":"Time of Event (Mountain Time)","value":"14:55:58"},{"id":151,"name":"Denver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74"/>
        <v>start /low /b %USERPROFILE%\Documents\GitHub\eaglep3\Utilities\DownloadLogsFromS3.py --loco 4053 --day 2017-12-20</v>
      </c>
      <c r="AN182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21:55:58"},{"id":29,"name":"Sharepoint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76"/>
        <v>https://d0f6bd738d7f1b3e5a7ca70fe4ff75f0.us-east-1.aws.found.io/app/kibana#/discover/Steve-Slow-Train-Analysis-(2080s-and-2083s)?_g=(refreshInterval:(display:Off,pause:!f,section:0,value:0),time:(from:'2017-12-20T13:30:44-0700',mode:absolute,to:'2017-12-20T15:55:58-0700'))&amp;_a=(columns:!('Message%20ID',Summary),filters:!(),index:'emp_*',interval:auto,query:(query_string:(analyze_wildcard:!t,query:'%22rtdc.l.rtdc.4053%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3" customFormat="1" x14ac:dyDescent="0.25">
      <c r="A183" s="229" t="s">
        <v>810</v>
      </c>
      <c r="B183" s="225">
        <v>4054</v>
      </c>
      <c r="C183" s="227" t="s">
        <v>192</v>
      </c>
      <c r="D183" s="227" t="s">
        <v>492</v>
      </c>
      <c r="E183" s="226">
        <v>43089.628657407404</v>
      </c>
      <c r="F183" s="226">
        <v>43089.631678240738</v>
      </c>
      <c r="G183" s="225">
        <v>83</v>
      </c>
      <c r="H183" s="227" t="s">
        <v>1071</v>
      </c>
      <c r="I183" s="226">
        <v>43089.641851851855</v>
      </c>
      <c r="J183" s="225">
        <v>0</v>
      </c>
      <c r="K183" s="237" t="str">
        <f t="shared" si="59"/>
        <v>4053/4054</v>
      </c>
      <c r="L183" s="245" t="str">
        <f>VLOOKUP(A183,'Trips&amp;Operators'!$C$1:$G$99911,5,FALSE)</f>
        <v>LEVERE CRAIG</v>
      </c>
      <c r="M183" s="224">
        <f t="shared" si="60"/>
        <v>1.0173611117352266E-2</v>
      </c>
      <c r="N183" s="225">
        <f t="shared" si="78"/>
        <v>14.650000008987263</v>
      </c>
      <c r="O183" s="225"/>
      <c r="P183" s="225"/>
      <c r="Q183" s="228"/>
      <c r="R183" s="242"/>
      <c r="S183" s="249">
        <f t="shared" si="79"/>
        <v>1</v>
      </c>
      <c r="T183" s="242" t="str">
        <f t="shared" si="63"/>
        <v>NorthBound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64"/>
        <v>https://d0f6bd738d7f1b3e5a7ca70fe4ff75f0.us-east-1.aws.found.io/app/kibana#/discover/Steve-Slow-Train-Analysis-(2080s-and-2083s)?_g=(refreshInterval:(display:Off,pause:!f,section:0,value:0),time:(from:'2017-12-20T14:05:16-0700',mode:absolute,to:'2017-12-20T16:24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3" s="247" t="str">
        <f>IF(AA183&lt;VLOOKUP(AG183,Variables!$AC$3:$AD$8,2,FALSE),"Y","N")</f>
        <v>N</v>
      </c>
      <c r="X183" s="247">
        <f t="shared" si="82"/>
        <v>1</v>
      </c>
      <c r="Y183" s="247">
        <f t="shared" si="80"/>
        <v>4.6199999999999998E-2</v>
      </c>
      <c r="Z183" s="247">
        <f t="shared" si="81"/>
        <v>5.8956</v>
      </c>
      <c r="AA183" s="247">
        <f t="shared" si="65"/>
        <v>5.8494000000000002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66"/>
        <v>825</v>
      </c>
      <c r="AE183" s="235" t="str">
        <f t="shared" si="67"/>
        <v>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 &amp; 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</v>
      </c>
      <c r="AF183" s="234" t="str">
        <f t="shared" si="68"/>
        <v>"C:\Program Files (x86)\AstroGrep\AstroGrep.exe" /e /r /s /spath="%USERPROFILE%\AppData\Local\Temp\OnboardLogs" /stypes="app*4054*20171220*" /stext=" 22:.+((SYSTEM_STATE.+slice.+state.+changed )|(ment ac)|(multiple cpu faults)|(system.+state.+changed )|(\[timeout)|(PRM\|1\|D)|(kpr)|(kdp)|(train st.+moving)|(\|gpps)|(penalty))"</v>
      </c>
      <c r="AG183" s="244" t="str">
        <f t="shared" si="69"/>
        <v>NW</v>
      </c>
      <c r="AH183" s="236" t="str">
        <f t="shared" si="72"/>
        <v>"%USERPROFILE%\Documents\GitHub\eaglep3\Utilities\RefineRTDCRunTimes.py" --tripid 825-20 --locoid 4054 --swversion DE.1.0.9.0 --startMP 204:462 --initTime 2017-12-20T15:05:16 --startdatetime 2017-12-20T15:09:37 --delay 83 --endMP 300:58956 --enddatetime 2017-12-20T15:24:16 --enforcementcount 0 &gt;&gt;%USERPROFILE%\Documents\GitHub\eaglep3-reporting\EC\2017-12-20-refined-times.txt</v>
      </c>
      <c r="AI183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{"issue":{"subject":"","project_id":79,"tracker_id":40,"status_id":1,"priority_id":2,"assigned_to_id":338,"start_date":"2017-12-20","description":"","custom_fields":[{"id":1,"name":"Subdivision","value":"NW"},{"id":4,"name":"Milepost","value":"5.8956"},{"id":17,"name":"Train ID","value":"825-20"},{"id":16,"name":"Locomotive ID","value":"4054"},{"id":130,"name":"Impact","value":""},{"id":150,"name":"Time of Event (Mountain Time)","value":"15:24:16"},{"id":151,"name":"Denver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1"/>
      <c r="AL183" s="231"/>
      <c r="AM183" s="240" t="str">
        <f t="shared" si="74"/>
        <v>start /low /b %USERPROFILE%\Documents\GitHub\eaglep3\Utilities\DownloadLogsFromS3.py --loco 4054 --day 2017-12-20</v>
      </c>
      <c r="AN183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22:24:16"},{"id":29,"name":"Sharepoint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76"/>
        <v>https://d0f6bd738d7f1b3e5a7ca70fe4ff75f0.us-east-1.aws.found.io/app/kibana#/discover/Steve-Slow-Train-Analysis-(2080s-and-2083s)?_g=(refreshInterval:(display:Off,pause:!f,section:0,value:0),time:(from:'2017-12-20T14:05:16-0700',mode:absolute,to:'2017-12-20T16:24:16-0700'))&amp;_a=(columns:!('Message%20ID',Summary),filters:!(),index:'emp_*',interval:auto,query:(query_string:(analyze_wildcard:!t,query:'%22rtdc.l.rtdc.4054%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25">
      <c r="A184" s="229" t="s">
        <v>816</v>
      </c>
      <c r="B184" s="225">
        <v>4053</v>
      </c>
      <c r="C184" s="227" t="s">
        <v>192</v>
      </c>
      <c r="D184" s="227" t="s">
        <v>638</v>
      </c>
      <c r="E184" s="226">
        <v>43089.643263888887</v>
      </c>
      <c r="F184" s="226">
        <v>43089.654166666667</v>
      </c>
      <c r="G184" s="225">
        <v>57</v>
      </c>
      <c r="H184" s="227" t="s">
        <v>1074</v>
      </c>
      <c r="I184" s="226">
        <v>43089.665520833332</v>
      </c>
      <c r="J184" s="225">
        <v>0</v>
      </c>
      <c r="K184" s="237" t="str">
        <f t="shared" si="59"/>
        <v>4053/4054</v>
      </c>
      <c r="L184" s="245" t="str">
        <f>VLOOKUP(A184,'Trips&amp;Operators'!$C$1:$G$99911,5,FALSE)</f>
        <v>LEVERE CRAIG</v>
      </c>
      <c r="M184" s="224">
        <f t="shared" si="60"/>
        <v>1.1354166665114462E-2</v>
      </c>
      <c r="N184" s="225">
        <f t="shared" si="78"/>
        <v>16.349999997764826</v>
      </c>
      <c r="O184" s="225"/>
      <c r="P184" s="225"/>
      <c r="Q184" s="228"/>
      <c r="R184" s="242"/>
      <c r="S184" s="249">
        <f t="shared" si="79"/>
        <v>1</v>
      </c>
      <c r="T184" s="242" t="str">
        <f t="shared" si="63"/>
        <v>Southbound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64"/>
        <v>https://d0f6bd738d7f1b3e5a7ca70fe4ff75f0.us-east-1.aws.found.io/app/kibana#/discover/Steve-Slow-Train-Analysis-(2080s-and-2083s)?_g=(refreshInterval:(display:Off,pause:!f,section:0,value:0),time:(from:'2017-12-20T14:26:18-0700',mode:absolute,to:'2017-12-20T16:58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4" s="247" t="str">
        <f>IF(AA184&lt;VLOOKUP(AG184,Variables!$AC$3:$AD$8,2,FALSE),"Y","N")</f>
        <v>N</v>
      </c>
      <c r="X184" s="247">
        <f t="shared" si="82"/>
        <v>1</v>
      </c>
      <c r="Y184" s="247">
        <f t="shared" si="80"/>
        <v>5.8635999999999999</v>
      </c>
      <c r="Z184" s="247">
        <f t="shared" si="81"/>
        <v>1.46E-2</v>
      </c>
      <c r="AA184" s="247">
        <f t="shared" si="65"/>
        <v>5.8490000000000002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66"/>
        <v>826</v>
      </c>
      <c r="AE184" s="235" t="str">
        <f t="shared" si="67"/>
        <v>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 &amp; 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</v>
      </c>
      <c r="AF184" s="234" t="str">
        <f t="shared" si="68"/>
        <v>"C:\Program Files (x86)\AstroGrep\AstroGrep.exe" /e /r /s /spath="%USERPROFILE%\AppData\Local\Temp\OnboardLogs" /stypes="app*4053*20171220*" /stext=" 22:.+((SYSTEM_STATE.+slice.+state.+changed )|(ment ac)|(multiple cpu faults)|(system.+state.+changed )|(\[timeout)|(PRM\|1\|D)|(kpr)|(kdp)|(train st.+moving)|(\|gpps)|(penalty))"</v>
      </c>
      <c r="AG184" s="244" t="str">
        <f t="shared" si="69"/>
        <v>NW</v>
      </c>
      <c r="AH184" s="236" t="str">
        <f t="shared" si="72"/>
        <v>"%USERPROFILE%\Documents\GitHub\eaglep3\Utilities\RefineRTDCRunTimes.py" --tripid 826-20 --locoid 4053 --swversion DE.1.0.9.0 --startMP 300:58636 --initTime 2017-12-20T15:26:18 --startdatetime 2017-12-20T15:42:00 --delay 57 --endMP 204:146 --enddatetime 2017-12-20T15:58:21 --enforcementcount 0 &gt;&gt;%USERPROFILE%\Documents\GitHub\eaglep3-reporting\EC\2017-12-20-refined-times.txt</v>
      </c>
      <c r="AI184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{"issue":{"subject":"","project_id":79,"tracker_id":40,"status_id":1,"priority_id":2,"assigned_to_id":338,"start_date":"2017-12-20","description":"","custom_fields":[{"id":1,"name":"Subdivision","value":"NW"},{"id":4,"name":"Milepost","value":"0.0146"},{"id":17,"name":"Train ID","value":"826-20"},{"id":16,"name":"Locomotive ID","value":"4053"},{"id":130,"name":"Impact","value":""},{"id":150,"name":"Time of Event (Mountain Time)","value":"15:58:21"},{"id":151,"name":"Denver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si="74"/>
        <v>start /low /b %USERPROFILE%\Documents\GitHub\eaglep3\Utilities\DownloadLogsFromS3.py --loco 4053 --day 2017-12-20</v>
      </c>
      <c r="AN184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22:58:21"},{"id":29,"name":"Sharepoint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76"/>
        <v>https://d0f6bd738d7f1b3e5a7ca70fe4ff75f0.us-east-1.aws.found.io/app/kibana#/discover/Steve-Slow-Train-Analysis-(2080s-and-2083s)?_g=(refreshInterval:(display:Off,pause:!f,section:0,value:0),time:(from:'2017-12-20T14:26:18-0700',mode:absolute,to:'2017-12-20T16:58:21-0700'))&amp;_a=(columns:!('Message%20ID',Summary),filters:!(),index:'emp_*',interval:auto,query:(query_string:(analyze_wildcard:!t,query:'%22rtdc.l.rtdc.4053%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3" customFormat="1" x14ac:dyDescent="0.25">
      <c r="A185" s="229" t="s">
        <v>817</v>
      </c>
      <c r="B185" s="225">
        <v>4040</v>
      </c>
      <c r="C185" s="227" t="s">
        <v>192</v>
      </c>
      <c r="D185" s="227" t="s">
        <v>638</v>
      </c>
      <c r="E185" s="226">
        <v>43089.643263888887</v>
      </c>
      <c r="F185" s="226">
        <v>43089.652372685188</v>
      </c>
      <c r="G185" s="225">
        <v>57</v>
      </c>
      <c r="H185" s="227" t="s">
        <v>1074</v>
      </c>
      <c r="I185" s="226">
        <v>43089.662893518522</v>
      </c>
      <c r="J185" s="225">
        <v>0</v>
      </c>
      <c r="K185" s="237" t="str">
        <f t="shared" si="59"/>
        <v>4039/4040</v>
      </c>
      <c r="L185" s="245" t="str">
        <f>VLOOKUP(A185,'Trips&amp;Operators'!$C$1:$G$99911,5,FALSE)</f>
        <v>STAMBAUGH JAMES</v>
      </c>
      <c r="M185" s="224">
        <f t="shared" si="60"/>
        <v>1.0520833333430346E-2</v>
      </c>
      <c r="N185" s="225">
        <f t="shared" si="78"/>
        <v>15.150000000139698</v>
      </c>
      <c r="O185" s="225"/>
      <c r="P185" s="225"/>
      <c r="Q185" s="228"/>
      <c r="R185" s="242"/>
      <c r="S185" s="249">
        <f t="shared" si="79"/>
        <v>1</v>
      </c>
      <c r="T185" s="242" t="str">
        <f t="shared" si="63"/>
        <v>NorthBound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 t="shared" si="64"/>
        <v>https://d0f6bd738d7f1b3e5a7ca70fe4ff75f0.us-east-1.aws.found.io/app/kibana#/discover/Steve-Slow-Train-Analysis-(2080s-and-2083s)?_g=(refreshInterval:(display:Off,pause:!f,section:0,value:0),time:(from:'2017-12-20T14:26:18-0700',mode:absolute,to:'2017-12-20T16:54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5" s="247" t="str">
        <f>IF(AA185&lt;VLOOKUP(AG185,Variables!$AC$3:$AD$8,2,FALSE),"Y","N")</f>
        <v>N</v>
      </c>
      <c r="X185" s="247">
        <f t="shared" ref="X185:X186" si="83">VALUE(LEFT(AD185,4))-VALUE(LEFT(AD184,4))</f>
        <v>1</v>
      </c>
      <c r="Y185" s="247">
        <v>4.6199999999999998E-2</v>
      </c>
      <c r="Z185" s="247">
        <v>5.8956</v>
      </c>
      <c r="AA185" s="247">
        <f t="shared" si="65"/>
        <v>5.8494000000000002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66"/>
        <v>827</v>
      </c>
      <c r="AE185" s="235" t="str">
        <f t="shared" si="67"/>
        <v>aws s3 cp s3://rtdc.mdm.uploadarchive.raw/RTDC4040/ "%USERPROFILE%\AppData\Local\Temp\OnboardLogs"\RTDC4040\2017-12-20 --exclude "*" --recursive --include "*20171220*" &amp; "%USERPROFILE%\Documents\GitHub\mrs-test-scripts\Headless Mode &amp; Sideloading\WalkAndUnGZ.bat" "%USERPROFILE%\AppData\Local\Temp\OnboardLogs"\RTDC4040\2017-12-20 &amp; aws s3 cp s3://rtdc.mdm.uploadarchive.raw/RTDC4040/ "%USERPROFILE%\AppData\Local\Temp\OnboardLogs"\RTDC4040\2017-12-21 --exclude "*" --recursive --include "*20171221*" &amp; "%USERPROFILE%\Documents\GitHub\mrs-test-scripts\Headless Mode &amp; Sideloading\WalkAndUnGZ.bat" "%USERPROFILE%\AppData\Local\Temp\OnboardLogs"\RTDC4040\2017-12-21</v>
      </c>
      <c r="AF185" s="234" t="str">
        <f t="shared" si="68"/>
        <v>"C:\Program Files (x86)\AstroGrep\AstroGrep.exe" /e /r /s /spath="%USERPROFILE%\AppData\Local\Temp\OnboardLogs" /stypes="app*4040*20171220*" /stext=" 22:.+((SYSTEM_STATE.+slice.+state.+changed )|(ment ac)|(multiple cpu faults)|(system.+state.+changed )|(\[timeout)|(PRM\|1\|D)|(kpr)|(kdp)|(train st.+moving)|(\|gpps)|(penalty))"</v>
      </c>
      <c r="AG185" s="244" t="str">
        <f t="shared" si="69"/>
        <v>NW</v>
      </c>
      <c r="AH185" s="236" t="str">
        <f t="shared" ref="AH185" si="84">refinertdcruntimes&amp;" --tripid "&amp;A185&amp;" --locoid "&amp;B185&amp;" --swversion "&amp;C185&amp;" --startMP "&amp;D185&amp;" --initTime "&amp;TEXT(E185,"yyyy-mm-ddTHH:MM:SS")&amp;" --startdatetime "&amp;TEXT(F185,"yyyy-mm-ddTHH:MM:SS")&amp;" --delay "&amp;G185&amp;" --endMP "&amp;H185&amp;" --enddatetime "&amp;TEXT(I185,"yyyy-mm-ddTHH:MM:SS")&amp;" --enforcementcount "&amp;J185&amp;IF(outputrefinedruntimes," &gt;&gt;"&amp;RefinedRTDCRunTimesOutputFile,"")</f>
        <v>"%USERPROFILE%\Documents\GitHub\eaglep3\Utilities\RefineRTDCRunTimes.py" --tripid 827-20 --locoid 4040 --swversion DE.1.0.9.0 --startMP 300:58636 --initTime 2017-12-20T15:26:18 --startdatetime 2017-12-20T15:39:25 --delay 57 --endMP 204:146 --enddatetime 2017-12-20T15:54:34 --enforcementcount 0 &gt;&gt;%USERPROFILE%\Documents\GitHub\eaglep3-reporting\EC\2017-12-20-refined-times.txt</v>
      </c>
      <c r="AI185" s="238" t="str">
        <f t="shared" ref="AI185" si="85">"echo {""issue"":{""subject"":"""&amp;R185&amp;""",""project_id"":79,""tracker_id"":40,""status_id"":"&amp;redmine_status&amp;",""priority_id"":"&amp;redmine_priority&amp;",""assigned_to_id"":"&amp;redmine_assignee&amp;",""start_date"":"""&amp;TEXT(I185,"YYYY-mm-dd")&amp;""",""description"":"""&amp;AJ185&amp;""",""custom_fields"":[{""id"":1,""name"":""Subdivision"",""value"":"""&amp;AG185&amp;"""},{""id"":4,""name"":""Milepost"",""value"":"""&amp;Z185&amp;"""},{""id"":17,""name"":""Train ID"",""value"":"""&amp;A185&amp;"""},{""id"":16,""name"":""Locomotive ID"",""value"":"""&amp;B185&amp;"""},{""id"":130,""name"":""Impact"",""value"":"""&amp;AK185&amp;"""},{""id"":150,""name"":""Time of Event (Mountain Time)"",""value"":"""&amp;TEXT(I185,"hh:mm:ss")&amp;"""},{""id"":151,""name"":""Denver Issue ID"",""value"":"""&amp;"""},{""id"":178,""name"":""Operational Impact"",""value"":"""&amp;redmine_op_impact&amp;"""},{""id"":179,""name"":""Denver Segment Assigned"",""value"":"""&amp;AL185&amp;"""}]}}"&amp;"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{"issue":{"subject":"","project_id":79,"tracker_id":40,"status_id":1,"priority_id":2,"assigned_to_id":338,"start_date":"2017-12-20","description":"","custom_fields":[{"id":1,"name":"Subdivision","value":"NW"},{"id":4,"name":"Milepost","value":"5.8956"},{"id":17,"name":"Train ID","value":"827-20"},{"id":16,"name":"Locomotive ID","value":"4040"},{"id":130,"name":"Impact","value":""},{"id":150,"name":"Time of Event (Mountain Time)","value":"15:54:34"},{"id":151,"name":"Denver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1"/>
      <c r="AL185" s="231"/>
      <c r="AM185" s="240" t="str">
        <f t="shared" ref="AM185" si="86">"start /low /b "&amp;dls3logs&amp;" --loco "&amp;B185&amp;" --day "&amp;TEXT(F185,"YYYY-MM-DD")</f>
        <v>start /low /b %USERPROFILE%\Documents\GitHub\eaglep3\Utilities\DownloadLogsFromS3.py --loco 4040 --day 2017-12-20</v>
      </c>
      <c r="AN185" s="241" t="str">
        <f t="shared" ref="AN185" si="87">"echo {""issue"":{""subject"":"""&amp;R185&amp;""",""project_id"":30,""tracker_id"":4,""status_id"":"&amp;redmine_status_wcr&amp;",""priority_id"":"&amp;redmine_priority_wcr&amp;",""assigned_to_id"":"&amp;redmine_assignee_wcr&amp;",""start_date"":"""&amp;TEXT(I185-utc_offset/24,"YYYY-mm-dd")&amp;""",""description"":"""&amp;AJ185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22:54:34"},{"id":29,"name":"Sharepoint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ref="AO185" si="88"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Message%20ID',Summary),filters:!(),index:'emp_*',interval:auto,query:"&amp;"(query_string:(analyze_wildcard:!t,query:'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-12-20T14:26:18-0700',mode:absolute,to:'2017-12-20T16:54:34-0700'))&amp;_a=(columns:!('Message%20ID',Summary),filters:!(),index:'emp_*',interval:auto,query:(query_string:(analyze_wildcard:!t,query:'%22rtdc.l.rtdc.4040%22')),sort:!(Time.ISO8601,asc))</v>
      </c>
    </row>
    <row r="186" spans="1:91" s="20" customFormat="1" x14ac:dyDescent="0.25">
      <c r="A186" s="229" t="s">
        <v>668</v>
      </c>
      <c r="B186" s="225">
        <v>4039</v>
      </c>
      <c r="C186" s="227" t="s">
        <v>192</v>
      </c>
      <c r="D186" s="227" t="s">
        <v>1075</v>
      </c>
      <c r="E186" s="226">
        <v>43089.664375</v>
      </c>
      <c r="F186" s="226">
        <v>43089.675000000003</v>
      </c>
      <c r="G186" s="225">
        <v>55</v>
      </c>
      <c r="H186" s="227" t="s">
        <v>635</v>
      </c>
      <c r="I186" s="226">
        <v>43089.68445601852</v>
      </c>
      <c r="J186" s="225">
        <v>0</v>
      </c>
      <c r="K186" s="237" t="str">
        <f t="shared" si="59"/>
        <v>4039/4040</v>
      </c>
      <c r="L186" s="245" t="str">
        <f>VLOOKUP(A186,'Trips&amp;Operators'!$C$1:$G$99911,5,FALSE)</f>
        <v>STAMBAUGH JAMES</v>
      </c>
      <c r="M186" s="224">
        <f t="shared" si="60"/>
        <v>9.4560185170848854E-3</v>
      </c>
      <c r="N186" s="225">
        <f t="shared" si="78"/>
        <v>13.616666664602235</v>
      </c>
      <c r="O186" s="225"/>
      <c r="P186" s="225"/>
      <c r="Q186" s="228"/>
      <c r="R186" s="242"/>
      <c r="S186" s="249">
        <f t="shared" si="79"/>
        <v>1</v>
      </c>
      <c r="T186" s="242" t="str">
        <f t="shared" si="63"/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64"/>
        <v>https://d0f6bd738d7f1b3e5a7ca70fe4ff75f0.us-east-1.aws.found.io/app/kibana#/discover/Steve-Slow-Train-Analysis-(2080s-and-2083s)?_g=(refreshInterval:(display:Off,pause:!f,section:0,value:0),time:(from:'2017-12-20T14:56:42-0700',mode:absolute,to:'2017-12-20T17:25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6" s="247" t="str">
        <f>IF(AA186&lt;VLOOKUP(AG186,Variables!$AC$3:$AD$8,2,FALSE),"Y","N")</f>
        <v>N</v>
      </c>
      <c r="X186" s="247">
        <f t="shared" si="83"/>
        <v>1</v>
      </c>
      <c r="Y186" s="247">
        <f t="shared" ref="Y186:Y194" si="89">RIGHT(D186,LEN(D186)-4)/10000</f>
        <v>5.8619000000000003</v>
      </c>
      <c r="Z186" s="247">
        <f t="shared" ref="Z186:Z194" si="90">RIGHT(H186,LEN(H186)-4)/10000</f>
        <v>1.37E-2</v>
      </c>
      <c r="AA186" s="247">
        <f t="shared" si="65"/>
        <v>5.8482000000000003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66"/>
        <v>828</v>
      </c>
      <c r="AE186" s="235" t="str">
        <f t="shared" si="67"/>
        <v>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 &amp; aws s3 cp s3://rtdc.mdm.uploadarchive.raw/RTDC4039/ "%USERPROFILE%\AppData\Local\Temp\OnboardLogs"\RTDC4039\2017-12-21 --exclude "*" --recursive --include "*20171221*" &amp; "%USERPROFILE%\Documents\GitHub\mrs-test-scripts\Headless Mode &amp; Sideloading\WalkAndUnGZ.bat" "%USERPROFILE%\AppData\Local\Temp\OnboardLogs"\RTDC4039\2017-12-21</v>
      </c>
      <c r="AF186" s="234" t="str">
        <f t="shared" si="68"/>
        <v>"C:\Program Files (x86)\AstroGrep\AstroGrep.exe" /e /r /s /spath="%USERPROFILE%\AppData\Local\Temp\OnboardLogs" /stypes="app*4039*20171220*" /stext=" 23:.+((SYSTEM_STATE.+slice.+state.+changed )|(ment ac)|(multiple cpu faults)|(system.+state.+changed )|(\[timeout)|(PRM\|1\|D)|(kpr)|(kdp)|(train st.+moving)|(\|gpps)|(penalty))"</v>
      </c>
      <c r="AG186" s="244" t="str">
        <f t="shared" si="69"/>
        <v>NW</v>
      </c>
      <c r="AH186" s="236" t="str">
        <f t="shared" si="72"/>
        <v>"%USERPROFILE%\Documents\GitHub\eaglep3\Utilities\RefineRTDCRunTimes.py" --tripid 828-20 --locoid 4039 --swversion DE.1.0.9.0 --startMP 300:58619 --initTime 2017-12-20T15:56:42 --startdatetime 2017-12-20T16:12:00 --delay 55 --endMP 204:137 --enddatetime 2017-12-20T16:25:37 --enforcementcount 0 &gt;&gt;%USERPROFILE%\Documents\GitHub\eaglep3-reporting\EC\2017-12-20-refined-times.txt</v>
      </c>
      <c r="AI186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{"issue":{"subject":"","project_id":79,"tracker_id":40,"status_id":1,"priority_id":2,"assigned_to_id":338,"start_date":"2017-12-20","description":"","custom_fields":[{"id":1,"name":"Subdivision","value":"NW"},{"id":4,"name":"Milepost","value":"0.0137"},{"id":17,"name":"Train ID","value":"828-20"},{"id":16,"name":"Locomotive ID","value":"4039"},{"id":130,"name":"Impact","value":""},{"id":150,"name":"Time of Event (Mountain Time)","value":"16:25:37"},{"id":151,"name":"Denver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74"/>
        <v>start /low /b %USERPROFILE%\Documents\GitHub\eaglep3\Utilities\DownloadLogsFromS3.py --loco 4039 --day 2017-12-20</v>
      </c>
      <c r="AN186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23:25:37"},{"id":29,"name":"Sharepoint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76"/>
        <v>https://d0f6bd738d7f1b3e5a7ca70fe4ff75f0.us-east-1.aws.found.io/app/kibana#/discover/Steve-Slow-Train-Analysis-(2080s-and-2083s)?_g=(refreshInterval:(display:Off,pause:!f,section:0,value:0),time:(from:'2017-12-20T14:56:42-0700',mode:absolute,to:'2017-12-20T17:25:37-0700'))&amp;_a=(columns:!('Message%20ID',Summary),filters:!(),index:'emp_*',interval:auto,query:(query_string:(analyze_wildcard:!t,query:'%22rtdc.l.rtdc.4039%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29" t="s">
        <v>822</v>
      </c>
      <c r="B187" s="225">
        <v>4054</v>
      </c>
      <c r="C187" s="227" t="s">
        <v>192</v>
      </c>
      <c r="D187" s="227" t="s">
        <v>522</v>
      </c>
      <c r="E187" s="226">
        <v>43089.66915509259</v>
      </c>
      <c r="F187" s="226">
        <v>43089.673194444447</v>
      </c>
      <c r="G187" s="225">
        <v>80</v>
      </c>
      <c r="H187" s="227" t="s">
        <v>637</v>
      </c>
      <c r="I187" s="226">
        <v>43089.684178240743</v>
      </c>
      <c r="J187" s="225">
        <v>0</v>
      </c>
      <c r="K187" s="237" t="str">
        <f t="shared" si="59"/>
        <v>4053/4054</v>
      </c>
      <c r="L187" s="245" t="str">
        <f>VLOOKUP(A187,'Trips&amp;Operators'!$C$1:$G$99911,5,FALSE)</f>
        <v>LEVERE CRAIG</v>
      </c>
      <c r="M187" s="224">
        <f t="shared" si="60"/>
        <v>1.0983796295477077E-2</v>
      </c>
      <c r="N187" s="225">
        <f t="shared" si="78"/>
        <v>15.816666665486991</v>
      </c>
      <c r="O187" s="225"/>
      <c r="P187" s="225"/>
      <c r="Q187" s="228"/>
      <c r="R187" s="242"/>
      <c r="S187" s="249">
        <f t="shared" si="79"/>
        <v>1</v>
      </c>
      <c r="T187" s="242" t="str">
        <f t="shared" si="63"/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64"/>
        <v>https://d0f6bd738d7f1b3e5a7ca70fe4ff75f0.us-east-1.aws.found.io/app/kibana#/discover/Steve-Slow-Train-Analysis-(2080s-and-2083s)?_g=(refreshInterval:(display:Off,pause:!f,section:0,value:0),time:(from:'2017-12-20T15:03:35-0700',mode:absolute,to:'2017-12-20T17:25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7" s="247" t="str">
        <f>IF(AA187&lt;VLOOKUP(AG187,Variables!$AC$3:$AD$8,2,FALSE),"Y","N")</f>
        <v>N</v>
      </c>
      <c r="X187" s="247">
        <f t="shared" ref="X187:X204" si="91">VALUE(LEFT(AD187,4))-VALUE(LEFT(AD186,4))</f>
        <v>1</v>
      </c>
      <c r="Y187" s="247">
        <f t="shared" si="89"/>
        <v>4.41E-2</v>
      </c>
      <c r="Z187" s="247">
        <f t="shared" si="90"/>
        <v>5.8971</v>
      </c>
      <c r="AA187" s="247">
        <f t="shared" si="65"/>
        <v>5.8529999999999998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66"/>
        <v>829</v>
      </c>
      <c r="AE187" s="235" t="str">
        <f t="shared" si="67"/>
        <v>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 &amp; 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</v>
      </c>
      <c r="AF187" s="234" t="str">
        <f t="shared" si="68"/>
        <v>"C:\Program Files (x86)\AstroGrep\AstroGrep.exe" /e /r /s /spath="%USERPROFILE%\AppData\Local\Temp\OnboardLogs" /stypes="app*4054*20171220*" /stext=" 23:.+((SYSTEM_STATE.+slice.+state.+changed )|(ment ac)|(multiple cpu faults)|(system.+state.+changed )|(\[timeout)|(PRM\|1\|D)|(kpr)|(kdp)|(train st.+moving)|(\|gpps)|(penalty))"</v>
      </c>
      <c r="AG187" s="244" t="str">
        <f t="shared" si="69"/>
        <v>NW</v>
      </c>
      <c r="AH187" s="236" t="str">
        <f t="shared" si="72"/>
        <v>"%USERPROFILE%\Documents\GitHub\eaglep3\Utilities\RefineRTDCRunTimes.py" --tripid 829-20 --locoid 4054 --swversion DE.1.0.9.0 --startMP 204:441 --initTime 2017-12-20T16:03:35 --startdatetime 2017-12-20T16:09:24 --delay 80 --endMP 300:58971 --enddatetime 2017-12-20T16:25:13 --enforcementcount 0 &gt;&gt;%USERPROFILE%\Documents\GitHub\eaglep3-reporting\EC\2017-12-20-refined-times.txt</v>
      </c>
      <c r="AI187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{"issue":{"subject":"","project_id":79,"tracker_id":40,"status_id":1,"priority_id":2,"assigned_to_id":338,"start_date":"2017-12-20","description":"","custom_fields":[{"id":1,"name":"Subdivision","value":"NW"},{"id":4,"name":"Milepost","value":"5.8971"},{"id":17,"name":"Train ID","value":"829-20"},{"id":16,"name":"Locomotive ID","value":"4054"},{"id":130,"name":"Impact","value":""},{"id":150,"name":"Time of Event (Mountain Time)","value":"16:25:13"},{"id":151,"name":"Denver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74"/>
        <v>start /low /b %USERPROFILE%\Documents\GitHub\eaglep3\Utilities\DownloadLogsFromS3.py --loco 4054 --day 2017-12-20</v>
      </c>
      <c r="AN187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23:25:13"},{"id":29,"name":"Sharepoint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76"/>
        <v>https://d0f6bd738d7f1b3e5a7ca70fe4ff75f0.us-east-1.aws.found.io/app/kibana#/discover/Steve-Slow-Train-Analysis-(2080s-and-2083s)?_g=(refreshInterval:(display:Off,pause:!f,section:0,value:0),time:(from:'2017-12-20T15:03:35-0700',mode:absolute,to:'2017-12-20T17:25:13-0700'))&amp;_a=(columns:!('Message%20ID',Summary),filters:!(),index:'emp_*',interval:auto,query:(query_string:(analyze_wildcard:!t,query:'%22rtdc.l.rtdc.4054%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29" t="s">
        <v>827</v>
      </c>
      <c r="B188" s="225">
        <v>4053</v>
      </c>
      <c r="C188" s="227" t="s">
        <v>192</v>
      </c>
      <c r="D188" s="227" t="s">
        <v>1077</v>
      </c>
      <c r="E188" s="226">
        <v>43089.686724537038</v>
      </c>
      <c r="F188" s="226">
        <v>43089.688784722224</v>
      </c>
      <c r="G188" s="225">
        <v>55</v>
      </c>
      <c r="H188" s="227" t="s">
        <v>597</v>
      </c>
      <c r="I188" s="226">
        <v>43089.705127314817</v>
      </c>
      <c r="J188" s="225">
        <v>0</v>
      </c>
      <c r="K188" s="237" t="str">
        <f t="shared" si="59"/>
        <v>4053/4054</v>
      </c>
      <c r="L188" s="245" t="str">
        <f>VLOOKUP(A188,'Trips&amp;Operators'!$C$1:$G$99911,5,FALSE)</f>
        <v>LEVERE CRAIG</v>
      </c>
      <c r="M188" s="224">
        <f t="shared" si="60"/>
        <v>1.6342592592991423E-2</v>
      </c>
      <c r="N188" s="225">
        <f t="shared" si="78"/>
        <v>23.533333333907649</v>
      </c>
      <c r="O188" s="225"/>
      <c r="P188" s="225"/>
      <c r="Q188" s="228"/>
      <c r="R188" s="242"/>
      <c r="S188" s="249">
        <f t="shared" si="79"/>
        <v>1</v>
      </c>
      <c r="T188" s="242" t="str">
        <f t="shared" si="63"/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64"/>
        <v>https://d0f6bd738d7f1b3e5a7ca70fe4ff75f0.us-east-1.aws.found.io/app/kibana#/discover/Steve-Slow-Train-Analysis-(2080s-and-2083s)?_g=(refreshInterval:(display:Off,pause:!f,section:0,value:0),time:(from:'2017-12-20T15:28:53-0700',mode:absolute,to:'2017-12-20T17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8" s="247" t="str">
        <f>IF(AA188&lt;VLOOKUP(AG188,Variables!$AC$3:$AD$8,2,FALSE),"Y","N")</f>
        <v>N</v>
      </c>
      <c r="X188" s="247">
        <f t="shared" si="91"/>
        <v>1</v>
      </c>
      <c r="Y188" s="247">
        <f t="shared" si="89"/>
        <v>5.8640999999999996</v>
      </c>
      <c r="Z188" s="247">
        <f t="shared" si="90"/>
        <v>1.49E-2</v>
      </c>
      <c r="AA188" s="247">
        <f t="shared" si="65"/>
        <v>5.8491999999999997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66"/>
        <v>830</v>
      </c>
      <c r="AE188" s="235" t="str">
        <f t="shared" si="67"/>
        <v>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 &amp; 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</v>
      </c>
      <c r="AF188" s="234" t="str">
        <f t="shared" si="68"/>
        <v>"C:\Program Files (x86)\AstroGrep\AstroGrep.exe" /e /r /s /spath="%USERPROFILE%\AppData\Local\Temp\OnboardLogs" /stypes="app*4053*20171220*" /stext=" 23:.+((SYSTEM_STATE.+slice.+state.+changed )|(ment ac)|(multiple cpu faults)|(system.+state.+changed )|(\[timeout)|(PRM\|1\|D)|(kpr)|(kdp)|(train st.+moving)|(\|gpps)|(penalty))"</v>
      </c>
      <c r="AG188" s="244" t="str">
        <f t="shared" si="69"/>
        <v>NW</v>
      </c>
      <c r="AH188" s="236" t="str">
        <f t="shared" si="72"/>
        <v>"%USERPROFILE%\Documents\GitHub\eaglep3\Utilities\RefineRTDCRunTimes.py" --tripid 830-20 --locoid 4053 --swversion DE.1.0.9.0 --startMP 300:58641 --initTime 2017-12-20T16:28:53 --startdatetime 2017-12-20T16:31:51 --delay 55 --endMP 204:149 --enddatetime 2017-12-20T16:55:23 --enforcementcount 0 &gt;&gt;%USERPROFILE%\Documents\GitHub\eaglep3-reporting\EC\2017-12-20-refined-times.txt</v>
      </c>
      <c r="AI188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{"issue":{"subject":"","project_id":79,"tracker_id":40,"status_id":1,"priority_id":2,"assigned_to_id":338,"start_date":"2017-12-20","description":"","custom_fields":[{"id":1,"name":"Subdivision","value":"NW"},{"id":4,"name":"Milepost","value":"0.0149"},{"id":17,"name":"Train ID","value":"830-20"},{"id":16,"name":"Locomotive ID","value":"4053"},{"id":130,"name":"Impact","value":""},{"id":150,"name":"Time of Event (Mountain Time)","value":"16:55:23"},{"id":151,"name":"Denver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74"/>
        <v>start /low /b %USERPROFILE%\Documents\GitHub\eaglep3\Utilities\DownloadLogsFromS3.py --loco 4053 --day 2017-12-20</v>
      </c>
      <c r="AN188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23:55:23"},{"id":29,"name":"Sharepoint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76"/>
        <v>https://d0f6bd738d7f1b3e5a7ca70fe4ff75f0.us-east-1.aws.found.io/app/kibana#/discover/Steve-Slow-Train-Analysis-(2080s-and-2083s)?_g=(refreshInterval:(display:Off,pause:!f,section:0,value:0),time:(from:'2017-12-20T15:28:53-0700',mode:absolute,to:'2017-12-20T17:55:23-0700'))&amp;_a=(columns:!('Message%20ID',Summary),filters:!(),index:'emp_*',interval:auto,query:(query_string:(analyze_wildcard:!t,query:'%22rtdc.l.rtdc.4053%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229" t="s">
        <v>828</v>
      </c>
      <c r="B189" s="225">
        <v>4040</v>
      </c>
      <c r="C189" s="227" t="s">
        <v>192</v>
      </c>
      <c r="D189" s="227" t="s">
        <v>602</v>
      </c>
      <c r="E189" s="226">
        <v>43089.689502314817</v>
      </c>
      <c r="F189" s="226">
        <v>43089.69427083333</v>
      </c>
      <c r="G189" s="225">
        <v>71</v>
      </c>
      <c r="H189" s="227" t="s">
        <v>1078</v>
      </c>
      <c r="I189" s="226">
        <v>43089.704444444447</v>
      </c>
      <c r="J189" s="225">
        <v>0</v>
      </c>
      <c r="K189" s="237" t="str">
        <f t="shared" si="59"/>
        <v>4039/4040</v>
      </c>
      <c r="L189" s="245" t="str">
        <f>VLOOKUP(A189,'Trips&amp;Operators'!$C$1:$G$99911,5,FALSE)</f>
        <v>STAMBAUGH JAMES</v>
      </c>
      <c r="M189" s="224">
        <f t="shared" si="60"/>
        <v>1.0173611117352266E-2</v>
      </c>
      <c r="N189" s="225">
        <f t="shared" si="78"/>
        <v>14.650000008987263</v>
      </c>
      <c r="O189" s="225"/>
      <c r="P189" s="225"/>
      <c r="Q189" s="228"/>
      <c r="R189" s="242"/>
      <c r="S189" s="249">
        <f t="shared" si="79"/>
        <v>1</v>
      </c>
      <c r="T189" s="242" t="str">
        <f t="shared" si="63"/>
        <v>NorthBound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64"/>
        <v>https://d0f6bd738d7f1b3e5a7ca70fe4ff75f0.us-east-1.aws.found.io/app/kibana#/discover/Steve-Slow-Train-Analysis-(2080s-and-2083s)?_g=(refreshInterval:(display:Off,pause:!f,section:0,value:0),time:(from:'2017-12-20T15:32:53-0700',mode:absolute,to:'2017-12-20T17:54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9" s="247" t="str">
        <f>IF(AA189&lt;VLOOKUP(AG189,Variables!$AC$3:$AD$8,2,FALSE),"Y","N")</f>
        <v>N</v>
      </c>
      <c r="X189" s="247">
        <f t="shared" si="91"/>
        <v>1</v>
      </c>
      <c r="Y189" s="247">
        <f t="shared" si="89"/>
        <v>4.53E-2</v>
      </c>
      <c r="Z189" s="247">
        <f t="shared" si="90"/>
        <v>5.8914</v>
      </c>
      <c r="AA189" s="247">
        <f t="shared" si="65"/>
        <v>5.8460999999999999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66"/>
        <v>831</v>
      </c>
      <c r="AE189" s="235" t="str">
        <f t="shared" si="67"/>
        <v>aws s3 cp s3://rtdc.mdm.uploadarchive.raw/RTDC4040/ "%USERPROFILE%\AppData\Local\Temp\OnboardLogs"\RTDC4040\2017-12-20 --exclude "*" --recursive --include "*20171220*" &amp; "%USERPROFILE%\Documents\GitHub\mrs-test-scripts\Headless Mode &amp; Sideloading\WalkAndUnGZ.bat" "%USERPROFILE%\AppData\Local\Temp\OnboardLogs"\RTDC4040\2017-12-20 &amp; aws s3 cp s3://rtdc.mdm.uploadarchive.raw/RTDC4040/ "%USERPROFILE%\AppData\Local\Temp\OnboardLogs"\RTDC4040\2017-12-21 --exclude "*" --recursive --include "*20171221*" &amp; "%USERPROFILE%\Documents\GitHub\mrs-test-scripts\Headless Mode &amp; Sideloading\WalkAndUnGZ.bat" "%USERPROFILE%\AppData\Local\Temp\OnboardLogs"\RTDC4040\2017-12-21</v>
      </c>
      <c r="AF189" s="234" t="str">
        <f t="shared" si="68"/>
        <v>"C:\Program Files (x86)\AstroGrep\AstroGrep.exe" /e /r /s /spath="%USERPROFILE%\AppData\Local\Temp\OnboardLogs" /stypes="app*4040*20171220*" /stext=" 23:.+((SYSTEM_STATE.+slice.+state.+changed )|(ment ac)|(multiple cpu faults)|(system.+state.+changed )|(\[timeout)|(PRM\|1\|D)|(kpr)|(kdp)|(train st.+moving)|(\|gpps)|(penalty))"</v>
      </c>
      <c r="AG189" s="244" t="str">
        <f t="shared" si="69"/>
        <v>NW</v>
      </c>
      <c r="AH189" s="236" t="str">
        <f t="shared" si="72"/>
        <v>"%USERPROFILE%\Documents\GitHub\eaglep3\Utilities\RefineRTDCRunTimes.py" --tripid 831-20 --locoid 4040 --swversion DE.1.0.9.0 --startMP 204:453 --initTime 2017-12-20T16:32:53 --startdatetime 2017-12-20T16:39:45 --delay 71 --endMP 300:58914 --enddatetime 2017-12-20T16:54:24 --enforcementcount 0 &gt;&gt;%USERPROFILE%\Documents\GitHub\eaglep3-reporting\EC\2017-12-20-refined-times.txt</v>
      </c>
      <c r="AI189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{"issue":{"subject":"","project_id":79,"tracker_id":40,"status_id":1,"priority_id":2,"assigned_to_id":338,"start_date":"2017-12-20","description":"","custom_fields":[{"id":1,"name":"Subdivision","value":"NW"},{"id":4,"name":"Milepost","value":"5.8914"},{"id":17,"name":"Train ID","value":"831-20"},{"id":16,"name":"Locomotive ID","value":"4040"},{"id":130,"name":"Impact","value":""},{"id":150,"name":"Time of Event (Mountain Time)","value":"16:54:24"},{"id":151,"name":"Denver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3"/>
      <c r="AK189" s="231"/>
      <c r="AL189" s="231"/>
      <c r="AM189" s="240" t="str">
        <f t="shared" si="74"/>
        <v>start /low /b %USERPROFILE%\Documents\GitHub\eaglep3\Utilities\DownloadLogsFromS3.py --loco 4040 --day 2017-12-20</v>
      </c>
      <c r="AN189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23:54:24"},{"id":29,"name":"Sharepoint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76"/>
        <v>https://d0f6bd738d7f1b3e5a7ca70fe4ff75f0.us-east-1.aws.found.io/app/kibana#/discover/Steve-Slow-Train-Analysis-(2080s-and-2083s)?_g=(refreshInterval:(display:Off,pause:!f,section:0,value:0),time:(from:'2017-12-20T15:32:53-0700',mode:absolute,to:'2017-12-20T17:54:24-0700'))&amp;_a=(columns:!('Message%20ID',Summary),filters:!(),index:'emp_*',interval:auto,query:(query_string:(analyze_wildcard:!t,query:'%22rtdc.l.rtdc.4040%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25">
      <c r="A190" s="229" t="s">
        <v>833</v>
      </c>
      <c r="B190" s="225">
        <v>4039</v>
      </c>
      <c r="C190" s="227" t="s">
        <v>192</v>
      </c>
      <c r="D190" s="227" t="s">
        <v>1079</v>
      </c>
      <c r="E190" s="226">
        <v>43089.705601851849</v>
      </c>
      <c r="F190" s="226">
        <v>43089.716666666667</v>
      </c>
      <c r="G190" s="225">
        <v>59</v>
      </c>
      <c r="H190" s="227" t="s">
        <v>641</v>
      </c>
      <c r="I190" s="226">
        <v>43089.725555555553</v>
      </c>
      <c r="J190" s="225">
        <v>0</v>
      </c>
      <c r="K190" s="237" t="str">
        <f t="shared" si="59"/>
        <v>4039/4040</v>
      </c>
      <c r="L190" s="245" t="str">
        <f>VLOOKUP(A190,'Trips&amp;Operators'!$C$1:$G$99911,5,FALSE)</f>
        <v>STAMBAUGH JAMES</v>
      </c>
      <c r="M190" s="224">
        <f t="shared" si="60"/>
        <v>8.8888888858491555E-3</v>
      </c>
      <c r="N190" s="225">
        <f t="shared" si="78"/>
        <v>12.799999995622784</v>
      </c>
      <c r="O190" s="225"/>
      <c r="P190" s="225"/>
      <c r="Q190" s="228"/>
      <c r="R190" s="242"/>
      <c r="S190" s="249">
        <f t="shared" si="79"/>
        <v>1</v>
      </c>
      <c r="T190" s="242" t="str">
        <f t="shared" si="63"/>
        <v>Southbound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64"/>
        <v>https://d0f6bd738d7f1b3e5a7ca70fe4ff75f0.us-east-1.aws.found.io/app/kibana#/discover/Steve-Slow-Train-Analysis-(2080s-and-2083s)?_g=(refreshInterval:(display:Off,pause:!f,section:0,value:0),time:(from:'2017-12-20T15:56:04-0700',mode:absolute,to:'2017-12-20T18:24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0" s="247" t="str">
        <f>IF(AA190&lt;VLOOKUP(AG190,Variables!$AC$3:$AD$8,2,FALSE),"Y","N")</f>
        <v>N</v>
      </c>
      <c r="X190" s="247">
        <f t="shared" si="91"/>
        <v>1</v>
      </c>
      <c r="Y190" s="247">
        <f t="shared" si="89"/>
        <v>5.86</v>
      </c>
      <c r="Z190" s="247">
        <f t="shared" si="90"/>
        <v>1.4200000000000001E-2</v>
      </c>
      <c r="AA190" s="247">
        <f t="shared" si="65"/>
        <v>5.8458000000000006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66"/>
        <v>832</v>
      </c>
      <c r="AE190" s="235" t="str">
        <f t="shared" si="67"/>
        <v>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 &amp; aws s3 cp s3://rtdc.mdm.uploadarchive.raw/RTDC4039/ "%USERPROFILE%\AppData\Local\Temp\OnboardLogs"\RTDC4039\2017-12-21 --exclude "*" --recursive --include "*20171221*" &amp; "%USERPROFILE%\Documents\GitHub\mrs-test-scripts\Headless Mode &amp; Sideloading\WalkAndUnGZ.bat" "%USERPROFILE%\AppData\Local\Temp\OnboardLogs"\RTDC4039\2017-12-21</v>
      </c>
      <c r="AF190" s="234" t="str">
        <f t="shared" si="68"/>
        <v>"C:\Program Files (x86)\AstroGrep\AstroGrep.exe" /e /r /s /spath="%USERPROFILE%\AppData\Local\Temp\OnboardLogs" /stypes="app*4039*20171221*" /stext=" 00:.+((SYSTEM_STATE.+slice.+state.+changed )|(ment ac)|(multiple cpu faults)|(system.+state.+changed )|(\[timeout)|(PRM\|1\|D)|(kpr)|(kdp)|(train st.+moving)|(\|gpps)|(penalty))"</v>
      </c>
      <c r="AG190" s="244" t="str">
        <f t="shared" si="69"/>
        <v>NW</v>
      </c>
      <c r="AH190" s="236" t="str">
        <f t="shared" si="72"/>
        <v>"%USERPROFILE%\Documents\GitHub\eaglep3\Utilities\RefineRTDCRunTimes.py" --tripid 832-20 --locoid 4039 --swversion DE.1.0.9.0 --startMP 300:58600 --initTime 2017-12-20T16:56:04 --startdatetime 2017-12-20T17:12:00 --delay 59 --endMP 204:142 --enddatetime 2017-12-20T17:24:48 --enforcementcount 0 &gt;&gt;%USERPROFILE%\Documents\GitHub\eaglep3-reporting\EC\2017-12-20-refined-times.txt</v>
      </c>
      <c r="AI190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{"issue":{"subject":"","project_id":79,"tracker_id":40,"status_id":1,"priority_id":2,"assigned_to_id":338,"start_date":"2017-12-20","description":"","custom_fields":[{"id":1,"name":"Subdivision","value":"NW"},{"id":4,"name":"Milepost","value":"0.0142"},{"id":17,"name":"Train ID","value":"832-20"},{"id":16,"name":"Locomotive ID","value":"4039"},{"id":130,"name":"Impact","value":""},{"id":150,"name":"Time of Event (Mountain Time)","value":"17:24:48"},{"id":151,"name":"Denver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si="74"/>
        <v>start /low /b %USERPROFILE%\Documents\GitHub\eaglep3\Utilities\DownloadLogsFromS3.py --loco 4039 --day 2017-12-20</v>
      </c>
      <c r="AN190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00:24:48"},{"id":29,"name":"Sharepoint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76"/>
        <v>https://d0f6bd738d7f1b3e5a7ca70fe4ff75f0.us-east-1.aws.found.io/app/kibana#/discover/Steve-Slow-Train-Analysis-(2080s-and-2083s)?_g=(refreshInterval:(display:Off,pause:!f,section:0,value:0),time:(from:'2017-12-20T15:56:04-0700',mode:absolute,to:'2017-12-20T18:24:48-0700'))&amp;_a=(columns:!('Message%20ID',Summary),filters:!(),index:'emp_*',interval:auto,query:(query_string:(analyze_wildcard:!t,query:'%22rtdc.l.rtdc.4039%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3" customFormat="1" x14ac:dyDescent="0.25">
      <c r="A191" s="229" t="s">
        <v>834</v>
      </c>
      <c r="B191" s="225">
        <v>4054</v>
      </c>
      <c r="C191" s="227" t="s">
        <v>192</v>
      </c>
      <c r="D191" s="227" t="s">
        <v>1059</v>
      </c>
      <c r="E191" s="226">
        <v>43089.710289351853</v>
      </c>
      <c r="F191" s="226">
        <v>43089.714872685188</v>
      </c>
      <c r="G191" s="225">
        <v>86</v>
      </c>
      <c r="H191" s="227" t="s">
        <v>1068</v>
      </c>
      <c r="I191" s="226">
        <v>43089.7262962963</v>
      </c>
      <c r="J191" s="225">
        <v>0</v>
      </c>
      <c r="K191" s="237" t="str">
        <f t="shared" si="59"/>
        <v>4053/4054</v>
      </c>
      <c r="L191" s="245" t="str">
        <f>VLOOKUP(A191,'Trips&amp;Operators'!$C$1:$G$99911,5,FALSE)</f>
        <v>LEVERE CRAIG</v>
      </c>
      <c r="M191" s="224">
        <f t="shared" si="60"/>
        <v>1.1423611111240461E-2</v>
      </c>
      <c r="N191" s="225">
        <f t="shared" si="78"/>
        <v>16.450000000186265</v>
      </c>
      <c r="O191" s="225"/>
      <c r="P191" s="225"/>
      <c r="Q191" s="228"/>
      <c r="R191" s="242"/>
      <c r="S191" s="249">
        <f t="shared" si="79"/>
        <v>1</v>
      </c>
      <c r="T191" s="242" t="str">
        <f t="shared" si="63"/>
        <v>NorthBound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64"/>
        <v>https://d0f6bd738d7f1b3e5a7ca70fe4ff75f0.us-east-1.aws.found.io/app/kibana#/discover/Steve-Slow-Train-Analysis-(2080s-and-2083s)?_g=(refreshInterval:(display:Off,pause:!f,section:0,value:0),time:(from:'2017-12-20T16:02:49-0700',mode:absolute,to:'2017-12-20T18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1" s="247" t="str">
        <f>IF(AA191&lt;VLOOKUP(AG191,Variables!$AC$3:$AD$8,2,FALSE),"Y","N")</f>
        <v>N</v>
      </c>
      <c r="X191" s="247">
        <f t="shared" si="91"/>
        <v>1</v>
      </c>
      <c r="Y191" s="247">
        <f t="shared" si="89"/>
        <v>4.5499999999999999E-2</v>
      </c>
      <c r="Z191" s="247">
        <f t="shared" si="90"/>
        <v>5.8958000000000004</v>
      </c>
      <c r="AA191" s="247">
        <f t="shared" si="65"/>
        <v>5.8503000000000007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66"/>
        <v>833</v>
      </c>
      <c r="AE191" s="235" t="str">
        <f t="shared" si="67"/>
        <v>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 &amp; 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</v>
      </c>
      <c r="AF191" s="234" t="str">
        <f t="shared" si="68"/>
        <v>"C:\Program Files (x86)\AstroGrep\AstroGrep.exe" /e /r /s /spath="%USERPROFILE%\AppData\Local\Temp\OnboardLogs" /stypes="app*4054*20171221*" /stext=" 00:.+((SYSTEM_STATE.+slice.+state.+changed )|(ment ac)|(multiple cpu faults)|(system.+state.+changed )|(\[timeout)|(PRM\|1\|D)|(kpr)|(kdp)|(train st.+moving)|(\|gpps)|(penalty))"</v>
      </c>
      <c r="AG191" s="244" t="str">
        <f t="shared" si="69"/>
        <v>NW</v>
      </c>
      <c r="AH191" s="236" t="str">
        <f t="shared" si="72"/>
        <v>"%USERPROFILE%\Documents\GitHub\eaglep3\Utilities\RefineRTDCRunTimes.py" --tripid 833-20 --locoid 4054 --swversion DE.1.0.9.0 --startMP 204:455 --initTime 2017-12-20T17:02:49 --startdatetime 2017-12-20T17:09:25 --delay 86 --endMP 300:58958 --enddatetime 2017-12-20T17:25:52 --enforcementcount 0 &gt;&gt;%USERPROFILE%\Documents\GitHub\eaglep3-reporting\EC\2017-12-20-refined-times.txt</v>
      </c>
      <c r="AI191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{"issue":{"subject":"","project_id":79,"tracker_id":40,"status_id":1,"priority_id":2,"assigned_to_id":338,"start_date":"2017-12-20","description":"","custom_fields":[{"id":1,"name":"Subdivision","value":"NW"},{"id":4,"name":"Milepost","value":"5.8958"},{"id":17,"name":"Train ID","value":"833-20"},{"id":16,"name":"Locomotive ID","value":"4054"},{"id":130,"name":"Impact","value":""},{"id":150,"name":"Time of Event (Mountain Time)","value":"17:25:52"},{"id":151,"name":"Denver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1"/>
      <c r="AL191" s="231"/>
      <c r="AM191" s="240" t="str">
        <f t="shared" si="74"/>
        <v>start /low /b %USERPROFILE%\Documents\GitHub\eaglep3\Utilities\DownloadLogsFromS3.py --loco 4054 --day 2017-12-20</v>
      </c>
      <c r="AN191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00:25:52"},{"id":29,"name":"Sharepoint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76"/>
        <v>https://d0f6bd738d7f1b3e5a7ca70fe4ff75f0.us-east-1.aws.found.io/app/kibana#/discover/Steve-Slow-Train-Analysis-(2080s-and-2083s)?_g=(refreshInterval:(display:Off,pause:!f,section:0,value:0),time:(from:'2017-12-20T16:02:49-0700',mode:absolute,to:'2017-12-20T18:25:52-0700'))&amp;_a=(columns:!('Message%20ID',Summary),filters:!(),index:'emp_*',interval:auto,query:(query_string:(analyze_wildcard:!t,query:'%22rtdc.l.rtdc.4054%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29" t="s">
        <v>840</v>
      </c>
      <c r="B192" s="225">
        <v>4053</v>
      </c>
      <c r="C192" s="227" t="s">
        <v>192</v>
      </c>
      <c r="D192" s="227" t="s">
        <v>1080</v>
      </c>
      <c r="E192" s="226">
        <v>43089.728009259263</v>
      </c>
      <c r="F192" s="226">
        <v>43089.737500000003</v>
      </c>
      <c r="G192" s="225">
        <v>109</v>
      </c>
      <c r="H192" s="227" t="s">
        <v>1073</v>
      </c>
      <c r="I192" s="226">
        <v>43089.74690972222</v>
      </c>
      <c r="J192" s="225">
        <v>0</v>
      </c>
      <c r="K192" s="237" t="str">
        <f t="shared" si="59"/>
        <v>4053/4054</v>
      </c>
      <c r="L192" s="245" t="str">
        <f>VLOOKUP(A192,'Trips&amp;Operators'!$C$1:$G$99911,5,FALSE)</f>
        <v>LEVERE CRAIG</v>
      </c>
      <c r="M192" s="224">
        <f t="shared" si="60"/>
        <v>9.4097222172422335E-3</v>
      </c>
      <c r="N192" s="225">
        <f t="shared" si="78"/>
        <v>13.549999992828816</v>
      </c>
      <c r="O192" s="225"/>
      <c r="P192" s="225"/>
      <c r="Q192" s="228"/>
      <c r="R192" s="242"/>
      <c r="S192" s="249">
        <f t="shared" si="79"/>
        <v>1</v>
      </c>
      <c r="T192" s="242" t="str">
        <f t="shared" si="63"/>
        <v>Southbound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64"/>
        <v>https://d0f6bd738d7f1b3e5a7ca70fe4ff75f0.us-east-1.aws.found.io/app/kibana#/discover/Steve-Slow-Train-Analysis-(2080s-and-2083s)?_g=(refreshInterval:(display:Off,pause:!f,section:0,value:0),time:(from:'2017-12-20T16:28:20-0700',mode:absolute,to:'2017-12-20T18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2" s="247" t="str">
        <f>IF(AA192&lt;VLOOKUP(AG192,Variables!$AC$3:$AD$8,2,FALSE),"Y","N")</f>
        <v>N</v>
      </c>
      <c r="X192" s="247">
        <f t="shared" si="91"/>
        <v>1</v>
      </c>
      <c r="Y192" s="247">
        <f t="shared" si="89"/>
        <v>5.8644999999999996</v>
      </c>
      <c r="Z192" s="247">
        <f t="shared" si="90"/>
        <v>1.66E-2</v>
      </c>
      <c r="AA192" s="247">
        <f t="shared" si="65"/>
        <v>5.8478999999999992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66"/>
        <v>834</v>
      </c>
      <c r="AE192" s="235" t="str">
        <f t="shared" si="67"/>
        <v>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 &amp; 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</v>
      </c>
      <c r="AF192" s="234" t="str">
        <f t="shared" si="68"/>
        <v>"C:\Program Files (x86)\AstroGrep\AstroGrep.exe" /e /r /s /spath="%USERPROFILE%\AppData\Local\Temp\OnboardLogs" /stypes="app*4053*20171221*" /stext=" 00:.+((SYSTEM_STATE.+slice.+state.+changed )|(ment ac)|(multiple cpu faults)|(system.+state.+changed )|(\[timeout)|(PRM\|1\|D)|(kpr)|(kdp)|(train st.+moving)|(\|gpps)|(penalty))"</v>
      </c>
      <c r="AG192" s="244" t="str">
        <f t="shared" si="69"/>
        <v>NW</v>
      </c>
      <c r="AH192" s="236" t="str">
        <f t="shared" si="72"/>
        <v>"%USERPROFILE%\Documents\GitHub\eaglep3\Utilities\RefineRTDCRunTimes.py" --tripid 834-20 --locoid 4053 --swversion DE.1.0.9.0 --startMP 300:58645 --initTime 2017-12-20T17:28:20 --startdatetime 2017-12-20T17:42:00 --delay 109 --endMP 204:166 --enddatetime 2017-12-20T17:55:33 --enforcementcount 0 &gt;&gt;%USERPROFILE%\Documents\GitHub\eaglep3-reporting\EC\2017-12-20-refined-times.txt</v>
      </c>
      <c r="AI192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{"issue":{"subject":"","project_id":79,"tracker_id":40,"status_id":1,"priority_id":2,"assigned_to_id":338,"start_date":"2017-12-20","description":"","custom_fields":[{"id":1,"name":"Subdivision","value":"NW"},{"id":4,"name":"Milepost","value":"0.0166"},{"id":17,"name":"Train ID","value":"834-20"},{"id":16,"name":"Locomotive ID","value":"4053"},{"id":130,"name":"Impact","value":""},{"id":150,"name":"Time of Event (Mountain Time)","value":"17:55:33"},{"id":151,"name":"Denver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74"/>
        <v>start /low /b %USERPROFILE%\Documents\GitHub\eaglep3\Utilities\DownloadLogsFromS3.py --loco 4053 --day 2017-12-20</v>
      </c>
      <c r="AN192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00:55:33"},{"id":29,"name":"Sharepoint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76"/>
        <v>https://d0f6bd738d7f1b3e5a7ca70fe4ff75f0.us-east-1.aws.found.io/app/kibana#/discover/Steve-Slow-Train-Analysis-(2080s-and-2083s)?_g=(refreshInterval:(display:Off,pause:!f,section:0,value:0),time:(from:'2017-12-20T16:28:20-0700',mode:absolute,to:'2017-12-20T18:55:33-0700'))&amp;_a=(columns:!('Message%20ID',Summary),filters:!(),index:'emp_*',interval:auto,query:(query_string:(analyze_wildcard:!t,query:'%22rtdc.l.rtdc.4053%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229" t="s">
        <v>841</v>
      </c>
      <c r="B193" s="225">
        <v>4040</v>
      </c>
      <c r="C193" s="227" t="s">
        <v>192</v>
      </c>
      <c r="D193" s="227" t="s">
        <v>1081</v>
      </c>
      <c r="E193" s="226">
        <v>43089.730474537035</v>
      </c>
      <c r="F193" s="226">
        <v>43089.735902777778</v>
      </c>
      <c r="G193" s="225">
        <v>61</v>
      </c>
      <c r="H193" s="227" t="s">
        <v>1071</v>
      </c>
      <c r="I193" s="226">
        <v>43089.74590277778</v>
      </c>
      <c r="J193" s="225">
        <v>0</v>
      </c>
      <c r="K193" s="237" t="str">
        <f t="shared" si="59"/>
        <v>4039/4040</v>
      </c>
      <c r="L193" s="245" t="str">
        <f>VLOOKUP(A193,'Trips&amp;Operators'!$C$1:$G$99911,5,FALSE)</f>
        <v>STAMBAUGH JAMES</v>
      </c>
      <c r="M193" s="224">
        <f t="shared" si="60"/>
        <v>1.0000000002037268E-2</v>
      </c>
      <c r="N193" s="225">
        <f t="shared" si="78"/>
        <v>14.400000002933666</v>
      </c>
      <c r="O193" s="225"/>
      <c r="P193" s="225"/>
      <c r="Q193" s="228"/>
      <c r="R193" s="242"/>
      <c r="S193" s="249">
        <f t="shared" si="79"/>
        <v>1</v>
      </c>
      <c r="T193" s="242" t="str">
        <f t="shared" si="63"/>
        <v>NorthBound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64"/>
        <v>https://d0f6bd738d7f1b3e5a7ca70fe4ff75f0.us-east-1.aws.found.io/app/kibana#/discover/Steve-Slow-Train-Analysis-(2080s-and-2083s)?_g=(refreshInterval:(display:Off,pause:!f,section:0,value:0),time:(from:'2017-12-20T16:31:53-0700',mode:absolute,to:'2017-12-20T18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3" s="247" t="str">
        <f>IF(AA193&lt;VLOOKUP(AG193,Variables!$AC$3:$AD$8,2,FALSE),"Y","N")</f>
        <v>N</v>
      </c>
      <c r="X193" s="247">
        <f t="shared" si="91"/>
        <v>1</v>
      </c>
      <c r="Y193" s="247">
        <f t="shared" si="89"/>
        <v>4.4999999999999998E-2</v>
      </c>
      <c r="Z193" s="247">
        <f t="shared" si="90"/>
        <v>5.8956</v>
      </c>
      <c r="AA193" s="247">
        <f t="shared" si="65"/>
        <v>5.8506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66"/>
        <v>835</v>
      </c>
      <c r="AE193" s="235" t="str">
        <f t="shared" si="67"/>
        <v>aws s3 cp s3://rtdc.mdm.uploadarchive.raw/RTDC4040/ "%USERPROFILE%\AppData\Local\Temp\OnboardLogs"\RTDC4040\2017-12-20 --exclude "*" --recursive --include "*20171220*" &amp; "%USERPROFILE%\Documents\GitHub\mrs-test-scripts\Headless Mode &amp; Sideloading\WalkAndUnGZ.bat" "%USERPROFILE%\AppData\Local\Temp\OnboardLogs"\RTDC4040\2017-12-20 &amp; aws s3 cp s3://rtdc.mdm.uploadarchive.raw/RTDC4040/ "%USERPROFILE%\AppData\Local\Temp\OnboardLogs"\RTDC4040\2017-12-21 --exclude "*" --recursive --include "*20171221*" &amp; "%USERPROFILE%\Documents\GitHub\mrs-test-scripts\Headless Mode &amp; Sideloading\WalkAndUnGZ.bat" "%USERPROFILE%\AppData\Local\Temp\OnboardLogs"\RTDC4040\2017-12-21</v>
      </c>
      <c r="AF193" s="234" t="str">
        <f t="shared" si="68"/>
        <v>"C:\Program Files (x86)\AstroGrep\AstroGrep.exe" /e /r /s /spath="%USERPROFILE%\AppData\Local\Temp\OnboardLogs" /stypes="app*4040*20171221*" /stext=" 00:.+((SYSTEM_STATE.+slice.+state.+changed )|(ment ac)|(multiple cpu faults)|(system.+state.+changed )|(\[timeout)|(PRM\|1\|D)|(kpr)|(kdp)|(train st.+moving)|(\|gpps)|(penalty))"</v>
      </c>
      <c r="AG193" s="244" t="str">
        <f t="shared" si="69"/>
        <v>NW</v>
      </c>
      <c r="AH193" s="236" t="str">
        <f t="shared" si="72"/>
        <v>"%USERPROFILE%\Documents\GitHub\eaglep3\Utilities\RefineRTDCRunTimes.py" --tripid 835-20 --locoid 4040 --swversion DE.1.0.9.0 --startMP 204:450 --initTime 2017-12-20T17:31:53 --startdatetime 2017-12-20T17:39:42 --delay 61 --endMP 300:58956 --enddatetime 2017-12-20T17:54:06 --enforcementcount 0 &gt;&gt;%USERPROFILE%\Documents\GitHub\eaglep3-reporting\EC\2017-12-20-refined-times.txt</v>
      </c>
      <c r="AI193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{"issue":{"subject":"","project_id":79,"tracker_id":40,"status_id":1,"priority_id":2,"assigned_to_id":338,"start_date":"2017-12-20","description":"","custom_fields":[{"id":1,"name":"Subdivision","value":"NW"},{"id":4,"name":"Milepost","value":"5.8956"},{"id":17,"name":"Train ID","value":"835-20"},{"id":16,"name":"Locomotive ID","value":"4040"},{"id":130,"name":"Impact","value":""},{"id":150,"name":"Time of Event (Mountain Time)","value":"17:54:06"},{"id":151,"name":"Denver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3"/>
      <c r="AK193" s="231"/>
      <c r="AL193" s="231"/>
      <c r="AM193" s="240" t="str">
        <f t="shared" si="74"/>
        <v>start /low /b %USERPROFILE%\Documents\GitHub\eaglep3\Utilities\DownloadLogsFromS3.py --loco 4040 --day 2017-12-20</v>
      </c>
      <c r="AN193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00:54:06"},{"id":29,"name":"Sharepoint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76"/>
        <v>https://d0f6bd738d7f1b3e5a7ca70fe4ff75f0.us-east-1.aws.found.io/app/kibana#/discover/Steve-Slow-Train-Analysis-(2080s-and-2083s)?_g=(refreshInterval:(display:Off,pause:!f,section:0,value:0),time:(from:'2017-12-20T16:31:53-0700',mode:absolute,to:'2017-12-20T18:54:06-0700'))&amp;_a=(columns:!('Message%20ID',Summary),filters:!(),index:'emp_*',interval:auto,query:(query_string:(analyze_wildcard:!t,query:'%22rtdc.l.rtdc.4040%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29" t="s">
        <v>846</v>
      </c>
      <c r="B194" s="225">
        <v>4039</v>
      </c>
      <c r="C194" s="227" t="s">
        <v>192</v>
      </c>
      <c r="D194" s="227" t="s">
        <v>1072</v>
      </c>
      <c r="E194" s="226">
        <v>43089.746736111112</v>
      </c>
      <c r="F194" s="226">
        <v>43089.758333333331</v>
      </c>
      <c r="G194" s="225">
        <v>65</v>
      </c>
      <c r="H194" s="227" t="s">
        <v>1073</v>
      </c>
      <c r="I194" s="226">
        <v>43089.767685185187</v>
      </c>
      <c r="J194" s="225">
        <v>0</v>
      </c>
      <c r="K194" s="237" t="str">
        <f t="shared" si="59"/>
        <v>4039/4040</v>
      </c>
      <c r="L194" s="245" t="str">
        <f>VLOOKUP(A194,'Trips&amp;Operators'!$C$1:$G$99911,5,FALSE)</f>
        <v>STAMBAUGH JAMES</v>
      </c>
      <c r="M194" s="224">
        <f t="shared" si="60"/>
        <v>9.3518518551718444E-3</v>
      </c>
      <c r="N194" s="225">
        <f t="shared" si="78"/>
        <v>13.466666671447456</v>
      </c>
      <c r="O194" s="225"/>
      <c r="P194" s="225"/>
      <c r="Q194" s="228"/>
      <c r="R194" s="242"/>
      <c r="S194" s="249">
        <f t="shared" si="79"/>
        <v>1</v>
      </c>
      <c r="T194" s="242" t="str">
        <f t="shared" si="63"/>
        <v>Southbound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 t="shared" si="64"/>
        <v>https://d0f6bd738d7f1b3e5a7ca70fe4ff75f0.us-east-1.aws.found.io/app/kibana#/discover/Steve-Slow-Train-Analysis-(2080s-and-2083s)?_g=(refreshInterval:(display:Off,pause:!f,section:0,value:0),time:(from:'2017-12-20T16:55:18-0700',mode:absolute,to:'2017-12-20T19:25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4" s="247" t="str">
        <f>IF(AA194&lt;VLOOKUP(AG194,Variables!$AC$3:$AD$8,2,FALSE),"Y","N")</f>
        <v>N</v>
      </c>
      <c r="X194" s="247">
        <f t="shared" si="91"/>
        <v>1</v>
      </c>
      <c r="Y194" s="247">
        <f t="shared" si="89"/>
        <v>5.8639999999999999</v>
      </c>
      <c r="Z194" s="247">
        <f t="shared" si="90"/>
        <v>1.66E-2</v>
      </c>
      <c r="AA194" s="247">
        <f t="shared" si="65"/>
        <v>5.8473999999999995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66"/>
        <v>836</v>
      </c>
      <c r="AE194" s="235" t="str">
        <f t="shared" si="67"/>
        <v>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 &amp; aws s3 cp s3://rtdc.mdm.uploadarchive.raw/RTDC4039/ "%USERPROFILE%\AppData\Local\Temp\OnboardLogs"\RTDC4039\2017-12-21 --exclude "*" --recursive --include "*20171221*" &amp; "%USERPROFILE%\Documents\GitHub\mrs-test-scripts\Headless Mode &amp; Sideloading\WalkAndUnGZ.bat" "%USERPROFILE%\AppData\Local\Temp\OnboardLogs"\RTDC4039\2017-12-21</v>
      </c>
      <c r="AF194" s="234" t="str">
        <f t="shared" si="68"/>
        <v>"C:\Program Files (x86)\AstroGrep\AstroGrep.exe" /e /r /s /spath="%USERPROFILE%\AppData\Local\Temp\OnboardLogs" /stypes="app*4039*20171221*" /stext=" 01:.+((SYSTEM_STATE.+slice.+state.+changed )|(ment ac)|(multiple cpu faults)|(system.+state.+changed )|(\[timeout)|(PRM\|1\|D)|(kpr)|(kdp)|(train st.+moving)|(\|gpps)|(penalty))"</v>
      </c>
      <c r="AG194" s="244" t="str">
        <f t="shared" si="69"/>
        <v>NW</v>
      </c>
      <c r="AH194" s="236" t="str">
        <f t="shared" si="72"/>
        <v>"%USERPROFILE%\Documents\GitHub\eaglep3\Utilities\RefineRTDCRunTimes.py" --tripid 836-20 --locoid 4039 --swversion DE.1.0.9.0 --startMP 300:58640 --initTime 2017-12-20T17:55:18 --startdatetime 2017-12-20T18:12:00 --delay 65 --endMP 204:166 --enddatetime 2017-12-20T18:25:28 --enforcementcount 0 &gt;&gt;%USERPROFILE%\Documents\GitHub\eaglep3-reporting\EC\2017-12-20-refined-times.txt</v>
      </c>
      <c r="AI194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{"issue":{"subject":"","project_id":79,"tracker_id":40,"status_id":1,"priority_id":2,"assigned_to_id":338,"start_date":"2017-12-20","description":"","custom_fields":[{"id":1,"name":"Subdivision","value":"NW"},{"id":4,"name":"Milepost","value":"0.0166"},{"id":17,"name":"Train ID","value":"836-20"},{"id":16,"name":"Locomotive ID","value":"4039"},{"id":130,"name":"Impact","value":""},{"id":150,"name":"Time of Event (Mountain Time)","value":"18:25:28"},{"id":151,"name":"Denver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3"/>
      <c r="AK194" s="231"/>
      <c r="AL194" s="231"/>
      <c r="AM194" s="240" t="str">
        <f t="shared" si="74"/>
        <v>start /low /b %USERPROFILE%\Documents\GitHub\eaglep3\Utilities\DownloadLogsFromS3.py --loco 4039 --day 2017-12-20</v>
      </c>
      <c r="AN194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01:25:28"},{"id":29,"name":"Sharepoint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76"/>
        <v>https://d0f6bd738d7f1b3e5a7ca70fe4ff75f0.us-east-1.aws.found.io/app/kibana#/discover/Steve-Slow-Train-Analysis-(2080s-and-2083s)?_g=(refreshInterval:(display:Off,pause:!f,section:0,value:0),time:(from:'2017-12-20T16:55:18-0700',mode:absolute,to:'2017-12-20T19:25:28-0700'))&amp;_a=(columns:!('Message%20ID',Summary),filters:!(),index:'emp_*',interval:auto,query:(query_string:(analyze_wildcard:!t,query:'%22rtdc.l.rtdc.4039%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29" t="s">
        <v>848</v>
      </c>
      <c r="B195" s="225">
        <v>4054</v>
      </c>
      <c r="C195" s="227" t="s">
        <v>192</v>
      </c>
      <c r="D195" s="227" t="s">
        <v>474</v>
      </c>
      <c r="E195" s="226">
        <v>43089.751493055555</v>
      </c>
      <c r="F195" s="226">
        <v>43089.756527777776</v>
      </c>
      <c r="G195" s="225">
        <v>84</v>
      </c>
      <c r="H195" s="227" t="s">
        <v>1059</v>
      </c>
      <c r="I195" s="226">
        <v>43089.76761574074</v>
      </c>
      <c r="J195" s="225">
        <v>0</v>
      </c>
      <c r="K195" s="237" t="str">
        <f t="shared" si="59"/>
        <v>4053/4054</v>
      </c>
      <c r="L195" s="245" t="str">
        <f>VLOOKUP(A195,'Trips&amp;Operators'!$C$1:$G$99911,5,FALSE)</f>
        <v>LEVERE CRAIG</v>
      </c>
      <c r="M195" s="224">
        <f t="shared" si="60"/>
        <v>1.1087962964666076E-2</v>
      </c>
      <c r="N195" s="225">
        <f t="shared" si="78"/>
        <v>15.966666669119149</v>
      </c>
      <c r="O195" s="225"/>
      <c r="P195" s="225"/>
      <c r="Q195" s="228"/>
      <c r="R195" s="242"/>
      <c r="S195" s="249">
        <f t="shared" si="79"/>
        <v>1</v>
      </c>
      <c r="T195" s="242" t="str">
        <f t="shared" si="63"/>
        <v>NorthBound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64"/>
        <v>https://d0f6bd738d7f1b3e5a7ca70fe4ff75f0.us-east-1.aws.found.io/app/kibana#/discover/Steve-Slow-Train-Analysis-(2080s-and-2083s)?_g=(refreshInterval:(display:Off,pause:!f,section:0,value:0),time:(from:'2017-12-20T17:02:09-0700',mode:absolute,to:'2017-12-20T19:25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5" s="247" t="str">
        <f>IF(AA195&lt;VLOOKUP(AG195,Variables!$AC$3:$AD$8,2,FALSE),"Y","N")</f>
        <v>N</v>
      </c>
      <c r="X195" s="247">
        <f t="shared" si="91"/>
        <v>1</v>
      </c>
      <c r="Y195" s="247">
        <v>4.4999999999999998E-2</v>
      </c>
      <c r="Z195" s="247">
        <v>5.8956</v>
      </c>
      <c r="AA195" s="247">
        <f t="shared" si="65"/>
        <v>5.8506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66"/>
        <v>837</v>
      </c>
      <c r="AE195" s="235" t="str">
        <f t="shared" si="67"/>
        <v>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 &amp; 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</v>
      </c>
      <c r="AF195" s="234" t="str">
        <f t="shared" si="68"/>
        <v>"C:\Program Files (x86)\AstroGrep\AstroGrep.exe" /e /r /s /spath="%USERPROFILE%\AppData\Local\Temp\OnboardLogs" /stypes="app*4054*20171221*" /stext=" 01:.+((SYSTEM_STATE.+slice.+state.+changed )|(ment ac)|(multiple cpu faults)|(system.+state.+changed )|(\[timeout)|(PRM\|1\|D)|(kpr)|(kdp)|(train st.+moving)|(\|gpps)|(penalty))"</v>
      </c>
      <c r="AG195" s="244" t="str">
        <f t="shared" si="69"/>
        <v>NW</v>
      </c>
      <c r="AH195" s="236" t="str">
        <f t="shared" si="72"/>
        <v>"%USERPROFILE%\Documents\GitHub\eaglep3\Utilities\RefineRTDCRunTimes.py" --tripid 837-20 --locoid 4054 --swversion DE.1.0.9.0 --startMP 204:442 --initTime 2017-12-20T18:02:09 --startdatetime 2017-12-20T18:09:24 --delay 84 --endMP 204:455 --enddatetime 2017-12-20T18:25:22 --enforcementcount 0 &gt;&gt;%USERPROFILE%\Documents\GitHub\eaglep3-reporting\EC\2017-12-20-refined-times.txt</v>
      </c>
      <c r="AI195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{"issue":{"subject":"","project_id":79,"tracker_id":40,"status_id":1,"priority_id":2,"assigned_to_id":338,"start_date":"2017-12-20","description":"","custom_fields":[{"id":1,"name":"Subdivision","value":"NW"},{"id":4,"name":"Milepost","value":"5.8956"},{"id":17,"name":"Train ID","value":"837-20"},{"id":16,"name":"Locomotive ID","value":"4054"},{"id":130,"name":"Impact","value":""},{"id":150,"name":"Time of Event (Mountain Time)","value":"18:25:22"},{"id":151,"name":"Denver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74"/>
        <v>start /low /b %USERPROFILE%\Documents\GitHub\eaglep3\Utilities\DownloadLogsFromS3.py --loco 4054 --day 2017-12-20</v>
      </c>
      <c r="AN195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01:25:22"},{"id":29,"name":"Sharepoint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76"/>
        <v>https://d0f6bd738d7f1b3e5a7ca70fe4ff75f0.us-east-1.aws.found.io/app/kibana#/discover/Steve-Slow-Train-Analysis-(2080s-and-2083s)?_g=(refreshInterval:(display:Off,pause:!f,section:0,value:0),time:(from:'2017-12-20T17:02:09-0700',mode:absolute,to:'2017-12-20T19:25:22-0700'))&amp;_a=(columns:!('Message%20ID',Summary),filters:!(),index:'emp_*',interval:auto,query:(query_string:(analyze_wildcard:!t,query:'%22rtdc.l.rtdc.4054%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29" t="s">
        <v>853</v>
      </c>
      <c r="B196" s="225">
        <v>4053</v>
      </c>
      <c r="C196" s="227" t="s">
        <v>192</v>
      </c>
      <c r="D196" s="227" t="s">
        <v>1069</v>
      </c>
      <c r="E196" s="226">
        <v>43089.768969907411</v>
      </c>
      <c r="F196" s="226">
        <v>43089.779166666667</v>
      </c>
      <c r="G196" s="225">
        <v>61</v>
      </c>
      <c r="H196" s="227" t="s">
        <v>639</v>
      </c>
      <c r="I196" s="226">
        <v>43089.789340277777</v>
      </c>
      <c r="J196" s="225">
        <v>0</v>
      </c>
      <c r="K196" s="237" t="str">
        <f t="shared" si="59"/>
        <v>4053/4054</v>
      </c>
      <c r="L196" s="245" t="str">
        <f>VLOOKUP(A196,'Trips&amp;Operators'!$C$1:$G$99911,5,FALSE)</f>
        <v>LEVERE CRAIG</v>
      </c>
      <c r="M196" s="224">
        <f t="shared" si="60"/>
        <v>1.0173611110076308E-2</v>
      </c>
      <c r="N196" s="225">
        <f t="shared" si="78"/>
        <v>14.649999998509884</v>
      </c>
      <c r="O196" s="225"/>
      <c r="P196" s="225"/>
      <c r="Q196" s="228"/>
      <c r="R196" s="242"/>
      <c r="S196" s="249">
        <f t="shared" si="79"/>
        <v>1</v>
      </c>
      <c r="T196" s="242" t="str">
        <f t="shared" si="63"/>
        <v>Southbound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 t="shared" si="64"/>
        <v>https://d0f6bd738d7f1b3e5a7ca70fe4ff75f0.us-east-1.aws.found.io/app/kibana#/discover/Steve-Slow-Train-Analysis-(2080s-and-2083s)?_g=(refreshInterval:(display:Off,pause:!f,section:0,value:0),time:(from:'2017-12-20T17:27:19-0700',mode:absolute,to:'2017-12-20T19:56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6" s="247" t="str">
        <f>IF(AA196&lt;VLOOKUP(AG196,Variables!$AC$3:$AD$8,2,FALSE),"Y","N")</f>
        <v>N</v>
      </c>
      <c r="X196" s="247">
        <f t="shared" si="91"/>
        <v>1</v>
      </c>
      <c r="Y196" s="247">
        <f>RIGHT(D196,LEN(D196)-4)/10000</f>
        <v>5.8647</v>
      </c>
      <c r="Z196" s="247">
        <f>RIGHT(H196,LEN(H196)-4)/10000</f>
        <v>1.4800000000000001E-2</v>
      </c>
      <c r="AA196" s="247">
        <f t="shared" si="65"/>
        <v>5.8498999999999999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66"/>
        <v>838</v>
      </c>
      <c r="AE196" s="235" t="str">
        <f t="shared" si="67"/>
        <v>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 &amp; 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</v>
      </c>
      <c r="AF196" s="234" t="str">
        <f t="shared" si="68"/>
        <v>"C:\Program Files (x86)\AstroGrep\AstroGrep.exe" /e /r /s /spath="%USERPROFILE%\AppData\Local\Temp\OnboardLogs" /stypes="app*4053*20171221*" /stext=" 01:.+((SYSTEM_STATE.+slice.+state.+changed )|(ment ac)|(multiple cpu faults)|(system.+state.+changed )|(\[timeout)|(PRM\|1\|D)|(kpr)|(kdp)|(train st.+moving)|(\|gpps)|(penalty))"</v>
      </c>
      <c r="AG196" s="244" t="str">
        <f t="shared" si="69"/>
        <v>NW</v>
      </c>
      <c r="AH196" s="236" t="str">
        <f t="shared" si="72"/>
        <v>"%USERPROFILE%\Documents\GitHub\eaglep3\Utilities\RefineRTDCRunTimes.py" --tripid 838-20 --locoid 4053 --swversion DE.1.0.9.0 --startMP 300:58647 --initTime 2017-12-20T18:27:19 --startdatetime 2017-12-20T18:42:00 --delay 61 --endMP 204:148 --enddatetime 2017-12-20T18:56:39 --enforcementcount 0 &gt;&gt;%USERPROFILE%\Documents\GitHub\eaglep3-reporting\EC\2017-12-20-refined-times.txt</v>
      </c>
      <c r="AI196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{"issue":{"subject":"","project_id":79,"tracker_id":40,"status_id":1,"priority_id":2,"assigned_to_id":338,"start_date":"2017-12-20","description":"","custom_fields":[{"id":1,"name":"Subdivision","value":"NW"},{"id":4,"name":"Milepost","value":"0.0148"},{"id":17,"name":"Train ID","value":"838-20"},{"id":16,"name":"Locomotive ID","value":"4053"},{"id":130,"name":"Impact","value":""},{"id":150,"name":"Time of Event (Mountain Time)","value":"18:56:39"},{"id":151,"name":"Denver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74"/>
        <v>start /low /b %USERPROFILE%\Documents\GitHub\eaglep3\Utilities\DownloadLogsFromS3.py --loco 4053 --day 2017-12-20</v>
      </c>
      <c r="AN196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01:56:39"},{"id":29,"name":"Sharepoint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76"/>
        <v>https://d0f6bd738d7f1b3e5a7ca70fe4ff75f0.us-east-1.aws.found.io/app/kibana#/discover/Steve-Slow-Train-Analysis-(2080s-and-2083s)?_g=(refreshInterval:(display:Off,pause:!f,section:0,value:0),time:(from:'2017-12-20T17:27:19-0700',mode:absolute,to:'2017-12-20T19:56:39-0700'))&amp;_a=(columns:!('Message%20ID',Summary),filters:!(),index:'emp_*',interval:auto,query:(query_string:(analyze_wildcard:!t,query:'%22rtdc.l.rtdc.4053%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29" t="s">
        <v>854</v>
      </c>
      <c r="B197" s="225">
        <v>4040</v>
      </c>
      <c r="C197" s="227" t="s">
        <v>192</v>
      </c>
      <c r="D197" s="227" t="s">
        <v>491</v>
      </c>
      <c r="E197" s="226">
        <v>43089.773784722223</v>
      </c>
      <c r="F197" s="226">
        <v>43089.777361111112</v>
      </c>
      <c r="G197" s="225">
        <v>52</v>
      </c>
      <c r="H197" s="227" t="s">
        <v>564</v>
      </c>
      <c r="I197" s="226">
        <v>43089.78733796296</v>
      </c>
      <c r="J197" s="225">
        <v>0</v>
      </c>
      <c r="K197" s="237" t="str">
        <f t="shared" si="59"/>
        <v>4039/4040</v>
      </c>
      <c r="L197" s="245" t="str">
        <f>VLOOKUP(A197,'Trips&amp;Operators'!$C$1:$G$99911,5,FALSE)</f>
        <v>STAMBAUGH JAMES</v>
      </c>
      <c r="M197" s="224">
        <f t="shared" si="60"/>
        <v>9.9768518484779634E-3</v>
      </c>
      <c r="N197" s="225">
        <f t="shared" si="78"/>
        <v>14.366666661808267</v>
      </c>
      <c r="O197" s="225"/>
      <c r="P197" s="225"/>
      <c r="Q197" s="228"/>
      <c r="R197" s="242"/>
      <c r="S197" s="249">
        <f t="shared" si="79"/>
        <v>1</v>
      </c>
      <c r="T197" s="242" t="str">
        <f t="shared" si="63"/>
        <v>NorthBound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64"/>
        <v>https://d0f6bd738d7f1b3e5a7ca70fe4ff75f0.us-east-1.aws.found.io/app/kibana#/discover/Steve-Slow-Train-Analysis-(2080s-and-2083s)?_g=(refreshInterval:(display:Off,pause:!f,section:0,value:0),time:(from:'2017-12-20T17:34:15-0700',mode:absolute,to:'2017-12-20T19:53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7" s="247" t="str">
        <f>IF(AA197&lt;VLOOKUP(AG197,Variables!$AC$3:$AD$8,2,FALSE),"Y","N")</f>
        <v>N</v>
      </c>
      <c r="X197" s="247">
        <f t="shared" si="91"/>
        <v>1</v>
      </c>
      <c r="Y197" s="247">
        <f>RIGHT(D197,LEN(D197)-4)/10000</f>
        <v>4.5699999999999998E-2</v>
      </c>
      <c r="Z197" s="247">
        <f>RIGHT(H197,LEN(H197)-4)/10000</f>
        <v>5.8929</v>
      </c>
      <c r="AA197" s="247">
        <f t="shared" si="65"/>
        <v>5.8472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66"/>
        <v>839</v>
      </c>
      <c r="AE197" s="235" t="str">
        <f t="shared" si="67"/>
        <v>aws s3 cp s3://rtdc.mdm.uploadarchive.raw/RTDC4040/ "%USERPROFILE%\AppData\Local\Temp\OnboardLogs"\RTDC4040\2017-12-20 --exclude "*" --recursive --include "*20171220*" &amp; "%USERPROFILE%\Documents\GitHub\mrs-test-scripts\Headless Mode &amp; Sideloading\WalkAndUnGZ.bat" "%USERPROFILE%\AppData\Local\Temp\OnboardLogs"\RTDC4040\2017-12-20 &amp; aws s3 cp s3://rtdc.mdm.uploadarchive.raw/RTDC4040/ "%USERPROFILE%\AppData\Local\Temp\OnboardLogs"\RTDC4040\2017-12-21 --exclude "*" --recursive --include "*20171221*" &amp; "%USERPROFILE%\Documents\GitHub\mrs-test-scripts\Headless Mode &amp; Sideloading\WalkAndUnGZ.bat" "%USERPROFILE%\AppData\Local\Temp\OnboardLogs"\RTDC4040\2017-12-21</v>
      </c>
      <c r="AF197" s="234" t="str">
        <f t="shared" si="68"/>
        <v>"C:\Program Files (x86)\AstroGrep\AstroGrep.exe" /e /r /s /spath="%USERPROFILE%\AppData\Local\Temp\OnboardLogs" /stypes="app*4040*20171221*" /stext=" 01:.+((SYSTEM_STATE.+slice.+state.+changed )|(ment ac)|(multiple cpu faults)|(system.+state.+changed )|(\[timeout)|(PRM\|1\|D)|(kpr)|(kdp)|(train st.+moving)|(\|gpps)|(penalty))"</v>
      </c>
      <c r="AG197" s="244" t="str">
        <f t="shared" si="69"/>
        <v>NW</v>
      </c>
      <c r="AH197" s="236" t="str">
        <f t="shared" si="72"/>
        <v>"%USERPROFILE%\Documents\GitHub\eaglep3\Utilities\RefineRTDCRunTimes.py" --tripid 839-20 --locoid 4040 --swversion DE.1.0.9.0 --startMP 204:457 --initTime 2017-12-20T18:34:15 --startdatetime 2017-12-20T18:39:24 --delay 52 --endMP 300:58929 --enddatetime 2017-12-20T18:53:46 --enforcementcount 0 &gt;&gt;%USERPROFILE%\Documents\GitHub\eaglep3-reporting\EC\2017-12-20-refined-times.txt</v>
      </c>
      <c r="AI197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{"issue":{"subject":"","project_id":79,"tracker_id":40,"status_id":1,"priority_id":2,"assigned_to_id":338,"start_date":"2017-12-20","description":"","custom_fields":[{"id":1,"name":"Subdivision","value":"NW"},{"id":4,"name":"Milepost","value":"5.8929"},{"id":17,"name":"Train ID","value":"839-20"},{"id":16,"name":"Locomotive ID","value":"4040"},{"id":130,"name":"Impact","value":""},{"id":150,"name":"Time of Event (Mountain Time)","value":"18:53:46"},{"id":151,"name":"Denver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74"/>
        <v>start /low /b %USERPROFILE%\Documents\GitHub\eaglep3\Utilities\DownloadLogsFromS3.py --loco 4040 --day 2017-12-20</v>
      </c>
      <c r="AN197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01:53:46"},{"id":29,"name":"Sharepoint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76"/>
        <v>https://d0f6bd738d7f1b3e5a7ca70fe4ff75f0.us-east-1.aws.found.io/app/kibana#/discover/Steve-Slow-Train-Analysis-(2080s-and-2083s)?_g=(refreshInterval:(display:Off,pause:!f,section:0,value:0),time:(from:'2017-12-20T17:34:15-0700',mode:absolute,to:'2017-12-20T19:53:46-0700'))&amp;_a=(columns:!('Message%20ID',Summary),filters:!(),index:'emp_*',interval:auto,query:(query_string:(analyze_wildcard:!t,query:'%22rtdc.l.rtdc.4040%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229" t="s">
        <v>865</v>
      </c>
      <c r="B198" s="225">
        <v>4053</v>
      </c>
      <c r="C198" s="227" t="s">
        <v>192</v>
      </c>
      <c r="D198" s="227" t="s">
        <v>1072</v>
      </c>
      <c r="E198" s="226">
        <v>43089.810069444444</v>
      </c>
      <c r="F198" s="226">
        <v>43089.820833333331</v>
      </c>
      <c r="G198" s="225">
        <v>61</v>
      </c>
      <c r="H198" s="227" t="s">
        <v>500</v>
      </c>
      <c r="I198" s="226">
        <v>43089.830891203703</v>
      </c>
      <c r="J198" s="225">
        <v>0</v>
      </c>
      <c r="K198" s="237" t="str">
        <f t="shared" si="59"/>
        <v>4053/4054</v>
      </c>
      <c r="L198" s="245" t="str">
        <f>VLOOKUP(A198,'Trips&amp;Operators'!$C$1:$G$99911,5,FALSE)</f>
        <v>LEVERE CRAIG</v>
      </c>
      <c r="M198" s="224">
        <f t="shared" si="60"/>
        <v>1.0057870371383615E-2</v>
      </c>
      <c r="N198" s="225">
        <f t="shared" si="78"/>
        <v>14.483333334792405</v>
      </c>
      <c r="O198" s="225"/>
      <c r="P198" s="225"/>
      <c r="Q198" s="228"/>
      <c r="R198" s="242"/>
      <c r="S198" s="249">
        <f t="shared" si="79"/>
        <v>1</v>
      </c>
      <c r="T198" s="242" t="str">
        <f t="shared" si="63"/>
        <v>Southbound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 t="shared" si="64"/>
        <v>https://d0f6bd738d7f1b3e5a7ca70fe4ff75f0.us-east-1.aws.found.io/app/kibana#/discover/Steve-Slow-Train-Analysis-(2080s-and-2083s)?_g=(refreshInterval:(display:Off,pause:!f,section:0,value:0),time:(from:'2017-12-20T18:26:30-0700',mode:absolute,to:'2017-12-20T20:56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8" s="247" t="str">
        <f>IF(AA198&lt;VLOOKUP(AG198,Variables!$AC$3:$AD$8,2,FALSE),"Y","N")</f>
        <v>N</v>
      </c>
      <c r="X198" s="247">
        <f t="shared" si="91"/>
        <v>1</v>
      </c>
      <c r="Y198" s="247">
        <f>RIGHT(D198,LEN(D198)-4)/10000</f>
        <v>5.8639999999999999</v>
      </c>
      <c r="Z198" s="247">
        <f>RIGHT(H198,LEN(H198)-4)/10000</f>
        <v>1.5800000000000002E-2</v>
      </c>
      <c r="AA198" s="247">
        <f t="shared" si="65"/>
        <v>5.8482000000000003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66"/>
        <v>840</v>
      </c>
      <c r="AE198" s="235" t="str">
        <f t="shared" si="67"/>
        <v>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 &amp; 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</v>
      </c>
      <c r="AF198" s="234" t="str">
        <f t="shared" si="68"/>
        <v>"C:\Program Files (x86)\AstroGrep\AstroGrep.exe" /e /r /s /spath="%USERPROFILE%\AppData\Local\Temp\OnboardLogs" /stypes="app*4053*20171221*" /stext=" 02:.+((SYSTEM_STATE.+slice.+state.+changed )|(ment ac)|(multiple cpu faults)|(system.+state.+changed )|(\[timeout)|(PRM\|1\|D)|(kpr)|(kdp)|(train st.+moving)|(\|gpps)|(penalty))"</v>
      </c>
      <c r="AG198" s="244" t="str">
        <f t="shared" si="69"/>
        <v>NW</v>
      </c>
      <c r="AH198" s="236" t="str">
        <f t="shared" si="72"/>
        <v>"%USERPROFILE%\Documents\GitHub\eaglep3\Utilities\RefineRTDCRunTimes.py" --tripid 840-20 --locoid 4053 --swversion DE.1.0.9.0 --startMP 300:58640 --initTime 2017-12-20T19:26:30 --startdatetime 2017-12-20T19:42:00 --delay 61 --endMP 204:158 --enddatetime 2017-12-20T19:56:29 --enforcementcount 0 &gt;&gt;%USERPROFILE%\Documents\GitHub\eaglep3-reporting\EC\2017-12-20-refined-times.txt</v>
      </c>
      <c r="AI198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{"issue":{"subject":"","project_id":79,"tracker_id":40,"status_id":1,"priority_id":2,"assigned_to_id":338,"start_date":"2017-12-20","description":"","custom_fields":[{"id":1,"name":"Subdivision","value":"NW"},{"id":4,"name":"Milepost","value":"0.0158"},{"id":17,"name":"Train ID","value":"840-20"},{"id":16,"name":"Locomotive ID","value":"4053"},{"id":130,"name":"Impact","value":""},{"id":150,"name":"Time of Event (Mountain Time)","value":"19:56:29"},{"id":151,"name":"Denver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3"/>
      <c r="AK198" s="231"/>
      <c r="AL198" s="231"/>
      <c r="AM198" s="240" t="str">
        <f t="shared" si="74"/>
        <v>start /low /b %USERPROFILE%\Documents\GitHub\eaglep3\Utilities\DownloadLogsFromS3.py --loco 4053 --day 2017-12-20</v>
      </c>
      <c r="AN198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02:56:29"},{"id":29,"name":"Sharepoint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76"/>
        <v>https://d0f6bd738d7f1b3e5a7ca70fe4ff75f0.us-east-1.aws.found.io/app/kibana#/discover/Steve-Slow-Train-Analysis-(2080s-and-2083s)?_g=(refreshInterval:(display:Off,pause:!f,section:0,value:0),time:(from:'2017-12-20T18:26:30-0700',mode:absolute,to:'2017-12-20T20:56:29-0700'))&amp;_a=(columns:!('Message%20ID',Summary),filters:!(),index:'emp_*',interval:auto,query:(query_string:(analyze_wildcard:!t,query:'%22rtdc.l.rtdc.4053%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29" t="s">
        <v>861</v>
      </c>
      <c r="B199" s="225">
        <v>4054</v>
      </c>
      <c r="C199" s="227" t="s">
        <v>192</v>
      </c>
      <c r="D199" s="227" t="s">
        <v>492</v>
      </c>
      <c r="E199" s="226">
        <v>43089.794664351852</v>
      </c>
      <c r="F199" s="226">
        <v>43089.798136574071</v>
      </c>
      <c r="G199" s="225">
        <v>81</v>
      </c>
      <c r="H199" s="227" t="s">
        <v>1082</v>
      </c>
      <c r="I199" s="226">
        <v>43089.808657407404</v>
      </c>
      <c r="J199" s="225">
        <v>0</v>
      </c>
      <c r="K199" s="237" t="str">
        <f t="shared" si="59"/>
        <v>4053/4054</v>
      </c>
      <c r="L199" s="245" t="str">
        <f>VLOOKUP(A199,'Trips&amp;Operators'!$C$1:$G$99911,5,FALSE)</f>
        <v>LEVERE CRAIG</v>
      </c>
      <c r="M199" s="224">
        <f t="shared" si="60"/>
        <v>1.0520833333430346E-2</v>
      </c>
      <c r="N199" s="225">
        <f t="shared" si="78"/>
        <v>15.150000000139698</v>
      </c>
      <c r="O199" s="225"/>
      <c r="P199" s="225"/>
      <c r="Q199" s="228"/>
      <c r="R199" s="242"/>
      <c r="S199" s="249">
        <f t="shared" si="79"/>
        <v>1</v>
      </c>
      <c r="T199" s="242" t="str">
        <f t="shared" si="63"/>
        <v>NorthBound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64"/>
        <v>https://d0f6bd738d7f1b3e5a7ca70fe4ff75f0.us-east-1.aws.found.io/app/kibana#/discover/Steve-Slow-Train-Analysis-(2080s-and-2083s)?_g=(refreshInterval:(display:Off,pause:!f,section:0,value:0),time:(from:'2017-12-20T18:04:19-0700',mode:absolute,to:'2017-12-20T20:24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9" s="247" t="str">
        <f>IF(AA199&lt;VLOOKUP(AG199,Variables!$AC$3:$AD$8,2,FALSE),"Y","N")</f>
        <v>N</v>
      </c>
      <c r="X199" s="247">
        <f t="shared" si="91"/>
        <v>1</v>
      </c>
      <c r="Y199" s="247">
        <f>RIGHT(D199,LEN(D199)-4)/10000</f>
        <v>4.6199999999999998E-2</v>
      </c>
      <c r="Z199" s="247">
        <f>RIGHT(H199,LEN(H199)-4)/10000</f>
        <v>5.8948</v>
      </c>
      <c r="AA199" s="247">
        <f t="shared" si="65"/>
        <v>5.8486000000000002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66"/>
        <v>841</v>
      </c>
      <c r="AE199" s="235" t="str">
        <f t="shared" si="67"/>
        <v>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 &amp; 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</v>
      </c>
      <c r="AF199" s="234" t="str">
        <f t="shared" si="68"/>
        <v>"C:\Program Files (x86)\AstroGrep\AstroGrep.exe" /e /r /s /spath="%USERPROFILE%\AppData\Local\Temp\OnboardLogs" /stypes="app*4054*20171221*" /stext=" 02:.+((SYSTEM_STATE.+slice.+state.+changed )|(ment ac)|(multiple cpu faults)|(system.+state.+changed )|(\[timeout)|(PRM\|1\|D)|(kpr)|(kdp)|(train st.+moving)|(\|gpps)|(penalty))"</v>
      </c>
      <c r="AG199" s="244" t="str">
        <f t="shared" si="69"/>
        <v>NW</v>
      </c>
      <c r="AH199" s="236" t="str">
        <f t="shared" si="72"/>
        <v>"%USERPROFILE%\Documents\GitHub\eaglep3\Utilities\RefineRTDCRunTimes.py" --tripid 841-20 --locoid 4054 --swversion DE.1.0.9.0 --startMP 204:462 --initTime 2017-12-20T19:04:19 --startdatetime 2017-12-20T19:09:19 --delay 81 --endMP 300:58948 --enddatetime 2017-12-20T19:24:28 --enforcementcount 0 &gt;&gt;%USERPROFILE%\Documents\GitHub\eaglep3-reporting\EC\2017-12-20-refined-times.txt</v>
      </c>
      <c r="AI199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{"issue":{"subject":"","project_id":79,"tracker_id":40,"status_id":1,"priority_id":2,"assigned_to_id":338,"start_date":"2017-12-20","description":"","custom_fields":[{"id":1,"name":"Subdivision","value":"NW"},{"id":4,"name":"Milepost","value":"5.8948"},{"id":17,"name":"Train ID","value":"841-20"},{"id":16,"name":"Locomotive ID","value":"4054"},{"id":130,"name":"Impact","value":""},{"id":150,"name":"Time of Event (Mountain Time)","value":"19:24:28"},{"id":151,"name":"Denver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74"/>
        <v>start /low /b %USERPROFILE%\Documents\GitHub\eaglep3\Utilities\DownloadLogsFromS3.py --loco 4054 --day 2017-12-20</v>
      </c>
      <c r="AN199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02:24:28"},{"id":29,"name":"Sharepoint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76"/>
        <v>https://d0f6bd738d7f1b3e5a7ca70fe4ff75f0.us-east-1.aws.found.io/app/kibana#/discover/Steve-Slow-Train-Analysis-(2080s-and-2083s)?_g=(refreshInterval:(display:Off,pause:!f,section:0,value:0),time:(from:'2017-12-20T18:04:19-0700',mode:absolute,to:'2017-12-20T20:24:28-0700'))&amp;_a=(columns:!('Message%20ID',Summary),filters:!(),index:'emp_*',interval:auto,query:(query_string:(analyze_wildcard:!t,query:'%22rtdc.l.rtdc.4054%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29" t="s">
        <v>871</v>
      </c>
      <c r="B200" s="225">
        <v>4053</v>
      </c>
      <c r="C200" s="227" t="s">
        <v>192</v>
      </c>
      <c r="D200" s="227" t="s">
        <v>1058</v>
      </c>
      <c r="E200" s="226">
        <v>43089.852152777778</v>
      </c>
      <c r="F200" s="226">
        <v>43089.862500000003</v>
      </c>
      <c r="G200" s="225">
        <v>54</v>
      </c>
      <c r="H200" s="227" t="s">
        <v>500</v>
      </c>
      <c r="I200" s="226">
        <v>43089.871944444443</v>
      </c>
      <c r="J200" s="225">
        <v>0</v>
      </c>
      <c r="K200" s="237" t="str">
        <f t="shared" si="59"/>
        <v>4053/4054</v>
      </c>
      <c r="L200" s="245" t="str">
        <f>VLOOKUP(A200,'Trips&amp;Operators'!$C$1:$G$99911,5,FALSE)</f>
        <v>LEVERE CRAIG</v>
      </c>
      <c r="M200" s="224">
        <f t="shared" si="60"/>
        <v>9.444444440305233E-3</v>
      </c>
      <c r="N200" s="225">
        <f t="shared" si="78"/>
        <v>13.599999994039536</v>
      </c>
      <c r="O200" s="225"/>
      <c r="P200" s="225"/>
      <c r="Q200" s="228"/>
      <c r="R200" s="242"/>
      <c r="S200" s="249">
        <f t="shared" si="79"/>
        <v>1</v>
      </c>
      <c r="T200" s="242" t="str">
        <f t="shared" si="63"/>
        <v>Southbound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 t="shared" si="64"/>
        <v>https://d0f6bd738d7f1b3e5a7ca70fe4ff75f0.us-east-1.aws.found.io/app/kibana#/discover/Steve-Slow-Train-Analysis-(2080s-and-2083s)?_g=(refreshInterval:(display:Off,pause:!f,section:0,value:0),time:(from:'2017-12-20T19:27:06-0700',mode:absolute,to:'2017-12-20T21:55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0" s="247" t="str">
        <f>IF(AA200&lt;VLOOKUP(AG200,Variables!$AC$3:$AD$8,2,FALSE),"Y","N")</f>
        <v>N</v>
      </c>
      <c r="X200" s="247">
        <f t="shared" si="91"/>
        <v>1</v>
      </c>
      <c r="Y200" s="247">
        <f>RIGHT(D200,LEN(D200)-4)/10000</f>
        <v>5.8651</v>
      </c>
      <c r="Z200" s="247">
        <f>RIGHT(H200,LEN(H200)-4)/10000</f>
        <v>1.5800000000000002E-2</v>
      </c>
      <c r="AA200" s="247">
        <f t="shared" si="65"/>
        <v>5.8493000000000004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66"/>
        <v>842</v>
      </c>
      <c r="AE200" s="235" t="str">
        <f t="shared" si="67"/>
        <v>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 &amp; 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</v>
      </c>
      <c r="AF200" s="234" t="str">
        <f t="shared" si="68"/>
        <v>"C:\Program Files (x86)\AstroGrep\AstroGrep.exe" /e /r /s /spath="%USERPROFILE%\AppData\Local\Temp\OnboardLogs" /stypes="app*4053*20171221*" /stext=" 03:.+((SYSTEM_STATE.+slice.+state.+changed )|(ment ac)|(multiple cpu faults)|(system.+state.+changed )|(\[timeout)|(PRM\|1\|D)|(kpr)|(kdp)|(train st.+moving)|(\|gpps)|(penalty))"</v>
      </c>
      <c r="AG200" s="244" t="str">
        <f t="shared" si="69"/>
        <v>NW</v>
      </c>
      <c r="AH200" s="236" t="str">
        <f t="shared" si="72"/>
        <v>"%USERPROFILE%\Documents\GitHub\eaglep3\Utilities\RefineRTDCRunTimes.py" --tripid 842-20 --locoid 4053 --swversion DE.1.0.9.0 --startMP 300:58651 --initTime 2017-12-20T20:27:06 --startdatetime 2017-12-20T20:42:00 --delay 54 --endMP 204:158 --enddatetime 2017-12-20T20:55:36 --enforcementcount 0 &gt;&gt;%USERPROFILE%\Documents\GitHub\eaglep3-reporting\EC\2017-12-20-refined-times.txt</v>
      </c>
      <c r="AI200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{"issue":{"subject":"","project_id":79,"tracker_id":40,"status_id":1,"priority_id":2,"assigned_to_id":338,"start_date":"2017-12-20","description":"","custom_fields":[{"id":1,"name":"Subdivision","value":"NW"},{"id":4,"name":"Milepost","value":"0.0158"},{"id":17,"name":"Train ID","value":"842-20"},{"id":16,"name":"Locomotive ID","value":"4053"},{"id":130,"name":"Impact","value":""},{"id":150,"name":"Time of Event (Mountain Time)","value":"20:55:36"},{"id":151,"name":"Denver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74"/>
        <v>start /low /b %USERPROFILE%\Documents\GitHub\eaglep3\Utilities\DownloadLogsFromS3.py --loco 4053 --day 2017-12-20</v>
      </c>
      <c r="AN200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03:55:36"},{"id":29,"name":"Sharepoint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76"/>
        <v>https://d0f6bd738d7f1b3e5a7ca70fe4ff75f0.us-east-1.aws.found.io/app/kibana#/discover/Steve-Slow-Train-Analysis-(2080s-and-2083s)?_g=(refreshInterval:(display:Off,pause:!f,section:0,value:0),time:(from:'2017-12-20T19:27:06-0700',mode:absolute,to:'2017-12-20T21:55:36-0700'))&amp;_a=(columns:!('Message%20ID',Summary),filters:!(),index:'emp_*',interval:auto,query:(query_string:(analyze_wildcard:!t,query:'%22rtdc.l.rtdc.4053%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3" customFormat="1" x14ac:dyDescent="0.25">
      <c r="A201" s="229" t="s">
        <v>869</v>
      </c>
      <c r="B201" s="225">
        <v>4054</v>
      </c>
      <c r="C201" s="227" t="s">
        <v>192</v>
      </c>
      <c r="D201" s="227" t="s">
        <v>1058</v>
      </c>
      <c r="E201" s="226">
        <v>43089.852152777778</v>
      </c>
      <c r="F201" s="226">
        <v>43089.839907407404</v>
      </c>
      <c r="G201" s="225">
        <v>54</v>
      </c>
      <c r="H201" s="227" t="s">
        <v>500</v>
      </c>
      <c r="I201" s="226">
        <v>43089.850393518522</v>
      </c>
      <c r="J201" s="225">
        <v>0</v>
      </c>
      <c r="K201" s="237" t="str">
        <f t="shared" si="59"/>
        <v>4053/4054</v>
      </c>
      <c r="L201" s="245" t="str">
        <f>VLOOKUP(A201,'Trips&amp;Operators'!$C$1:$G$99911,5,FALSE)</f>
        <v>LEVERE CRAIG</v>
      </c>
      <c r="M201" s="224">
        <f t="shared" si="60"/>
        <v>1.0486111117643304E-2</v>
      </c>
      <c r="N201" s="225">
        <f t="shared" si="78"/>
        <v>15.100000009406358</v>
      </c>
      <c r="O201" s="225"/>
      <c r="P201" s="225"/>
      <c r="Q201" s="228"/>
      <c r="R201" s="242"/>
      <c r="S201" s="249">
        <f t="shared" si="79"/>
        <v>1</v>
      </c>
      <c r="T201" s="242" t="str">
        <f t="shared" si="63"/>
        <v>NorthBound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64"/>
        <v>https://d0f6bd738d7f1b3e5a7ca70fe4ff75f0.us-east-1.aws.found.io/app/kibana#/discover/Steve-Slow-Train-Analysis-(2080s-and-2083s)?_g=(refreshInterval:(display:Off,pause:!f,section:0,value:0),time:(from:'2017-12-20T19:27:06-0700',mode:absolute,to:'2017-12-20T21:24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1" s="247" t="str">
        <f>IF(AA201&lt;VLOOKUP(AG201,Variables!$AC$3:$AD$8,2,FALSE),"Y","N")</f>
        <v>N</v>
      </c>
      <c r="X201" s="247">
        <f t="shared" si="91"/>
        <v>1</v>
      </c>
      <c r="Y201" s="247">
        <v>4.6199999999999998E-2</v>
      </c>
      <c r="Z201" s="247">
        <v>5.8948</v>
      </c>
      <c r="AA201" s="247">
        <f t="shared" si="65"/>
        <v>5.8486000000000002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66"/>
        <v>843</v>
      </c>
      <c r="AE201" s="235" t="str">
        <f t="shared" si="67"/>
        <v>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 &amp; 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</v>
      </c>
      <c r="AF201" s="234" t="str">
        <f t="shared" si="68"/>
        <v>"C:\Program Files (x86)\AstroGrep\AstroGrep.exe" /e /r /s /spath="%USERPROFILE%\AppData\Local\Temp\OnboardLogs" /stypes="app*4054*20171221*" /stext=" 03:.+((SYSTEM_STATE.+slice.+state.+changed )|(ment ac)|(multiple cpu faults)|(system.+state.+changed )|(\[timeout)|(PRM\|1\|D)|(kpr)|(kdp)|(train st.+moving)|(\|gpps)|(penalty))"</v>
      </c>
      <c r="AG201" s="244" t="str">
        <f t="shared" si="69"/>
        <v>NW</v>
      </c>
      <c r="AH201" s="236" t="str">
        <f t="shared" ref="AH201" si="92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843-20 --locoid 4054 --swversion DE.1.0.9.0 --startMP 300:58651 --initTime 2017-12-20T20:27:06 --startdatetime 2017-12-20T20:09:28 --delay 54 --endMP 204:158 --enddatetime 2017-12-20T20:24:34 --enforcementcount 0 &gt;&gt;%USERPROFILE%\Documents\GitHub\eaglep3-reporting\EC\2017-12-20-refined-times.txt</v>
      </c>
      <c r="AI201" s="238" t="str">
        <f t="shared" ref="AI201" si="93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{"issue":{"subject":"","project_id":79,"tracker_id":40,"status_id":1,"priority_id":2,"assigned_to_id":338,"start_date":"2017-12-20","description":"","custom_fields":[{"id":1,"name":"Subdivision","value":"NW"},{"id":4,"name":"Milepost","value":"5.8948"},{"id":17,"name":"Train ID","value":"843-20"},{"id":16,"name":"Locomotive ID","value":"4054"},{"id":130,"name":"Impact","value":""},{"id":150,"name":"Time of Event (Mountain Time)","value":"20:24:34"},{"id":151,"name":"Denver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1"/>
      <c r="AL201" s="231"/>
      <c r="AM201" s="240" t="str">
        <f t="shared" ref="AM201" si="94">"start /low /b "&amp;dls3logs&amp;" --loco "&amp;B201&amp;" --day "&amp;TEXT(F201,"YYYY-MM-DD")</f>
        <v>start /low /b %USERPROFILE%\Documents\GitHub\eaglep3\Utilities\DownloadLogsFromS3.py --loco 4054 --day 2017-12-20</v>
      </c>
      <c r="AN201" s="241" t="str">
        <f t="shared" ref="AN201" si="95">"echo {""issue"":{""subject"":"""&amp;R201&amp;""",""project_id"":30,""tracker_id"":4,""status_id"":"&amp;redmine_status_wcr&amp;",""priority_id"":"&amp;redmine_priority_wcr&amp;",""assigned_to_id"":"&amp;redmine_assignee_wcr&amp;",""start_date"":"""&amp;TEXT(I201-utc_offset/24,"YYYY-mm-dd")&amp;""",""description"":"""&amp;AJ201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03:24:34"},{"id":29,"name":"Sharepoint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ref="AO201" si="96"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Message%20ID',Summary),filters:!(),index:'emp_*',interval:auto,query:"&amp;"(query_string:(analyze_wildcard:!t,query:'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-12-20T19:27:06-0700',mode:absolute,to:'2017-12-20T21:24:34-0700'))&amp;_a=(columns:!('Message%20ID',Summary),filters:!(),index:'emp_*',interval:auto,query:(query_string:(analyze_wildcard:!t,query:'%22rtdc.l.rtdc.4054%22')),sort:!(Time.ISO8601,asc))</v>
      </c>
    </row>
    <row r="202" spans="1:91" s="20" customFormat="1" x14ac:dyDescent="0.25">
      <c r="A202" s="229" t="s">
        <v>876</v>
      </c>
      <c r="B202" s="225">
        <v>4053</v>
      </c>
      <c r="C202" s="227" t="s">
        <v>192</v>
      </c>
      <c r="D202" s="227" t="s">
        <v>567</v>
      </c>
      <c r="E202" s="226">
        <v>43089.892268518517</v>
      </c>
      <c r="F202" s="226">
        <v>43089.904166666667</v>
      </c>
      <c r="G202" s="225">
        <v>57</v>
      </c>
      <c r="H202" s="227" t="s">
        <v>566</v>
      </c>
      <c r="I202" s="226">
        <v>43089.912476851852</v>
      </c>
      <c r="J202" s="225">
        <v>0</v>
      </c>
      <c r="K202" s="237" t="str">
        <f t="shared" si="59"/>
        <v>4053/4054</v>
      </c>
      <c r="L202" s="245" t="str">
        <f>VLOOKUP(A202,'Trips&amp;Operators'!$C$1:$G$99911,5,FALSE)</f>
        <v>STAMBAUGH JAMES</v>
      </c>
      <c r="M202" s="224">
        <f t="shared" si="60"/>
        <v>8.3101851851097308E-3</v>
      </c>
      <c r="N202" s="225">
        <f t="shared" si="78"/>
        <v>11.966666666558012</v>
      </c>
      <c r="O202" s="225"/>
      <c r="P202" s="225"/>
      <c r="Q202" s="228"/>
      <c r="R202" s="242"/>
      <c r="S202" s="249">
        <f t="shared" si="79"/>
        <v>1</v>
      </c>
      <c r="T202" s="242" t="str">
        <f t="shared" si="63"/>
        <v>Southbound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 t="shared" si="64"/>
        <v>https://d0f6bd738d7f1b3e5a7ca70fe4ff75f0.us-east-1.aws.found.io/app/kibana#/discover/Steve-Slow-Train-Analysis-(2080s-and-2083s)?_g=(refreshInterval:(display:Off,pause:!f,section:0,value:0),time:(from:'2017-12-20T20:24:52-0700',mode:absolute,to:'2017-12-20T22:53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2" s="247" t="str">
        <f>IF(AA202&lt;VLOOKUP(AG202,Variables!$AC$3:$AD$8,2,FALSE),"Y","N")</f>
        <v>N</v>
      </c>
      <c r="X202" s="247">
        <f t="shared" si="91"/>
        <v>1</v>
      </c>
      <c r="Y202" s="247">
        <f>RIGHT(D202,LEN(D202)-4)/10000</f>
        <v>5.8623000000000003</v>
      </c>
      <c r="Z202" s="247">
        <f>RIGHT(H202,LEN(H202)-4)/10000</f>
        <v>1.3299999999999999E-2</v>
      </c>
      <c r="AA202" s="247">
        <f t="shared" si="65"/>
        <v>5.8490000000000002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si="66"/>
        <v>844</v>
      </c>
      <c r="AE202" s="235" t="str">
        <f t="shared" si="67"/>
        <v>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 &amp; 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</v>
      </c>
      <c r="AF202" s="234" t="str">
        <f t="shared" si="68"/>
        <v>"C:\Program Files (x86)\AstroGrep\AstroGrep.exe" /e /r /s /spath="%USERPROFILE%\AppData\Local\Temp\OnboardLogs" /stypes="app*4053*20171221*" /stext=" 04:.+((SYSTEM_STATE.+slice.+state.+changed )|(ment ac)|(multiple cpu faults)|(system.+state.+changed )|(\[timeout)|(PRM\|1\|D)|(kpr)|(kdp)|(train st.+moving)|(\|gpps)|(penalty))"</v>
      </c>
      <c r="AG202" s="244" t="str">
        <f t="shared" si="69"/>
        <v>NW</v>
      </c>
      <c r="AH202" s="236" t="str">
        <f t="shared" si="72"/>
        <v>"%USERPROFILE%\Documents\GitHub\eaglep3\Utilities\RefineRTDCRunTimes.py" --tripid 844-20 --locoid 4053 --swversion DE.1.0.9.0 --startMP 300:58623 --initTime 2017-12-20T21:24:52 --startdatetime 2017-12-20T21:42:00 --delay 57 --endMP 204:133 --enddatetime 2017-12-20T21:53:58 --enforcementcount 0 &gt;&gt;%USERPROFILE%\Documents\GitHub\eaglep3-reporting\EC\2017-12-20-refined-times.txt</v>
      </c>
      <c r="AI202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{"issue":{"subject":"","project_id":79,"tracker_id":40,"status_id":1,"priority_id":2,"assigned_to_id":338,"start_date":"2017-12-20","description":"","custom_fields":[{"id":1,"name":"Subdivision","value":"NW"},{"id":4,"name":"Milepost","value":"0.0133"},{"id":17,"name":"Train ID","value":"844-20"},{"id":16,"name":"Locomotive ID","value":"4053"},{"id":130,"name":"Impact","value":""},{"id":150,"name":"Time of Event (Mountain Time)","value":"21:53:58"},{"id":151,"name":"Denver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74"/>
        <v>start /low /b %USERPROFILE%\Documents\GitHub\eaglep3\Utilities\DownloadLogsFromS3.py --loco 4053 --day 2017-12-20</v>
      </c>
      <c r="AN202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04:53:58"},{"id":29,"name":"Sharepoint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76"/>
        <v>https://d0f6bd738d7f1b3e5a7ca70fe4ff75f0.us-east-1.aws.found.io/app/kibana#/discover/Steve-Slow-Train-Analysis-(2080s-and-2083s)?_g=(refreshInterval:(display:Off,pause:!f,section:0,value:0),time:(from:'2017-12-20T20:24:52-0700',mode:absolute,to:'2017-12-20T22:53:58-0700'))&amp;_a=(columns:!('Message%20ID',Summary),filters:!(),index:'emp_*',interval:auto,query:(query_string:(analyze_wildcard:!t,query:'%22rtdc.l.rtdc.4053%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29" t="s">
        <v>874</v>
      </c>
      <c r="B203" s="225">
        <v>4054</v>
      </c>
      <c r="C203" s="227" t="s">
        <v>192</v>
      </c>
      <c r="D203" s="227" t="s">
        <v>596</v>
      </c>
      <c r="E203" s="226">
        <v>43089.878460648149</v>
      </c>
      <c r="F203" s="226">
        <v>43089.881620370368</v>
      </c>
      <c r="G203" s="225">
        <v>91</v>
      </c>
      <c r="H203" s="227" t="s">
        <v>646</v>
      </c>
      <c r="I203" s="226">
        <v>43089.890821759262</v>
      </c>
      <c r="J203" s="225">
        <v>0</v>
      </c>
      <c r="K203" s="237" t="str">
        <f t="shared" si="59"/>
        <v>4053/4054</v>
      </c>
      <c r="L203" s="245" t="str">
        <f>VLOOKUP(A203,'Trips&amp;Operators'!$C$1:$G$99911,5,FALSE)</f>
        <v>STAMBAUGH JAMES</v>
      </c>
      <c r="M203" s="224">
        <f t="shared" si="60"/>
        <v>9.2013888934161514E-3</v>
      </c>
      <c r="N203" s="225">
        <f t="shared" si="78"/>
        <v>13.250000006519258</v>
      </c>
      <c r="O203" s="225"/>
      <c r="P203" s="225"/>
      <c r="Q203" s="228"/>
      <c r="R203" s="242"/>
      <c r="S203" s="249">
        <f t="shared" si="79"/>
        <v>1</v>
      </c>
      <c r="T203" s="242" t="str">
        <f t="shared" si="63"/>
        <v>NorthBound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64"/>
        <v>https://d0f6bd738d7f1b3e5a7ca70fe4ff75f0.us-east-1.aws.found.io/app/kibana#/discover/Steve-Slow-Train-Analysis-(2080s-and-2083s)?_g=(refreshInterval:(display:Off,pause:!f,section:0,value:0),time:(from:'2017-12-20T20:04:59-0700',mode:absolute,to:'2017-12-20T22:22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3" s="247" t="str">
        <f>IF(AA203&lt;VLOOKUP(AG203,Variables!$AC$3:$AD$8,2,FALSE),"Y","N")</f>
        <v>N</v>
      </c>
      <c r="X203" s="247">
        <f t="shared" si="91"/>
        <v>1</v>
      </c>
      <c r="Y203" s="247">
        <f>RIGHT(D203,LEN(D203)-4)/10000</f>
        <v>4.6399999999999997E-2</v>
      </c>
      <c r="Z203" s="247">
        <f>RIGHT(H203,LEN(H203)-4)/10000</f>
        <v>5.8939000000000004</v>
      </c>
      <c r="AA203" s="247">
        <f t="shared" si="65"/>
        <v>5.8475000000000001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66"/>
        <v>845</v>
      </c>
      <c r="AE203" s="235" t="str">
        <f t="shared" si="67"/>
        <v>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 &amp; 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</v>
      </c>
      <c r="AF203" s="234" t="str">
        <f t="shared" si="68"/>
        <v>"C:\Program Files (x86)\AstroGrep\AstroGrep.exe" /e /r /s /spath="%USERPROFILE%\AppData\Local\Temp\OnboardLogs" /stypes="app*4054*20171221*" /stext=" 04:.+((SYSTEM_STATE.+slice.+state.+changed )|(ment ac)|(multiple cpu faults)|(system.+state.+changed )|(\[timeout)|(PRM\|1\|D)|(kpr)|(kdp)|(train st.+moving)|(\|gpps)|(penalty))"</v>
      </c>
      <c r="AG203" s="244" t="str">
        <f t="shared" si="69"/>
        <v>NW</v>
      </c>
      <c r="AH203" s="236" t="str">
        <f t="shared" si="72"/>
        <v>"%USERPROFILE%\Documents\GitHub\eaglep3\Utilities\RefineRTDCRunTimes.py" --tripid 845-20 --locoid 4054 --swversion DE.1.0.9.0 --startMP 204:464 --initTime 2017-12-20T21:04:59 --startdatetime 2017-12-20T21:09:32 --delay 91 --endMP 300:58939 --enddatetime 2017-12-20T21:22:47 --enforcementcount 0 &gt;&gt;%USERPROFILE%\Documents\GitHub\eaglep3-reporting\EC\2017-12-20-refined-times.txt</v>
      </c>
      <c r="AI203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{"issue":{"subject":"","project_id":79,"tracker_id":40,"status_id":1,"priority_id":2,"assigned_to_id":338,"start_date":"2017-12-20","description":"","custom_fields":[{"id":1,"name":"Subdivision","value":"NW"},{"id":4,"name":"Milepost","value":"5.8939"},{"id":17,"name":"Train ID","value":"845-20"},{"id":16,"name":"Locomotive ID","value":"4054"},{"id":130,"name":"Impact","value":""},{"id":150,"name":"Time of Event (Mountain Time)","value":"21:22:47"},{"id":151,"name":"Denver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74"/>
        <v>start /low /b %USERPROFILE%\Documents\GitHub\eaglep3\Utilities\DownloadLogsFromS3.py --loco 4054 --day 2017-12-20</v>
      </c>
      <c r="AN203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04:22:47"},{"id":29,"name":"Sharepoint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76"/>
        <v>https://d0f6bd738d7f1b3e5a7ca70fe4ff75f0.us-east-1.aws.found.io/app/kibana#/discover/Steve-Slow-Train-Analysis-(2080s-and-2083s)?_g=(refreshInterval:(display:Off,pause:!f,section:0,value:0),time:(from:'2017-12-20T20:04:59-0700',mode:absolute,to:'2017-12-20T22:22:47-0700'))&amp;_a=(columns:!('Message%20ID',Summary),filters:!(),index:'emp_*',interval:auto,query:(query_string:(analyze_wildcard:!t,query:'%22rtdc.l.rtdc.4054%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29" t="s">
        <v>882</v>
      </c>
      <c r="B204" s="225">
        <v>4053</v>
      </c>
      <c r="C204" s="227" t="s">
        <v>192</v>
      </c>
      <c r="D204" s="227" t="s">
        <v>1083</v>
      </c>
      <c r="E204" s="226">
        <v>43089.933356481481</v>
      </c>
      <c r="F204" s="226">
        <v>43089.945833333331</v>
      </c>
      <c r="G204" s="225">
        <v>56</v>
      </c>
      <c r="H204" s="227" t="s">
        <v>566</v>
      </c>
      <c r="I204" s="226">
        <v>43089.954155092593</v>
      </c>
      <c r="J204" s="225">
        <v>0</v>
      </c>
      <c r="K204" s="237" t="str">
        <f t="shared" si="59"/>
        <v>4053/4054</v>
      </c>
      <c r="L204" s="245" t="str">
        <f>VLOOKUP(A204,'Trips&amp;Operators'!$C$1:$G$99911,5,FALSE)</f>
        <v>STAMBAUGH JAMES</v>
      </c>
      <c r="M204" s="224">
        <f t="shared" si="60"/>
        <v>8.3217592618893832E-3</v>
      </c>
      <c r="N204" s="225">
        <f t="shared" si="78"/>
        <v>11.983333337120712</v>
      </c>
      <c r="O204" s="225"/>
      <c r="P204" s="225"/>
      <c r="Q204" s="228"/>
      <c r="R204" s="242"/>
      <c r="S204" s="249">
        <f t="shared" si="79"/>
        <v>1</v>
      </c>
      <c r="T204" s="242" t="str">
        <f t="shared" si="63"/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64"/>
        <v>https://d0f6bd738d7f1b3e5a7ca70fe4ff75f0.us-east-1.aws.found.io/app/kibana#/discover/Steve-Slow-Train-Analysis-(2080s-and-2083s)?_g=(refreshInterval:(display:Off,pause:!f,section:0,value:0),time:(from:'2017-12-20T21:24:02-0700',mode:absolute,to:'2017-12-20T23:53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4" s="247" t="str">
        <f>IF(AA204&lt;VLOOKUP(AG204,Variables!$AC$3:$AD$8,2,FALSE),"Y","N")</f>
        <v>N</v>
      </c>
      <c r="X204" s="247">
        <f t="shared" si="91"/>
        <v>1</v>
      </c>
      <c r="Y204" s="247">
        <f>RIGHT(D204,LEN(D204)-4)/10000</f>
        <v>5.8611000000000004</v>
      </c>
      <c r="Z204" s="247">
        <f>RIGHT(H204,LEN(H204)-4)/10000</f>
        <v>1.3299999999999999E-2</v>
      </c>
      <c r="AA204" s="247">
        <f t="shared" si="65"/>
        <v>5.8478000000000003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66"/>
        <v>846</v>
      </c>
      <c r="AE204" s="235" t="str">
        <f t="shared" si="67"/>
        <v>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 &amp; 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</v>
      </c>
      <c r="AF204" s="234" t="str">
        <f t="shared" si="68"/>
        <v>"C:\Program Files (x86)\AstroGrep\AstroGrep.exe" /e /r /s /spath="%USERPROFILE%\AppData\Local\Temp\OnboardLogs" /stypes="app*4053*20171221*" /stext=" 05:.+((SYSTEM_STATE.+slice.+state.+changed )|(ment ac)|(multiple cpu faults)|(system.+state.+changed )|(\[timeout)|(PRM\|1\|D)|(kpr)|(kdp)|(train st.+moving)|(\|gpps)|(penalty))"</v>
      </c>
      <c r="AG204" s="244" t="str">
        <f t="shared" si="69"/>
        <v>NW</v>
      </c>
      <c r="AH204" s="236" t="str">
        <f t="shared" si="72"/>
        <v>"%USERPROFILE%\Documents\GitHub\eaglep3\Utilities\RefineRTDCRunTimes.py" --tripid 846-20 --locoid 4053 --swversion DE.1.0.9.0 --startMP 300:58611 --initTime 2017-12-20T22:24:02 --startdatetime 2017-12-20T22:42:00 --delay 56 --endMP 204:133 --enddatetime 2017-12-20T22:53:59 --enforcementcount 0 &gt;&gt;%USERPROFILE%\Documents\GitHub\eaglep3-reporting\EC\2017-12-20-refined-times.txt</v>
      </c>
      <c r="AI204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{"issue":{"subject":"","project_id":79,"tracker_id":40,"status_id":1,"priority_id":2,"assigned_to_id":338,"start_date":"2017-12-20","description":"","custom_fields":[{"id":1,"name":"Subdivision","value":"NW"},{"id":4,"name":"Milepost","value":"0.0133"},{"id":17,"name":"Train ID","value":"846-20"},{"id":16,"name":"Locomotive ID","value":"4053"},{"id":130,"name":"Impact","value":""},{"id":150,"name":"Time of Event (Mountain Time)","value":"22:53:59"},{"id":151,"name":"Denver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74"/>
        <v>start /low /b %USERPROFILE%\Documents\GitHub\eaglep3\Utilities\DownloadLogsFromS3.py --loco 4053 --day 2017-12-20</v>
      </c>
      <c r="AN204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05:53:59"},{"id":29,"name":"Sharepoint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76"/>
        <v>https://d0f6bd738d7f1b3e5a7ca70fe4ff75f0.us-east-1.aws.found.io/app/kibana#/discover/Steve-Slow-Train-Analysis-(2080s-and-2083s)?_g=(refreshInterval:(display:Off,pause:!f,section:0,value:0),time:(from:'2017-12-20T21:24:02-0700',mode:absolute,to:'2017-12-20T23:53:59-0700'))&amp;_a=(columns:!('Message%20ID',Summary),filters:!(),index:'emp_*',interval:auto,query:(query_string:(analyze_wildcard:!t,query:'%22rtdc.l.rtdc.4053%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23" customFormat="1" x14ac:dyDescent="0.25">
      <c r="A205" s="229" t="s">
        <v>880</v>
      </c>
      <c r="B205" s="225">
        <v>4054</v>
      </c>
      <c r="C205" s="227" t="s">
        <v>192</v>
      </c>
      <c r="D205" s="227" t="s">
        <v>1083</v>
      </c>
      <c r="E205" s="226">
        <v>43089.933356481481</v>
      </c>
      <c r="F205" s="226">
        <v>43089.92324074074</v>
      </c>
      <c r="G205" s="225">
        <v>56</v>
      </c>
      <c r="H205" s="227" t="s">
        <v>566</v>
      </c>
      <c r="I205" s="226">
        <v>43089.93236111111</v>
      </c>
      <c r="J205" s="225">
        <v>0</v>
      </c>
      <c r="K205" s="237" t="str">
        <f t="shared" ref="K205:K256" si="97">IF(ISEVEN(B205),(B205-1)&amp;"/"&amp;B205,B205&amp;"/"&amp;(B205+1))</f>
        <v>4053/4054</v>
      </c>
      <c r="L205" s="245" t="str">
        <f>VLOOKUP(A205,'Trips&amp;Operators'!$C$1:$G$99911,5,FALSE)</f>
        <v>STAMBAUGH JAMES</v>
      </c>
      <c r="M205" s="224">
        <f t="shared" ref="M205:M256" si="98">I205-F205</f>
        <v>9.1203703705104999E-3</v>
      </c>
      <c r="N205" s="225">
        <f t="shared" ref="N205:N217" si="99">24*60*SUM($M205:$M205)</f>
        <v>13.13333333353512</v>
      </c>
      <c r="O205" s="225"/>
      <c r="P205" s="225"/>
      <c r="Q205" s="228"/>
      <c r="R205" s="242"/>
      <c r="S205" s="249">
        <f t="shared" ref="S205:S236" si="100">1/IF(AG205="EC",12,1)*SUM(U205:U205)</f>
        <v>1</v>
      </c>
      <c r="T205" s="242" t="str">
        <f t="shared" ref="T205:T256" si="101"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56" si="10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-20T21:24:02-0700',mode:absolute,to:'2017-12-20T23:22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5" s="247" t="str">
        <f>IF(AA205&lt;VLOOKUP(AG205,Variables!$AC$3:$AD$8,2,FALSE),"Y","N")</f>
        <v>N</v>
      </c>
      <c r="X205" s="247">
        <f t="shared" ref="X205:X208" si="103">VALUE(LEFT(AD205,4))-VALUE(LEFT(AD204,4))</f>
        <v>1</v>
      </c>
      <c r="Y205" s="247">
        <v>4.6399999999999997E-2</v>
      </c>
      <c r="Z205" s="247">
        <v>5.8939000000000004</v>
      </c>
      <c r="AA205" s="247">
        <f t="shared" ref="AA205:AA268" si="104">ABS(Z205-Y205)</f>
        <v>5.8475000000000001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ref="AD205:AD256" si="105">VALUE(LEFT(A205,LEN(A205)-3))</f>
        <v>847</v>
      </c>
      <c r="AE205" s="235" t="str">
        <f t="shared" ref="AE205:AE256" si="10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 &amp; 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</v>
      </c>
      <c r="AF205" s="234" t="str">
        <f t="shared" ref="AF205:AF256" si="107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/stypes="app*4054*20171221*" /stext=" 05:.+((SYSTEM_STATE.+slice.+state.+changed )|(ment ac)|(multiple cpu faults)|(system.+state.+changed )|(\[timeout)|(PRM\|1\|D)|(kpr)|(kdp)|(train st.+moving)|(\|gpps)|(penalty))"</v>
      </c>
      <c r="AG205" s="244" t="str">
        <f t="shared" ref="AG205:AG256" si="108">DetSubdiv(A205)</f>
        <v>NW</v>
      </c>
      <c r="AH205" s="236" t="str">
        <f t="shared" ref="AH205" si="109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847-20 --locoid 4054 --swversion DE.1.0.9.0 --startMP 300:58611 --initTime 2017-12-20T22:24:02 --startdatetime 2017-12-20T22:09:28 --delay 56 --endMP 204:133 --enddatetime 2017-12-20T22:22:36 --enforcementcount 0 &gt;&gt;%USERPROFILE%\Documents\GitHub\eaglep3-reporting\EC\2017-12-20-refined-times.txt</v>
      </c>
      <c r="AI205" s="238" t="str">
        <f t="shared" ref="AI205" si="110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{"issue":{"subject":"","project_id":79,"tracker_id":40,"status_id":1,"priority_id":2,"assigned_to_id":338,"start_date":"2017-12-20","description":"","custom_fields":[{"id":1,"name":"Subdivision","value":"NW"},{"id":4,"name":"Milepost","value":"5.8939"},{"id":17,"name":"Train ID","value":"847-20"},{"id":16,"name":"Locomotive ID","value":"4054"},{"id":130,"name":"Impact","value":""},{"id":150,"name":"Time of Event (Mountain Time)","value":"22:22:36"},{"id":151,"name":"Denver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1"/>
      <c r="AL205" s="231"/>
      <c r="AM205" s="240" t="str">
        <f t="shared" ref="AM205" si="111">"start /low /b "&amp;dls3logs&amp;" --loco "&amp;B205&amp;" --day "&amp;TEXT(F205,"YYYY-MM-DD")</f>
        <v>start /low /b %USERPROFILE%\Documents\GitHub\eaglep3\Utilities\DownloadLogsFromS3.py --loco 4054 --day 2017-12-20</v>
      </c>
      <c r="AN205" s="241" t="str">
        <f t="shared" ref="AN205" si="112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05:22:36"},{"id":29,"name":"Sharepoint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ref="AO205" si="11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-20T21:24:02-0700',mode:absolute,to:'2017-12-20T23:22:36-0700'))&amp;_a=(columns:!('Message%20ID',Summary),filters:!(),index:'emp_*',interval:auto,query:(query_string:(analyze_wildcard:!t,query:'%22rtdc.l.rtdc.4054%22')),sort:!(Time.ISO8601,asc))</v>
      </c>
    </row>
    <row r="206" spans="1:91" s="223" customFormat="1" x14ac:dyDescent="0.25">
      <c r="A206" s="229" t="s">
        <v>885</v>
      </c>
      <c r="B206" s="225">
        <v>4054</v>
      </c>
      <c r="C206" s="227" t="s">
        <v>192</v>
      </c>
      <c r="D206" s="227" t="s">
        <v>474</v>
      </c>
      <c r="E206" s="226">
        <v>43089.96193287037</v>
      </c>
      <c r="F206" s="226">
        <v>43089.964814814812</v>
      </c>
      <c r="G206" s="225">
        <v>56</v>
      </c>
      <c r="H206" s="227" t="s">
        <v>568</v>
      </c>
      <c r="I206" s="226">
        <v>43089.973912037036</v>
      </c>
      <c r="J206" s="225">
        <v>0</v>
      </c>
      <c r="K206" s="237" t="str">
        <f t="shared" si="97"/>
        <v>4053/4054</v>
      </c>
      <c r="L206" s="245" t="str">
        <f>VLOOKUP(A206,'Trips&amp;Operators'!$C$1:$G$99911,5,FALSE)</f>
        <v>STAMBAUGH JAMES</v>
      </c>
      <c r="M206" s="224">
        <f t="shared" si="98"/>
        <v>9.0972222242271528E-3</v>
      </c>
      <c r="N206" s="225">
        <f t="shared" si="99"/>
        <v>13.1000000028871</v>
      </c>
      <c r="O206" s="225"/>
      <c r="P206" s="225"/>
      <c r="Q206" s="228"/>
      <c r="R206" s="242"/>
      <c r="S206" s="249">
        <f t="shared" si="100"/>
        <v>1</v>
      </c>
      <c r="T206" s="242" t="str">
        <f t="shared" si="101"/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102"/>
        <v>https://d0f6bd738d7f1b3e5a7ca70fe4ff75f0.us-east-1.aws.found.io/app/kibana#/discover/Steve-Slow-Train-Analysis-(2080s-and-2083s)?_g=(refreshInterval:(display:Off,pause:!f,section:0,value:0),time:(from:'2017-12-20T22:05:11-0700',mode:absolute,to:'2017-12-21T00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6" s="247" t="str">
        <f>IF(AA206&lt;VLOOKUP(AG206,Variables!$AC$3:$AD$8,2,FALSE),"Y","N")</f>
        <v>N</v>
      </c>
      <c r="X206" s="247">
        <f t="shared" si="103"/>
        <v>2</v>
      </c>
      <c r="Y206" s="247">
        <f t="shared" ref="Y206:Y237" si="114">RIGHT(D206,LEN(D206)-4)/10000</f>
        <v>4.4200000000000003E-2</v>
      </c>
      <c r="Z206" s="247">
        <f t="shared" ref="Z206:Z237" si="115">RIGHT(H206,LEN(H206)-4)/10000</f>
        <v>5.8933</v>
      </c>
      <c r="AA206" s="247">
        <f t="shared" si="104"/>
        <v>5.8491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105"/>
        <v>849</v>
      </c>
      <c r="AE206" s="235" t="str">
        <f t="shared" si="106"/>
        <v>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 &amp; 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</v>
      </c>
      <c r="AF206" s="234" t="str">
        <f t="shared" si="107"/>
        <v>"C:\Program Files (x86)\AstroGrep\AstroGrep.exe" /e /r /s /spath="%USERPROFILE%\AppData\Local\Temp\OnboardLogs" /stypes="app*4054*20171221*" /stext=" 06:.+((SYSTEM_STATE.+slice.+state.+changed )|(ment ac)|(multiple cpu faults)|(system.+state.+changed )|(\[timeout)|(PRM\|1\|D)|(kpr)|(kdp)|(train st.+moving)|(\|gpps)|(penalty))"</v>
      </c>
      <c r="AG206" s="244" t="str">
        <f t="shared" si="108"/>
        <v>NW</v>
      </c>
      <c r="AH206" s="236" t="str">
        <f t="shared" si="72"/>
        <v>"%USERPROFILE%\Documents\GitHub\eaglep3\Utilities\RefineRTDCRunTimes.py" --tripid 849-20 --locoid 4054 --swversion DE.1.0.9.0 --startMP 204:442 --initTime 2017-12-20T23:05:11 --startdatetime 2017-12-20T23:09:20 --delay 56 --endMP 300:58933 --enddatetime 2017-12-20T23:22:26 --enforcementcount 0 &gt;&gt;%USERPROFILE%\Documents\GitHub\eaglep3-reporting\EC\2017-12-20-refined-times.txt</v>
      </c>
      <c r="AI206" s="238" t="str">
        <f t="shared" si="73"/>
        <v>echo {"issue":{"subject":"","project_id":79,"tracker_id":40,"status_id":1,"priority_id":2,"assigned_to_id":338,"start_date":"2017-12-20","description":"","custom_fields":[{"id":1,"name":"Subdivision","value":"NW"},{"id":4,"name":"Milepost","value":"5.8933"},{"id":17,"name":"Train ID","value":"849-20"},{"id":16,"name":"Locomotive ID","value":"4054"},{"id":130,"name":"Impact","value":""},{"id":150,"name":"Time of Event (Mountain Time)","value":"23:22:26"},{"id":151,"name":"Denver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231"/>
      <c r="AL206" s="231"/>
      <c r="AM206" s="240" t="str">
        <f t="shared" si="74"/>
        <v>start /low /b %USERPROFILE%\Documents\GitHub\eaglep3\Utilities\DownloadLogsFromS3.py --loco 4054 --day 2017-12-20</v>
      </c>
      <c r="AN206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06:22:26"},{"id":29,"name":"Sharepoint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76"/>
        <v>https://d0f6bd738d7f1b3e5a7ca70fe4ff75f0.us-east-1.aws.found.io/app/kibana#/discover/Steve-Slow-Train-Analysis-(2080s-and-2083s)?_g=(refreshInterval:(display:Off,pause:!f,section:0,value:0),time:(from:'2017-12-20T22:05:11-0700',mode:absolute,to:'2017-12-21T00:22:26-0700'))&amp;_a=(columns:!('Message%20ID',Summary),filters:!(),index:'emp_*',interval:auto,query:(query_string:(analyze_wildcard:!t,query:'%22rtdc.l.rtdc.4054%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23" customFormat="1" x14ac:dyDescent="0.25">
      <c r="A207" s="229" t="s">
        <v>364</v>
      </c>
      <c r="B207" s="225">
        <v>4061</v>
      </c>
      <c r="C207" s="227" t="s">
        <v>192</v>
      </c>
      <c r="D207" s="227" t="s">
        <v>1001</v>
      </c>
      <c r="E207" s="226">
        <v>43089.119189814817</v>
      </c>
      <c r="F207" s="226">
        <v>25568.708333333332</v>
      </c>
      <c r="G207" s="225">
        <v>121</v>
      </c>
      <c r="H207" s="227" t="s">
        <v>631</v>
      </c>
      <c r="I207" s="226">
        <v>25568.708333333332</v>
      </c>
      <c r="J207" s="225">
        <v>0</v>
      </c>
      <c r="K207" s="237" t="str">
        <f t="shared" si="97"/>
        <v>4061/4062</v>
      </c>
      <c r="L207" s="245" t="str">
        <f>VLOOKUP(A207,'Trips&amp;Operators'!$C$1:$G$99911,5,FALSE)</f>
        <v>BONDS REYNALDO</v>
      </c>
      <c r="M207" s="224">
        <f t="shared" si="98"/>
        <v>0</v>
      </c>
      <c r="N207" s="225">
        <f t="shared" si="99"/>
        <v>0</v>
      </c>
      <c r="O207" s="225"/>
      <c r="P207" s="225"/>
      <c r="Q207" s="228"/>
      <c r="R207" s="242"/>
      <c r="S207" s="249">
        <f t="shared" si="100"/>
        <v>0</v>
      </c>
      <c r="T207" s="242" t="str">
        <f t="shared" si="101"/>
        <v>Southbound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248" t="str">
        <f t="shared" si="102"/>
        <v>https://d0f6bd738d7f1b3e5a7ca70fe4ff75f0.us-east-1.aws.found.io/app/kibana#/discover/Steve-Slow-Train-Analysis-(2080s-and-2083s)?_g=(refreshInterval:(display:Off,pause:!f,section:0,value:0),time:(from:'2017-12-20T01:51:38-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7" s="247" t="str">
        <f>IF(AA207&lt;VLOOKUP(AG207,Variables!$AC$3:$AD$8,2,FALSE),"Y","N")</f>
        <v>Y</v>
      </c>
      <c r="X207" s="247">
        <f t="shared" si="103"/>
        <v>-549</v>
      </c>
      <c r="Y207" s="247">
        <f t="shared" si="114"/>
        <v>0.3211</v>
      </c>
      <c r="Z207" s="247">
        <f t="shared" si="115"/>
        <v>0.1188</v>
      </c>
      <c r="AA207" s="247">
        <f t="shared" si="104"/>
        <v>0.20229999999999998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105"/>
        <v>300</v>
      </c>
      <c r="AE207" s="235" t="str">
        <f t="shared" si="106"/>
        <v>aws s3 cp s3://rtdc.mdm.uploadarchive.raw/RTDC4061/ "%USERPROFILE%\AppData\Local\Temp\OnboardLogs"\RTDC4061\1969-12-31 --exclude "*" --recursive --include "*19691231*" &amp; "%USERPROFILE%\Documents\GitHub\mrs-test-scripts\Headless Mode &amp; Sideloading\WalkAndUnGZ.bat" "%USERPROFILE%\AppData\Local\Temp\OnboardLogs"\RTDC4061\1969-12-31 &amp; aws s3 cp s3://rtdc.mdm.uploadarchive.raw/RTDC4061/ "%USERPROFILE%\AppData\Local\Temp\OnboardLogs"\RTDC4061\1970-01-01 --exclude "*" --recursive --include "*19700101*" &amp; "%USERPROFILE%\Documents\GitHub\mrs-test-scripts\Headless Mode &amp; Sideloading\WalkAndUnGZ.bat" "%USERPROFILE%\AppData\Local\Temp\OnboardLogs"\RTDC4061\1970-01-01</v>
      </c>
      <c r="AF207" s="234" t="str">
        <f t="shared" si="107"/>
        <v>"C:\Program Files (x86)\AstroGrep\AstroGrep.exe" /e /r /s /spath="%USERPROFILE%\AppData\Local\Temp\OnboardLogs" /stypes="app*4061*19700101*" /stext=" 00:.+((SYSTEM_STATE.+slice.+state.+changed )|(ment ac)|(multiple cpu faults)|(system.+state.+changed )|(\[timeout)|(PRM\|1\|D)|(kpr)|(kdp)|(train st.+moving)|(\|gpps)|(penalty))"</v>
      </c>
      <c r="AG207" s="244" t="str">
        <f t="shared" si="108"/>
        <v>Other</v>
      </c>
      <c r="AH207" s="236" t="str">
        <f t="shared" si="72"/>
        <v>"%USERPROFILE%\Documents\GitHub\eaglep3\Utilities\RefineRTDCRunTimes.py" --tripid 300-20 --locoid 4061 --swversion DE.1.0.9.0 --startMP 204:3211 --initTime 2017-12-20T02:51:38 --startdatetime 1969-12-31T17:00:00 --delay 121 --endMP 204:1188 --enddatetime 1969-12-31T17:00:00 --enforcementcount 0 &gt;&gt;%USERPROFILE%\Documents\GitHub\eaglep3-reporting\EC\2017-12-20-refined-times.txt</v>
      </c>
      <c r="AI207" s="238" t="str">
        <f t="shared" si="73"/>
        <v>echo {"issue":{"subject":"","project_id":79,"tracker_id":40,"status_id":1,"priority_id":2,"assigned_to_id":338,"start_date":"1969-12-31","description":"","custom_fields":[{"id":1,"name":"Subdivision","value":"Other"},{"id":4,"name":"Milepost","value":"0.1188"},{"id":17,"name":"Train ID","value":"300-20"},{"id":16,"name":"Locomotive ID","value":"4061"},{"id":130,"name":"Impact","value":""},{"id":150,"name":"Time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231"/>
      <c r="AL207" s="231"/>
      <c r="AM207" s="240" t="str">
        <f t="shared" si="74"/>
        <v>start /low /b %USERPROFILE%\Documents\GitHub\eaglep3\Utilities\DownloadLogsFromS3.py --loco 4061 --day 1969-12-31</v>
      </c>
      <c r="AN207" s="241" t="str">
        <f t="shared" si="75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76"/>
        <v>https://d0f6bd738d7f1b3e5a7ca70fe4ff75f0.us-east-1.aws.found.io/app/kibana#/discover/Steve-Slow-Train-Analysis-(2080s-and-2083s)?_g=(refreshInterval:(display:Off,pause:!f,section:0,value:0),time:(from:'2017-12-20T01:51:38-0700',mode:absolute,to:'1969-12-31T18:00:00-0700'))&amp;_a=(columns:!('Message%20ID',Summary),filters:!(),index:'emp_*',interval:auto,query:(query_string:(analyze_wildcard:!t,query:'%22rtdc.l.rtdc.4061%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3" customFormat="1" x14ac:dyDescent="0.25">
      <c r="A208" s="229" t="s">
        <v>856</v>
      </c>
      <c r="B208" s="225">
        <v>4026</v>
      </c>
      <c r="C208" s="227" t="s">
        <v>192</v>
      </c>
      <c r="D208" s="227" t="s">
        <v>969</v>
      </c>
      <c r="E208" s="226">
        <v>43089.778900462959</v>
      </c>
      <c r="F208" s="226">
        <v>43089.780127314814</v>
      </c>
      <c r="G208" s="225">
        <v>55</v>
      </c>
      <c r="H208" s="227" t="s">
        <v>527</v>
      </c>
      <c r="I208" s="226">
        <v>43089.787002314813</v>
      </c>
      <c r="J208" s="225">
        <v>0</v>
      </c>
      <c r="K208" s="237" t="str">
        <f t="shared" si="97"/>
        <v>4025/4026</v>
      </c>
      <c r="L208" s="245" t="str">
        <f>VLOOKUP(A208,'Trips&amp;Operators'!$C$1:$G$99911,5,FALSE)</f>
        <v>GUZMAN DANNY</v>
      </c>
      <c r="M208" s="224">
        <f t="shared" si="98"/>
        <v>6.8749999991268851E-3</v>
      </c>
      <c r="N208" s="225">
        <f t="shared" si="99"/>
        <v>9.8999999987427145</v>
      </c>
      <c r="O208" s="225"/>
      <c r="P208" s="225"/>
      <c r="Q208" s="228"/>
      <c r="R208" s="242"/>
      <c r="S208" s="249">
        <f t="shared" si="100"/>
        <v>1</v>
      </c>
      <c r="T208" s="242" t="str">
        <f t="shared" si="101"/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 t="shared" si="102"/>
        <v>https://d0f6bd738d7f1b3e5a7ca70fe4ff75f0.us-east-1.aws.found.io/app/kibana#/discover/Steve-Slow-Train-Analysis-(2080s-and-2083s)?_g=(refreshInterval:(display:Off,pause:!f,section:0,value:0),time:(from:'2017-12-20T17:41:37-0700',mode:absolute,to:'2017-12-20T19:53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8" s="247" t="str">
        <f>IF(AA208&lt;VLOOKUP(AG208,Variables!$AC$3:$AD$8,2,FALSE),"Y","N")</f>
        <v>Y</v>
      </c>
      <c r="X208" s="247">
        <f t="shared" si="103"/>
        <v>1</v>
      </c>
      <c r="Y208" s="247">
        <f t="shared" si="114"/>
        <v>5.8000000000000003E-2</v>
      </c>
      <c r="Z208" s="247">
        <f t="shared" si="115"/>
        <v>2.3298999999999999</v>
      </c>
      <c r="AA208" s="247">
        <f t="shared" si="104"/>
        <v>2.2719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105"/>
        <v>301</v>
      </c>
      <c r="AE208" s="235" t="str">
        <f t="shared" si="106"/>
        <v>aws s3 cp s3://rtdc.mdm.uploadarchive.raw/RTDC4026/ "%USERPROFILE%\AppData\Local\Temp\OnboardLogs"\RTDC4026\2017-12-20 --exclude "*" --recursive --include "*20171220*" &amp; "%USERPROFILE%\Documents\GitHub\mrs-test-scripts\Headless Mode &amp; Sideloading\WalkAndUnGZ.bat" "%USERPROFILE%\AppData\Local\Temp\OnboardLogs"\RTDC4026\2017-12-20 &amp; aws s3 cp s3://rtdc.mdm.uploadarchive.raw/RTDC4026/ "%USERPROFILE%\AppData\Local\Temp\OnboardLogs"\RTDC4026\2017-12-21 --exclude "*" --recursive --include "*20171221*" &amp; "%USERPROFILE%\Documents\GitHub\mrs-test-scripts\Headless Mode &amp; Sideloading\WalkAndUnGZ.bat" "%USERPROFILE%\AppData\Local\Temp\OnboardLogs"\RTDC4026\2017-12-21</v>
      </c>
      <c r="AF208" s="234" t="str">
        <f t="shared" si="107"/>
        <v>"C:\Program Files (x86)\AstroGrep\AstroGrep.exe" /e /r /s /spath="%USERPROFILE%\AppData\Local\Temp\OnboardLogs" /stypes="app*4026*20171221*" /stext=" 01:.+((SYSTEM_STATE.+slice.+state.+changed )|(ment ac)|(multiple cpu faults)|(system.+state.+changed )|(\[timeout)|(PRM\|1\|D)|(kpr)|(kdp)|(train st.+moving)|(\|gpps)|(penalty))"</v>
      </c>
      <c r="AG208" s="244" t="str">
        <f t="shared" si="108"/>
        <v>Other</v>
      </c>
      <c r="AH208" s="236" t="str">
        <f t="shared" si="72"/>
        <v>"%USERPROFILE%\Documents\GitHub\eaglep3\Utilities\RefineRTDCRunTimes.py" --tripid 301-20 --locoid 4026 --swversion DE.1.0.9.0 --startMP 204:580 --initTime 2017-12-20T18:41:37 --startdatetime 2017-12-20T18:43:23 --delay 55 --endMP 300:23299 --enddatetime 2017-12-20T18:53:17 --enforcementcount 0 &gt;&gt;%USERPROFILE%\Documents\GitHub\eaglep3-reporting\EC\2017-12-20-refined-times.txt</v>
      </c>
      <c r="AI208" s="238" t="str">
        <f t="shared" si="73"/>
        <v>echo {"issue":{"subject":"","project_id":79,"tracker_id":40,"status_id":1,"priority_id":2,"assigned_to_id":338,"start_date":"2017-12-20","description":"","custom_fields":[{"id":1,"name":"Subdivision","value":"Other"},{"id":4,"name":"Milepost","value":"2.3299"},{"id":17,"name":"Train ID","value":"301-20"},{"id":16,"name":"Locomotive ID","value":"4026"},{"id":130,"name":"Impact","value":""},{"id":150,"name":"Time of Event (Mountain Time)","value":"18:53:17"},{"id":151,"name":"Denver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1"/>
      <c r="AL208" s="231"/>
      <c r="AM208" s="240" t="str">
        <f t="shared" si="74"/>
        <v>start /low /b %USERPROFILE%\Documents\GitHub\eaglep3\Utilities\DownloadLogsFromS3.py --loco 4026 --day 2017-12-20</v>
      </c>
      <c r="AN208" s="241" t="str">
        <f t="shared" si="75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01:53:17"},{"id":29,"name":"Sharepoint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76"/>
        <v>https://d0f6bd738d7f1b3e5a7ca70fe4ff75f0.us-east-1.aws.found.io/app/kibana#/discover/Steve-Slow-Train-Analysis-(2080s-and-2083s)?_g=(refreshInterval:(display:Off,pause:!f,section:0,value:0),time:(from:'2017-12-20T17:41:37-0700',mode:absolute,to:'2017-12-20T19:53:17-0700'))&amp;_a=(columns:!('Message%20ID',Summary),filters:!(),index:'emp_*',interval:auto,query:(query_string:(analyze_wildcard:!t,query:'%22rtdc.l.rtdc.4026%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3" customFormat="1" x14ac:dyDescent="0.25">
      <c r="A209" s="229" t="s">
        <v>676</v>
      </c>
      <c r="B209" s="225">
        <v>4043</v>
      </c>
      <c r="C209" s="227" t="s">
        <v>192</v>
      </c>
      <c r="D209" s="227" t="s">
        <v>1002</v>
      </c>
      <c r="E209" s="226">
        <v>43089.141747685186</v>
      </c>
      <c r="F209" s="226">
        <v>43089.147037037037</v>
      </c>
      <c r="G209" s="225">
        <v>71</v>
      </c>
      <c r="H209" s="227" t="s">
        <v>1003</v>
      </c>
      <c r="I209" s="226">
        <v>43089.152743055558</v>
      </c>
      <c r="J209" s="225">
        <v>0</v>
      </c>
      <c r="K209" s="237" t="str">
        <f t="shared" si="97"/>
        <v>4043/4044</v>
      </c>
      <c r="L209" s="245" t="str">
        <f>VLOOKUP(A209,'Trips&amp;Operators'!$C$1:$G$99911,5,FALSE)</f>
        <v>THOMPSON LESTER</v>
      </c>
      <c r="M209" s="224">
        <f t="shared" si="98"/>
        <v>5.7060185208683833E-3</v>
      </c>
      <c r="N209" s="225">
        <f t="shared" si="99"/>
        <v>8.216666670050472</v>
      </c>
      <c r="O209" s="225"/>
      <c r="P209" s="225"/>
      <c r="Q209" s="228"/>
      <c r="R209" s="242"/>
      <c r="S209" s="249">
        <f t="shared" si="100"/>
        <v>1</v>
      </c>
      <c r="T209" s="242" t="str">
        <f t="shared" si="101"/>
        <v>Southbound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 t="shared" si="102"/>
        <v>https://d0f6bd738d7f1b3e5a7ca70fe4ff75f0.us-east-1.aws.found.io/app/kibana#/discover/Steve-Slow-Train-Analysis-(2080s-and-2083s)?_g=(refreshInterval:(display:Off,pause:!f,section:0,value:0),time:(from:'2017-12-20T02:24:07-0700',mode:absolute,to:'2017-12-20T04:39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9" s="247" t="str">
        <f>IF(AA209&lt;VLOOKUP(AG209,Variables!$AC$3:$AD$8,2,FALSE),"Y","N")</f>
        <v>Y</v>
      </c>
      <c r="X209" s="247">
        <f t="shared" ref="X209:X256" si="116">VALUE(LEFT(AD209,4))-VALUE(LEFT(AD208,4))</f>
        <v>1</v>
      </c>
      <c r="Y209" s="247">
        <f t="shared" si="114"/>
        <v>2.3580000000000001</v>
      </c>
      <c r="Z209" s="247">
        <f t="shared" si="115"/>
        <v>2.5600000000000001E-2</v>
      </c>
      <c r="AA209" s="247">
        <f t="shared" si="104"/>
        <v>2.3324000000000003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si="105"/>
        <v>302</v>
      </c>
      <c r="AE209" s="235" t="str">
        <f t="shared" si="106"/>
        <v>aws s3 cp s3://rtdc.mdm.uploadarchive.raw/RTDC4043/ "%USERPROFILE%\AppData\Local\Temp\OnboardLogs"\RTDC4043\2017-12-20 --exclude "*" --recursive --include "*20171220*" &amp; "%USERPROFILE%\Documents\GitHub\mrs-test-scripts\Headless Mode &amp; Sideloading\WalkAndUnGZ.bat" "%USERPROFILE%\AppData\Local\Temp\OnboardLogs"\RTDC4043\2017-12-20 &amp; aws s3 cp s3://rtdc.mdm.uploadarchive.raw/RTDC4043/ "%USERPROFILE%\AppData\Local\Temp\OnboardLogs"\RTDC4043\2017-12-21 --exclude "*" --recursive --include "*20171221*" &amp; "%USERPROFILE%\Documents\GitHub\mrs-test-scripts\Headless Mode &amp; Sideloading\WalkAndUnGZ.bat" "%USERPROFILE%\AppData\Local\Temp\OnboardLogs"\RTDC4043\2017-12-21</v>
      </c>
      <c r="AF209" s="234" t="str">
        <f t="shared" si="107"/>
        <v>"C:\Program Files (x86)\AstroGrep\AstroGrep.exe" /e /r /s /spath="%USERPROFILE%\AppData\Local\Temp\OnboardLogs" /stypes="app*4043*20171220*" /stext=" 10:.+((SYSTEM_STATE.+slice.+state.+changed )|(ment ac)|(multiple cpu faults)|(system.+state.+changed )|(\[timeout)|(PRM\|1\|D)|(kpr)|(kdp)|(train st.+moving)|(\|gpps)|(penalty))"</v>
      </c>
      <c r="AG209" s="244" t="str">
        <f t="shared" si="108"/>
        <v>Other</v>
      </c>
      <c r="AH209" s="236" t="str">
        <f t="shared" si="72"/>
        <v>"%USERPROFILE%\Documents\GitHub\eaglep3\Utilities\RefineRTDCRunTimes.py" --tripid 302-20 --locoid 4043 --swversion DE.1.0.9.0 --startMP 300:23580 --initTime 2017-12-20T03:24:07 --startdatetime 2017-12-20T03:31:44 --delay 71 --endMP 204:256 --enddatetime 2017-12-20T03:39:57 --enforcementcount 0 &gt;&gt;%USERPROFILE%\Documents\GitHub\eaglep3-reporting\EC\2017-12-20-refined-times.txt</v>
      </c>
      <c r="AI209" s="238" t="str">
        <f t="shared" si="73"/>
        <v>echo {"issue":{"subject":"","project_id":79,"tracker_id":40,"status_id":1,"priority_id":2,"assigned_to_id":338,"start_date":"2017-12-20","description":"","custom_fields":[{"id":1,"name":"Subdivision","value":"Other"},{"id":4,"name":"Milepost","value":"0.0256"},{"id":17,"name":"Train ID","value":"302-20"},{"id":16,"name":"Locomotive ID","value":"4043"},{"id":130,"name":"Impact","value":""},{"id":150,"name":"Time of Event (Mountain Time)","value":"03:39:57"},{"id":151,"name":"Denver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si="74"/>
        <v>start /low /b %USERPROFILE%\Documents\GitHub\eaglep3\Utilities\DownloadLogsFromS3.py --loco 4043 --day 2017-12-20</v>
      </c>
      <c r="AN209" s="241" t="str">
        <f t="shared" si="75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10:39:57"},{"id":29,"name":"Sharepoint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76"/>
        <v>https://d0f6bd738d7f1b3e5a7ca70fe4ff75f0.us-east-1.aws.found.io/app/kibana#/discover/Steve-Slow-Train-Analysis-(2080s-and-2083s)?_g=(refreshInterval:(display:Off,pause:!f,section:0,value:0),time:(from:'2017-12-20T02:24:07-0700',mode:absolute,to:'2017-12-20T04:39:57-0700'))&amp;_a=(columns:!('Message%20ID',Summary),filters:!(),index:'emp_*',interval:auto,query:(query_string:(analyze_wildcard:!t,query:'%22rtdc.l.rtdc.4043%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3" customFormat="1" x14ac:dyDescent="0.25">
      <c r="A210" s="229" t="s">
        <v>862</v>
      </c>
      <c r="B210" s="225">
        <v>4050</v>
      </c>
      <c r="C210" s="227" t="s">
        <v>192</v>
      </c>
      <c r="D210" s="227" t="s">
        <v>957</v>
      </c>
      <c r="E210" s="226">
        <v>43089.799016203702</v>
      </c>
      <c r="F210" s="226">
        <v>43089.802453703705</v>
      </c>
      <c r="G210" s="225">
        <v>52</v>
      </c>
      <c r="H210" s="227" t="s">
        <v>559</v>
      </c>
      <c r="I210" s="226">
        <v>43089.809525462966</v>
      </c>
      <c r="J210" s="225">
        <v>0</v>
      </c>
      <c r="K210" s="237" t="str">
        <f t="shared" si="97"/>
        <v>4049/4050</v>
      </c>
      <c r="L210" s="245" t="str">
        <f>VLOOKUP(A210,'Trips&amp;Operators'!$C$1:$G$99911,5,FALSE)</f>
        <v>ROBINSON KADDIBA</v>
      </c>
      <c r="M210" s="224">
        <f t="shared" si="98"/>
        <v>7.07175926072523E-3</v>
      </c>
      <c r="N210" s="225">
        <f t="shared" si="99"/>
        <v>10.183333335444331</v>
      </c>
      <c r="O210" s="225"/>
      <c r="P210" s="225"/>
      <c r="Q210" s="228"/>
      <c r="R210" s="242"/>
      <c r="S210" s="249">
        <f t="shared" si="100"/>
        <v>1</v>
      </c>
      <c r="T210" s="242" t="str">
        <f t="shared" si="101"/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 t="shared" si="102"/>
        <v>https://d0f6bd738d7f1b3e5a7ca70fe4ff75f0.us-east-1.aws.found.io/app/kibana#/discover/Steve-Slow-Train-Analysis-(2080s-and-2083s)?_g=(refreshInterval:(display:Off,pause:!f,section:0,value:0),time:(from:'2017-12-20T18:10:35-0700',mode:absolute,to:'2017-12-20T20:25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0" s="247" t="str">
        <f>IF(AA210&lt;VLOOKUP(AG210,Variables!$AC$3:$AD$8,2,FALSE),"Y","N")</f>
        <v>Y</v>
      </c>
      <c r="X210" s="247">
        <f t="shared" si="116"/>
        <v>1</v>
      </c>
      <c r="Y210" s="247">
        <f t="shared" si="114"/>
        <v>5.1900000000000002E-2</v>
      </c>
      <c r="Z210" s="247">
        <f t="shared" si="115"/>
        <v>2.3304</v>
      </c>
      <c r="AA210" s="247">
        <f t="shared" si="104"/>
        <v>2.2785000000000002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105"/>
        <v>303</v>
      </c>
      <c r="AE210" s="235" t="str">
        <f t="shared" si="106"/>
        <v>aws s3 cp s3://rtdc.mdm.uploadarchive.raw/RTDC4050/ "%USERPROFILE%\AppData\Local\Temp\OnboardLogs"\RTDC4050\2017-12-20 --exclude "*" --recursive --include "*20171220*" &amp; "%USERPROFILE%\Documents\GitHub\mrs-test-scripts\Headless Mode &amp; Sideloading\WalkAndUnGZ.bat" "%USERPROFILE%\AppData\Local\Temp\OnboardLogs"\RTDC4050\2017-12-20 &amp; aws s3 cp s3://rtdc.mdm.uploadarchive.raw/RTDC4050/ "%USERPROFILE%\AppData\Local\Temp\OnboardLogs"\RTDC4050\2017-12-21 --exclude "*" --recursive --include "*20171221*" &amp; "%USERPROFILE%\Documents\GitHub\mrs-test-scripts\Headless Mode &amp; Sideloading\WalkAndUnGZ.bat" "%USERPROFILE%\AppData\Local\Temp\OnboardLogs"\RTDC4050\2017-12-21</v>
      </c>
      <c r="AF210" s="234" t="str">
        <f t="shared" si="107"/>
        <v>"C:\Program Files (x86)\AstroGrep\AstroGrep.exe" /e /r /s /spath="%USERPROFILE%\AppData\Local\Temp\OnboardLogs" /stypes="app*4050*20171221*" /stext=" 02:.+((SYSTEM_STATE.+slice.+state.+changed )|(ment ac)|(multiple cpu faults)|(system.+state.+changed )|(\[timeout)|(PRM\|1\|D)|(kpr)|(kdp)|(train st.+moving)|(\|gpps)|(penalty))"</v>
      </c>
      <c r="AG210" s="244" t="str">
        <f t="shared" si="108"/>
        <v>Other</v>
      </c>
      <c r="AH210" s="236" t="str">
        <f t="shared" ref="AH210:AH256" si="117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303-20 --locoid 4050 --swversion DE.1.0.9.0 --startMP 204:519 --initTime 2017-12-20T19:10:35 --startdatetime 2017-12-20T19:15:32 --delay 52 --endMP 300:23304 --enddatetime 2017-12-20T19:25:43 --enforcementcount 0 &gt;&gt;%USERPROFILE%\Documents\GitHub\eaglep3-reporting\EC\2017-12-20-refined-times.txt</v>
      </c>
      <c r="AI210" s="238" t="str">
        <f t="shared" ref="AI210:AI256" si="118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{"issue":{"subject":"","project_id":79,"tracker_id":40,"status_id":1,"priority_id":2,"assigned_to_id":338,"start_date":"2017-12-20","description":"","custom_fields":[{"id":1,"name":"Subdivision","value":"Other"},{"id":4,"name":"Milepost","value":"2.3304"},{"id":17,"name":"Train ID","value":"303-20"},{"id":16,"name":"Locomotive ID","value":"4050"},{"id":130,"name":"Impact","value":""},{"id":150,"name":"Time of Event (Mountain Time)","value":"19:25:43"},{"id":151,"name":"Denver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1"/>
      <c r="AL210" s="231"/>
      <c r="AM210" s="240" t="str">
        <f t="shared" ref="AM210:AM256" si="119">"start /low /b "&amp;dls3logs&amp;" --loco "&amp;B210&amp;" --day "&amp;TEXT(F210,"YYYY-MM-DD")</f>
        <v>start /low /b %USERPROFILE%\Documents\GitHub\eaglep3\Utilities\DownloadLogsFromS3.py --loco 4050 --day 2017-12-20</v>
      </c>
      <c r="AN210" s="241" t="str">
        <f t="shared" ref="AN210:AN256" si="120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02:25:43"},{"id":29,"name":"Sharepoint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ref="AO210:AO256" si="121"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Message%20ID',Summary),filters:!(),index:'emp_*',interval:auto,query:"&amp;"(query_string:(analyze_wildcard:!t,query:'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-12-20T18:10:35-0700',mode:absolute,to:'2017-12-20T20:25:43-0700'))&amp;_a=(columns:!('Message%20ID',Summary),filters:!(),index:'emp_*',interval:auto,query:(query_string:(analyze_wildcard:!t,query:'%22rtdc.l.rtdc.4050%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3" customFormat="1" x14ac:dyDescent="0.25">
      <c r="A211" s="229" t="s">
        <v>679</v>
      </c>
      <c r="B211" s="225">
        <v>4019</v>
      </c>
      <c r="C211" s="227" t="s">
        <v>192</v>
      </c>
      <c r="D211" s="227" t="s">
        <v>1004</v>
      </c>
      <c r="E211" s="226">
        <v>43089.159155092595</v>
      </c>
      <c r="F211" s="226">
        <v>43089.162442129629</v>
      </c>
      <c r="G211" s="225">
        <v>55</v>
      </c>
      <c r="H211" s="227" t="s">
        <v>463</v>
      </c>
      <c r="I211" s="226">
        <v>43089.166805555556</v>
      </c>
      <c r="J211" s="225">
        <v>0</v>
      </c>
      <c r="K211" s="237" t="str">
        <f t="shared" si="97"/>
        <v>4019/4020</v>
      </c>
      <c r="L211" s="245" t="str">
        <f>VLOOKUP(A211,'Trips&amp;Operators'!$C$1:$G$99911,5,FALSE)</f>
        <v>YORK EDGAR</v>
      </c>
      <c r="M211" s="224">
        <f t="shared" si="98"/>
        <v>4.3634259272948839E-3</v>
      </c>
      <c r="N211" s="225">
        <f t="shared" si="99"/>
        <v>6.2833333353046328</v>
      </c>
      <c r="O211" s="225"/>
      <c r="P211" s="225"/>
      <c r="Q211" s="228"/>
      <c r="R211" s="242"/>
      <c r="S211" s="249">
        <f t="shared" si="100"/>
        <v>1</v>
      </c>
      <c r="T211" s="242" t="str">
        <f t="shared" si="101"/>
        <v>Southbound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8" t="str">
        <f t="shared" si="102"/>
        <v>https://d0f6bd738d7f1b3e5a7ca70fe4ff75f0.us-east-1.aws.found.io/app/kibana#/discover/Steve-Slow-Train-Analysis-(2080s-and-2083s)?_g=(refreshInterval:(display:Off,pause:!f,section:0,value:0),time:(from:'2017-12-20T02:49:11-0700',mode:absolute,to:'2017-12-20T05:00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1" s="247" t="str">
        <f>IF(AA211&lt;VLOOKUP(AG211,Variables!$AC$3:$AD$8,2,FALSE),"Y","N")</f>
        <v>Y</v>
      </c>
      <c r="X211" s="247">
        <f t="shared" si="116"/>
        <v>1</v>
      </c>
      <c r="Y211" s="247">
        <f t="shared" si="114"/>
        <v>1.9789000000000001</v>
      </c>
      <c r="Z211" s="247">
        <f t="shared" si="115"/>
        <v>1.9599999999999999E-2</v>
      </c>
      <c r="AA211" s="247">
        <f t="shared" si="104"/>
        <v>1.9593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105"/>
        <v>304</v>
      </c>
      <c r="AE211" s="235" t="str">
        <f t="shared" si="106"/>
        <v>aws s3 cp s3://rtdc.mdm.uploadarchive.raw/RTDC4019/ "%USERPROFILE%\AppData\Local\Temp\OnboardLogs"\RTDC4019\2017-12-20 --exclude "*" --recursive --include "*20171220*" &amp; "%USERPROFILE%\Documents\GitHub\mrs-test-scripts\Headless Mode &amp; Sideloading\WalkAndUnGZ.bat" "%USERPROFILE%\AppData\Local\Temp\OnboardLogs"\RTDC4019\2017-12-20 &amp; aws s3 cp s3://rtdc.mdm.uploadarchive.raw/RTDC4019/ "%USERPROFILE%\AppData\Local\Temp\OnboardLogs"\RTDC4019\2017-12-21 --exclude "*" --recursive --include "*20171221*" &amp; "%USERPROFILE%\Documents\GitHub\mrs-test-scripts\Headless Mode &amp; Sideloading\WalkAndUnGZ.bat" "%USERPROFILE%\AppData\Local\Temp\OnboardLogs"\RTDC4019\2017-12-21</v>
      </c>
      <c r="AF211" s="234" t="str">
        <f t="shared" si="107"/>
        <v>"C:\Program Files (x86)\AstroGrep\AstroGrep.exe" /e /r /s /spath="%USERPROFILE%\AppData\Local\Temp\OnboardLogs" /stypes="app*4019*20171220*" /stext=" 11:.+((SYSTEM_STATE.+slice.+state.+changed )|(ment ac)|(multiple cpu faults)|(system.+state.+changed )|(\[timeout)|(PRM\|1\|D)|(kpr)|(kdp)|(train st.+moving)|(\|gpps)|(penalty))"</v>
      </c>
      <c r="AG211" s="244" t="str">
        <f t="shared" si="108"/>
        <v>Other</v>
      </c>
      <c r="AH211" s="236" t="str">
        <f t="shared" si="117"/>
        <v>"%USERPROFILE%\Documents\GitHub\eaglep3\Utilities\RefineRTDCRunTimes.py" --tripid 304-20 --locoid 4019 --swversion DE.1.0.9.0 --startMP 300:19789 --initTime 2017-12-20T03:49:11 --startdatetime 2017-12-20T03:53:55 --delay 55 --endMP 204:196 --enddatetime 2017-12-20T04:00:12 --enforcementcount 0 &gt;&gt;%USERPROFILE%\Documents\GitHub\eaglep3-reporting\EC\2017-12-20-refined-times.txt</v>
      </c>
      <c r="AI211" s="238" t="str">
        <f t="shared" si="118"/>
        <v>echo {"issue":{"subject":"","project_id":79,"tracker_id":40,"status_id":1,"priority_id":2,"assigned_to_id":338,"start_date":"2017-12-20","description":"","custom_fields":[{"id":1,"name":"Subdivision","value":"Other"},{"id":4,"name":"Milepost","value":"0.0196"},{"id":17,"name":"Train ID","value":"304-20"},{"id":16,"name":"Locomotive ID","value":"4019"},{"id":130,"name":"Impact","value":""},{"id":150,"name":"Time of Event (Mountain Time)","value":"04:00:12"},{"id":151,"name":"Denver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1"/>
      <c r="AL211" s="231"/>
      <c r="AM211" s="240" t="str">
        <f t="shared" si="119"/>
        <v>start /low /b %USERPROFILE%\Documents\GitHub\eaglep3\Utilities\DownloadLogsFromS3.py --loco 4019 --day 2017-12-20</v>
      </c>
      <c r="AN211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11:00:12"},{"id":29,"name":"Sharepoint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121"/>
        <v>https://d0f6bd738d7f1b3e5a7ca70fe4ff75f0.us-east-1.aws.found.io/app/kibana#/discover/Steve-Slow-Train-Analysis-(2080s-and-2083s)?_g=(refreshInterval:(display:Off,pause:!f,section:0,value:0),time:(from:'2017-12-20T02:49:11-0700',mode:absolute,to:'2017-12-20T05:00:12-0700'))&amp;_a=(columns:!('Message%20ID',Summary),filters:!(),index:'emp_*',interval:auto,query:(query_string:(analyze_wildcard:!t,query:'%22rtdc.l.rtdc.4019%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23" customFormat="1" x14ac:dyDescent="0.25">
      <c r="A212" s="229" t="s">
        <v>866</v>
      </c>
      <c r="B212" s="225">
        <v>4052</v>
      </c>
      <c r="C212" s="227" t="s">
        <v>192</v>
      </c>
      <c r="D212" s="227" t="s">
        <v>547</v>
      </c>
      <c r="E212" s="226">
        <v>43089.820150462961</v>
      </c>
      <c r="F212" s="226">
        <v>43089.821493055555</v>
      </c>
      <c r="G212" s="225">
        <v>62</v>
      </c>
      <c r="H212" s="227" t="s">
        <v>1005</v>
      </c>
      <c r="I212" s="226">
        <v>43089.830567129633</v>
      </c>
      <c r="J212" s="225">
        <v>0</v>
      </c>
      <c r="K212" s="237" t="str">
        <f t="shared" si="97"/>
        <v>4051/4052</v>
      </c>
      <c r="L212" s="245" t="str">
        <f>VLOOKUP(A212,'Trips&amp;Operators'!$C$1:$G$99911,5,FALSE)</f>
        <v>HOLCOMB KAMDEN</v>
      </c>
      <c r="M212" s="224">
        <f t="shared" si="98"/>
        <v>9.0740740779438056E-3</v>
      </c>
      <c r="N212" s="225">
        <f t="shared" si="99"/>
        <v>13.06666667223908</v>
      </c>
      <c r="O212" s="225"/>
      <c r="P212" s="225"/>
      <c r="Q212" s="228"/>
      <c r="R212" s="242"/>
      <c r="S212" s="249">
        <f t="shared" si="100"/>
        <v>1</v>
      </c>
      <c r="T212" s="242" t="str">
        <f t="shared" si="101"/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8" t="str">
        <f t="shared" si="102"/>
        <v>https://d0f6bd738d7f1b3e5a7ca70fe4ff75f0.us-east-1.aws.found.io/app/kibana#/discover/Steve-Slow-Train-Analysis-(2080s-and-2083s)?_g=(refreshInterval:(display:Off,pause:!f,section:0,value:0),time:(from:'2017-12-20T18:41:01-0700',mode:absolute,to:'2017-12-20T20:56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2" s="247" t="str">
        <f>IF(AA212&lt;VLOOKUP(AG212,Variables!$AC$3:$AD$8,2,FALSE),"Y","N")</f>
        <v>Y</v>
      </c>
      <c r="X212" s="247">
        <f t="shared" si="116"/>
        <v>1</v>
      </c>
      <c r="Y212" s="247">
        <f t="shared" si="114"/>
        <v>4.5999999999999999E-2</v>
      </c>
      <c r="Z212" s="247">
        <f t="shared" si="115"/>
        <v>2.3306</v>
      </c>
      <c r="AA212" s="247">
        <f t="shared" si="104"/>
        <v>2.2846000000000002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si="105"/>
        <v>305</v>
      </c>
      <c r="AE212" s="235" t="str">
        <f t="shared" si="106"/>
        <v>aws s3 cp s3://rtdc.mdm.uploadarchive.raw/RTDC4052/ "%USERPROFILE%\AppData\Local\Temp\OnboardLogs"\RTDC4052\2017-12-20 --exclude "*" --recursive --include "*20171220*" &amp; "%USERPROFILE%\Documents\GitHub\mrs-test-scripts\Headless Mode &amp; Sideloading\WalkAndUnGZ.bat" "%USERPROFILE%\AppData\Local\Temp\OnboardLogs"\RTDC4052\2017-12-20 &amp; aws s3 cp s3://rtdc.mdm.uploadarchive.raw/RTDC4052/ "%USERPROFILE%\AppData\Local\Temp\OnboardLogs"\RTDC4052\2017-12-21 --exclude "*" --recursive --include "*20171221*" &amp; "%USERPROFILE%\Documents\GitHub\mrs-test-scripts\Headless Mode &amp; Sideloading\WalkAndUnGZ.bat" "%USERPROFILE%\AppData\Local\Temp\OnboardLogs"\RTDC4052\2017-12-21</v>
      </c>
      <c r="AF212" s="234" t="str">
        <f t="shared" si="107"/>
        <v>"C:\Program Files (x86)\AstroGrep\AstroGrep.exe" /e /r /s /spath="%USERPROFILE%\AppData\Local\Temp\OnboardLogs" /stypes="app*4052*20171221*" /stext=" 02:.+((SYSTEM_STATE.+slice.+state.+changed )|(ment ac)|(multiple cpu faults)|(system.+state.+changed )|(\[timeout)|(PRM\|1\|D)|(kpr)|(kdp)|(train st.+moving)|(\|gpps)|(penalty))"</v>
      </c>
      <c r="AG212" s="244" t="str">
        <f t="shared" si="108"/>
        <v>Other</v>
      </c>
      <c r="AH212" s="236" t="str">
        <f t="shared" si="117"/>
        <v>"%USERPROFILE%\Documents\GitHub\eaglep3\Utilities\RefineRTDCRunTimes.py" --tripid 305-20 --locoid 4052 --swversion DE.1.0.9.0 --startMP 204:460 --initTime 2017-12-20T19:41:01 --startdatetime 2017-12-20T19:42:57 --delay 62 --endMP 300:23306 --enddatetime 2017-12-20T19:56:01 --enforcementcount 0 &gt;&gt;%USERPROFILE%\Documents\GitHub\eaglep3-reporting\EC\2017-12-20-refined-times.txt</v>
      </c>
      <c r="AI212" s="238" t="str">
        <f t="shared" si="118"/>
        <v>echo {"issue":{"subject":"","project_id":79,"tracker_id":40,"status_id":1,"priority_id":2,"assigned_to_id":338,"start_date":"2017-12-20","description":"","custom_fields":[{"id":1,"name":"Subdivision","value":"Other"},{"id":4,"name":"Milepost","value":"2.3306"},{"id":17,"name":"Train ID","value":"305-20"},{"id":16,"name":"Locomotive ID","value":"4052"},{"id":130,"name":"Impact","value":""},{"id":150,"name":"Time of Event (Mountain Time)","value":"19:56:01"},{"id":151,"name":"Denver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1"/>
      <c r="AL212" s="231"/>
      <c r="AM212" s="240" t="str">
        <f t="shared" si="119"/>
        <v>start /low /b %USERPROFILE%\Documents\GitHub\eaglep3\Utilities\DownloadLogsFromS3.py --loco 4052 --day 2017-12-20</v>
      </c>
      <c r="AN212" s="241" t="str">
        <f t="shared" si="120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02:56:01"},{"id":29,"name":"Sharepoint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121"/>
        <v>https://d0f6bd738d7f1b3e5a7ca70fe4ff75f0.us-east-1.aws.found.io/app/kibana#/discover/Steve-Slow-Train-Analysis-(2080s-and-2083s)?_g=(refreshInterval:(display:Off,pause:!f,section:0,value:0),time:(from:'2017-12-20T18:41:01-0700',mode:absolute,to:'2017-12-20T20:56:01-0700'))&amp;_a=(columns:!('Message%20ID',Summary),filters:!(),index:'emp_*',interval:auto,query:(query_string:(analyze_wildcard:!t,query:'%22rtdc.l.rtdc.4052%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9" t="s">
        <v>681</v>
      </c>
      <c r="B213" s="225">
        <v>4057</v>
      </c>
      <c r="C213" s="227" t="s">
        <v>192</v>
      </c>
      <c r="D213" s="227" t="s">
        <v>1006</v>
      </c>
      <c r="E213" s="226">
        <v>43089.16510416667</v>
      </c>
      <c r="F213" s="226">
        <v>43089.168923611112</v>
      </c>
      <c r="G213" s="225">
        <v>78</v>
      </c>
      <c r="H213" s="227" t="s">
        <v>483</v>
      </c>
      <c r="I213" s="226">
        <v>43089.17528935185</v>
      </c>
      <c r="J213" s="225">
        <v>0</v>
      </c>
      <c r="K213" s="237" t="str">
        <f t="shared" si="97"/>
        <v>4057/4058</v>
      </c>
      <c r="L213" s="245" t="str">
        <f>VLOOKUP(A213,'Trips&amp;Operators'!$C$1:$G$99911,5,FALSE)</f>
        <v>DAVIDSON DAVID</v>
      </c>
      <c r="M213" s="224">
        <f t="shared" si="98"/>
        <v>6.3657407372375019E-3</v>
      </c>
      <c r="N213" s="225">
        <f t="shared" si="99"/>
        <v>9.1666666616220027</v>
      </c>
      <c r="O213" s="225"/>
      <c r="P213" s="225"/>
      <c r="Q213" s="228"/>
      <c r="R213" s="242"/>
      <c r="S213" s="249">
        <f t="shared" si="100"/>
        <v>1</v>
      </c>
      <c r="T213" s="242" t="str">
        <f t="shared" si="101"/>
        <v>Southbound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8" t="str">
        <f t="shared" si="102"/>
        <v>https://d0f6bd738d7f1b3e5a7ca70fe4ff75f0.us-east-1.aws.found.io/app/kibana#/discover/Steve-Slow-Train-Analysis-(2080s-and-2083s)?_g=(refreshInterval:(display:Off,pause:!f,section:0,value:0),time:(from:'2017-12-20T02:57:45-0700',mode:absolute,to:'2017-12-20T05:12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3" s="247" t="str">
        <f>IF(AA213&lt;VLOOKUP(AG213,Variables!$AC$3:$AD$8,2,FALSE),"Y","N")</f>
        <v>Y</v>
      </c>
      <c r="X213" s="247">
        <f t="shared" si="116"/>
        <v>1</v>
      </c>
      <c r="Y213" s="247">
        <f t="shared" si="114"/>
        <v>2.3159999999999998</v>
      </c>
      <c r="Z213" s="247">
        <f t="shared" si="115"/>
        <v>2.01E-2</v>
      </c>
      <c r="AA213" s="247">
        <f t="shared" si="104"/>
        <v>2.2959000000000001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105"/>
        <v>306</v>
      </c>
      <c r="AE213" s="235" t="str">
        <f t="shared" si="106"/>
        <v>aws s3 cp s3://rtdc.mdm.uploadarchive.raw/RTDC4057/ "%USERPROFILE%\AppData\Local\Temp\OnboardLogs"\RTDC4057\2017-12-20 --exclude "*" --recursive --include "*20171220*" &amp; "%USERPROFILE%\Documents\GitHub\mrs-test-scripts\Headless Mode &amp; Sideloading\WalkAndUnGZ.bat" "%USERPROFILE%\AppData\Local\Temp\OnboardLogs"\RTDC4057\2017-12-20 &amp; aws s3 cp s3://rtdc.mdm.uploadarchive.raw/RTDC4057/ "%USERPROFILE%\AppData\Local\Temp\OnboardLogs"\RTDC4057\2017-12-21 --exclude "*" --recursive --include "*20171221*" &amp; "%USERPROFILE%\Documents\GitHub\mrs-test-scripts\Headless Mode &amp; Sideloading\WalkAndUnGZ.bat" "%USERPROFILE%\AppData\Local\Temp\OnboardLogs"\RTDC4057\2017-12-21</v>
      </c>
      <c r="AF213" s="234" t="str">
        <f t="shared" si="107"/>
        <v>"C:\Program Files (x86)\AstroGrep\AstroGrep.exe" /e /r /s /spath="%USERPROFILE%\AppData\Local\Temp\OnboardLogs" /stypes="app*4057*20171220*" /stext=" 11:.+((SYSTEM_STATE.+slice.+state.+changed )|(ment ac)|(multiple cpu faults)|(system.+state.+changed )|(\[timeout)|(PRM\|1\|D)|(kpr)|(kdp)|(train st.+moving)|(\|gpps)|(penalty))"</v>
      </c>
      <c r="AG213" s="244" t="str">
        <f t="shared" si="108"/>
        <v>Other</v>
      </c>
      <c r="AH213" s="236" t="str">
        <f t="shared" si="117"/>
        <v>"%USERPROFILE%\Documents\GitHub\eaglep3\Utilities\RefineRTDCRunTimes.py" --tripid 306-20 --locoid 4057 --swversion DE.1.0.9.0 --startMP 300:23160 --initTime 2017-12-20T03:57:45 --startdatetime 2017-12-20T04:03:15 --delay 78 --endMP 204:201 --enddatetime 2017-12-20T04:12:25 --enforcementcount 0 &gt;&gt;%USERPROFILE%\Documents\GitHub\eaglep3-reporting\EC\2017-12-20-refined-times.txt</v>
      </c>
      <c r="AI213" s="238" t="str">
        <f t="shared" si="118"/>
        <v>echo {"issue":{"subject":"","project_id":79,"tracker_id":40,"status_id":1,"priority_id":2,"assigned_to_id":338,"start_date":"2017-12-20","description":"","custom_fields":[{"id":1,"name":"Subdivision","value":"Other"},{"id":4,"name":"Milepost","value":"0.0201"},{"id":17,"name":"Train ID","value":"306-20"},{"id":16,"name":"Locomotive ID","value":"4057"},{"id":130,"name":"Impact","value":""},{"id":150,"name":"Time of Event (Mountain Time)","value":"04:12:25"},{"id":151,"name":"Denver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119"/>
        <v>start /low /b %USERPROFILE%\Documents\GitHub\eaglep3\Utilities\DownloadLogsFromS3.py --loco 4057 --day 2017-12-20</v>
      </c>
      <c r="AN213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11:12:25"},{"id":29,"name":"Sharepoint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121"/>
        <v>https://d0f6bd738d7f1b3e5a7ca70fe4ff75f0.us-east-1.aws.found.io/app/kibana#/discover/Steve-Slow-Train-Analysis-(2080s-and-2083s)?_g=(refreshInterval:(display:Off,pause:!f,section:0,value:0),time:(from:'2017-12-20T02:57:45-0700',mode:absolute,to:'2017-12-20T05:12:25-0700'))&amp;_a=(columns:!('Message%20ID',Summary),filters:!(),index:'emp_*',interval:auto,query:(query_string:(analyze_wildcard:!t,query:'%22rtdc.l.rtdc.4057%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29" t="s">
        <v>895</v>
      </c>
      <c r="B214" s="225">
        <v>4062</v>
      </c>
      <c r="C214" s="227" t="s">
        <v>192</v>
      </c>
      <c r="D214" s="227" t="s">
        <v>621</v>
      </c>
      <c r="E214" s="226">
        <v>43090.046967592592</v>
      </c>
      <c r="F214" s="226">
        <v>43090.054351851853</v>
      </c>
      <c r="G214" s="225">
        <v>61</v>
      </c>
      <c r="H214" s="227" t="s">
        <v>527</v>
      </c>
      <c r="I214" s="226">
        <v>43090.060277777775</v>
      </c>
      <c r="J214" s="225">
        <v>0</v>
      </c>
      <c r="K214" s="237" t="str">
        <f t="shared" si="97"/>
        <v>4061/4062</v>
      </c>
      <c r="L214" s="245" t="str">
        <f>VLOOKUP(A214,'Trips&amp;Operators'!$C$1:$G$99911,5,FALSE)</f>
        <v>RESPASS AARON</v>
      </c>
      <c r="M214" s="224">
        <f t="shared" si="98"/>
        <v>5.9259259214741178E-3</v>
      </c>
      <c r="N214" s="225">
        <f t="shared" si="99"/>
        <v>8.5333333269227296</v>
      </c>
      <c r="O214" s="225"/>
      <c r="P214" s="225"/>
      <c r="Q214" s="228"/>
      <c r="R214" s="242"/>
      <c r="S214" s="249">
        <f t="shared" si="100"/>
        <v>1</v>
      </c>
      <c r="T214" s="242" t="str">
        <f t="shared" si="101"/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 t="shared" si="102"/>
        <v>https://d0f6bd738d7f1b3e5a7ca70fe4ff75f0.us-east-1.aws.found.io/app/kibana#/discover/Steve-Slow-Train-Analysis-(2080s-and-2083s)?_g=(refreshInterval:(display:Off,pause:!f,section:0,value:0),time:(from:'2017-12-21T00:07:38-0700',mode:absolute,to:'2017-12-21T02:26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4" s="247" t="str">
        <f>IF(AA214&lt;VLOOKUP(AG214,Variables!$AC$3:$AD$8,2,FALSE),"Y","N")</f>
        <v>Y</v>
      </c>
      <c r="X214" s="247">
        <f t="shared" si="116"/>
        <v>1</v>
      </c>
      <c r="Y214" s="247">
        <f t="shared" si="114"/>
        <v>5.5300000000000002E-2</v>
      </c>
      <c r="Z214" s="247">
        <f t="shared" si="115"/>
        <v>2.3298999999999999</v>
      </c>
      <c r="AA214" s="247">
        <f t="shared" si="104"/>
        <v>2.2746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 t="shared" si="105"/>
        <v>307</v>
      </c>
      <c r="AE214" s="235" t="str">
        <f t="shared" si="106"/>
        <v>aws s3 cp s3://rtdc.mdm.uploadarchive.raw/RTDC4062/ "%USERPROFILE%\AppData\Local\Temp\OnboardLogs"\RTDC4062\2017-12-21 --exclude "*" --recursive --include "*20171221*" &amp; "%USERPROFILE%\Documents\GitHub\mrs-test-scripts\Headless Mode &amp; Sideloading\WalkAndUnGZ.bat" "%USERPROFILE%\AppData\Local\Temp\OnboardLogs"\RTDC4062\2017-12-21 &amp; aws s3 cp s3://rtdc.mdm.uploadarchive.raw/RTDC4062/ "%USERPROFILE%\AppData\Local\Temp\OnboardLogs"\RTDC4062\2017-12-22 --exclude "*" --recursive --include "*20171222*" &amp; "%USERPROFILE%\Documents\GitHub\mrs-test-scripts\Headless Mode &amp; Sideloading\WalkAndUnGZ.bat" "%USERPROFILE%\AppData\Local\Temp\OnboardLogs"\RTDC4062\2017-12-22</v>
      </c>
      <c r="AF214" s="234" t="str">
        <f t="shared" si="107"/>
        <v>"C:\Program Files (x86)\AstroGrep\AstroGrep.exe" /e /r /s /spath="%USERPROFILE%\AppData\Local\Temp\OnboardLogs" /stypes="app*4062*20171221*" /stext=" 08:.+((SYSTEM_STATE.+slice.+state.+changed )|(ment ac)|(multiple cpu faults)|(system.+state.+changed )|(\[timeout)|(PRM\|1\|D)|(kpr)|(kdp)|(train st.+moving)|(\|gpps)|(penalty))"</v>
      </c>
      <c r="AG214" s="244" t="str">
        <f t="shared" si="108"/>
        <v>Other</v>
      </c>
      <c r="AH214" s="236" t="str">
        <f t="shared" si="117"/>
        <v>"%USERPROFILE%\Documents\GitHub\eaglep3\Utilities\RefineRTDCRunTimes.py" --tripid 307-20 --locoid 4062 --swversion DE.1.0.9.0 --startMP 204:553 --initTime 2017-12-21T01:07:38 --startdatetime 2017-12-21T01:18:16 --delay 61 --endMP 300:23299 --enddatetime 2017-12-21T01:26:48 --enforcementcount 0 &gt;&gt;%USERPROFILE%\Documents\GitHub\eaglep3-reporting\EC\2017-12-20-refined-times.txt</v>
      </c>
      <c r="AI214" s="238" t="str">
        <f t="shared" si="118"/>
        <v>echo {"issue":{"subject":"","project_id":79,"tracker_id":40,"status_id":1,"priority_id":2,"assigned_to_id":338,"start_date":"2017-12-21","description":"","custom_fields":[{"id":1,"name":"Subdivision","value":"Other"},{"id":4,"name":"Milepost","value":"2.3299"},{"id":17,"name":"Train ID","value":"307-20"},{"id":16,"name":"Locomotive ID","value":"4062"},{"id":130,"name":"Impact","value":""},{"id":150,"name":"Time of Event (Mountain Time)","value":"01:26:48"},{"id":151,"name":"Denver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3"/>
      <c r="AK214" s="231"/>
      <c r="AL214" s="231"/>
      <c r="AM214" s="240" t="str">
        <f t="shared" si="119"/>
        <v>start /low /b %USERPROFILE%\Documents\GitHub\eaglep3\Utilities\DownloadLogsFromS3.py --loco 4062 --day 2017-12-21</v>
      </c>
      <c r="AN214" s="241" t="str">
        <f t="shared" si="120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08:26:48"},{"id":29,"name":"Sharepoint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121"/>
        <v>https://d0f6bd738d7f1b3e5a7ca70fe4ff75f0.us-east-1.aws.found.io/app/kibana#/discover/Steve-Slow-Train-Analysis-(2080s-and-2083s)?_g=(refreshInterval:(display:Off,pause:!f,section:0,value:0),time:(from:'2017-12-21T00:07:38-0700',mode:absolute,to:'2017-12-21T02:26:48-0700'))&amp;_a=(columns:!('Message%20ID',Summary),filters:!(),index:'emp_*',interval:auto,query:(query_string:(analyze_wildcard:!t,query:'%22rtdc.l.rtdc.4062%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23" customFormat="1" x14ac:dyDescent="0.25">
      <c r="A215" s="229" t="s">
        <v>685</v>
      </c>
      <c r="B215" s="225">
        <v>4025</v>
      </c>
      <c r="C215" s="227" t="s">
        <v>192</v>
      </c>
      <c r="D215" s="227" t="s">
        <v>1007</v>
      </c>
      <c r="E215" s="226">
        <v>43089.176770833335</v>
      </c>
      <c r="F215" s="226">
        <v>43089.18109953704</v>
      </c>
      <c r="G215" s="225">
        <v>132</v>
      </c>
      <c r="H215" s="227" t="s">
        <v>956</v>
      </c>
      <c r="I215" s="226">
        <v>43089.186631944445</v>
      </c>
      <c r="J215" s="225">
        <v>0</v>
      </c>
      <c r="K215" s="237" t="str">
        <f t="shared" si="97"/>
        <v>4025/4026</v>
      </c>
      <c r="L215" s="245" t="str">
        <f>VLOOKUP(A215,'Trips&amp;Operators'!$C$1:$G$99911,5,FALSE)</f>
        <v>LOPES KIMBERLY</v>
      </c>
      <c r="M215" s="224">
        <f t="shared" si="98"/>
        <v>5.5324074055533856E-3</v>
      </c>
      <c r="N215" s="225">
        <f t="shared" si="99"/>
        <v>7.9666666639968753</v>
      </c>
      <c r="O215" s="225"/>
      <c r="P215" s="225"/>
      <c r="Q215" s="228"/>
      <c r="R215" s="242"/>
      <c r="S215" s="249">
        <f t="shared" si="100"/>
        <v>1</v>
      </c>
      <c r="T215" s="242" t="str">
        <f t="shared" si="101"/>
        <v>Southbound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 t="shared" si="102"/>
        <v>https://d0f6bd738d7f1b3e5a7ca70fe4ff75f0.us-east-1.aws.found.io/app/kibana#/discover/Steve-Slow-Train-Analysis-(2080s-and-2083s)?_g=(refreshInterval:(display:Off,pause:!f,section:0,value:0),time:(from:'2017-12-20T03:14:33-0700',mode:absolute,to:'2017-12-20T05:28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5" s="247" t="str">
        <f>IF(AA215&lt;VLOOKUP(AG215,Variables!$AC$3:$AD$8,2,FALSE),"Y","N")</f>
        <v>Y</v>
      </c>
      <c r="X215" s="247">
        <f t="shared" si="116"/>
        <v>1</v>
      </c>
      <c r="Y215" s="247">
        <f t="shared" si="114"/>
        <v>2.3334000000000001</v>
      </c>
      <c r="Z215" s="247">
        <f t="shared" si="115"/>
        <v>2.0500000000000001E-2</v>
      </c>
      <c r="AA215" s="247">
        <f t="shared" si="104"/>
        <v>2.3129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 t="shared" si="105"/>
        <v>308</v>
      </c>
      <c r="AE215" s="235" t="str">
        <f t="shared" si="106"/>
        <v>aws s3 cp s3://rtdc.mdm.uploadarchive.raw/RTDC4025/ "%USERPROFILE%\AppData\Local\Temp\OnboardLogs"\RTDC4025\2017-12-20 --exclude "*" --recursive --include "*20171220*" &amp; "%USERPROFILE%\Documents\GitHub\mrs-test-scripts\Headless Mode &amp; Sideloading\WalkAndUnGZ.bat" "%USERPROFILE%\AppData\Local\Temp\OnboardLogs"\RTDC4025\2017-12-20 &amp; aws s3 cp s3://rtdc.mdm.uploadarchive.raw/RTDC4025/ "%USERPROFILE%\AppData\Local\Temp\OnboardLogs"\RTDC4025\2017-12-21 --exclude "*" --recursive --include "*20171221*" &amp; "%USERPROFILE%\Documents\GitHub\mrs-test-scripts\Headless Mode &amp; Sideloading\WalkAndUnGZ.bat" "%USERPROFILE%\AppData\Local\Temp\OnboardLogs"\RTDC4025\2017-12-21</v>
      </c>
      <c r="AF215" s="234" t="str">
        <f t="shared" si="107"/>
        <v>"C:\Program Files (x86)\AstroGrep\AstroGrep.exe" /e /r /s /spath="%USERPROFILE%\AppData\Local\Temp\OnboardLogs" /stypes="app*4025*20171220*" /stext=" 11:.+((SYSTEM_STATE.+slice.+state.+changed )|(ment ac)|(multiple cpu faults)|(system.+state.+changed )|(\[timeout)|(PRM\|1\|D)|(kpr)|(kdp)|(train st.+moving)|(\|gpps)|(penalty))"</v>
      </c>
      <c r="AG215" s="244" t="str">
        <f t="shared" si="108"/>
        <v>Other</v>
      </c>
      <c r="AH215" s="236" t="str">
        <f t="shared" si="117"/>
        <v>"%USERPROFILE%\Documents\GitHub\eaglep3\Utilities\RefineRTDCRunTimes.py" --tripid 308-20 --locoid 4025 --swversion DE.1.0.9.0 --startMP 300:23334 --initTime 2017-12-20T04:14:33 --startdatetime 2017-12-20T04:20:47 --delay 132 --endMP 204:205 --enddatetime 2017-12-20T04:28:45 --enforcementcount 0 &gt;&gt;%USERPROFILE%\Documents\GitHub\eaglep3-reporting\EC\2017-12-20-refined-times.txt</v>
      </c>
      <c r="AI215" s="238" t="str">
        <f t="shared" si="118"/>
        <v>echo {"issue":{"subject":"","project_id":79,"tracker_id":40,"status_id":1,"priority_id":2,"assigned_to_id":338,"start_date":"2017-12-20","description":"","custom_fields":[{"id":1,"name":"Subdivision","value":"Other"},{"id":4,"name":"Milepost","value":"0.0205"},{"id":17,"name":"Train ID","value":"308-20"},{"id":16,"name":"Locomotive ID","value":"4025"},{"id":130,"name":"Impact","value":""},{"id":150,"name":"Time of Event (Mountain Time)","value":"04:28:45"},{"id":151,"name":"Denver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231"/>
      <c r="AL215" s="231"/>
      <c r="AM215" s="240" t="str">
        <f t="shared" si="119"/>
        <v>start /low /b %USERPROFILE%\Documents\GitHub\eaglep3\Utilities\DownloadLogsFromS3.py --loco 4025 --day 2017-12-20</v>
      </c>
      <c r="AN215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11:28:45"},{"id":29,"name":"Sharepoint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121"/>
        <v>https://d0f6bd738d7f1b3e5a7ca70fe4ff75f0.us-east-1.aws.found.io/app/kibana#/discover/Steve-Slow-Train-Analysis-(2080s-and-2083s)?_g=(refreshInterval:(display:Off,pause:!f,section:0,value:0),time:(from:'2017-12-20T03:14:33-0700',mode:absolute,to:'2017-12-20T05:28:45-0700'))&amp;_a=(columns:!('Message%20ID',Summary),filters:!(),index:'emp_*',interval:auto,query:(query_string:(analyze_wildcard:!t,query:'%22rtdc.l.rtdc.4025%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29" t="s">
        <v>671</v>
      </c>
      <c r="B216" s="225">
        <v>4044</v>
      </c>
      <c r="C216" s="227" t="s">
        <v>192</v>
      </c>
      <c r="D216" s="227" t="s">
        <v>1008</v>
      </c>
      <c r="E216" s="226">
        <v>43090.068148148152</v>
      </c>
      <c r="F216" s="226">
        <v>43090.069456018522</v>
      </c>
      <c r="G216" s="225">
        <v>48</v>
      </c>
      <c r="H216" s="227" t="s">
        <v>1009</v>
      </c>
      <c r="I216" s="226">
        <v>43090.074641203704</v>
      </c>
      <c r="J216" s="225">
        <v>0</v>
      </c>
      <c r="K216" s="237" t="str">
        <f t="shared" si="97"/>
        <v>4043/4044</v>
      </c>
      <c r="L216" s="245" t="str">
        <f>VLOOKUP(A216,'Trips&amp;Operators'!$C$1:$G$99911,5,FALSE)</f>
        <v>LOZA FIDEL</v>
      </c>
      <c r="M216" s="224">
        <f t="shared" si="98"/>
        <v>5.1851851821993478E-3</v>
      </c>
      <c r="N216" s="225">
        <f t="shared" si="99"/>
        <v>7.4666666623670608</v>
      </c>
      <c r="O216" s="225"/>
      <c r="P216" s="225"/>
      <c r="Q216" s="228"/>
      <c r="R216" s="242"/>
      <c r="S216" s="249">
        <f t="shared" si="100"/>
        <v>1</v>
      </c>
      <c r="T216" s="242" t="str">
        <f t="shared" si="101"/>
        <v>NorthBound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 t="shared" si="102"/>
        <v>https://d0f6bd738d7f1b3e5a7ca70fe4ff75f0.us-east-1.aws.found.io/app/kibana#/discover/Steve-Slow-Train-Analysis-(2080s-and-2083s)?_g=(refreshInterval:(display:Off,pause:!f,section:0,value:0),time:(from:'2017-12-21T00:38:08-0700',mode:absolute,to:'2017-12-21T02:47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6" s="247" t="str">
        <f>IF(AA216&lt;VLOOKUP(AG216,Variables!$AC$3:$AD$8,2,FALSE),"Y","N")</f>
        <v>Y</v>
      </c>
      <c r="X216" s="247">
        <f t="shared" si="116"/>
        <v>1</v>
      </c>
      <c r="Y216" s="247">
        <f t="shared" si="114"/>
        <v>5.5100000000000003E-2</v>
      </c>
      <c r="Z216" s="247">
        <f t="shared" si="115"/>
        <v>2.2559</v>
      </c>
      <c r="AA216" s="247">
        <f t="shared" si="104"/>
        <v>2.2008000000000001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 t="shared" si="105"/>
        <v>309</v>
      </c>
      <c r="AE216" s="235" t="str">
        <f t="shared" si="106"/>
        <v>aws s3 cp s3://rtdc.mdm.uploadarchive.raw/RTDC4044/ "%USERPROFILE%\AppData\Local\Temp\OnboardLogs"\RTDC4044\2017-12-21 --exclude "*" --recursive --include "*20171221*" &amp; "%USERPROFILE%\Documents\GitHub\mrs-test-scripts\Headless Mode &amp; Sideloading\WalkAndUnGZ.bat" "%USERPROFILE%\AppData\Local\Temp\OnboardLogs"\RTDC4044\2017-12-21 &amp; aws s3 cp s3://rtdc.mdm.uploadarchive.raw/RTDC4044/ "%USERPROFILE%\AppData\Local\Temp\OnboardLogs"\RTDC4044\2017-12-22 --exclude "*" --recursive --include "*20171222*" &amp; "%USERPROFILE%\Documents\GitHub\mrs-test-scripts\Headless Mode &amp; Sideloading\WalkAndUnGZ.bat" "%USERPROFILE%\AppData\Local\Temp\OnboardLogs"\RTDC4044\2017-12-22</v>
      </c>
      <c r="AF216" s="234" t="str">
        <f t="shared" si="107"/>
        <v>"C:\Program Files (x86)\AstroGrep\AstroGrep.exe" /e /r /s /spath="%USERPROFILE%\AppData\Local\Temp\OnboardLogs" /stypes="app*4044*20171221*" /stext=" 08:.+((SYSTEM_STATE.+slice.+state.+changed )|(ment ac)|(multiple cpu faults)|(system.+state.+changed )|(\[timeout)|(PRM\|1\|D)|(kpr)|(kdp)|(train st.+moving)|(\|gpps)|(penalty))"</v>
      </c>
      <c r="AG216" s="244" t="str">
        <f t="shared" si="108"/>
        <v>Other</v>
      </c>
      <c r="AH216" s="236" t="str">
        <f t="shared" si="117"/>
        <v>"%USERPROFILE%\Documents\GitHub\eaglep3\Utilities\RefineRTDCRunTimes.py" --tripid 309-20 --locoid 4044 --swversion DE.1.0.9.0 --startMP 204:551 --initTime 2017-12-21T01:38:08 --startdatetime 2017-12-21T01:40:01 --delay 48 --endMP 300:22559 --enddatetime 2017-12-21T01:47:29 --enforcementcount 0 &gt;&gt;%USERPROFILE%\Documents\GitHub\eaglep3-reporting\EC\2017-12-20-refined-times.txt</v>
      </c>
      <c r="AI216" s="238" t="str">
        <f t="shared" si="118"/>
        <v>echo {"issue":{"subject":"","project_id":79,"tracker_id":40,"status_id":1,"priority_id":2,"assigned_to_id":338,"start_date":"2017-12-21","description":"","custom_fields":[{"id":1,"name":"Subdivision","value":"Other"},{"id":4,"name":"Milepost","value":"2.2559"},{"id":17,"name":"Train ID","value":"309-20"},{"id":16,"name":"Locomotive ID","value":"4044"},{"id":130,"name":"Impact","value":""},{"id":150,"name":"Time of Event (Mountain Time)","value":"01:47:29"},{"id":151,"name":"Denver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119"/>
        <v>start /low /b %USERPROFILE%\Documents\GitHub\eaglep3\Utilities\DownloadLogsFromS3.py --loco 4044 --day 2017-12-21</v>
      </c>
      <c r="AN216" s="241" t="str">
        <f t="shared" si="120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08:47:29"},{"id":29,"name":"Sharepoint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121"/>
        <v>https://d0f6bd738d7f1b3e5a7ca70fe4ff75f0.us-east-1.aws.found.io/app/kibana#/discover/Steve-Slow-Train-Analysis-(2080s-and-2083s)?_g=(refreshInterval:(display:Off,pause:!f,section:0,value:0),time:(from:'2017-12-21T00:38:08-0700',mode:absolute,to:'2017-12-21T02:47:29-0700'))&amp;_a=(columns:!('Message%20ID',Summary),filters:!(),index:'emp_*',interval:auto,query:(query_string:(analyze_wildcard:!t,query:'%22rtdc.l.rtdc.4044%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29" t="s">
        <v>689</v>
      </c>
      <c r="B217" s="225">
        <v>4049</v>
      </c>
      <c r="C217" s="227" t="s">
        <v>192</v>
      </c>
      <c r="D217" s="227" t="s">
        <v>1010</v>
      </c>
      <c r="E217" s="226">
        <v>43089.197025462963</v>
      </c>
      <c r="F217" s="226">
        <v>43089.20071759259</v>
      </c>
      <c r="G217" s="225">
        <v>75</v>
      </c>
      <c r="H217" s="227" t="s">
        <v>540</v>
      </c>
      <c r="I217" s="226">
        <v>43089.20590277778</v>
      </c>
      <c r="J217" s="225">
        <v>0</v>
      </c>
      <c r="K217" s="237" t="str">
        <f t="shared" si="97"/>
        <v>4049/4050</v>
      </c>
      <c r="L217" s="245" t="str">
        <f>VLOOKUP(A217,'Trips&amp;Operators'!$C$1:$G$99911,5,FALSE)</f>
        <v>YANAI IAN</v>
      </c>
      <c r="M217" s="224">
        <f t="shared" si="98"/>
        <v>5.1851851894753054E-3</v>
      </c>
      <c r="N217" s="225">
        <f t="shared" si="99"/>
        <v>7.4666666728444397</v>
      </c>
      <c r="O217" s="225"/>
      <c r="P217" s="225"/>
      <c r="Q217" s="228"/>
      <c r="R217" s="242"/>
      <c r="S217" s="249">
        <f t="shared" si="100"/>
        <v>1</v>
      </c>
      <c r="T217" s="242" t="str">
        <f t="shared" si="101"/>
        <v>Southbound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 t="shared" si="102"/>
        <v>https://d0f6bd738d7f1b3e5a7ca70fe4ff75f0.us-east-1.aws.found.io/app/kibana#/discover/Steve-Slow-Train-Analysis-(2080s-and-2083s)?_g=(refreshInterval:(display:Off,pause:!f,section:0,value:0),time:(from:'2017-12-20T03:43:43-0700',mode:absolute,to:'2017-12-20T05:56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7" s="247" t="str">
        <f>IF(AA217&lt;VLOOKUP(AG217,Variables!$AC$3:$AD$8,2,FALSE),"Y","N")</f>
        <v>Y</v>
      </c>
      <c r="X217" s="247">
        <f t="shared" si="116"/>
        <v>1</v>
      </c>
      <c r="Y217" s="247">
        <f t="shared" si="114"/>
        <v>2.3761999999999999</v>
      </c>
      <c r="Z217" s="247">
        <f t="shared" si="115"/>
        <v>1.52E-2</v>
      </c>
      <c r="AA217" s="247">
        <f t="shared" si="104"/>
        <v>2.3609999999999998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 t="shared" si="105"/>
        <v>310</v>
      </c>
      <c r="AE217" s="235" t="str">
        <f t="shared" si="106"/>
        <v>aws s3 cp s3://rtdc.mdm.uploadarchive.raw/RTDC4049/ "%USERPROFILE%\AppData\Local\Temp\OnboardLogs"\RTDC4049\2017-12-20 --exclude "*" --recursive --include "*20171220*" &amp; "%USERPROFILE%\Documents\GitHub\mrs-test-scripts\Headless Mode &amp; Sideloading\WalkAndUnGZ.bat" "%USERPROFILE%\AppData\Local\Temp\OnboardLogs"\RTDC4049\2017-12-20 &amp; aws s3 cp s3://rtdc.mdm.uploadarchive.raw/RTDC4049/ "%USERPROFILE%\AppData\Local\Temp\OnboardLogs"\RTDC4049\2017-12-21 --exclude "*" --recursive --include "*20171221*" &amp; "%USERPROFILE%\Documents\GitHub\mrs-test-scripts\Headless Mode &amp; Sideloading\WalkAndUnGZ.bat" "%USERPROFILE%\AppData\Local\Temp\OnboardLogs"\RTDC4049\2017-12-21</v>
      </c>
      <c r="AF217" s="234" t="str">
        <f t="shared" si="107"/>
        <v>"C:\Program Files (x86)\AstroGrep\AstroGrep.exe" /e /r /s /spath="%USERPROFILE%\AppData\Local\Temp\OnboardLogs" /stypes="app*4049*20171220*" /stext=" 11:.+((SYSTEM_STATE.+slice.+state.+changed )|(ment ac)|(multiple cpu faults)|(system.+state.+changed )|(\[timeout)|(PRM\|1\|D)|(kpr)|(kdp)|(train st.+moving)|(\|gpps)|(penalty))"</v>
      </c>
      <c r="AG217" s="244" t="str">
        <f t="shared" si="108"/>
        <v>Other</v>
      </c>
      <c r="AH217" s="236" t="str">
        <f t="shared" si="117"/>
        <v>"%USERPROFILE%\Documents\GitHub\eaglep3\Utilities\RefineRTDCRunTimes.py" --tripid 310-20 --locoid 4049 --swversion DE.1.0.9.0 --startMP 300:23762 --initTime 2017-12-20T04:43:43 --startdatetime 2017-12-20T04:49:02 --delay 75 --endMP 204:152 --enddatetime 2017-12-20T04:56:30 --enforcementcount 0 &gt;&gt;%USERPROFILE%\Documents\GitHub\eaglep3-reporting\EC\2017-12-20-refined-times.txt</v>
      </c>
      <c r="AI217" s="238" t="str">
        <f t="shared" si="118"/>
        <v>echo {"issue":{"subject":"","project_id":79,"tracker_id":40,"status_id":1,"priority_id":2,"assigned_to_id":338,"start_date":"2017-12-20","description":"","custom_fields":[{"id":1,"name":"Subdivision","value":"Other"},{"id":4,"name":"Milepost","value":"0.0152"},{"id":17,"name":"Train ID","value":"310-20"},{"id":16,"name":"Locomotive ID","value":"4049"},{"id":130,"name":"Impact","value":""},{"id":150,"name":"Time of Event (Mountain Time)","value":"04:56:30"},{"id":151,"name":"Denver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119"/>
        <v>start /low /b %USERPROFILE%\Documents\GitHub\eaglep3\Utilities\DownloadLogsFromS3.py --loco 4049 --day 2017-12-20</v>
      </c>
      <c r="AN217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11:56:30"},{"id":29,"name":"Sharepoint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121"/>
        <v>https://d0f6bd738d7f1b3e5a7ca70fe4ff75f0.us-east-1.aws.found.io/app/kibana#/discover/Steve-Slow-Train-Analysis-(2080s-and-2083s)?_g=(refreshInterval:(display:Off,pause:!f,section:0,value:0),time:(from:'2017-12-20T03:43:43-0700',mode:absolute,to:'2017-12-20T05:56:30-0700'))&amp;_a=(columns:!('Message%20ID',Summary),filters:!(),index:'emp_*',interval:auto,query:(query_string:(analyze_wildcard:!t,query:'%22rtdc.l.rtdc.4049%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29" t="s">
        <v>897</v>
      </c>
      <c r="B218" s="225">
        <v>4020</v>
      </c>
      <c r="C218" s="227" t="s">
        <v>192</v>
      </c>
      <c r="D218" s="227" t="s">
        <v>629</v>
      </c>
      <c r="E218" s="226">
        <v>43090.089803240742</v>
      </c>
      <c r="F218" s="226">
        <v>43090.092291666668</v>
      </c>
      <c r="G218" s="225">
        <v>47</v>
      </c>
      <c r="H218" s="227" t="s">
        <v>1011</v>
      </c>
      <c r="I218" s="226">
        <v>43090.097442129627</v>
      </c>
      <c r="J218" s="225">
        <v>0</v>
      </c>
      <c r="K218" s="237" t="str">
        <f t="shared" si="97"/>
        <v>4019/4020</v>
      </c>
      <c r="L218" s="245" t="str">
        <f>VLOOKUP(A218,'Trips&amp;Operators'!$C$1:$G$99911,5,FALSE)</f>
        <v>MCREYNOLDS KYLE</v>
      </c>
      <c r="M218" s="224">
        <f t="shared" si="98"/>
        <v>5.1504629591363482E-3</v>
      </c>
      <c r="N218" s="225"/>
      <c r="O218" s="225"/>
      <c r="P218" s="225">
        <f>24*60*SUM($M218:$M218)</f>
        <v>7.4166666611563414</v>
      </c>
      <c r="Q218" s="228"/>
      <c r="R218" s="242" t="s">
        <v>1110</v>
      </c>
      <c r="S218" s="249">
        <f t="shared" si="100"/>
        <v>1</v>
      </c>
      <c r="T218" s="242" t="str">
        <f t="shared" si="101"/>
        <v>NorthBound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 t="shared" si="102"/>
        <v>https://d0f6bd738d7f1b3e5a7ca70fe4ff75f0.us-east-1.aws.found.io/app/kibana#/discover/Steve-Slow-Train-Analysis-(2080s-and-2083s)?_g=(refreshInterval:(display:Off,pause:!f,section:0,value:0),time:(from:'2017-12-21T01:09:19-0700',mode:absolute,to:'2017-12-21T03:20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8" s="247" t="str">
        <f>IF(AA218&lt;VLOOKUP(AG218,Variables!$AC$3:$AD$8,2,FALSE),"Y","N")</f>
        <v>Y</v>
      </c>
      <c r="X218" s="247">
        <f t="shared" si="116"/>
        <v>1</v>
      </c>
      <c r="Y218" s="247">
        <f t="shared" si="114"/>
        <v>5.5500000000000001E-2</v>
      </c>
      <c r="Z218" s="247">
        <f t="shared" si="115"/>
        <v>2.2667000000000002</v>
      </c>
      <c r="AA218" s="247">
        <f t="shared" si="104"/>
        <v>2.2112000000000003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 t="shared" si="105"/>
        <v>311</v>
      </c>
      <c r="AE218" s="235" t="str">
        <f t="shared" si="106"/>
        <v>aws s3 cp s3://rtdc.mdm.uploadarchive.raw/RTDC4020/ "%USERPROFILE%\AppData\Local\Temp\OnboardLogs"\RTDC4020\2017-12-21 --exclude "*" --recursive --include "*20171221*" &amp; "%USERPROFILE%\Documents\GitHub\mrs-test-scripts\Headless Mode &amp; Sideloading\WalkAndUnGZ.bat" "%USERPROFILE%\AppData\Local\Temp\OnboardLogs"\RTDC4020\2017-12-21 &amp; aws s3 cp s3://rtdc.mdm.uploadarchive.raw/RTDC4020/ "%USERPROFILE%\AppData\Local\Temp\OnboardLogs"\RTDC4020\2017-12-22 --exclude "*" --recursive --include "*20171222*" &amp; "%USERPROFILE%\Documents\GitHub\mrs-test-scripts\Headless Mode &amp; Sideloading\WalkAndUnGZ.bat" "%USERPROFILE%\AppData\Local\Temp\OnboardLogs"\RTDC4020\2017-12-22</v>
      </c>
      <c r="AF218" s="234" t="str">
        <f t="shared" si="107"/>
        <v>"C:\Program Files (x86)\AstroGrep\AstroGrep.exe" /e /r /s /spath="%USERPROFILE%\AppData\Local\Temp\OnboardLogs" /stypes="app*4020*20171221*" /stext=" 09:.+((SYSTEM_STATE.+slice.+state.+changed )|(ment ac)|(multiple cpu faults)|(system.+state.+changed )|(\[timeout)|(PRM\|1\|D)|(kpr)|(kdp)|(train st.+moving)|(\|gpps)|(penalty))"</v>
      </c>
      <c r="AG218" s="244" t="str">
        <f t="shared" si="108"/>
        <v>Other</v>
      </c>
      <c r="AH218" s="236" t="str">
        <f t="shared" si="117"/>
        <v>"%USERPROFILE%\Documents\GitHub\eaglep3\Utilities\RefineRTDCRunTimes.py" --tripid 311-20 --locoid 4020 --swversion DE.1.0.9.0 --startMP 204:555 --initTime 2017-12-21T02:09:19 --startdatetime 2017-12-21T02:12:54 --delay 47 --endMP 300:22667 --enddatetime 2017-12-21T02:20:19 --enforcementcount 0 &gt;&gt;%USERPROFILE%\Documents\GitHub\eaglep3-reporting\EC\2017-12-20-refined-times.txt</v>
      </c>
      <c r="AI218" s="238" t="str">
        <f t="shared" si="118"/>
        <v>echo {"issue":{"subject":"Onboard in-route failure","project_id":79,"tracker_id":40,"status_id":1,"priority_id":2,"assigned_to_id":338,"start_date":"2017-12-21","description":"","custom_fields":[{"id":1,"name":"Subdivision","value":"Other"},{"id":4,"name":"Milepost","value":"2.2667"},{"id":17,"name":"Train ID","value":"311-20"},{"id":16,"name":"Locomotive ID","value":"4020"},{"id":130,"name":"Impact","value":""},{"id":150,"name":"Time of Event (Mountain Time)","value":"02:20:19"},{"id":151,"name":"Denver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119"/>
        <v>start /low /b %USERPROFILE%\Documents\GitHub\eaglep3\Utilities\DownloadLogsFromS3.py --loco 4020 --day 2017-12-21</v>
      </c>
      <c r="AN218" s="241" t="str">
        <f t="shared" si="120"/>
        <v>echo {"issue":{"subject":"Onboard in-route failure","project_id":30,"tracker_id":4,"status_id":1,"priority_id":1,"assigned_to_id":10,"start_date":"2017-12-21","description":"","custom_fields":[{"id":30,"name":"Category","value":"Issue"},{"id":3,"name":"Functional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09:20:19"},{"id":29,"name":"Sharepoint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121"/>
        <v>https://d0f6bd738d7f1b3e5a7ca70fe4ff75f0.us-east-1.aws.found.io/app/kibana#/discover/Steve-Slow-Train-Analysis-(2080s-and-2083s)?_g=(refreshInterval:(display:Off,pause:!f,section:0,value:0),time:(from:'2017-12-21T01:09:19-0700',mode:absolute,to:'2017-12-21T03:20:19-0700'))&amp;_a=(columns:!('Message%20ID',Summary),filters:!(),index:'emp_*',interval:auto,query:(query_string:(analyze_wildcard:!t,query:'%22rtdc.l.rtdc.4020%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3" customFormat="1" x14ac:dyDescent="0.25">
      <c r="A219" s="229" t="s">
        <v>697</v>
      </c>
      <c r="B219" s="225">
        <v>4051</v>
      </c>
      <c r="C219" s="227" t="s">
        <v>192</v>
      </c>
      <c r="D219" s="227" t="s">
        <v>1012</v>
      </c>
      <c r="E219" s="226">
        <v>43089.223391203705</v>
      </c>
      <c r="F219" s="226">
        <v>43089.2265162037</v>
      </c>
      <c r="G219" s="225">
        <v>57</v>
      </c>
      <c r="H219" s="227" t="s">
        <v>1013</v>
      </c>
      <c r="I219" s="226">
        <v>43089.232164351852</v>
      </c>
      <c r="J219" s="225">
        <v>0</v>
      </c>
      <c r="K219" s="237" t="str">
        <f t="shared" si="97"/>
        <v>4051/4052</v>
      </c>
      <c r="L219" s="245" t="str">
        <f>VLOOKUP(A219,'Trips&amp;Operators'!$C$1:$G$99911,5,FALSE)</f>
        <v>HUFFSMITH MONTY</v>
      </c>
      <c r="M219" s="224">
        <f t="shared" si="98"/>
        <v>5.6481481515220366E-3</v>
      </c>
      <c r="N219" s="225">
        <f t="shared" ref="N219:N256" si="122">24*60*SUM($M219:$M219)</f>
        <v>8.1333333381917328</v>
      </c>
      <c r="O219" s="225"/>
      <c r="P219" s="225"/>
      <c r="Q219" s="228"/>
      <c r="R219" s="242"/>
      <c r="S219" s="249">
        <f t="shared" si="100"/>
        <v>1</v>
      </c>
      <c r="T219" s="242" t="str">
        <f t="shared" si="101"/>
        <v>Southbound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8" t="str">
        <f t="shared" si="102"/>
        <v>https://d0f6bd738d7f1b3e5a7ca70fe4ff75f0.us-east-1.aws.found.io/app/kibana#/discover/Steve-Slow-Train-Analysis-(2080s-and-2083s)?_g=(refreshInterval:(display:Off,pause:!f,section:0,value:0),time:(from:'2017-12-20T04:21:41-0700',mode:absolute,to:'2017-12-20T06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9" s="247" t="str">
        <f>IF(AA219&lt;VLOOKUP(AG219,Variables!$AC$3:$AD$8,2,FALSE),"Y","N")</f>
        <v>Y</v>
      </c>
      <c r="X219" s="247">
        <f t="shared" si="116"/>
        <v>1</v>
      </c>
      <c r="Y219" s="247">
        <f t="shared" si="114"/>
        <v>2.3512</v>
      </c>
      <c r="Z219" s="247">
        <f t="shared" si="115"/>
        <v>1.1900000000000001E-2</v>
      </c>
      <c r="AA219" s="247">
        <f t="shared" si="104"/>
        <v>2.3393000000000002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 t="shared" si="105"/>
        <v>312</v>
      </c>
      <c r="AE219" s="235" t="str">
        <f t="shared" si="106"/>
        <v>aws s3 cp s3://rtdc.mdm.uploadarchive.raw/RTDC4051/ "%USERPROFILE%\AppData\Local\Temp\OnboardLogs"\RTDC4051\2017-12-20 --exclude "*" --recursive --include "*20171220*" &amp; "%USERPROFILE%\Documents\GitHub\mrs-test-scripts\Headless Mode &amp; Sideloading\WalkAndUnGZ.bat" "%USERPROFILE%\AppData\Local\Temp\OnboardLogs"\RTDC4051\2017-12-20 &amp; aws s3 cp s3://rtdc.mdm.uploadarchive.raw/RTDC4051/ "%USERPROFILE%\AppData\Local\Temp\OnboardLogs"\RTDC4051\2017-12-21 --exclude "*" --recursive --include "*20171221*" &amp; "%USERPROFILE%\Documents\GitHub\mrs-test-scripts\Headless Mode &amp; Sideloading\WalkAndUnGZ.bat" "%USERPROFILE%\AppData\Local\Temp\OnboardLogs"\RTDC4051\2017-12-21</v>
      </c>
      <c r="AF219" s="234" t="str">
        <f t="shared" si="107"/>
        <v>"C:\Program Files (x86)\AstroGrep\AstroGrep.exe" /e /r /s /spath="%USERPROFILE%\AppData\Local\Temp\OnboardLogs" /stypes="app*4051*20171220*" /stext=" 12:.+((SYSTEM_STATE.+slice.+state.+changed )|(ment ac)|(multiple cpu faults)|(system.+state.+changed )|(\[timeout)|(PRM\|1\|D)|(kpr)|(kdp)|(train st.+moving)|(\|gpps)|(penalty))"</v>
      </c>
      <c r="AG219" s="244" t="str">
        <f t="shared" si="108"/>
        <v>Other</v>
      </c>
      <c r="AH219" s="236" t="str">
        <f t="shared" si="117"/>
        <v>"%USERPROFILE%\Documents\GitHub\eaglep3\Utilities\RefineRTDCRunTimes.py" --tripid 312-20 --locoid 4051 --swversion DE.1.0.9.0 --startMP 300:23512 --initTime 2017-12-20T05:21:41 --startdatetime 2017-12-20T05:26:11 --delay 57 --endMP 204:119 --enddatetime 2017-12-20T05:34:19 --enforcementcount 0 &gt;&gt;%USERPROFILE%\Documents\GitHub\eaglep3-reporting\EC\2017-12-20-refined-times.txt</v>
      </c>
      <c r="AI219" s="238" t="str">
        <f t="shared" si="118"/>
        <v>echo {"issue":{"subject":"","project_id":79,"tracker_id":40,"status_id":1,"priority_id":2,"assigned_to_id":338,"start_date":"2017-12-20","description":"","custom_fields":[{"id":1,"name":"Subdivision","value":"Other"},{"id":4,"name":"Milepost","value":"0.0119"},{"id":17,"name":"Train ID","value":"312-20"},{"id":16,"name":"Locomotive ID","value":"4051"},{"id":130,"name":"Impact","value":""},{"id":150,"name":"Time of Event (Mountain Time)","value":"05:34:19"},{"id":151,"name":"Denver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1"/>
      <c r="AL219" s="231"/>
      <c r="AM219" s="240" t="str">
        <f t="shared" si="119"/>
        <v>start /low /b %USERPROFILE%\Documents\GitHub\eaglep3\Utilities\DownloadLogsFromS3.py --loco 4051 --day 2017-12-20</v>
      </c>
      <c r="AN219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12:34:19"},{"id":29,"name":"Sharepoint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121"/>
        <v>https://d0f6bd738d7f1b3e5a7ca70fe4ff75f0.us-east-1.aws.found.io/app/kibana#/discover/Steve-Slow-Train-Analysis-(2080s-and-2083s)?_g=(refreshInterval:(display:Off,pause:!f,section:0,value:0),time:(from:'2017-12-20T04:21:41-0700',mode:absolute,to:'2017-12-20T06:34:19-0700'))&amp;_a=(columns:!('Message%20ID',Summary),filters:!(),index:'emp_*',interval:auto,query:(query_string:(analyze_wildcard:!t,query:'%22rtdc.l.rtdc.4051%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29" t="s">
        <v>893</v>
      </c>
      <c r="B220" s="225">
        <v>4010</v>
      </c>
      <c r="C220" s="227" t="s">
        <v>192</v>
      </c>
      <c r="D220" s="227" t="s">
        <v>525</v>
      </c>
      <c r="E220" s="226">
        <v>43090.02952546296</v>
      </c>
      <c r="F220" s="226">
        <v>43090.032592592594</v>
      </c>
      <c r="G220" s="225">
        <v>101</v>
      </c>
      <c r="H220" s="227" t="s">
        <v>1014</v>
      </c>
      <c r="I220" s="226">
        <v>43090.041712962964</v>
      </c>
      <c r="J220" s="225">
        <v>0</v>
      </c>
      <c r="K220" s="237" t="str">
        <f t="shared" si="97"/>
        <v>4009/4010</v>
      </c>
      <c r="L220" s="245" t="str">
        <f>VLOOKUP(A220,'Trips&amp;Operators'!$C$1:$G$99911,5,FALSE)</f>
        <v>NICHOLSON WESLEY</v>
      </c>
      <c r="M220" s="224">
        <f t="shared" si="98"/>
        <v>9.1203703705104999E-3</v>
      </c>
      <c r="N220" s="225">
        <f t="shared" si="122"/>
        <v>13.13333333353512</v>
      </c>
      <c r="O220" s="225"/>
      <c r="P220" s="225"/>
      <c r="Q220" s="228"/>
      <c r="R220" s="242"/>
      <c r="S220" s="249">
        <f t="shared" si="100"/>
        <v>1</v>
      </c>
      <c r="T220" s="242" t="str">
        <f t="shared" si="101"/>
        <v>NorthBound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 t="shared" si="102"/>
        <v>https://d0f6bd738d7f1b3e5a7ca70fe4ff75f0.us-east-1.aws.found.io/app/kibana#/discover/Steve-Slow-Train-Analysis-(2080s-and-2083s)?_g=(refreshInterval:(display:Off,pause:!f,section:0,value:0),time:(from:'2017-12-20T23:42:31-0700',mode:absolute,to:'2017-12-21T02:00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0" s="247" t="str">
        <f>IF(AA220&lt;VLOOKUP(AG220,Variables!$AC$3:$AD$8,2,FALSE),"Y","N")</f>
        <v>Y</v>
      </c>
      <c r="X220" s="247">
        <f t="shared" si="116"/>
        <v>1</v>
      </c>
      <c r="Y220" s="247">
        <f t="shared" si="114"/>
        <v>5.57E-2</v>
      </c>
      <c r="Z220" s="247">
        <f t="shared" si="115"/>
        <v>2.3300999999999998</v>
      </c>
      <c r="AA220" s="247">
        <f t="shared" si="104"/>
        <v>2.2744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 t="shared" si="105"/>
        <v>313</v>
      </c>
      <c r="AE220" s="235" t="str">
        <f t="shared" si="106"/>
        <v>aws s3 cp s3://rtdc.mdm.uploadarchive.raw/RTDC4010/ "%USERPROFILE%\AppData\Local\Temp\OnboardLogs"\RTDC4010\2017-12-21 --exclude "*" --recursive --include "*20171221*" &amp; "%USERPROFILE%\Documents\GitHub\mrs-test-scripts\Headless Mode &amp; Sideloading\WalkAndUnGZ.bat" "%USERPROFILE%\AppData\Local\Temp\OnboardLogs"\RTDC4010\2017-12-21 &amp; aws s3 cp s3://rtdc.mdm.uploadarchive.raw/RTDC4010/ "%USERPROFILE%\AppData\Local\Temp\OnboardLogs"\RTDC4010\2017-12-22 --exclude "*" --recursive --include "*20171222*" &amp; "%USERPROFILE%\Documents\GitHub\mrs-test-scripts\Headless Mode &amp; Sideloading\WalkAndUnGZ.bat" "%USERPROFILE%\AppData\Local\Temp\OnboardLogs"\RTDC4010\2017-12-22</v>
      </c>
      <c r="AF220" s="234" t="str">
        <f t="shared" si="107"/>
        <v>"C:\Program Files (x86)\AstroGrep\AstroGrep.exe" /e /r /s /spath="%USERPROFILE%\AppData\Local\Temp\OnboardLogs" /stypes="app*4010*20171221*" /stext=" 08:.+((SYSTEM_STATE.+slice.+state.+changed )|(ment ac)|(multiple cpu faults)|(system.+state.+changed )|(\[timeout)|(PRM\|1\|D)|(kpr)|(kdp)|(train st.+moving)|(\|gpps)|(penalty))"</v>
      </c>
      <c r="AG220" s="244" t="str">
        <f t="shared" si="108"/>
        <v>Other</v>
      </c>
      <c r="AH220" s="236" t="str">
        <f t="shared" si="117"/>
        <v>"%USERPROFILE%\Documents\GitHub\eaglep3\Utilities\RefineRTDCRunTimes.py" --tripid 313-20 --locoid 4010 --swversion DE.1.0.9.0 --startMP 204:557 --initTime 2017-12-21T00:42:31 --startdatetime 2017-12-21T00:46:56 --delay 101 --endMP 300:23301 --enddatetime 2017-12-21T01:00:04 --enforcementcount 0 &gt;&gt;%USERPROFILE%\Documents\GitHub\eaglep3-reporting\EC\2017-12-20-refined-times.txt</v>
      </c>
      <c r="AI220" s="238" t="str">
        <f t="shared" si="118"/>
        <v>echo {"issue":{"subject":"","project_id":79,"tracker_id":40,"status_id":1,"priority_id":2,"assigned_to_id":338,"start_date":"2017-12-21","description":"","custom_fields":[{"id":1,"name":"Subdivision","value":"Other"},{"id":4,"name":"Milepost","value":"2.3301"},{"id":17,"name":"Train ID","value":"313-20"},{"id":16,"name":"Locomotive ID","value":"4010"},{"id":130,"name":"Impact","value":""},{"id":150,"name":"Time of Event (Mountain Time)","value":"01:00:04"},{"id":151,"name":"Denver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119"/>
        <v>start /low /b %USERPROFILE%\Documents\GitHub\eaglep3\Utilities\DownloadLogsFromS3.py --loco 4010 --day 2017-12-21</v>
      </c>
      <c r="AN220" s="241" t="str">
        <f t="shared" si="120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08:00:04"},{"id":29,"name":"Sharepoint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121"/>
        <v>https://d0f6bd738d7f1b3e5a7ca70fe4ff75f0.us-east-1.aws.found.io/app/kibana#/discover/Steve-Slow-Train-Analysis-(2080s-and-2083s)?_g=(refreshInterval:(display:Off,pause:!f,section:0,value:0),time:(from:'2017-12-20T23:42:31-0700',mode:absolute,to:'2017-12-21T02:00:04-0700'))&amp;_a=(columns:!('Message%20ID',Summary),filters:!(),index:'emp_*',interval:auto,query:(query_string:(analyze_wildcard:!t,query:'%22rtdc.l.rtdc.4010%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23" customFormat="1" x14ac:dyDescent="0.25">
      <c r="A221" s="229" t="s">
        <v>649</v>
      </c>
      <c r="B221" s="225">
        <v>4040</v>
      </c>
      <c r="C221" s="227" t="s">
        <v>192</v>
      </c>
      <c r="D221" s="227" t="s">
        <v>1084</v>
      </c>
      <c r="E221" s="226">
        <v>43089.200648148151</v>
      </c>
      <c r="F221" s="226">
        <v>43089.205810185187</v>
      </c>
      <c r="G221" s="225">
        <v>63</v>
      </c>
      <c r="H221" s="227" t="s">
        <v>1060</v>
      </c>
      <c r="I221" s="226">
        <v>43089.210787037038</v>
      </c>
      <c r="J221" s="225">
        <v>0</v>
      </c>
      <c r="K221" s="237" t="str">
        <f t="shared" si="97"/>
        <v>4039/4040</v>
      </c>
      <c r="L221" s="245" t="str">
        <f>VLOOKUP(A221,'Trips&amp;Operators'!$C$1:$G$99911,5,FALSE)</f>
        <v>LAMAR NEKESHA</v>
      </c>
      <c r="M221" s="224">
        <f t="shared" si="98"/>
        <v>4.9768518510973081E-3</v>
      </c>
      <c r="N221" s="225">
        <f t="shared" si="122"/>
        <v>7.1666666655801237</v>
      </c>
      <c r="O221" s="225"/>
      <c r="P221" s="225"/>
      <c r="Q221" s="228"/>
      <c r="R221" s="242"/>
      <c r="S221" s="249">
        <f t="shared" si="100"/>
        <v>0</v>
      </c>
      <c r="T221" s="242" t="str">
        <f t="shared" si="101"/>
        <v>NorthBound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48" t="str">
        <f t="shared" si="102"/>
        <v>https://d0f6bd738d7f1b3e5a7ca70fe4ff75f0.us-east-1.aws.found.io/app/kibana#/discover/Steve-Slow-Train-Analysis-(2080s-and-2083s)?_g=(refreshInterval:(display:Off,pause:!f,section:0,value:0),time:(from:'2017-12-20T03:48:56-0700',mode:absolute,to:'2017-12-20T06:03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1" s="247" t="str">
        <f>IF(AA221&lt;VLOOKUP(AG221,Variables!$AC$3:$AD$8,2,FALSE),"Y","N")</f>
        <v>Y</v>
      </c>
      <c r="X221" s="247">
        <f t="shared" si="116"/>
        <v>588</v>
      </c>
      <c r="Y221" s="247">
        <f t="shared" si="114"/>
        <v>3.0190000000000001</v>
      </c>
      <c r="Z221" s="247">
        <f t="shared" si="115"/>
        <v>5.8975</v>
      </c>
      <c r="AA221" s="247">
        <f t="shared" si="104"/>
        <v>2.8784999999999998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 t="shared" si="105"/>
        <v>901</v>
      </c>
      <c r="AE221" s="235" t="str">
        <f t="shared" si="106"/>
        <v>aws s3 cp s3://rtdc.mdm.uploadarchive.raw/RTDC4040/ "%USERPROFILE%\AppData\Local\Temp\OnboardLogs"\RTDC4040\2017-12-20 --exclude "*" --recursive --include "*20171220*" &amp; "%USERPROFILE%\Documents\GitHub\mrs-test-scripts\Headless Mode &amp; Sideloading\WalkAndUnGZ.bat" "%USERPROFILE%\AppData\Local\Temp\OnboardLogs"\RTDC4040\2017-12-20 &amp; aws s3 cp s3://rtdc.mdm.uploadarchive.raw/RTDC4040/ "%USERPROFILE%\AppData\Local\Temp\OnboardLogs"\RTDC4040\2017-12-21 --exclude "*" --recursive --include "*20171221*" &amp; "%USERPROFILE%\Documents\GitHub\mrs-test-scripts\Headless Mode &amp; Sideloading\WalkAndUnGZ.bat" "%USERPROFILE%\AppData\Local\Temp\OnboardLogs"\RTDC4040\2017-12-21</v>
      </c>
      <c r="AF221" s="234" t="str">
        <f t="shared" si="107"/>
        <v>"C:\Program Files (x86)\AstroGrep\AstroGrep.exe" /e /r /s /spath="%USERPROFILE%\AppData\Local\Temp\OnboardLogs" /stypes="app*4040*20171220*" /stext=" 12:.+((SYSTEM_STATE.+slice.+state.+changed )|(ment ac)|(multiple cpu faults)|(system.+state.+changed )|(\[timeout)|(PRM\|1\|D)|(kpr)|(kdp)|(train st.+moving)|(\|gpps)|(penalty))"</v>
      </c>
      <c r="AG221" s="244" t="str">
        <f t="shared" si="108"/>
        <v>Other</v>
      </c>
      <c r="AH221" s="236" t="str">
        <f t="shared" si="117"/>
        <v>"%USERPROFILE%\Documents\GitHub\eaglep3\Utilities\RefineRTDCRunTimes.py" --tripid 901-20 --locoid 4040 --swversion DE.1.0.9.0 --startMP 300:30190 --initTime 2017-12-20T04:48:56 --startdatetime 2017-12-20T04:56:22 --delay 63 --endMP 300:58975 --enddatetime 2017-12-20T05:03:32 --enforcementcount 0 &gt;&gt;%USERPROFILE%\Documents\GitHub\eaglep3-reporting\EC\2017-12-20-refined-times.txt</v>
      </c>
      <c r="AI221" s="238" t="str">
        <f t="shared" si="118"/>
        <v>echo {"issue":{"subject":"","project_id":79,"tracker_id":40,"status_id":1,"priority_id":2,"assigned_to_id":338,"start_date":"2017-12-20","description":"","custom_fields":[{"id":1,"name":"Subdivision","value":"Other"},{"id":4,"name":"Milepost","value":"5.8975"},{"id":17,"name":"Train ID","value":"901-20"},{"id":16,"name":"Locomotive ID","value":"4040"},{"id":130,"name":"Impact","value":""},{"id":150,"name":"Time of Event (Mountain Time)","value":"05:03:32"},{"id":151,"name":"Denver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231"/>
      <c r="AL221" s="231"/>
      <c r="AM221" s="240" t="str">
        <f t="shared" si="119"/>
        <v>start /low /b %USERPROFILE%\Documents\GitHub\eaglep3\Utilities\DownloadLogsFromS3.py --loco 4040 --day 2017-12-20</v>
      </c>
      <c r="AN221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12:03:32"},{"id":29,"name":"Sharepoint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121"/>
        <v>https://d0f6bd738d7f1b3e5a7ca70fe4ff75f0.us-east-1.aws.found.io/app/kibana#/discover/Steve-Slow-Train-Analysis-(2080s-and-2083s)?_g=(refreshInterval:(display:Off,pause:!f,section:0,value:0),time:(from:'2017-12-20T03:48:56-0700',mode:absolute,to:'2017-12-20T06:03:32-0700'))&amp;_a=(columns:!('Message%20ID',Summary),filters:!(),index:'emp_*',interval:auto,query:(query_string:(analyze_wildcard:!t,query:'%22rtdc.l.rtdc.4040%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229" t="s">
        <v>702</v>
      </c>
      <c r="B222" s="225">
        <v>4053</v>
      </c>
      <c r="C222" s="227" t="s">
        <v>192</v>
      </c>
      <c r="D222" s="227" t="s">
        <v>1085</v>
      </c>
      <c r="E222" s="226">
        <v>43089.233773148146</v>
      </c>
      <c r="F222" s="226">
        <v>43089.241388888891</v>
      </c>
      <c r="G222" s="225">
        <v>94</v>
      </c>
      <c r="H222" s="227" t="s">
        <v>647</v>
      </c>
      <c r="I222" s="226">
        <v>43089.24690972222</v>
      </c>
      <c r="J222" s="225">
        <v>0</v>
      </c>
      <c r="K222" s="237" t="str">
        <f t="shared" si="97"/>
        <v>4053/4054</v>
      </c>
      <c r="L222" s="245" t="str">
        <f>VLOOKUP(A222,'Trips&amp;Operators'!$C$1:$G$99911,5,FALSE)</f>
        <v>GEBRETEKLE DAGNEW</v>
      </c>
      <c r="M222" s="224">
        <f t="shared" si="98"/>
        <v>5.5208333287737332E-3</v>
      </c>
      <c r="N222" s="225">
        <f t="shared" si="122"/>
        <v>7.9499999934341758</v>
      </c>
      <c r="O222" s="225"/>
      <c r="P222" s="225"/>
      <c r="Q222" s="228"/>
      <c r="R222" s="242"/>
      <c r="S222" s="249">
        <f t="shared" si="100"/>
        <v>1</v>
      </c>
      <c r="T222" s="242" t="str">
        <f t="shared" si="101"/>
        <v>Southbound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8" t="str">
        <f t="shared" si="102"/>
        <v>https://d0f6bd738d7f1b3e5a7ca70fe4ff75f0.us-east-1.aws.found.io/app/kibana#/discover/Steve-Slow-Train-Analysis-(2080s-and-2083s)?_g=(refreshInterval:(display:Off,pause:!f,section:0,value:0),time:(from:'2017-12-20T04:36:38-0700',mode:absolute,to:'2017-12-20T06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2" s="247" t="str">
        <f>IF(AA222&lt;VLOOKUP(AG222,Variables!$AC$3:$AD$8,2,FALSE),"Y","N")</f>
        <v>Y</v>
      </c>
      <c r="X222" s="247">
        <f t="shared" si="116"/>
        <v>1</v>
      </c>
      <c r="Y222" s="247">
        <f t="shared" si="114"/>
        <v>2.3384999999999998</v>
      </c>
      <c r="Z222" s="247">
        <f t="shared" si="115"/>
        <v>1.5699999999999999E-2</v>
      </c>
      <c r="AA222" s="247">
        <f t="shared" si="104"/>
        <v>2.3228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 t="shared" si="105"/>
        <v>902</v>
      </c>
      <c r="AE222" s="235" t="str">
        <f t="shared" si="106"/>
        <v>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 &amp; 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</v>
      </c>
      <c r="AF222" s="234" t="str">
        <f t="shared" si="107"/>
        <v>"C:\Program Files (x86)\AstroGrep\AstroGrep.exe" /e /r /s /spath="%USERPROFILE%\AppData\Local\Temp\OnboardLogs" /stypes="app*4053*20171220*" /stext=" 12:.+((SYSTEM_STATE.+slice.+state.+changed )|(ment ac)|(multiple cpu faults)|(system.+state.+changed )|(\[timeout)|(PRM\|1\|D)|(kpr)|(kdp)|(train st.+moving)|(\|gpps)|(penalty))"</v>
      </c>
      <c r="AG222" s="244" t="str">
        <f t="shared" si="108"/>
        <v>Other</v>
      </c>
      <c r="AH222" s="236" t="str">
        <f t="shared" si="117"/>
        <v>"%USERPROFILE%\Documents\GitHub\eaglep3\Utilities\RefineRTDCRunTimes.py" --tripid 902-20 --locoid 4053 --swversion DE.1.0.9.0 --startMP 300:23385 --initTime 2017-12-20T05:36:38 --startdatetime 2017-12-20T05:47:36 --delay 94 --endMP 204:157 --enddatetime 2017-12-20T05:55:33 --enforcementcount 0 &gt;&gt;%USERPROFILE%\Documents\GitHub\eaglep3-reporting\EC\2017-12-20-refined-times.txt</v>
      </c>
      <c r="AI222" s="238" t="str">
        <f t="shared" si="118"/>
        <v>echo {"issue":{"subject":"","project_id":79,"tracker_id":40,"status_id":1,"priority_id":2,"assigned_to_id":338,"start_date":"2017-12-20","description":"","custom_fields":[{"id":1,"name":"Subdivision","value":"Other"},{"id":4,"name":"Milepost","value":"0.0157"},{"id":17,"name":"Train ID","value":"902-20"},{"id":16,"name":"Locomotive ID","value":"4053"},{"id":130,"name":"Impact","value":""},{"id":150,"name":"Time of Event (Mountain Time)","value":"05:55:33"},{"id":151,"name":"Denver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3"/>
      <c r="AK222" s="231"/>
      <c r="AL222" s="231"/>
      <c r="AM222" s="240" t="str">
        <f t="shared" si="119"/>
        <v>start /low /b %USERPROFILE%\Documents\GitHub\eaglep3\Utilities\DownloadLogsFromS3.py --loco 4053 --day 2017-12-20</v>
      </c>
      <c r="AN222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12:55:33"},{"id":29,"name":"Sharepoint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121"/>
        <v>https://d0f6bd738d7f1b3e5a7ca70fe4ff75f0.us-east-1.aws.found.io/app/kibana#/discover/Steve-Slow-Train-Analysis-(2080s-and-2083s)?_g=(refreshInterval:(display:Off,pause:!f,section:0,value:0),time:(from:'2017-12-20T04:36:38-0700',mode:absolute,to:'2017-12-20T06:55:33-0700'))&amp;_a=(columns:!('Message%20ID',Summary),filters:!(),index:'emp_*',interval:auto,query:(query_string:(analyze_wildcard:!t,query:'%22rtdc.l.rtdc.4053%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3" customFormat="1" x14ac:dyDescent="0.25">
      <c r="A223" s="229" t="s">
        <v>734</v>
      </c>
      <c r="B223" s="225">
        <v>4040</v>
      </c>
      <c r="C223" s="227" t="s">
        <v>192</v>
      </c>
      <c r="D223" s="227" t="s">
        <v>518</v>
      </c>
      <c r="E223" s="226">
        <v>43089.353020833332</v>
      </c>
      <c r="F223" s="226">
        <v>43089.354398148149</v>
      </c>
      <c r="G223" s="225">
        <v>56</v>
      </c>
      <c r="H223" s="227" t="s">
        <v>1086</v>
      </c>
      <c r="I223" s="226">
        <v>43089.359826388885</v>
      </c>
      <c r="J223" s="225">
        <v>0</v>
      </c>
      <c r="K223" s="237" t="str">
        <f t="shared" si="97"/>
        <v>4039/4040</v>
      </c>
      <c r="L223" s="245" t="str">
        <f>VLOOKUP(A223,'Trips&amp;Operators'!$C$1:$G$99911,5,FALSE)</f>
        <v>LAMAR NEKESHA</v>
      </c>
      <c r="M223" s="224">
        <f t="shared" si="98"/>
        <v>5.428240736364387E-3</v>
      </c>
      <c r="N223" s="225">
        <f t="shared" si="122"/>
        <v>7.8166666603647172</v>
      </c>
      <c r="O223" s="225"/>
      <c r="P223" s="225"/>
      <c r="Q223" s="228"/>
      <c r="R223" s="242"/>
      <c r="S223" s="249">
        <f t="shared" si="100"/>
        <v>1</v>
      </c>
      <c r="T223" s="242" t="str">
        <f t="shared" si="101"/>
        <v>NorthBound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8" t="str">
        <f t="shared" si="102"/>
        <v>https://d0f6bd738d7f1b3e5a7ca70fe4ff75f0.us-east-1.aws.found.io/app/kibana#/discover/Steve-Slow-Train-Analysis-(2080s-and-2083s)?_g=(refreshInterval:(display:Off,pause:!f,section:0,value:0),time:(from:'2017-12-20T07:28:21-0700',mode:absolute,to:'2017-12-20T09:38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3" s="247" t="str">
        <f>IF(AA223&lt;VLOOKUP(AG223,Variables!$AC$3:$AD$8,2,FALSE),"Y","N")</f>
        <v>Y</v>
      </c>
      <c r="X223" s="247">
        <f t="shared" si="116"/>
        <v>1</v>
      </c>
      <c r="Y223" s="247">
        <f t="shared" si="114"/>
        <v>4.9700000000000001E-2</v>
      </c>
      <c r="Z223" s="247">
        <f t="shared" si="115"/>
        <v>2.4226000000000001</v>
      </c>
      <c r="AA223" s="247">
        <f t="shared" si="104"/>
        <v>2.3729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 t="shared" si="105"/>
        <v>903</v>
      </c>
      <c r="AE223" s="235" t="str">
        <f t="shared" si="106"/>
        <v>aws s3 cp s3://rtdc.mdm.uploadarchive.raw/RTDC4040/ "%USERPROFILE%\AppData\Local\Temp\OnboardLogs"\RTDC4040\2017-12-20 --exclude "*" --recursive --include "*20171220*" &amp; "%USERPROFILE%\Documents\GitHub\mrs-test-scripts\Headless Mode &amp; Sideloading\WalkAndUnGZ.bat" "%USERPROFILE%\AppData\Local\Temp\OnboardLogs"\RTDC4040\2017-12-20 &amp; aws s3 cp s3://rtdc.mdm.uploadarchive.raw/RTDC4040/ "%USERPROFILE%\AppData\Local\Temp\OnboardLogs"\RTDC4040\2017-12-21 --exclude "*" --recursive --include "*20171221*" &amp; "%USERPROFILE%\Documents\GitHub\mrs-test-scripts\Headless Mode &amp; Sideloading\WalkAndUnGZ.bat" "%USERPROFILE%\AppData\Local\Temp\OnboardLogs"\RTDC4040\2017-12-21</v>
      </c>
      <c r="AF223" s="234" t="str">
        <f t="shared" si="107"/>
        <v>"C:\Program Files (x86)\AstroGrep\AstroGrep.exe" /e /r /s /spath="%USERPROFILE%\AppData\Local\Temp\OnboardLogs" /stypes="app*4040*20171220*" /stext=" 15:.+((SYSTEM_STATE.+slice.+state.+changed )|(ment ac)|(multiple cpu faults)|(system.+state.+changed )|(\[timeout)|(PRM\|1\|D)|(kpr)|(kdp)|(train st.+moving)|(\|gpps)|(penalty))"</v>
      </c>
      <c r="AG223" s="244" t="str">
        <f t="shared" si="108"/>
        <v>Other</v>
      </c>
      <c r="AH223" s="236" t="str">
        <f t="shared" si="117"/>
        <v>"%USERPROFILE%\Documents\GitHub\eaglep3\Utilities\RefineRTDCRunTimes.py" --tripid 903-20 --locoid 4040 --swversion DE.1.0.9.0 --startMP 204:497 --initTime 2017-12-20T08:28:21 --startdatetime 2017-12-20T08:30:20 --delay 56 --endMP 300:24226 --enddatetime 2017-12-20T08:38:09 --enforcementcount 0 &gt;&gt;%USERPROFILE%\Documents\GitHub\eaglep3-reporting\EC\2017-12-20-refined-times.txt</v>
      </c>
      <c r="AI223" s="238" t="str">
        <f t="shared" si="118"/>
        <v>echo {"issue":{"subject":"","project_id":79,"tracker_id":40,"status_id":1,"priority_id":2,"assigned_to_id":338,"start_date":"2017-12-20","description":"","custom_fields":[{"id":1,"name":"Subdivision","value":"Other"},{"id":4,"name":"Milepost","value":"2.4226"},{"id":17,"name":"Train ID","value":"903-20"},{"id":16,"name":"Locomotive ID","value":"4040"},{"id":130,"name":"Impact","value":""},{"id":150,"name":"Time of Event (Mountain Time)","value":"08:38:09"},{"id":151,"name":"Denver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231"/>
      <c r="AL223" s="231"/>
      <c r="AM223" s="240" t="str">
        <f t="shared" si="119"/>
        <v>start /low /b %USERPROFILE%\Documents\GitHub\eaglep3\Utilities\DownloadLogsFromS3.py --loco 4040 --day 2017-12-20</v>
      </c>
      <c r="AN223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15:38:09"},{"id":29,"name":"Sharepoint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121"/>
        <v>https://d0f6bd738d7f1b3e5a7ca70fe4ff75f0.us-east-1.aws.found.io/app/kibana#/discover/Steve-Slow-Train-Analysis-(2080s-and-2083s)?_g=(refreshInterval:(display:Off,pause:!f,section:0,value:0),time:(from:'2017-12-20T07:28:21-0700',mode:absolute,to:'2017-12-20T09:38:09-0700'))&amp;_a=(columns:!('Message%20ID',Summary),filters:!(),index:'emp_*',interval:auto,query:(query_string:(analyze_wildcard:!t,query:'%22rtdc.l.rtdc.4040%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29" t="s">
        <v>667</v>
      </c>
      <c r="B224" s="225">
        <v>4039</v>
      </c>
      <c r="C224" s="227" t="s">
        <v>192</v>
      </c>
      <c r="D224" s="227" t="s">
        <v>1087</v>
      </c>
      <c r="E224" s="226">
        <v>43089.637465277781</v>
      </c>
      <c r="F224" s="226">
        <v>43089.639976851853</v>
      </c>
      <c r="G224" s="225">
        <v>73</v>
      </c>
      <c r="H224" s="227" t="s">
        <v>1109</v>
      </c>
      <c r="I224" s="226">
        <v>43089.644537037035</v>
      </c>
      <c r="J224" s="225">
        <v>0</v>
      </c>
      <c r="K224" s="237" t="str">
        <f t="shared" si="97"/>
        <v>4039/4040</v>
      </c>
      <c r="L224" s="245" t="str">
        <f>VLOOKUP(A224,'Trips&amp;Operators'!$C$1:$G$99911,5,FALSE)</f>
        <v>STAMBAUGH JAMES</v>
      </c>
      <c r="M224" s="224">
        <f t="shared" si="98"/>
        <v>4.5601851816172712E-3</v>
      </c>
      <c r="N224" s="225">
        <f t="shared" si="122"/>
        <v>6.5666666615288705</v>
      </c>
      <c r="O224" s="225"/>
      <c r="P224" s="225"/>
      <c r="Q224" s="228"/>
      <c r="R224" s="242"/>
      <c r="S224" s="249">
        <f t="shared" si="100"/>
        <v>1</v>
      </c>
      <c r="T224" s="242" t="str">
        <f t="shared" si="101"/>
        <v>Southbound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8" t="str">
        <f t="shared" si="102"/>
        <v>https://d0f6bd738d7f1b3e5a7ca70fe4ff75f0.us-east-1.aws.found.io/app/kibana#/discover/Steve-Slow-Train-Analysis-(2080s-and-2083s)?_g=(refreshInterval:(display:Off,pause:!f,section:0,value:0),time:(from:'2017-12-20T14:17:57-0700',mode:absolute,to:'2017-12-20T16:28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4" s="247" t="str">
        <f>IF(AA224&lt;VLOOKUP(AG224,Variables!$AC$3:$AD$8,2,FALSE),"Y","N")</f>
        <v>Y</v>
      </c>
      <c r="X224" s="247">
        <f t="shared" si="116"/>
        <v>1</v>
      </c>
      <c r="Y224" s="247">
        <f t="shared" si="114"/>
        <v>2.3643999999999998</v>
      </c>
      <c r="Z224" s="247">
        <f t="shared" si="115"/>
        <v>1.8200000000000001E-2</v>
      </c>
      <c r="AA224" s="247">
        <f t="shared" si="104"/>
        <v>2.3461999999999996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 t="shared" si="105"/>
        <v>904</v>
      </c>
      <c r="AE224" s="235" t="str">
        <f t="shared" si="106"/>
        <v>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 &amp; aws s3 cp s3://rtdc.mdm.uploadarchive.raw/RTDC4039/ "%USERPROFILE%\AppData\Local\Temp\OnboardLogs"\RTDC4039\2017-12-21 --exclude "*" --recursive --include "*20171221*" &amp; "%USERPROFILE%\Documents\GitHub\mrs-test-scripts\Headless Mode &amp; Sideloading\WalkAndUnGZ.bat" "%USERPROFILE%\AppData\Local\Temp\OnboardLogs"\RTDC4039\2017-12-21</v>
      </c>
      <c r="AF224" s="234" t="str">
        <f t="shared" si="107"/>
        <v>"C:\Program Files (x86)\AstroGrep\AstroGrep.exe" /e /r /s /spath="%USERPROFILE%\AppData\Local\Temp\OnboardLogs" /stypes="app*4039*20171220*" /stext=" 22:.+((SYSTEM_STATE.+slice.+state.+changed )|(ment ac)|(multiple cpu faults)|(system.+state.+changed )|(\[timeout)|(PRM\|1\|D)|(kpr)|(kdp)|(train st.+moving)|(\|gpps)|(penalty))"</v>
      </c>
      <c r="AG224" s="244" t="str">
        <f t="shared" si="108"/>
        <v>Other</v>
      </c>
      <c r="AH224" s="236" t="str">
        <f t="shared" si="117"/>
        <v>"%USERPROFILE%\Documents\GitHub\eaglep3\Utilities\RefineRTDCRunTimes.py" --tripid 904-20 --locoid 4039 --swversion DE.1.0.9.0 --startMP 300:23644 --initTime 2017-12-20T15:17:57 --startdatetime 2017-12-20T15:21:34 --delay 73 --endMP 204:182 --enddatetime 2017-12-20T15:28:08 --enforcementcount 0 &gt;&gt;%USERPROFILE%\Documents\GitHub\eaglep3-reporting\EC\2017-12-20-refined-times.txt</v>
      </c>
      <c r="AI224" s="238" t="str">
        <f t="shared" si="118"/>
        <v>echo {"issue":{"subject":"","project_id":79,"tracker_id":40,"status_id":1,"priority_id":2,"assigned_to_id":338,"start_date":"2017-12-20","description":"","custom_fields":[{"id":1,"name":"Subdivision","value":"Other"},{"id":4,"name":"Milepost","value":"0.0182"},{"id":17,"name":"Train ID","value":"904-20"},{"id":16,"name":"Locomotive ID","value":"4039"},{"id":130,"name":"Impact","value":""},{"id":150,"name":"Time of Event (Mountain Time)","value":"15:28:08"},{"id":151,"name":"Denver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3"/>
      <c r="AK224" s="231"/>
      <c r="AL224" s="231"/>
      <c r="AM224" s="240" t="str">
        <f t="shared" si="119"/>
        <v>start /low /b %USERPROFILE%\Documents\GitHub\eaglep3\Utilities\DownloadLogsFromS3.py --loco 4039 --day 2017-12-20</v>
      </c>
      <c r="AN224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22:28:08"},{"id":29,"name":"Sharepoint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121"/>
        <v>https://d0f6bd738d7f1b3e5a7ca70fe4ff75f0.us-east-1.aws.found.io/app/kibana#/discover/Steve-Slow-Train-Analysis-(2080s-and-2083s)?_g=(refreshInterval:(display:Off,pause:!f,section:0,value:0),time:(from:'2017-12-20T14:17:57-0700',mode:absolute,to:'2017-12-20T16:28:08-0700'))&amp;_a=(columns:!('Message%20ID',Summary),filters:!(),index:'emp_*',interval:auto,query:(query_string:(analyze_wildcard:!t,query:'%22rtdc.l.rtdc.4039%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29" t="s">
        <v>857</v>
      </c>
      <c r="B225" s="225">
        <v>4039</v>
      </c>
      <c r="C225" s="227" t="s">
        <v>192</v>
      </c>
      <c r="D225" s="227" t="s">
        <v>562</v>
      </c>
      <c r="E225" s="226">
        <v>43089.78800925926</v>
      </c>
      <c r="F225" s="226">
        <v>43089.789074074077</v>
      </c>
      <c r="G225" s="225">
        <v>52</v>
      </c>
      <c r="H225" s="227" t="s">
        <v>1088</v>
      </c>
      <c r="I225" s="226">
        <v>43089.794618055559</v>
      </c>
      <c r="J225" s="225">
        <v>0</v>
      </c>
      <c r="K225" s="237" t="str">
        <f t="shared" si="97"/>
        <v>4039/4040</v>
      </c>
      <c r="L225" s="245" t="str">
        <f>VLOOKUP(A225,'Trips&amp;Operators'!$C$1:$G$99911,5,FALSE)</f>
        <v>STAMBAUGH JAMES</v>
      </c>
      <c r="M225" s="224">
        <f t="shared" si="98"/>
        <v>5.543981482333038E-3</v>
      </c>
      <c r="N225" s="225">
        <f t="shared" si="122"/>
        <v>7.9833333345595747</v>
      </c>
      <c r="O225" s="225"/>
      <c r="P225" s="225"/>
      <c r="Q225" s="228"/>
      <c r="R225" s="242"/>
      <c r="S225" s="249">
        <f t="shared" si="100"/>
        <v>0</v>
      </c>
      <c r="T225" s="242" t="str">
        <f t="shared" si="101"/>
        <v>Southbound</v>
      </c>
      <c r="U225" s="24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8" t="str">
        <f t="shared" si="102"/>
        <v>https://d0f6bd738d7f1b3e5a7ca70fe4ff75f0.us-east-1.aws.found.io/app/kibana#/discover/Steve-Slow-Train-Analysis-(2080s-and-2083s)?_g=(refreshInterval:(display:Off,pause:!f,section:0,value:0),time:(from:'2017-12-20T17:54:44-0700',mode:absolute,to:'2017-12-20T20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5" s="247" t="str">
        <f>IF(AA225&lt;VLOOKUP(AG225,Variables!$AC$3:$AD$8,2,FALSE),"Y","N")</f>
        <v>Y</v>
      </c>
      <c r="X225" s="247">
        <f t="shared" si="116"/>
        <v>2</v>
      </c>
      <c r="Y225" s="247">
        <f t="shared" si="114"/>
        <v>5.8613</v>
      </c>
      <c r="Z225" s="247">
        <f t="shared" si="115"/>
        <v>2.8755000000000002</v>
      </c>
      <c r="AA225" s="247">
        <f t="shared" si="104"/>
        <v>2.9857999999999998</v>
      </c>
      <c r="AB225" s="233" t="e">
        <f>VLOOKUP(A225,Enforcements!$C$7:$K$9,8,0)</f>
        <v>#N/A</v>
      </c>
      <c r="AC225" s="232" t="e">
        <f>VLOOKUP(A225,Enforcements!$C$7:$E$9,3,0)</f>
        <v>#N/A</v>
      </c>
      <c r="AD225" s="243">
        <f t="shared" si="105"/>
        <v>906</v>
      </c>
      <c r="AE225" s="235" t="str">
        <f t="shared" si="106"/>
        <v>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 &amp; aws s3 cp s3://rtdc.mdm.uploadarchive.raw/RTDC4039/ "%USERPROFILE%\AppData\Local\Temp\OnboardLogs"\RTDC4039\2017-12-21 --exclude "*" --recursive --include "*20171221*" &amp; "%USERPROFILE%\Documents\GitHub\mrs-test-scripts\Headless Mode &amp; Sideloading\WalkAndUnGZ.bat" "%USERPROFILE%\AppData\Local\Temp\OnboardLogs"\RTDC4039\2017-12-21</v>
      </c>
      <c r="AF225" s="234" t="str">
        <f t="shared" si="107"/>
        <v>"C:\Program Files (x86)\AstroGrep\AstroGrep.exe" /e /r /s /spath="%USERPROFILE%\AppData\Local\Temp\OnboardLogs" /stypes="app*4039*20171221*" /stext=" 02:.+((SYSTEM_STATE.+slice.+state.+changed )|(ment ac)|(multiple cpu faults)|(system.+state.+changed )|(\[timeout)|(PRM\|1\|D)|(kpr)|(kdp)|(train st.+moving)|(\|gpps)|(penalty))"</v>
      </c>
      <c r="AG225" s="244" t="str">
        <f t="shared" si="108"/>
        <v>Other</v>
      </c>
      <c r="AH225" s="236" t="str">
        <f t="shared" si="117"/>
        <v>"%USERPROFILE%\Documents\GitHub\eaglep3\Utilities\RefineRTDCRunTimes.py" --tripid 906-20 --locoid 4039 --swversion DE.1.0.9.0 --startMP 300:58613 --initTime 2017-12-20T18:54:44 --startdatetime 2017-12-20T18:56:16 --delay 52 --endMP 300:28755 --enddatetime 2017-12-20T19:04:15 --enforcementcount 0 &gt;&gt;%USERPROFILE%\Documents\GitHub\eaglep3-reporting\EC\2017-12-20-refined-times.txt</v>
      </c>
      <c r="AI225" s="238" t="str">
        <f t="shared" si="118"/>
        <v>echo {"issue":{"subject":"","project_id":79,"tracker_id":40,"status_id":1,"priority_id":2,"assigned_to_id":338,"start_date":"2017-12-20","description":"","custom_fields":[{"id":1,"name":"Subdivision","value":"Other"},{"id":4,"name":"Milepost","value":"2.8755"},{"id":17,"name":"Train ID","value":"906-20"},{"id":16,"name":"Locomotive ID","value":"4039"},{"id":130,"name":"Impact","value":""},{"id":150,"name":"Time of Event (Mountain Time)","value":"19:04:15"},{"id":151,"name":"Denver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3"/>
      <c r="AK225" s="231"/>
      <c r="AL225" s="231"/>
      <c r="AM225" s="240" t="str">
        <f t="shared" si="119"/>
        <v>start /low /b %USERPROFILE%\Documents\GitHub\eaglep3\Utilities\DownloadLogsFromS3.py --loco 4039 --day 2017-12-20</v>
      </c>
      <c r="AN225" s="241" t="str">
        <f t="shared" si="120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02:04:15"},{"id":29,"name":"Sharepoint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0" t="str">
        <f t="shared" si="121"/>
        <v>https://d0f6bd738d7f1b3e5a7ca70fe4ff75f0.us-east-1.aws.found.io/app/kibana#/discover/Steve-Slow-Train-Analysis-(2080s-and-2083s)?_g=(refreshInterval:(display:Off,pause:!f,section:0,value:0),time:(from:'2017-12-20T17:54:44-0700',mode:absolute,to:'2017-12-20T20:04:15-0700'))&amp;_a=(columns:!('Message%20ID',Summary),filters:!(),index:'emp_*',interval:auto,query:(query_string:(analyze_wildcard:!t,query:'%22rtdc.l.rtdc.4039%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23" customFormat="1" x14ac:dyDescent="0.25">
      <c r="A226" s="229" t="s">
        <v>888</v>
      </c>
      <c r="B226" s="225">
        <v>4053</v>
      </c>
      <c r="C226" s="227" t="s">
        <v>192</v>
      </c>
      <c r="D226" s="227" t="s">
        <v>633</v>
      </c>
      <c r="E226" s="226">
        <v>43089.974756944444</v>
      </c>
      <c r="F226" s="226">
        <v>43089.977951388886</v>
      </c>
      <c r="G226" s="225">
        <v>51</v>
      </c>
      <c r="H226" s="227" t="s">
        <v>1089</v>
      </c>
      <c r="I226" s="226">
        <v>43089.985092592593</v>
      </c>
      <c r="J226" s="225">
        <v>0</v>
      </c>
      <c r="K226" s="237" t="str">
        <f t="shared" si="97"/>
        <v>4053/4054</v>
      </c>
      <c r="L226" s="245" t="str">
        <f>VLOOKUP(A226,'Trips&amp;Operators'!$C$1:$G$99911,5,FALSE)</f>
        <v>STAMBAUGH JAMES</v>
      </c>
      <c r="M226" s="224">
        <f t="shared" si="98"/>
        <v>7.1412037068512291E-3</v>
      </c>
      <c r="N226" s="225">
        <f t="shared" si="122"/>
        <v>10.28333333786577</v>
      </c>
      <c r="O226" s="225"/>
      <c r="P226" s="225"/>
      <c r="Q226" s="228"/>
      <c r="R226" s="242"/>
      <c r="S226" s="249">
        <f t="shared" si="100"/>
        <v>0</v>
      </c>
      <c r="T226" s="242" t="str">
        <f t="shared" si="101"/>
        <v>Southbound</v>
      </c>
      <c r="U226" s="24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8" t="str">
        <f t="shared" si="102"/>
        <v>https://d0f6bd738d7f1b3e5a7ca70fe4ff75f0.us-east-1.aws.found.io/app/kibana#/discover/Steve-Slow-Train-Analysis-(2080s-and-2083s)?_g=(refreshInterval:(display:Off,pause:!f,section:0,value:0),time:(from:'2017-12-20T22:23:39-0700',mode:absolute,to:'2017-12-21T00:38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6" s="247" t="str">
        <f>IF(AA226&lt;VLOOKUP(AG226,Variables!$AC$3:$AD$8,2,FALSE),"Y","N")</f>
        <v>Y</v>
      </c>
      <c r="X226" s="247">
        <f t="shared" si="116"/>
        <v>2</v>
      </c>
      <c r="Y226" s="247">
        <f t="shared" si="114"/>
        <v>5.8624000000000001</v>
      </c>
      <c r="Z226" s="247">
        <f t="shared" si="115"/>
        <v>2.8795000000000002</v>
      </c>
      <c r="AA226" s="247">
        <f t="shared" si="104"/>
        <v>2.9828999999999999</v>
      </c>
      <c r="AB226" s="233" t="e">
        <f>VLOOKUP(A226,Enforcements!$C$7:$K$9,8,0)</f>
        <v>#N/A</v>
      </c>
      <c r="AC226" s="232" t="e">
        <f>VLOOKUP(A226,Enforcements!$C$7:$E$9,3,0)</f>
        <v>#N/A</v>
      </c>
      <c r="AD226" s="243">
        <f t="shared" si="105"/>
        <v>908</v>
      </c>
      <c r="AE226" s="235" t="str">
        <f t="shared" si="106"/>
        <v>aws s3 cp s3://rtdc.mdm.uploadarchive.raw/RTDC4053/ "%USERPROFILE%\AppData\Local\Temp\OnboardLogs"\RTDC4053\2017-12-20 --exclude "*" --recursive --include "*20171220*" &amp; "%USERPROFILE%\Documents\GitHub\mrs-test-scripts\Headless Mode &amp; Sideloading\WalkAndUnGZ.bat" "%USERPROFILE%\AppData\Local\Temp\OnboardLogs"\RTDC4053\2017-12-20 &amp; aws s3 cp s3://rtdc.mdm.uploadarchive.raw/RTDC4053/ "%USERPROFILE%\AppData\Local\Temp\OnboardLogs"\RTDC4053\2017-12-21 --exclude "*" --recursive --include "*20171221*" &amp; "%USERPROFILE%\Documents\GitHub\mrs-test-scripts\Headless Mode &amp; Sideloading\WalkAndUnGZ.bat" "%USERPROFILE%\AppData\Local\Temp\OnboardLogs"\RTDC4053\2017-12-21</v>
      </c>
      <c r="AF226" s="234" t="str">
        <f t="shared" si="107"/>
        <v>"C:\Program Files (x86)\AstroGrep\AstroGrep.exe" /e /r /s /spath="%USERPROFILE%\AppData\Local\Temp\OnboardLogs" /stypes="app*4053*20171221*" /stext=" 06:.+((SYSTEM_STATE.+slice.+state.+changed )|(ment ac)|(multiple cpu faults)|(system.+state.+changed )|(\[timeout)|(PRM\|1\|D)|(kpr)|(kdp)|(train st.+moving)|(\|gpps)|(penalty))"</v>
      </c>
      <c r="AG226" s="244" t="str">
        <f t="shared" si="108"/>
        <v>Other</v>
      </c>
      <c r="AH226" s="236" t="str">
        <f t="shared" si="117"/>
        <v>"%USERPROFILE%\Documents\GitHub\eaglep3\Utilities\RefineRTDCRunTimes.py" --tripid 908-20 --locoid 4053 --swversion DE.1.0.9.0 --startMP 300:58624 --initTime 2017-12-20T23:23:39 --startdatetime 2017-12-20T23:28:15 --delay 51 --endMP 300:28795 --enddatetime 2017-12-20T23:38:32 --enforcementcount 0 &gt;&gt;%USERPROFILE%\Documents\GitHub\eaglep3-reporting\EC\2017-12-20-refined-times.txt</v>
      </c>
      <c r="AI226" s="238" t="str">
        <f t="shared" si="118"/>
        <v>echo {"issue":{"subject":"","project_id":79,"tracker_id":40,"status_id":1,"priority_id":2,"assigned_to_id":338,"start_date":"2017-12-20","description":"","custom_fields":[{"id":1,"name":"Subdivision","value":"Other"},{"id":4,"name":"Milepost","value":"2.8795"},{"id":17,"name":"Train ID","value":"908-20"},{"id":16,"name":"Locomotive ID","value":"4053"},{"id":130,"name":"Impact","value":""},{"id":150,"name":"Time of Event (Mountain Time)","value":"23:38:32"},{"id":151,"name":"Denver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231"/>
      <c r="AL226" s="231"/>
      <c r="AM226" s="240" t="str">
        <f t="shared" si="119"/>
        <v>start /low /b %USERPROFILE%\Documents\GitHub\eaglep3\Utilities\DownloadLogsFromS3.py --loco 4053 --day 2017-12-20</v>
      </c>
      <c r="AN226" s="241" t="str">
        <f t="shared" si="120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06:38:32"},{"id":29,"name":"Sharepoint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0" t="str">
        <f t="shared" si="121"/>
        <v>https://d0f6bd738d7f1b3e5a7ca70fe4ff75f0.us-east-1.aws.found.io/app/kibana#/discover/Steve-Slow-Train-Analysis-(2080s-and-2083s)?_g=(refreshInterval:(display:Off,pause:!f,section:0,value:0),time:(from:'2017-12-20T22:23:39-0700',mode:absolute,to:'2017-12-21T00:38:32-0700'))&amp;_a=(columns:!('Message%20ID',Summary),filters:!(),index:'emp_*',interval:auto,query:(query_string:(analyze_wildcard:!t,query:'%22rtdc.l.rtdc.4053%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229" t="s">
        <v>659</v>
      </c>
      <c r="B227" s="225">
        <v>4021</v>
      </c>
      <c r="C227" s="227" t="s">
        <v>192</v>
      </c>
      <c r="D227" s="227" t="s">
        <v>1015</v>
      </c>
      <c r="E227" s="226">
        <v>43089.488657407404</v>
      </c>
      <c r="F227" s="226">
        <v>43089.494085648148</v>
      </c>
      <c r="G227" s="225">
        <v>95</v>
      </c>
      <c r="H227" s="227" t="s">
        <v>642</v>
      </c>
      <c r="I227" s="226">
        <v>43089.520370370374</v>
      </c>
      <c r="J227" s="225">
        <v>0</v>
      </c>
      <c r="K227" s="237" t="str">
        <f t="shared" si="97"/>
        <v>4021/4022</v>
      </c>
      <c r="L227" s="245" t="str">
        <f>VLOOKUP(A227,'Trips&amp;Operators'!$C$1:$G$99911,5,FALSE)</f>
        <v>FORTUNATO FRANK</v>
      </c>
      <c r="M227" s="224">
        <f t="shared" si="98"/>
        <v>2.6284722225682344E-2</v>
      </c>
      <c r="N227" s="225">
        <f t="shared" si="122"/>
        <v>37.850000004982576</v>
      </c>
      <c r="O227" s="225"/>
      <c r="P227" s="225"/>
      <c r="Q227" s="228"/>
      <c r="R227" s="242"/>
      <c r="S227" s="249">
        <f t="shared" si="100"/>
        <v>0</v>
      </c>
      <c r="T227" s="242" t="str">
        <f t="shared" si="101"/>
        <v>Southbound</v>
      </c>
      <c r="U227" s="24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8" t="str">
        <f t="shared" si="102"/>
        <v>https://d0f6bd738d7f1b3e5a7ca70fe4ff75f0.us-east-1.aws.found.io/app/kibana#/discover/Steve-Slow-Train-Analysis-(2080s-and-2083s)?_g=(refreshInterval:(display:Off,pause:!f,section:0,value:0),time:(from:'2017-12-20T10:43:40-0700',mode:absolute,to:'2017-12-20T13:29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7" s="247" t="str">
        <f>IF(AA227&lt;VLOOKUP(AG227,Variables!$AC$3:$AD$8,2,FALSE),"Y","N")</f>
        <v>Y</v>
      </c>
      <c r="X227" s="247">
        <f t="shared" si="116"/>
        <v>-858</v>
      </c>
      <c r="Y227" s="247">
        <f t="shared" si="114"/>
        <v>6.3955000000000002</v>
      </c>
      <c r="Z227" s="247">
        <f t="shared" si="115"/>
        <v>2.8793000000000002</v>
      </c>
      <c r="AA227" s="247">
        <f t="shared" si="104"/>
        <v>3.5162</v>
      </c>
      <c r="AB227" s="233" t="e">
        <f>VLOOKUP(A227,Enforcements!$C$7:$K$9,8,0)</f>
        <v>#N/A</v>
      </c>
      <c r="AC227" s="232" t="e">
        <f>VLOOKUP(A227,Enforcements!$C$7:$E$9,3,0)</f>
        <v>#N/A</v>
      </c>
      <c r="AD227" s="243">
        <f t="shared" si="105"/>
        <v>50</v>
      </c>
      <c r="AE227" s="235" t="str">
        <f t="shared" si="106"/>
        <v>aws s3 cp s3://rtdc.mdm.uploadarchive.raw/RTDC4021/ "%USERPROFILE%\AppData\Local\Temp\OnboardLogs"\RTDC4021\2017-12-20 --exclude "*" --recursive --include "*20171220*" &amp; "%USERPROFILE%\Documents\GitHub\mrs-test-scripts\Headless Mode &amp; Sideloading\WalkAndUnGZ.bat" "%USERPROFILE%\AppData\Local\Temp\OnboardLogs"\RTDC4021\2017-12-20 &amp; aws s3 cp s3://rtdc.mdm.uploadarchive.raw/RTDC4021/ "%USERPROFILE%\AppData\Local\Temp\OnboardLogs"\RTDC4021\2017-12-21 --exclude "*" --recursive --include "*20171221*" &amp; "%USERPROFILE%\Documents\GitHub\mrs-test-scripts\Headless Mode &amp; Sideloading\WalkAndUnGZ.bat" "%USERPROFILE%\AppData\Local\Temp\OnboardLogs"\RTDC4021\2017-12-21</v>
      </c>
      <c r="AF227" s="234" t="str">
        <f t="shared" si="107"/>
        <v>"C:\Program Files (x86)\AstroGrep\AstroGrep.exe" /e /r /s /spath="%USERPROFILE%\AppData\Local\Temp\OnboardLogs" /stypes="app*4021*20171220*" /stext=" 19:.+((SYSTEM_STATE.+slice.+state.+changed )|(ment ac)|(multiple cpu faults)|(system.+state.+changed )|(\[timeout)|(PRM\|1\|D)|(kpr)|(kdp)|(train st.+moving)|(\|gpps)|(penalty))"</v>
      </c>
      <c r="AG227" s="244" t="str">
        <f t="shared" si="108"/>
        <v>Shuttle/Test</v>
      </c>
      <c r="AH227" s="236" t="str">
        <f t="shared" si="117"/>
        <v>"%USERPROFILE%\Documents\GitHub\eaglep3\Utilities\RefineRTDCRunTimes.py" --tripid 50-20 --locoid 4021 --swversion DE.1.0.9.0 --startMP 300:63955 --initTime 2017-12-20T11:43:40 --startdatetime 2017-12-20T11:51:29 --delay 95 --endMP 300:28793 --enddatetime 2017-12-20T12:29:20 --enforcementcount 0 &gt;&gt;%USERPROFILE%\Documents\GitHub\eaglep3-reporting\EC\2017-12-20-refined-times.txt</v>
      </c>
      <c r="AI227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2.8793"},{"id":17,"name":"Train ID","value":"50-20"},{"id":16,"name":"Locomotive ID","value":"4021"},{"id":130,"name":"Impact","value":""},{"id":150,"name":"Time of Event (Mountain Time)","value":"12:29:20"},{"id":151,"name":"Denver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23"/>
      <c r="AK227" s="231"/>
      <c r="AL227" s="231"/>
      <c r="AM227" s="240" t="str">
        <f t="shared" si="119"/>
        <v>start /low /b %USERPROFILE%\Documents\GitHub\eaglep3\Utilities\DownloadLogsFromS3.py --loco 4021 --day 2017-12-20</v>
      </c>
      <c r="AN227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19:29:20"},{"id":29,"name":"Sharepoint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0" t="str">
        <f t="shared" si="121"/>
        <v>https://d0f6bd738d7f1b3e5a7ca70fe4ff75f0.us-east-1.aws.found.io/app/kibana#/discover/Steve-Slow-Train-Analysis-(2080s-and-2083s)?_g=(refreshInterval:(display:Off,pause:!f,section:0,value:0),time:(from:'2017-12-20T10:43:40-0700',mode:absolute,to:'2017-12-20T13:29:20-0700'))&amp;_a=(columns:!('Message%20ID',Summary),filters:!(),index:'emp_*',interval:auto,query:(query_string:(analyze_wildcard:!t,query:'%22rtdc.l.rtdc.4021%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229" t="s">
        <v>743</v>
      </c>
      <c r="B228" s="225">
        <v>4022</v>
      </c>
      <c r="C228" s="227" t="s">
        <v>192</v>
      </c>
      <c r="D228" s="227" t="s">
        <v>1016</v>
      </c>
      <c r="E228" s="226">
        <v>43089.384525462963</v>
      </c>
      <c r="F228" s="226">
        <v>43089.388206018521</v>
      </c>
      <c r="G228" s="225">
        <v>94</v>
      </c>
      <c r="H228" s="227" t="s">
        <v>1017</v>
      </c>
      <c r="I228" s="226">
        <v>43089.394548611112</v>
      </c>
      <c r="J228" s="225">
        <v>0</v>
      </c>
      <c r="K228" s="237" t="str">
        <f t="shared" si="97"/>
        <v>4021/4022</v>
      </c>
      <c r="L228" s="245" t="str">
        <f>VLOOKUP(A228,'Trips&amp;Operators'!$C$1:$G$99911,5,FALSE)</f>
        <v>PELLITIER GEORGE</v>
      </c>
      <c r="M228" s="224">
        <f t="shared" si="98"/>
        <v>6.3425925909541547E-3</v>
      </c>
      <c r="N228" s="225">
        <f t="shared" si="122"/>
        <v>9.1333333309739828</v>
      </c>
      <c r="O228" s="225"/>
      <c r="P228" s="225"/>
      <c r="Q228" s="228"/>
      <c r="R228" s="242"/>
      <c r="S228" s="249">
        <f t="shared" si="100"/>
        <v>0</v>
      </c>
      <c r="T228" s="242" t="str">
        <f t="shared" si="101"/>
        <v>NorthBound</v>
      </c>
      <c r="U228" s="24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8" t="str">
        <f t="shared" si="102"/>
        <v>https://d0f6bd738d7f1b3e5a7ca70fe4ff75f0.us-east-1.aws.found.io/app/kibana#/discover/Steve-Slow-Train-Analysis-(2080s-and-2083s)?_g=(refreshInterval:(display:Off,pause:!f,section:0,value:0),time:(from:'2017-12-20T08:13:43-0700',mode:absolute,to:'2017-12-20T10:28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8" s="247" t="str">
        <f>IF(AA228&lt;VLOOKUP(AG228,Variables!$AC$3:$AD$8,2,FALSE),"Y","N")</f>
        <v>Y</v>
      </c>
      <c r="X228" s="247">
        <f t="shared" si="116"/>
        <v>1</v>
      </c>
      <c r="Y228" s="247">
        <f t="shared" si="114"/>
        <v>2.9990999999999999</v>
      </c>
      <c r="Z228" s="247">
        <f t="shared" si="115"/>
        <v>6.4283999999999999</v>
      </c>
      <c r="AA228" s="247">
        <f t="shared" si="104"/>
        <v>3.4293</v>
      </c>
      <c r="AB228" s="233" t="e">
        <f>VLOOKUP(A228,Enforcements!$C$7:$K$9,8,0)</f>
        <v>#N/A</v>
      </c>
      <c r="AC228" s="232" t="e">
        <f>VLOOKUP(A228,Enforcements!$C$7:$E$9,3,0)</f>
        <v>#N/A</v>
      </c>
      <c r="AD228" s="243">
        <f t="shared" si="105"/>
        <v>51</v>
      </c>
      <c r="AE228" s="235" t="str">
        <f t="shared" si="106"/>
        <v>aws s3 cp s3://rtdc.mdm.uploadarchive.raw/RTDC4022/ "%USERPROFILE%\AppData\Local\Temp\OnboardLogs"\RTDC4022\2017-12-20 --exclude "*" --recursive --include "*20171220*" &amp; "%USERPROFILE%\Documents\GitHub\mrs-test-scripts\Headless Mode &amp; Sideloading\WalkAndUnGZ.bat" "%USERPROFILE%\AppData\Local\Temp\OnboardLogs"\RTDC4022\2017-12-20 &amp; aws s3 cp s3://rtdc.mdm.uploadarchive.raw/RTDC4022/ "%USERPROFILE%\AppData\Local\Temp\OnboardLogs"\RTDC4022\2017-12-21 --exclude "*" --recursive --include "*20171221*" &amp; "%USERPROFILE%\Documents\GitHub\mrs-test-scripts\Headless Mode &amp; Sideloading\WalkAndUnGZ.bat" "%USERPROFILE%\AppData\Local\Temp\OnboardLogs"\RTDC4022\2017-12-21</v>
      </c>
      <c r="AF228" s="234" t="str">
        <f t="shared" si="107"/>
        <v>"C:\Program Files (x86)\AstroGrep\AstroGrep.exe" /e /r /s /spath="%USERPROFILE%\AppData\Local\Temp\OnboardLogs" /stypes="app*4022*20171220*" /stext=" 16:.+((SYSTEM_STATE.+slice.+state.+changed )|(ment ac)|(multiple cpu faults)|(system.+state.+changed )|(\[timeout)|(PRM\|1\|D)|(kpr)|(kdp)|(train st.+moving)|(\|gpps)|(penalty))"</v>
      </c>
      <c r="AG228" s="244" t="str">
        <f t="shared" si="108"/>
        <v>Shuttle/Test</v>
      </c>
      <c r="AH228" s="236" t="str">
        <f t="shared" si="117"/>
        <v>"%USERPROFILE%\Documents\GitHub\eaglep3\Utilities\RefineRTDCRunTimes.py" --tripid 51-20 --locoid 4022 --swversion DE.1.0.9.0 --startMP 300:29991 --initTime 2017-12-20T09:13:43 --startdatetime 2017-12-20T09:19:01 --delay 94 --endMP 300:64284 --enddatetime 2017-12-20T09:28:09 --enforcementcount 0 &gt;&gt;%USERPROFILE%\Documents\GitHub\eaglep3-reporting\EC\2017-12-20-refined-times.txt</v>
      </c>
      <c r="AI228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6.4284"},{"id":17,"name":"Train ID","value":"51-20"},{"id":16,"name":"Locomotive ID","value":"4022"},{"id":130,"name":"Impact","value":""},{"id":150,"name":"Time of Event (Mountain Time)","value":"09:28:09"},{"id":151,"name":"Denver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3"/>
      <c r="AK228" s="231"/>
      <c r="AL228" s="231"/>
      <c r="AM228" s="240" t="str">
        <f t="shared" si="119"/>
        <v>start /low /b %USERPROFILE%\Documents\GitHub\eaglep3\Utilities\DownloadLogsFromS3.py --loco 4022 --day 2017-12-20</v>
      </c>
      <c r="AN228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16:28:09"},{"id":29,"name":"Sharepoint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0" t="str">
        <f t="shared" si="121"/>
        <v>https://d0f6bd738d7f1b3e5a7ca70fe4ff75f0.us-east-1.aws.found.io/app/kibana#/discover/Steve-Slow-Train-Analysis-(2080s-and-2083s)?_g=(refreshInterval:(display:Off,pause:!f,section:0,value:0),time:(from:'2017-12-20T08:13:43-0700',mode:absolute,to:'2017-12-20T10:28:09-0700'))&amp;_a=(columns:!('Message%20ID',Summary),filters:!(),index:'emp_*',interval:auto,query:(query_string:(analyze_wildcard:!t,query:'%22rtdc.l.rtdc.4022%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229" t="s">
        <v>746</v>
      </c>
      <c r="B229" s="225">
        <v>4032</v>
      </c>
      <c r="C229" s="227" t="s">
        <v>192</v>
      </c>
      <c r="D229" s="227" t="s">
        <v>1018</v>
      </c>
      <c r="E229" s="226">
        <v>43089.380601851852</v>
      </c>
      <c r="F229" s="226">
        <v>43089.393368055556</v>
      </c>
      <c r="G229" s="225">
        <v>761</v>
      </c>
      <c r="H229" s="227" t="s">
        <v>1019</v>
      </c>
      <c r="I229" s="226">
        <v>43089.396643518521</v>
      </c>
      <c r="J229" s="225">
        <v>0</v>
      </c>
      <c r="K229" s="237" t="str">
        <f t="shared" si="97"/>
        <v>4031/4032</v>
      </c>
      <c r="L229" s="245" t="str">
        <f>VLOOKUP(A229,'Trips&amp;Operators'!$C$1:$G$99911,5,FALSE)</f>
        <v>ROMERO CHAD</v>
      </c>
      <c r="M229" s="224">
        <f t="shared" si="98"/>
        <v>3.275462964666076E-3</v>
      </c>
      <c r="N229" s="225">
        <f t="shared" si="122"/>
        <v>4.7166666691191494</v>
      </c>
      <c r="O229" s="225"/>
      <c r="P229" s="225"/>
      <c r="Q229" s="228"/>
      <c r="R229" s="242"/>
      <c r="S229" s="249">
        <f t="shared" si="100"/>
        <v>0</v>
      </c>
      <c r="T229" s="242" t="str">
        <f t="shared" si="101"/>
        <v>NorthBound</v>
      </c>
      <c r="U229" s="24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8" t="str">
        <f t="shared" si="102"/>
        <v>https://d0f6bd738d7f1b3e5a7ca70fe4ff75f0.us-east-1.aws.found.io/app/kibana#/discover/Steve-Slow-Train-Analysis-(2080s-and-2083s)?_g=(refreshInterval:(display:Off,pause:!f,section:0,value:0),time:(from:'2017-12-20T08:08:04-0700',mode:absolute,to:'2017-12-20T10:31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9" s="247" t="str">
        <f>IF(AA229&lt;VLOOKUP(AG229,Variables!$AC$3:$AD$8,2,FALSE),"Y","N")</f>
        <v>Y</v>
      </c>
      <c r="X229" s="247">
        <f t="shared" si="116"/>
        <v>4</v>
      </c>
      <c r="Y229" s="247">
        <f t="shared" si="114"/>
        <v>2.95</v>
      </c>
      <c r="Z229" s="247">
        <f t="shared" si="115"/>
        <v>3.9599000000000002</v>
      </c>
      <c r="AA229" s="247">
        <f t="shared" si="104"/>
        <v>1.0099</v>
      </c>
      <c r="AB229" s="233" t="e">
        <f>VLOOKUP(A229,Enforcements!$C$7:$K$9,8,0)</f>
        <v>#N/A</v>
      </c>
      <c r="AC229" s="232" t="e">
        <f>VLOOKUP(A229,Enforcements!$C$7:$E$9,3,0)</f>
        <v>#N/A</v>
      </c>
      <c r="AD229" s="243">
        <f t="shared" si="105"/>
        <v>55</v>
      </c>
      <c r="AE229" s="235" t="str">
        <f t="shared" si="106"/>
        <v>aws s3 cp s3://rtdc.mdm.uploadarchive.raw/RTDC4032/ "%USERPROFILE%\AppData\Local\Temp\OnboardLogs"\RTDC4032\2017-12-20 --exclude "*" --recursive --include "*20171220*" &amp; "%USERPROFILE%\Documents\GitHub\mrs-test-scripts\Headless Mode &amp; Sideloading\WalkAndUnGZ.bat" "%USERPROFILE%\AppData\Local\Temp\OnboardLogs"\RTDC4032\2017-12-20 &amp; aws s3 cp s3://rtdc.mdm.uploadarchive.raw/RTDC4032/ "%USERPROFILE%\AppData\Local\Temp\OnboardLogs"\RTDC4032\2017-12-21 --exclude "*" --recursive --include "*20171221*" &amp; "%USERPROFILE%\Documents\GitHub\mrs-test-scripts\Headless Mode &amp; Sideloading\WalkAndUnGZ.bat" "%USERPROFILE%\AppData\Local\Temp\OnboardLogs"\RTDC4032\2017-12-21</v>
      </c>
      <c r="AF229" s="234" t="str">
        <f t="shared" si="107"/>
        <v>"C:\Program Files (x86)\AstroGrep\AstroGrep.exe" /e /r /s /spath="%USERPROFILE%\AppData\Local\Temp\OnboardLogs" /stypes="app*4032*20171220*" /stext=" 16:.+((SYSTEM_STATE.+slice.+state.+changed )|(ment ac)|(multiple cpu faults)|(system.+state.+changed )|(\[timeout)|(PRM\|1\|D)|(kpr)|(kdp)|(train st.+moving)|(\|gpps)|(penalty))"</v>
      </c>
      <c r="AG229" s="244" t="str">
        <f t="shared" si="108"/>
        <v>Shuttle/Test</v>
      </c>
      <c r="AH229" s="236" t="str">
        <f t="shared" si="117"/>
        <v>"%USERPROFILE%\Documents\GitHub\eaglep3\Utilities\RefineRTDCRunTimes.py" --tripid 55-20 --locoid 4032 --swversion DE.1.0.9.0 --startMP 300:29500 --initTime 2017-12-20T09:08:04 --startdatetime 2017-12-20T09:26:27 --delay 761 --endMP 300:39599 --enddatetime 2017-12-20T09:31:10 --enforcementcount 0 &gt;&gt;%USERPROFILE%\Documents\GitHub\eaglep3-reporting\EC\2017-12-20-refined-times.txt</v>
      </c>
      <c r="AI229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3.9599"},{"id":17,"name":"Train ID","value":"55-20"},{"id":16,"name":"Locomotive ID","value":"4032"},{"id":130,"name":"Impact","value":""},{"id":150,"name":"Time of Event (Mountain Time)","value":"09:31:10"},{"id":151,"name":"Denver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3"/>
      <c r="AK229" s="231"/>
      <c r="AL229" s="231"/>
      <c r="AM229" s="240" t="str">
        <f t="shared" si="119"/>
        <v>start /low /b %USERPROFILE%\Documents\GitHub\eaglep3\Utilities\DownloadLogsFromS3.py --loco 4032 --day 2017-12-20</v>
      </c>
      <c r="AN229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16:31:10"},{"id":29,"name":"Sharepoint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0" t="str">
        <f t="shared" si="121"/>
        <v>https://d0f6bd738d7f1b3e5a7ca70fe4ff75f0.us-east-1.aws.found.io/app/kibana#/discover/Steve-Slow-Train-Analysis-(2080s-and-2083s)?_g=(refreshInterval:(display:Off,pause:!f,section:0,value:0),time:(from:'2017-12-20T08:08:04-0700',mode:absolute,to:'2017-12-20T10:31:10-0700'))&amp;_a=(columns:!('Message%20ID',Summary),filters:!(),index:'emp_*',interval:auto,query:(query_string:(analyze_wildcard:!t,query:'%22rtdc.l.rtdc.4032%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229" t="s">
        <v>746</v>
      </c>
      <c r="B230" s="225">
        <v>4032</v>
      </c>
      <c r="C230" s="227" t="s">
        <v>192</v>
      </c>
      <c r="D230" s="227" t="s">
        <v>1018</v>
      </c>
      <c r="E230" s="226">
        <v>43089.389618055553</v>
      </c>
      <c r="F230" s="226">
        <v>43089.393368055556</v>
      </c>
      <c r="G230" s="225">
        <v>62</v>
      </c>
      <c r="H230" s="227" t="s">
        <v>1019</v>
      </c>
      <c r="I230" s="226">
        <v>43089.396643518521</v>
      </c>
      <c r="J230" s="225">
        <v>0</v>
      </c>
      <c r="K230" s="237" t="str">
        <f t="shared" si="97"/>
        <v>4031/4032</v>
      </c>
      <c r="L230" s="245" t="str">
        <f>VLOOKUP(A230,'Trips&amp;Operators'!$C$1:$G$99911,5,FALSE)</f>
        <v>ROMERO CHAD</v>
      </c>
      <c r="M230" s="224">
        <f t="shared" si="98"/>
        <v>3.275462964666076E-3</v>
      </c>
      <c r="N230" s="225">
        <f t="shared" si="122"/>
        <v>4.7166666691191494</v>
      </c>
      <c r="O230" s="225"/>
      <c r="P230" s="225"/>
      <c r="Q230" s="228"/>
      <c r="R230" s="242"/>
      <c r="S230" s="249">
        <f t="shared" si="100"/>
        <v>0</v>
      </c>
      <c r="T230" s="242" t="str">
        <f t="shared" si="101"/>
        <v>NorthBound</v>
      </c>
      <c r="U230" s="24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8" t="str">
        <f t="shared" si="102"/>
        <v>https://d0f6bd738d7f1b3e5a7ca70fe4ff75f0.us-east-1.aws.found.io/app/kibana#/discover/Steve-Slow-Train-Analysis-(2080s-and-2083s)?_g=(refreshInterval:(display:Off,pause:!f,section:0,value:0),time:(from:'2017-12-20T08:21:03-0700',mode:absolute,to:'2017-12-20T10:31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0" s="247" t="str">
        <f>IF(AA230&lt;VLOOKUP(AG230,Variables!$AC$3:$AD$8,2,FALSE),"Y","N")</f>
        <v>Y</v>
      </c>
      <c r="X230" s="247">
        <f t="shared" si="116"/>
        <v>0</v>
      </c>
      <c r="Y230" s="247">
        <f t="shared" si="114"/>
        <v>2.95</v>
      </c>
      <c r="Z230" s="247">
        <f t="shared" si="115"/>
        <v>3.9599000000000002</v>
      </c>
      <c r="AA230" s="247">
        <f t="shared" si="104"/>
        <v>1.0099</v>
      </c>
      <c r="AB230" s="233" t="e">
        <f>VLOOKUP(A230,Enforcements!$C$7:$K$9,8,0)</f>
        <v>#N/A</v>
      </c>
      <c r="AC230" s="232" t="e">
        <f>VLOOKUP(A230,Enforcements!$C$7:$E$9,3,0)</f>
        <v>#N/A</v>
      </c>
      <c r="AD230" s="243">
        <f t="shared" si="105"/>
        <v>55</v>
      </c>
      <c r="AE230" s="235" t="str">
        <f t="shared" si="106"/>
        <v>aws s3 cp s3://rtdc.mdm.uploadarchive.raw/RTDC4032/ "%USERPROFILE%\AppData\Local\Temp\OnboardLogs"\RTDC4032\2017-12-20 --exclude "*" --recursive --include "*20171220*" &amp; "%USERPROFILE%\Documents\GitHub\mrs-test-scripts\Headless Mode &amp; Sideloading\WalkAndUnGZ.bat" "%USERPROFILE%\AppData\Local\Temp\OnboardLogs"\RTDC4032\2017-12-20 &amp; aws s3 cp s3://rtdc.mdm.uploadarchive.raw/RTDC4032/ "%USERPROFILE%\AppData\Local\Temp\OnboardLogs"\RTDC4032\2017-12-21 --exclude "*" --recursive --include "*20171221*" &amp; "%USERPROFILE%\Documents\GitHub\mrs-test-scripts\Headless Mode &amp; Sideloading\WalkAndUnGZ.bat" "%USERPROFILE%\AppData\Local\Temp\OnboardLogs"\RTDC4032\2017-12-21</v>
      </c>
      <c r="AF230" s="234" t="str">
        <f t="shared" si="107"/>
        <v>"C:\Program Files (x86)\AstroGrep\AstroGrep.exe" /e /r /s /spath="%USERPROFILE%\AppData\Local\Temp\OnboardLogs" /stypes="app*4032*20171220*" /stext=" 16:.+((SYSTEM_STATE.+slice.+state.+changed )|(ment ac)|(multiple cpu faults)|(system.+state.+changed )|(\[timeout)|(PRM\|1\|D)|(kpr)|(kdp)|(train st.+moving)|(\|gpps)|(penalty))"</v>
      </c>
      <c r="AG230" s="244" t="str">
        <f t="shared" si="108"/>
        <v>Shuttle/Test</v>
      </c>
      <c r="AH230" s="236" t="str">
        <f t="shared" si="117"/>
        <v>"%USERPROFILE%\Documents\GitHub\eaglep3\Utilities\RefineRTDCRunTimes.py" --tripid 55-20 --locoid 4032 --swversion DE.1.0.9.0 --startMP 300:29500 --initTime 2017-12-20T09:21:03 --startdatetime 2017-12-20T09:26:27 --delay 62 --endMP 300:39599 --enddatetime 2017-12-20T09:31:10 --enforcementcount 0 &gt;&gt;%USERPROFILE%\Documents\GitHub\eaglep3-reporting\EC\2017-12-20-refined-times.txt</v>
      </c>
      <c r="AI230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3.9599"},{"id":17,"name":"Train ID","value":"55-20"},{"id":16,"name":"Locomotive ID","value":"4032"},{"id":130,"name":"Impact","value":""},{"id":150,"name":"Time of Event (Mountain Time)","value":"09:31:10"},{"id":151,"name":"Denver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23"/>
      <c r="AK230" s="231"/>
      <c r="AL230" s="231"/>
      <c r="AM230" s="240" t="str">
        <f t="shared" si="119"/>
        <v>start /low /b %USERPROFILE%\Documents\GitHub\eaglep3\Utilities\DownloadLogsFromS3.py --loco 4032 --day 2017-12-20</v>
      </c>
      <c r="AN230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16:31:10"},{"id":29,"name":"Sharepoint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0" t="str">
        <f t="shared" si="121"/>
        <v>https://d0f6bd738d7f1b3e5a7ca70fe4ff75f0.us-east-1.aws.found.io/app/kibana#/discover/Steve-Slow-Train-Analysis-(2080s-and-2083s)?_g=(refreshInterval:(display:Off,pause:!f,section:0,value:0),time:(from:'2017-12-20T08:21:03-0700',mode:absolute,to:'2017-12-20T10:31:10-0700'))&amp;_a=(columns:!('Message%20ID',Summary),filters:!(),index:'emp_*',interval:auto,query:(query_string:(analyze_wildcard:!t,query:'%22rtdc.l.rtdc.4032%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229" t="s">
        <v>776</v>
      </c>
      <c r="B231" s="225">
        <v>4031</v>
      </c>
      <c r="C231" s="227" t="s">
        <v>192</v>
      </c>
      <c r="D231" s="227" t="s">
        <v>1020</v>
      </c>
      <c r="E231" s="226">
        <v>43089.488726851851</v>
      </c>
      <c r="F231" s="226">
        <v>43089.491412037038</v>
      </c>
      <c r="G231" s="225">
        <v>92</v>
      </c>
      <c r="H231" s="227" t="s">
        <v>1021</v>
      </c>
      <c r="I231" s="226">
        <v>43089.511134259257</v>
      </c>
      <c r="J231" s="225">
        <v>0</v>
      </c>
      <c r="K231" s="237" t="str">
        <f t="shared" si="97"/>
        <v>4031/4032</v>
      </c>
      <c r="L231" s="245" t="str">
        <f>VLOOKUP(A231,'Trips&amp;Operators'!$C$1:$G$99911,5,FALSE)</f>
        <v>ROMERO CHAD</v>
      </c>
      <c r="M231" s="224">
        <f t="shared" si="98"/>
        <v>1.972222221957054E-2</v>
      </c>
      <c r="N231" s="225">
        <f t="shared" si="122"/>
        <v>28.399999996181577</v>
      </c>
      <c r="O231" s="225"/>
      <c r="P231" s="225"/>
      <c r="Q231" s="228"/>
      <c r="R231" s="242"/>
      <c r="S231" s="249">
        <f t="shared" si="100"/>
        <v>0</v>
      </c>
      <c r="T231" s="242" t="str">
        <f t="shared" si="101"/>
        <v>Southbound</v>
      </c>
      <c r="U231" s="24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8" t="str">
        <f t="shared" si="102"/>
        <v>https://d0f6bd738d7f1b3e5a7ca70fe4ff75f0.us-east-1.aws.found.io/app/kibana#/discover/Steve-Slow-Train-Analysis-(2080s-and-2083s)?_g=(refreshInterval:(display:Off,pause:!f,section:0,value:0),time:(from:'2017-12-20T10:43:46-0700',mode:absolute,to:'2017-12-20T13:16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1" s="247" t="str">
        <f>IF(AA231&lt;VLOOKUP(AG231,Variables!$AC$3:$AD$8,2,FALSE),"Y","N")</f>
        <v>Y</v>
      </c>
      <c r="X231" s="247">
        <f t="shared" si="116"/>
        <v>1</v>
      </c>
      <c r="Y231" s="247">
        <f t="shared" si="114"/>
        <v>3.9239000000000002</v>
      </c>
      <c r="Z231" s="247">
        <f t="shared" si="115"/>
        <v>2.8786</v>
      </c>
      <c r="AA231" s="247">
        <f t="shared" si="104"/>
        <v>1.0453000000000001</v>
      </c>
      <c r="AB231" s="233" t="e">
        <f>VLOOKUP(A231,Enforcements!$C$7:$K$9,8,0)</f>
        <v>#N/A</v>
      </c>
      <c r="AC231" s="232" t="e">
        <f>VLOOKUP(A231,Enforcements!$C$7:$E$9,3,0)</f>
        <v>#N/A</v>
      </c>
      <c r="AD231" s="243">
        <f t="shared" si="105"/>
        <v>56</v>
      </c>
      <c r="AE231" s="235" t="str">
        <f t="shared" si="106"/>
        <v>aws s3 cp s3://rtdc.mdm.uploadarchive.raw/RTDC4031/ "%USERPROFILE%\AppData\Local\Temp\OnboardLogs"\RTDC4031\2017-12-20 --exclude "*" --recursive --include "*20171220*" &amp; "%USERPROFILE%\Documents\GitHub\mrs-test-scripts\Headless Mode &amp; Sideloading\WalkAndUnGZ.bat" "%USERPROFILE%\AppData\Local\Temp\OnboardLogs"\RTDC4031\2017-12-20 &amp; aws s3 cp s3://rtdc.mdm.uploadarchive.raw/RTDC4031/ "%USERPROFILE%\AppData\Local\Temp\OnboardLogs"\RTDC4031\2017-12-21 --exclude "*" --recursive --include "*20171221*" &amp; "%USERPROFILE%\Documents\GitHub\mrs-test-scripts\Headless Mode &amp; Sideloading\WalkAndUnGZ.bat" "%USERPROFILE%\AppData\Local\Temp\OnboardLogs"\RTDC4031\2017-12-21</v>
      </c>
      <c r="AF231" s="234" t="str">
        <f t="shared" si="107"/>
        <v>"C:\Program Files (x86)\AstroGrep\AstroGrep.exe" /e /r /s /spath="%USERPROFILE%\AppData\Local\Temp\OnboardLogs" /stypes="app*4031*20171220*" /stext=" 19:.+((SYSTEM_STATE.+slice.+state.+changed )|(ment ac)|(multiple cpu faults)|(system.+state.+changed )|(\[timeout)|(PRM\|1\|D)|(kpr)|(kdp)|(train st.+moving)|(\|gpps)|(penalty))"</v>
      </c>
      <c r="AG231" s="244" t="str">
        <f t="shared" si="108"/>
        <v>Shuttle/Test</v>
      </c>
      <c r="AH231" s="236" t="str">
        <f t="shared" si="117"/>
        <v>"%USERPROFILE%\Documents\GitHub\eaglep3\Utilities\RefineRTDCRunTimes.py" --tripid 56-20 --locoid 4031 --swversion DE.1.0.9.0 --startMP 300:39239 --initTime 2017-12-20T11:43:46 --startdatetime 2017-12-20T11:47:38 --delay 92 --endMP 300:28786 --enddatetime 2017-12-20T12:16:02 --enforcementcount 0 &gt;&gt;%USERPROFILE%\Documents\GitHub\eaglep3-reporting\EC\2017-12-20-refined-times.txt</v>
      </c>
      <c r="AI231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2.8786"},{"id":17,"name":"Train ID","value":"56-20"},{"id":16,"name":"Locomotive ID","value":"4031"},{"id":130,"name":"Impact","value":""},{"id":150,"name":"Time of Event (Mountain Time)","value":"12:16:02"},{"id":151,"name":"Denver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3"/>
      <c r="AK231" s="231"/>
      <c r="AL231" s="231"/>
      <c r="AM231" s="240" t="str">
        <f t="shared" si="119"/>
        <v>start /low /b %USERPROFILE%\Documents\GitHub\eaglep3\Utilities\DownloadLogsFromS3.py --loco 4031 --day 2017-12-20</v>
      </c>
      <c r="AN231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19:16:02"},{"id":29,"name":"Sharepoint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0" t="str">
        <f t="shared" si="121"/>
        <v>https://d0f6bd738d7f1b3e5a7ca70fe4ff75f0.us-east-1.aws.found.io/app/kibana#/discover/Steve-Slow-Train-Analysis-(2080s-and-2083s)?_g=(refreshInterval:(display:Off,pause:!f,section:0,value:0),time:(from:'2017-12-20T10:43:46-0700',mode:absolute,to:'2017-12-20T13:16:02-0700'))&amp;_a=(columns:!('Message%20ID',Summary),filters:!(),index:'emp_*',interval:auto,query:(query_string:(analyze_wildcard:!t,query:'%22rtdc.l.rtdc.4031%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229" t="s">
        <v>663</v>
      </c>
      <c r="B232" s="225">
        <v>4031</v>
      </c>
      <c r="C232" s="227" t="s">
        <v>192</v>
      </c>
      <c r="D232" s="227" t="s">
        <v>1100</v>
      </c>
      <c r="E232" s="226">
        <v>43089.596979166665</v>
      </c>
      <c r="F232" s="226">
        <v>43089.598761574074</v>
      </c>
      <c r="G232" s="225">
        <v>67</v>
      </c>
      <c r="H232" s="227" t="s">
        <v>1101</v>
      </c>
      <c r="I232" s="226">
        <v>43089.6172337963</v>
      </c>
      <c r="J232" s="225">
        <v>0</v>
      </c>
      <c r="K232" s="237" t="str">
        <f t="shared" si="97"/>
        <v>4031/4032</v>
      </c>
      <c r="L232" s="245" t="str">
        <f>VLOOKUP(A232,'Trips&amp;Operators'!$C$1:$G$99911,5,FALSE)</f>
        <v>MAGEE KENYA</v>
      </c>
      <c r="M232" s="224">
        <f t="shared" si="98"/>
        <v>1.8472222225682344E-2</v>
      </c>
      <c r="N232" s="225">
        <f t="shared" si="122"/>
        <v>26.600000004982576</v>
      </c>
      <c r="O232" s="225"/>
      <c r="P232" s="225"/>
      <c r="Q232" s="228"/>
      <c r="R232" s="242"/>
      <c r="S232" s="249">
        <f t="shared" si="100"/>
        <v>1</v>
      </c>
      <c r="T232" s="242" t="str">
        <f t="shared" si="101"/>
        <v>Southbound</v>
      </c>
      <c r="U232" s="24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48" t="str">
        <f t="shared" si="102"/>
        <v>https://d0f6bd738d7f1b3e5a7ca70fe4ff75f0.us-east-1.aws.found.io/app/kibana#/discover/Steve-Slow-Train-Analysis-(2080s-and-2083s)?_g=(refreshInterval:(display:Off,pause:!f,section:0,value:0),time:(from:'2017-12-20T13:19:39-0700',mode:absolute,to:'2017-12-20T15:48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2" s="247" t="str">
        <f>IF(AA232&lt;VLOOKUP(AG232,Variables!$AC$3:$AD$8,2,FALSE),"Y","N")</f>
        <v>Y</v>
      </c>
      <c r="X232" s="247">
        <f t="shared" si="116"/>
        <v>2</v>
      </c>
      <c r="Y232" s="247">
        <f t="shared" si="114"/>
        <v>11.2187</v>
      </c>
      <c r="Z232" s="247">
        <f t="shared" si="115"/>
        <v>8.8900000000000007E-2</v>
      </c>
      <c r="AA232" s="247">
        <f t="shared" si="104"/>
        <v>11.129799999999999</v>
      </c>
      <c r="AB232" s="233" t="e">
        <f>VLOOKUP(A232,Enforcements!$C$7:$K$9,8,0)</f>
        <v>#N/A</v>
      </c>
      <c r="AC232" s="232" t="e">
        <f>VLOOKUP(A232,Enforcements!$C$7:$E$9,3,0)</f>
        <v>#N/A</v>
      </c>
      <c r="AD232" s="243">
        <f t="shared" si="105"/>
        <v>58</v>
      </c>
      <c r="AE232" s="235" t="str">
        <f t="shared" si="106"/>
        <v>aws s3 cp s3://rtdc.mdm.uploadarchive.raw/RTDC4031/ "%USERPROFILE%\AppData\Local\Temp\OnboardLogs"\RTDC4031\2017-12-20 --exclude "*" --recursive --include "*20171220*" &amp; "%USERPROFILE%\Documents\GitHub\mrs-test-scripts\Headless Mode &amp; Sideloading\WalkAndUnGZ.bat" "%USERPROFILE%\AppData\Local\Temp\OnboardLogs"\RTDC4031\2017-12-20 &amp; aws s3 cp s3://rtdc.mdm.uploadarchive.raw/RTDC4031/ "%USERPROFILE%\AppData\Local\Temp\OnboardLogs"\RTDC4031\2017-12-21 --exclude "*" --recursive --include "*20171221*" &amp; "%USERPROFILE%\Documents\GitHub\mrs-test-scripts\Headless Mode &amp; Sideloading\WalkAndUnGZ.bat" "%USERPROFILE%\AppData\Local\Temp\OnboardLogs"\RTDC4031\2017-12-21</v>
      </c>
      <c r="AF232" s="234" t="str">
        <f t="shared" si="107"/>
        <v>"C:\Program Files (x86)\AstroGrep\AstroGrep.exe" /e /r /s /spath="%USERPROFILE%\AppData\Local\Temp\OnboardLogs" /stypes="app*4031*20171220*" /stext=" 21:.+((SYSTEM_STATE.+slice.+state.+changed )|(ment ac)|(multiple cpu faults)|(system.+state.+changed )|(\[timeout)|(PRM\|1\|D)|(kpr)|(kdp)|(train st.+moving)|(\|gpps)|(penalty))"</v>
      </c>
      <c r="AG232" s="244" t="str">
        <f t="shared" si="108"/>
        <v>Shuttle/Test</v>
      </c>
      <c r="AH232" s="236" t="str">
        <f t="shared" si="117"/>
        <v>"%USERPROFILE%\Documents\GitHub\eaglep3\Utilities\RefineRTDCRunTimes.py" --tripid 58-20 --locoid 4031 --swversion DE.1.0.9.0 --startMP 300:112187 --initTime 2017-12-20T14:19:39 --startdatetime 2017-12-20T14:22:13 --delay 67 --endMP 204:889 --enddatetime 2017-12-20T14:48:49 --enforcementcount 0 &gt;&gt;%USERPROFILE%\Documents\GitHub\eaglep3-reporting\EC\2017-12-20-refined-times.txt</v>
      </c>
      <c r="AI232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0.0889"},{"id":17,"name":"Train ID","value":"58-20"},{"id":16,"name":"Locomotive ID","value":"4031"},{"id":130,"name":"Impact","value":""},{"id":150,"name":"Time of Event (Mountain Time)","value":"14:48:49"},{"id":151,"name":"Denver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3"/>
      <c r="AK232" s="231"/>
      <c r="AL232" s="231"/>
      <c r="AM232" s="240" t="str">
        <f t="shared" si="119"/>
        <v>start /low /b %USERPROFILE%\Documents\GitHub\eaglep3\Utilities\DownloadLogsFromS3.py --loco 4031 --day 2017-12-20</v>
      </c>
      <c r="AN232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21:48:49"},{"id":29,"name":"Sharepoint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0" t="str">
        <f t="shared" si="121"/>
        <v>https://d0f6bd738d7f1b3e5a7ca70fe4ff75f0.us-east-1.aws.found.io/app/kibana#/discover/Steve-Slow-Train-Analysis-(2080s-and-2083s)?_g=(refreshInterval:(display:Off,pause:!f,section:0,value:0),time:(from:'2017-12-20T13:19:39-0700',mode:absolute,to:'2017-12-20T15:48:49-0700'))&amp;_a=(columns:!('Message%20ID',Summary),filters:!(),index:'emp_*',interval:auto,query:(query_string:(analyze_wildcard:!t,query:'%22rtdc.l.rtdc.4031%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229" t="s">
        <v>663</v>
      </c>
      <c r="B233" s="225">
        <v>4031</v>
      </c>
      <c r="C233" s="227" t="s">
        <v>192</v>
      </c>
      <c r="D233" s="227" t="s">
        <v>1022</v>
      </c>
      <c r="E233" s="226">
        <v>43089.641817129632</v>
      </c>
      <c r="F233" s="226">
        <v>43089.643483796295</v>
      </c>
      <c r="G233" s="225">
        <v>64</v>
      </c>
      <c r="H233" s="227" t="s">
        <v>1023</v>
      </c>
      <c r="I233" s="226">
        <v>43089.663726851853</v>
      </c>
      <c r="J233" s="225">
        <v>0</v>
      </c>
      <c r="K233" s="237" t="str">
        <f t="shared" si="97"/>
        <v>4031/4032</v>
      </c>
      <c r="L233" s="245" t="str">
        <f>VLOOKUP(A233,'Trips&amp;Operators'!$C$1:$G$99911,5,FALSE)</f>
        <v>MAGEE KENYA</v>
      </c>
      <c r="M233" s="224">
        <f t="shared" si="98"/>
        <v>2.0243055558239575E-2</v>
      </c>
      <c r="N233" s="225">
        <f t="shared" si="122"/>
        <v>29.150000003864989</v>
      </c>
      <c r="O233" s="225"/>
      <c r="P233" s="225"/>
      <c r="Q233" s="228"/>
      <c r="R233" s="242"/>
      <c r="S233" s="249">
        <f t="shared" si="100"/>
        <v>1</v>
      </c>
      <c r="T233" s="242" t="str">
        <f t="shared" si="101"/>
        <v>Southbound</v>
      </c>
      <c r="U233" s="24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48" t="str">
        <f t="shared" si="102"/>
        <v>https://d0f6bd738d7f1b3e5a7ca70fe4ff75f0.us-east-1.aws.found.io/app/kibana#/discover/Steve-Slow-Train-Analysis-(2080s-and-2083s)?_g=(refreshInterval:(display:Off,pause:!f,section:0,value:0),time:(from:'2017-12-20T14:24:13-0700',mode:absolute,to:'2017-12-20T16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3" s="247" t="str">
        <f>IF(AA233&lt;VLOOKUP(AG233,Variables!$AC$3:$AD$8,2,FALSE),"Y","N")</f>
        <v>Y</v>
      </c>
      <c r="X233" s="247">
        <f t="shared" si="116"/>
        <v>0</v>
      </c>
      <c r="Y233" s="247">
        <f t="shared" si="114"/>
        <v>11.218400000000001</v>
      </c>
      <c r="Z233" s="247">
        <f t="shared" si="115"/>
        <v>8.8400000000000006E-2</v>
      </c>
      <c r="AA233" s="247">
        <f t="shared" si="104"/>
        <v>11.13</v>
      </c>
      <c r="AB233" s="233" t="e">
        <f>VLOOKUP(A233,Enforcements!$C$7:$K$9,8,0)</f>
        <v>#N/A</v>
      </c>
      <c r="AC233" s="232" t="e">
        <f>VLOOKUP(A233,Enforcements!$C$7:$E$9,3,0)</f>
        <v>#N/A</v>
      </c>
      <c r="AD233" s="243">
        <f t="shared" si="105"/>
        <v>58</v>
      </c>
      <c r="AE233" s="235" t="str">
        <f t="shared" si="106"/>
        <v>aws s3 cp s3://rtdc.mdm.uploadarchive.raw/RTDC4031/ "%USERPROFILE%\AppData\Local\Temp\OnboardLogs"\RTDC4031\2017-12-20 --exclude "*" --recursive --include "*20171220*" &amp; "%USERPROFILE%\Documents\GitHub\mrs-test-scripts\Headless Mode &amp; Sideloading\WalkAndUnGZ.bat" "%USERPROFILE%\AppData\Local\Temp\OnboardLogs"\RTDC4031\2017-12-20 &amp; aws s3 cp s3://rtdc.mdm.uploadarchive.raw/RTDC4031/ "%USERPROFILE%\AppData\Local\Temp\OnboardLogs"\RTDC4031\2017-12-21 --exclude "*" --recursive --include "*20171221*" &amp; "%USERPROFILE%\Documents\GitHub\mrs-test-scripts\Headless Mode &amp; Sideloading\WalkAndUnGZ.bat" "%USERPROFILE%\AppData\Local\Temp\OnboardLogs"\RTDC4031\2017-12-21</v>
      </c>
      <c r="AF233" s="234" t="str">
        <f t="shared" si="107"/>
        <v>"C:\Program Files (x86)\AstroGrep\AstroGrep.exe" /e /r /s /spath="%USERPROFILE%\AppData\Local\Temp\OnboardLogs" /stypes="app*4031*20171220*" /stext=" 22:.+((SYSTEM_STATE.+slice.+state.+changed )|(ment ac)|(multiple cpu faults)|(system.+state.+changed )|(\[timeout)|(PRM\|1\|D)|(kpr)|(kdp)|(train st.+moving)|(\|gpps)|(penalty))"</v>
      </c>
      <c r="AG233" s="244" t="str">
        <f t="shared" si="108"/>
        <v>Shuttle/Test</v>
      </c>
      <c r="AH233" s="236" t="str">
        <f t="shared" si="117"/>
        <v>"%USERPROFILE%\Documents\GitHub\eaglep3\Utilities\RefineRTDCRunTimes.py" --tripid 58-20 --locoid 4031 --swversion DE.1.0.9.0 --startMP 300:112184 --initTime 2017-12-20T15:24:13 --startdatetime 2017-12-20T15:26:37 --delay 64 --endMP 204:884 --enddatetime 2017-12-20T15:55:46 --enforcementcount 0 &gt;&gt;%USERPROFILE%\Documents\GitHub\eaglep3-reporting\EC\2017-12-20-refined-times.txt</v>
      </c>
      <c r="AI233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0.0884"},{"id":17,"name":"Train ID","value":"58-20"},{"id":16,"name":"Locomotive ID","value":"4031"},{"id":130,"name":"Impact","value":""},{"id":150,"name":"Time of Event (Mountain Time)","value":"15:55:46"},{"id":151,"name":"Denver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223"/>
      <c r="AK233" s="231"/>
      <c r="AL233" s="231"/>
      <c r="AM233" s="240" t="str">
        <f t="shared" si="119"/>
        <v>start /low /b %USERPROFILE%\Documents\GitHub\eaglep3\Utilities\DownloadLogsFromS3.py --loco 4031 --day 2017-12-20</v>
      </c>
      <c r="AN233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22:55:46"},{"id":29,"name":"Sharepoint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0" t="str">
        <f t="shared" si="121"/>
        <v>https://d0f6bd738d7f1b3e5a7ca70fe4ff75f0.us-east-1.aws.found.io/app/kibana#/discover/Steve-Slow-Train-Analysis-(2080s-and-2083s)?_g=(refreshInterval:(display:Off,pause:!f,section:0,value:0),time:(from:'2017-12-20T14:24:13-0700',mode:absolute,to:'2017-12-20T16:55:46-0700'))&amp;_a=(columns:!('Message%20ID',Summary),filters:!(),index:'emp_*',interval:auto,query:(query_string:(analyze_wildcard:!t,query:'%22rtdc.l.rtdc.4031%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229" t="s">
        <v>663</v>
      </c>
      <c r="B234" s="225">
        <v>4031</v>
      </c>
      <c r="C234" s="227" t="s">
        <v>192</v>
      </c>
      <c r="D234" s="227" t="s">
        <v>1102</v>
      </c>
      <c r="E234" s="226">
        <v>43089.689085648148</v>
      </c>
      <c r="F234" s="226">
        <v>43089.691284722219</v>
      </c>
      <c r="G234" s="225">
        <v>69</v>
      </c>
      <c r="H234" s="227" t="s">
        <v>1103</v>
      </c>
      <c r="I234" s="226">
        <v>43089.710995370369</v>
      </c>
      <c r="J234" s="225">
        <v>0</v>
      </c>
      <c r="K234" s="237" t="str">
        <f t="shared" si="97"/>
        <v>4031/4032</v>
      </c>
      <c r="L234" s="245" t="str">
        <f>VLOOKUP(A234,'Trips&amp;Operators'!$C$1:$G$99911,5,FALSE)</f>
        <v>MAGEE KENYA</v>
      </c>
      <c r="M234" s="224">
        <f t="shared" si="98"/>
        <v>1.9710648150066845E-2</v>
      </c>
      <c r="N234" s="225">
        <f t="shared" si="122"/>
        <v>28.383333336096257</v>
      </c>
      <c r="O234" s="225"/>
      <c r="P234" s="225"/>
      <c r="Q234" s="228"/>
      <c r="R234" s="242"/>
      <c r="S234" s="249">
        <f t="shared" si="100"/>
        <v>1</v>
      </c>
      <c r="T234" s="242" t="str">
        <f t="shared" si="101"/>
        <v>Southbound</v>
      </c>
      <c r="U234" s="246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48" t="str">
        <f t="shared" si="102"/>
        <v>https://d0f6bd738d7f1b3e5a7ca70fe4ff75f0.us-east-1.aws.found.io/app/kibana#/discover/Steve-Slow-Train-Analysis-(2080s-and-2083s)?_g=(refreshInterval:(display:Off,pause:!f,section:0,value:0),time:(from:'2017-12-20T15:32:17-0700',mode:absolute,to:'2017-12-20T18:03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4" s="247" t="str">
        <f>IF(AA234&lt;VLOOKUP(AG234,Variables!$AC$3:$AD$8,2,FALSE),"Y","N")</f>
        <v>Y</v>
      </c>
      <c r="X234" s="247">
        <f t="shared" si="116"/>
        <v>0</v>
      </c>
      <c r="Y234" s="247">
        <f t="shared" si="114"/>
        <v>11.2258</v>
      </c>
      <c r="Z234" s="247">
        <f t="shared" si="115"/>
        <v>9.0399999999999994E-2</v>
      </c>
      <c r="AA234" s="247">
        <f t="shared" si="104"/>
        <v>11.135399999999999</v>
      </c>
      <c r="AB234" s="233" t="e">
        <f>VLOOKUP(A234,Enforcements!$C$7:$K$9,8,0)</f>
        <v>#N/A</v>
      </c>
      <c r="AC234" s="232" t="e">
        <f>VLOOKUP(A234,Enforcements!$C$7:$E$9,3,0)</f>
        <v>#N/A</v>
      </c>
      <c r="AD234" s="243">
        <f t="shared" si="105"/>
        <v>58</v>
      </c>
      <c r="AE234" s="235" t="str">
        <f t="shared" si="106"/>
        <v>aws s3 cp s3://rtdc.mdm.uploadarchive.raw/RTDC4031/ "%USERPROFILE%\AppData\Local\Temp\OnboardLogs"\RTDC4031\2017-12-20 --exclude "*" --recursive --include "*20171220*" &amp; "%USERPROFILE%\Documents\GitHub\mrs-test-scripts\Headless Mode &amp; Sideloading\WalkAndUnGZ.bat" "%USERPROFILE%\AppData\Local\Temp\OnboardLogs"\RTDC4031\2017-12-20 &amp; aws s3 cp s3://rtdc.mdm.uploadarchive.raw/RTDC4031/ "%USERPROFILE%\AppData\Local\Temp\OnboardLogs"\RTDC4031\2017-12-21 --exclude "*" --recursive --include "*20171221*" &amp; "%USERPROFILE%\Documents\GitHub\mrs-test-scripts\Headless Mode &amp; Sideloading\WalkAndUnGZ.bat" "%USERPROFILE%\AppData\Local\Temp\OnboardLogs"\RTDC4031\2017-12-21</v>
      </c>
      <c r="AF234" s="234" t="str">
        <f t="shared" si="107"/>
        <v>"C:\Program Files (x86)\AstroGrep\AstroGrep.exe" /e /r /s /spath="%USERPROFILE%\AppData\Local\Temp\OnboardLogs" /stypes="app*4031*20171221*" /stext=" 00:.+((SYSTEM_STATE.+slice.+state.+changed )|(ment ac)|(multiple cpu faults)|(system.+state.+changed )|(\[timeout)|(PRM\|1\|D)|(kpr)|(kdp)|(train st.+moving)|(\|gpps)|(penalty))"</v>
      </c>
      <c r="AG234" s="244" t="str">
        <f t="shared" si="108"/>
        <v>Shuttle/Test</v>
      </c>
      <c r="AH234" s="236" t="str">
        <f t="shared" si="117"/>
        <v>"%USERPROFILE%\Documents\GitHub\eaglep3\Utilities\RefineRTDCRunTimes.py" --tripid 58-20 --locoid 4031 --swversion DE.1.0.9.0 --startMP 300:112258 --initTime 2017-12-20T16:32:17 --startdatetime 2017-12-20T16:35:27 --delay 69 --endMP 204:904 --enddatetime 2017-12-20T17:03:50 --enforcementcount 0 &gt;&gt;%USERPROFILE%\Documents\GitHub\eaglep3-reporting\EC\2017-12-20-refined-times.txt</v>
      </c>
      <c r="AI234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0.0904"},{"id":17,"name":"Train ID","value":"58-20"},{"id":16,"name":"Locomotive ID","value":"4031"},{"id":130,"name":"Impact","value":""},{"id":150,"name":"Time of Event (Mountain Time)","value":"17:03:50"},{"id":151,"name":"Denver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23"/>
      <c r="AK234" s="231"/>
      <c r="AL234" s="231"/>
      <c r="AM234" s="240" t="str">
        <f t="shared" si="119"/>
        <v>start /low /b %USERPROFILE%\Documents\GitHub\eaglep3\Utilities\DownloadLogsFromS3.py --loco 4031 --day 2017-12-20</v>
      </c>
      <c r="AN234" s="241" t="str">
        <f t="shared" si="120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00:03:50"},{"id":29,"name":"Sharepoint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0" t="str">
        <f t="shared" si="121"/>
        <v>https://d0f6bd738d7f1b3e5a7ca70fe4ff75f0.us-east-1.aws.found.io/app/kibana#/discover/Steve-Slow-Train-Analysis-(2080s-and-2083s)?_g=(refreshInterval:(display:Off,pause:!f,section:0,value:0),time:(from:'2017-12-20T15:32:17-0700',mode:absolute,to:'2017-12-20T18:03:50-0700'))&amp;_a=(columns:!('Message%20ID',Summary),filters:!(),index:'emp_*',interval:auto,query:(query_string:(analyze_wildcard:!t,query:'%22rtdc.l.rtdc.4031%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229" t="s">
        <v>666</v>
      </c>
      <c r="B235" s="225">
        <v>4032</v>
      </c>
      <c r="C235" s="227" t="s">
        <v>192</v>
      </c>
      <c r="D235" s="227" t="s">
        <v>1024</v>
      </c>
      <c r="E235" s="226">
        <v>43089.572824074072</v>
      </c>
      <c r="F235" s="226">
        <v>43089.577453703707</v>
      </c>
      <c r="G235" s="225">
        <v>55</v>
      </c>
      <c r="H235" s="227" t="s">
        <v>1025</v>
      </c>
      <c r="I235" s="226">
        <v>43089.595439814817</v>
      </c>
      <c r="J235" s="225">
        <v>0</v>
      </c>
      <c r="K235" s="237" t="str">
        <f t="shared" si="97"/>
        <v>4031/4032</v>
      </c>
      <c r="L235" s="245" t="str">
        <f>VLOOKUP(A235,'Trips&amp;Operators'!$C$1:$G$99911,5,FALSE)</f>
        <v>MAGEE KENYA</v>
      </c>
      <c r="M235" s="224">
        <f t="shared" si="98"/>
        <v>1.7986111110076308E-2</v>
      </c>
      <c r="N235" s="225">
        <f t="shared" si="122"/>
        <v>25.899999998509884</v>
      </c>
      <c r="O235" s="225"/>
      <c r="P235" s="225"/>
      <c r="Q235" s="228"/>
      <c r="R235" s="242"/>
      <c r="S235" s="249">
        <f t="shared" si="100"/>
        <v>0</v>
      </c>
      <c r="T235" s="242" t="str">
        <f t="shared" si="101"/>
        <v>NorthBound</v>
      </c>
      <c r="U235" s="246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48" t="str">
        <f t="shared" si="102"/>
        <v>https://d0f6bd738d7f1b3e5a7ca70fe4ff75f0.us-east-1.aws.found.io/app/kibana#/discover/Steve-Slow-Train-Analysis-(2080s-and-2083s)?_g=(refreshInterval:(display:Off,pause:!f,section:0,value:0),time:(from:'2017-12-20T12:44:52-0700',mode:absolute,to:'2017-12-20T15:17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5" s="247" t="str">
        <f>IF(AA235&lt;VLOOKUP(AG235,Variables!$AC$3:$AD$8,2,FALSE),"Y","N")</f>
        <v>Y</v>
      </c>
      <c r="X235" s="247">
        <f t="shared" si="116"/>
        <v>1</v>
      </c>
      <c r="Y235" s="247">
        <f t="shared" si="114"/>
        <v>2.5756999999999999</v>
      </c>
      <c r="Z235" s="247">
        <f t="shared" si="115"/>
        <v>11.2509</v>
      </c>
      <c r="AA235" s="247">
        <f t="shared" si="104"/>
        <v>8.6752000000000002</v>
      </c>
      <c r="AB235" s="233" t="e">
        <f>VLOOKUP(A235,Enforcements!$C$7:$K$9,8,0)</f>
        <v>#N/A</v>
      </c>
      <c r="AC235" s="232" t="e">
        <f>VLOOKUP(A235,Enforcements!$C$7:$E$9,3,0)</f>
        <v>#N/A</v>
      </c>
      <c r="AD235" s="243">
        <f t="shared" si="105"/>
        <v>59</v>
      </c>
      <c r="AE235" s="235" t="str">
        <f t="shared" si="106"/>
        <v>aws s3 cp s3://rtdc.mdm.uploadarchive.raw/RTDC4032/ "%USERPROFILE%\AppData\Local\Temp\OnboardLogs"\RTDC4032\2017-12-20 --exclude "*" --recursive --include "*20171220*" &amp; "%USERPROFILE%\Documents\GitHub\mrs-test-scripts\Headless Mode &amp; Sideloading\WalkAndUnGZ.bat" "%USERPROFILE%\AppData\Local\Temp\OnboardLogs"\RTDC4032\2017-12-20 &amp; aws s3 cp s3://rtdc.mdm.uploadarchive.raw/RTDC4032/ "%USERPROFILE%\AppData\Local\Temp\OnboardLogs"\RTDC4032\2017-12-21 --exclude "*" --recursive --include "*20171221*" &amp; "%USERPROFILE%\Documents\GitHub\mrs-test-scripts\Headless Mode &amp; Sideloading\WalkAndUnGZ.bat" "%USERPROFILE%\AppData\Local\Temp\OnboardLogs"\RTDC4032\2017-12-21</v>
      </c>
      <c r="AF235" s="234" t="str">
        <f t="shared" si="107"/>
        <v>"C:\Program Files (x86)\AstroGrep\AstroGrep.exe" /e /r /s /spath="%USERPROFILE%\AppData\Local\Temp\OnboardLogs" /stypes="app*4032*20171220*" /stext=" 21:.+((SYSTEM_STATE.+slice.+state.+changed )|(ment ac)|(multiple cpu faults)|(system.+state.+changed )|(\[timeout)|(PRM\|1\|D)|(kpr)|(kdp)|(train st.+moving)|(\|gpps)|(penalty))"</v>
      </c>
      <c r="AG235" s="244" t="str">
        <f t="shared" si="108"/>
        <v>Shuttle/Test</v>
      </c>
      <c r="AH235" s="236" t="str">
        <f t="shared" si="117"/>
        <v>"%USERPROFILE%\Documents\GitHub\eaglep3\Utilities\RefineRTDCRunTimes.py" --tripid 59-20 --locoid 4032 --swversion DE.1.0.9.0 --startMP 300:25757 --initTime 2017-12-20T13:44:52 --startdatetime 2017-12-20T13:51:32 --delay 55 --endMP 300:112509 --enddatetime 2017-12-20T14:17:26 --enforcementcount 0 &gt;&gt;%USERPROFILE%\Documents\GitHub\eaglep3-reporting\EC\2017-12-20-refined-times.txt</v>
      </c>
      <c r="AI235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11.2509"},{"id":17,"name":"Train ID","value":"59-20"},{"id":16,"name":"Locomotive ID","value":"4032"},{"id":130,"name":"Impact","value":""},{"id":150,"name":"Time of Event (Mountain Time)","value":"14:17:26"},{"id":151,"name":"Denver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5" s="223"/>
      <c r="AK235" s="231"/>
      <c r="AL235" s="231"/>
      <c r="AM235" s="240" t="str">
        <f t="shared" si="119"/>
        <v>start /low /b %USERPROFILE%\Documents\GitHub\eaglep3\Utilities\DownloadLogsFromS3.py --loco 4032 --day 2017-12-20</v>
      </c>
      <c r="AN235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21:17:26"},{"id":29,"name":"Sharepoint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30" t="str">
        <f t="shared" si="121"/>
        <v>https://d0f6bd738d7f1b3e5a7ca70fe4ff75f0.us-east-1.aws.found.io/app/kibana#/discover/Steve-Slow-Train-Analysis-(2080s-and-2083s)?_g=(refreshInterval:(display:Off,pause:!f,section:0,value:0),time:(from:'2017-12-20T12:44:52-0700',mode:absolute,to:'2017-12-20T15:17:26-0700'))&amp;_a=(columns:!('Message%20ID',Summary),filters:!(),index:'emp_*',interval:auto,query:(query_string:(analyze_wildcard:!t,query:'%22rtdc.l.rtdc.4032%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229" t="s">
        <v>666</v>
      </c>
      <c r="B236" s="225">
        <v>4032</v>
      </c>
      <c r="C236" s="227" t="s">
        <v>192</v>
      </c>
      <c r="D236" s="227" t="s">
        <v>1104</v>
      </c>
      <c r="E236" s="226">
        <v>43089.620381944442</v>
      </c>
      <c r="F236" s="226">
        <v>43089.622384259259</v>
      </c>
      <c r="G236" s="225">
        <v>80</v>
      </c>
      <c r="H236" s="227" t="s">
        <v>1036</v>
      </c>
      <c r="I236" s="226">
        <v>43089.640972222223</v>
      </c>
      <c r="J236" s="225">
        <v>0</v>
      </c>
      <c r="K236" s="237" t="str">
        <f t="shared" si="97"/>
        <v>4031/4032</v>
      </c>
      <c r="L236" s="245" t="str">
        <f>VLOOKUP(A236,'Trips&amp;Operators'!$C$1:$G$99911,5,FALSE)</f>
        <v>MAGEE KENYA</v>
      </c>
      <c r="M236" s="224">
        <f t="shared" si="98"/>
        <v>1.8587962964375038E-2</v>
      </c>
      <c r="N236" s="225">
        <f t="shared" si="122"/>
        <v>26.766666668700054</v>
      </c>
      <c r="O236" s="225"/>
      <c r="P236" s="225"/>
      <c r="Q236" s="228"/>
      <c r="R236" s="242"/>
      <c r="S236" s="249">
        <f t="shared" si="100"/>
        <v>1</v>
      </c>
      <c r="T236" s="242" t="str">
        <f t="shared" si="101"/>
        <v>NorthBound</v>
      </c>
      <c r="U236" s="246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48" t="str">
        <f t="shared" si="102"/>
        <v>https://d0f6bd738d7f1b3e5a7ca70fe4ff75f0.us-east-1.aws.found.io/app/kibana#/discover/Steve-Slow-Train-Analysis-(2080s-and-2083s)?_g=(refreshInterval:(display:Off,pause:!f,section:0,value:0),time:(from:'2017-12-20T13:53:21-0700',mode:absolute,to:'2017-12-20T16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6" s="247" t="str">
        <f>IF(AA236&lt;VLOOKUP(AG236,Variables!$AC$3:$AD$8,2,FALSE),"Y","N")</f>
        <v>Y</v>
      </c>
      <c r="X236" s="247">
        <f t="shared" si="116"/>
        <v>0</v>
      </c>
      <c r="Y236" s="247">
        <f t="shared" si="114"/>
        <v>0.1197</v>
      </c>
      <c r="Z236" s="247">
        <f t="shared" si="115"/>
        <v>11.2506</v>
      </c>
      <c r="AA236" s="247">
        <f t="shared" si="104"/>
        <v>11.1309</v>
      </c>
      <c r="AB236" s="233" t="e">
        <f>VLOOKUP(A236,Enforcements!$C$7:$K$9,8,0)</f>
        <v>#N/A</v>
      </c>
      <c r="AC236" s="232" t="e">
        <f>VLOOKUP(A236,Enforcements!$C$7:$E$9,3,0)</f>
        <v>#N/A</v>
      </c>
      <c r="AD236" s="243">
        <f t="shared" si="105"/>
        <v>59</v>
      </c>
      <c r="AE236" s="235" t="str">
        <f t="shared" si="106"/>
        <v>aws s3 cp s3://rtdc.mdm.uploadarchive.raw/RTDC4032/ "%USERPROFILE%\AppData\Local\Temp\OnboardLogs"\RTDC4032\2017-12-20 --exclude "*" --recursive --include "*20171220*" &amp; "%USERPROFILE%\Documents\GitHub\mrs-test-scripts\Headless Mode &amp; Sideloading\WalkAndUnGZ.bat" "%USERPROFILE%\AppData\Local\Temp\OnboardLogs"\RTDC4032\2017-12-20 &amp; aws s3 cp s3://rtdc.mdm.uploadarchive.raw/RTDC4032/ "%USERPROFILE%\AppData\Local\Temp\OnboardLogs"\RTDC4032\2017-12-21 --exclude "*" --recursive --include "*20171221*" &amp; "%USERPROFILE%\Documents\GitHub\mrs-test-scripts\Headless Mode &amp; Sideloading\WalkAndUnGZ.bat" "%USERPROFILE%\AppData\Local\Temp\OnboardLogs"\RTDC4032\2017-12-21</v>
      </c>
      <c r="AF236" s="234" t="str">
        <f t="shared" si="107"/>
        <v>"C:\Program Files (x86)\AstroGrep\AstroGrep.exe" /e /r /s /spath="%USERPROFILE%\AppData\Local\Temp\OnboardLogs" /stypes="app*4032*20171220*" /stext=" 22:.+((SYSTEM_STATE.+slice.+state.+changed )|(ment ac)|(multiple cpu faults)|(system.+state.+changed )|(\[timeout)|(PRM\|1\|D)|(kpr)|(kdp)|(train st.+moving)|(\|gpps)|(penalty))"</v>
      </c>
      <c r="AG236" s="244" t="str">
        <f t="shared" si="108"/>
        <v>Shuttle/Test</v>
      </c>
      <c r="AH236" s="236" t="str">
        <f t="shared" si="117"/>
        <v>"%USERPROFILE%\Documents\GitHub\eaglep3\Utilities\RefineRTDCRunTimes.py" --tripid 59-20 --locoid 4032 --swversion DE.1.0.9.0 --startMP 204:1197 --initTime 2017-12-20T14:53:21 --startdatetime 2017-12-20T14:56:14 --delay 80 --endMP 300:112506 --enddatetime 2017-12-20T15:23:00 --enforcementcount 0 &gt;&gt;%USERPROFILE%\Documents\GitHub\eaglep3-reporting\EC\2017-12-20-refined-times.txt</v>
      </c>
      <c r="AI236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11.2506"},{"id":17,"name":"Train ID","value":"59-20"},{"id":16,"name":"Locomotive ID","value":"4032"},{"id":130,"name":"Impact","value":""},{"id":150,"name":"Time of Event (Mountain Time)","value":"15:23:00"},{"id":151,"name":"Denver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6" s="223"/>
      <c r="AK236" s="231"/>
      <c r="AL236" s="231"/>
      <c r="AM236" s="240" t="str">
        <f t="shared" si="119"/>
        <v>start /low /b %USERPROFILE%\Documents\GitHub\eaglep3\Utilities\DownloadLogsFromS3.py --loco 4032 --day 2017-12-20</v>
      </c>
      <c r="AN236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22:23:00"},{"id":29,"name":"Sharepoint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30" t="str">
        <f t="shared" si="121"/>
        <v>https://d0f6bd738d7f1b3e5a7ca70fe4ff75f0.us-east-1.aws.found.io/app/kibana#/discover/Steve-Slow-Train-Analysis-(2080s-and-2083s)?_g=(refreshInterval:(display:Off,pause:!f,section:0,value:0),time:(from:'2017-12-20T13:53:21-0700',mode:absolute,to:'2017-12-20T16:23:00-0700'))&amp;_a=(columns:!('Message%20ID',Summary),filters:!(),index:'emp_*',interval:auto,query:(query_string:(analyze_wildcard:!t,query:'%22rtdc.l.rtdc.4032%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229" t="s">
        <v>666</v>
      </c>
      <c r="B237" s="225">
        <v>4032</v>
      </c>
      <c r="C237" s="227" t="s">
        <v>192</v>
      </c>
      <c r="D237" s="227" t="s">
        <v>1026</v>
      </c>
      <c r="E237" s="226">
        <v>43089.66673611111</v>
      </c>
      <c r="F237" s="226">
        <v>43089.668969907405</v>
      </c>
      <c r="G237" s="225">
        <v>74</v>
      </c>
      <c r="H237" s="227" t="s">
        <v>1027</v>
      </c>
      <c r="I237" s="226">
        <v>43089.687997685185</v>
      </c>
      <c r="J237" s="225">
        <v>0</v>
      </c>
      <c r="K237" s="237" t="str">
        <f t="shared" si="97"/>
        <v>4031/4032</v>
      </c>
      <c r="L237" s="245" t="str">
        <f>VLOOKUP(A237,'Trips&amp;Operators'!$C$1:$G$99911,5,FALSE)</f>
        <v>MAGEE KENYA</v>
      </c>
      <c r="M237" s="224">
        <f t="shared" si="98"/>
        <v>1.9027777780138422E-2</v>
      </c>
      <c r="N237" s="225">
        <f t="shared" si="122"/>
        <v>27.400000003399327</v>
      </c>
      <c r="O237" s="225"/>
      <c r="P237" s="225"/>
      <c r="Q237" s="228"/>
      <c r="R237" s="242"/>
      <c r="S237" s="249">
        <f t="shared" ref="S237:S256" si="123">1/IF(AG237="EC",12,1)*SUM(U237:U237)</f>
        <v>1</v>
      </c>
      <c r="T237" s="242" t="str">
        <f t="shared" si="101"/>
        <v>NorthBound</v>
      </c>
      <c r="U237" s="246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48" t="str">
        <f t="shared" si="102"/>
        <v>https://d0f6bd738d7f1b3e5a7ca70fe4ff75f0.us-east-1.aws.found.io/app/kibana#/discover/Steve-Slow-Train-Analysis-(2080s-and-2083s)?_g=(refreshInterval:(display:Off,pause:!f,section:0,value:0),time:(from:'2017-12-20T15:00:06-0700',mode:absolute,to:'2017-12-20T17:30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7" s="247" t="str">
        <f>IF(AA237&lt;VLOOKUP(AG237,Variables!$AC$3:$AD$8,2,FALSE),"Y","N")</f>
        <v>Y</v>
      </c>
      <c r="X237" s="247">
        <f t="shared" si="116"/>
        <v>0</v>
      </c>
      <c r="Y237" s="247">
        <f t="shared" si="114"/>
        <v>0.12139999999999999</v>
      </c>
      <c r="Z237" s="247">
        <f t="shared" si="115"/>
        <v>11.257400000000001</v>
      </c>
      <c r="AA237" s="247">
        <f t="shared" si="104"/>
        <v>11.136000000000001</v>
      </c>
      <c r="AB237" s="233" t="e">
        <f>VLOOKUP(A237,Enforcements!$C$7:$K$9,8,0)</f>
        <v>#N/A</v>
      </c>
      <c r="AC237" s="232" t="e">
        <f>VLOOKUP(A237,Enforcements!$C$7:$E$9,3,0)</f>
        <v>#N/A</v>
      </c>
      <c r="AD237" s="243">
        <f t="shared" si="105"/>
        <v>59</v>
      </c>
      <c r="AE237" s="235" t="str">
        <f t="shared" si="106"/>
        <v>aws s3 cp s3://rtdc.mdm.uploadarchive.raw/RTDC4032/ "%USERPROFILE%\AppData\Local\Temp\OnboardLogs"\RTDC4032\2017-12-20 --exclude "*" --recursive --include "*20171220*" &amp; "%USERPROFILE%\Documents\GitHub\mrs-test-scripts\Headless Mode &amp; Sideloading\WalkAndUnGZ.bat" "%USERPROFILE%\AppData\Local\Temp\OnboardLogs"\RTDC4032\2017-12-20 &amp; aws s3 cp s3://rtdc.mdm.uploadarchive.raw/RTDC4032/ "%USERPROFILE%\AppData\Local\Temp\OnboardLogs"\RTDC4032\2017-12-21 --exclude "*" --recursive --include "*20171221*" &amp; "%USERPROFILE%\Documents\GitHub\mrs-test-scripts\Headless Mode &amp; Sideloading\WalkAndUnGZ.bat" "%USERPROFILE%\AppData\Local\Temp\OnboardLogs"\RTDC4032\2017-12-21</v>
      </c>
      <c r="AF237" s="234" t="str">
        <f t="shared" si="107"/>
        <v>"C:\Program Files (x86)\AstroGrep\AstroGrep.exe" /e /r /s /spath="%USERPROFILE%\AppData\Local\Temp\OnboardLogs" /stypes="app*4032*20171220*" /stext=" 23:.+((SYSTEM_STATE.+slice.+state.+changed )|(ment ac)|(multiple cpu faults)|(system.+state.+changed )|(\[timeout)|(PRM\|1\|D)|(kpr)|(kdp)|(train st.+moving)|(\|gpps)|(penalty))"</v>
      </c>
      <c r="AG237" s="244" t="str">
        <f t="shared" si="108"/>
        <v>Shuttle/Test</v>
      </c>
      <c r="AH237" s="236" t="str">
        <f t="shared" si="117"/>
        <v>"%USERPROFILE%\Documents\GitHub\eaglep3\Utilities\RefineRTDCRunTimes.py" --tripid 59-20 --locoid 4032 --swversion DE.1.0.9.0 --startMP 204:1214 --initTime 2017-12-20T16:00:06 --startdatetime 2017-12-20T16:03:19 --delay 74 --endMP 300:112574 --enddatetime 2017-12-20T16:30:43 --enforcementcount 0 &gt;&gt;%USERPROFILE%\Documents\GitHub\eaglep3-reporting\EC\2017-12-20-refined-times.txt</v>
      </c>
      <c r="AI237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11.2574"},{"id":17,"name":"Train ID","value":"59-20"},{"id":16,"name":"Locomotive ID","value":"4032"},{"id":130,"name":"Impact","value":""},{"id":150,"name":"Time of Event (Mountain Time)","value":"16:30:43"},{"id":151,"name":"Denver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7" s="223"/>
      <c r="AK237" s="231"/>
      <c r="AL237" s="231"/>
      <c r="AM237" s="240" t="str">
        <f t="shared" si="119"/>
        <v>start /low /b %USERPROFILE%\Documents\GitHub\eaglep3\Utilities\DownloadLogsFromS3.py --loco 4032 --day 2017-12-20</v>
      </c>
      <c r="AN237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23:30:43"},{"id":29,"name":"Sharepoint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30" t="str">
        <f t="shared" si="121"/>
        <v>https://d0f6bd738d7f1b3e5a7ca70fe4ff75f0.us-east-1.aws.found.io/app/kibana#/discover/Steve-Slow-Train-Analysis-(2080s-and-2083s)?_g=(refreshInterval:(display:Off,pause:!f,section:0,value:0),time:(from:'2017-12-20T15:00:06-0700',mode:absolute,to:'2017-12-20T17:30:43-0700'))&amp;_a=(columns:!('Message%20ID',Summary),filters:!(),index:'emp_*',interval:auto,query:(query_string:(analyze_wildcard:!t,query:'%22rtdc.l.rtdc.4032%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 s="229" t="s">
        <v>666</v>
      </c>
      <c r="B238" s="225">
        <v>4032</v>
      </c>
      <c r="C238" s="227" t="s">
        <v>192</v>
      </c>
      <c r="D238" s="227" t="s">
        <v>1026</v>
      </c>
      <c r="E238" s="226">
        <v>43089.71292824074</v>
      </c>
      <c r="F238" s="226">
        <v>43089.718182870369</v>
      </c>
      <c r="G238" s="225">
        <v>71</v>
      </c>
      <c r="H238" s="227" t="s">
        <v>560</v>
      </c>
      <c r="I238" s="226">
        <v>43089.727870370371</v>
      </c>
      <c r="J238" s="225">
        <v>0</v>
      </c>
      <c r="K238" s="237" t="str">
        <f t="shared" si="97"/>
        <v>4031/4032</v>
      </c>
      <c r="L238" s="245" t="str">
        <f>VLOOKUP(A238,'Trips&amp;Operators'!$C$1:$G$99911,5,FALSE)</f>
        <v>MAGEE KENYA</v>
      </c>
      <c r="M238" s="224">
        <f t="shared" si="98"/>
        <v>9.6875000017462298E-3</v>
      </c>
      <c r="N238" s="225">
        <f t="shared" si="122"/>
        <v>13.950000002514571</v>
      </c>
      <c r="O238" s="225"/>
      <c r="P238" s="225"/>
      <c r="Q238" s="228"/>
      <c r="R238" s="242"/>
      <c r="S238" s="249">
        <f t="shared" si="123"/>
        <v>1</v>
      </c>
      <c r="T238" s="242" t="str">
        <f t="shared" si="101"/>
        <v>NorthBound</v>
      </c>
      <c r="U238" s="246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48" t="str">
        <f t="shared" si="102"/>
        <v>https://d0f6bd738d7f1b3e5a7ca70fe4ff75f0.us-east-1.aws.found.io/app/kibana#/discover/Steve-Slow-Train-Analysis-(2080s-and-2083s)?_g=(refreshInterval:(display:Off,pause:!f,section:0,value:0),time:(from:'2017-12-20T16:06:37-0700',mode:absolute,to:'2017-12-20T18:28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8" s="247" t="str">
        <f>IF(AA238&lt;VLOOKUP(AG238,Variables!$AC$3:$AD$8,2,FALSE),"Y","N")</f>
        <v>Y</v>
      </c>
      <c r="X238" s="247">
        <f t="shared" si="116"/>
        <v>0</v>
      </c>
      <c r="Y238" s="247">
        <f t="shared" ref="Y238:Y256" si="124">RIGHT(D238,LEN(D238)-4)/10000</f>
        <v>0.12139999999999999</v>
      </c>
      <c r="Z238" s="247">
        <f t="shared" ref="Z238:Z256" si="125">RIGHT(H238,LEN(H238)-4)/10000</f>
        <v>2.3308</v>
      </c>
      <c r="AA238" s="247">
        <f t="shared" si="104"/>
        <v>2.2094</v>
      </c>
      <c r="AB238" s="233" t="e">
        <f>VLOOKUP(A238,Enforcements!$C$7:$K$9,8,0)</f>
        <v>#N/A</v>
      </c>
      <c r="AC238" s="232" t="e">
        <f>VLOOKUP(A238,Enforcements!$C$7:$E$9,3,0)</f>
        <v>#N/A</v>
      </c>
      <c r="AD238" s="243">
        <f t="shared" si="105"/>
        <v>59</v>
      </c>
      <c r="AE238" s="235" t="str">
        <f t="shared" si="106"/>
        <v>aws s3 cp s3://rtdc.mdm.uploadarchive.raw/RTDC4032/ "%USERPROFILE%\AppData\Local\Temp\OnboardLogs"\RTDC4032\2017-12-20 --exclude "*" --recursive --include "*20171220*" &amp; "%USERPROFILE%\Documents\GitHub\mrs-test-scripts\Headless Mode &amp; Sideloading\WalkAndUnGZ.bat" "%USERPROFILE%\AppData\Local\Temp\OnboardLogs"\RTDC4032\2017-12-20 &amp; aws s3 cp s3://rtdc.mdm.uploadarchive.raw/RTDC4032/ "%USERPROFILE%\AppData\Local\Temp\OnboardLogs"\RTDC4032\2017-12-21 --exclude "*" --recursive --include "*20171221*" &amp; "%USERPROFILE%\Documents\GitHub\mrs-test-scripts\Headless Mode &amp; Sideloading\WalkAndUnGZ.bat" "%USERPROFILE%\AppData\Local\Temp\OnboardLogs"\RTDC4032\2017-12-21</v>
      </c>
      <c r="AF238" s="234" t="str">
        <f t="shared" si="107"/>
        <v>"C:\Program Files (x86)\AstroGrep\AstroGrep.exe" /e /r /s /spath="%USERPROFILE%\AppData\Local\Temp\OnboardLogs" /stypes="app*4032*20171221*" /stext=" 00:.+((SYSTEM_STATE.+slice.+state.+changed )|(ment ac)|(multiple cpu faults)|(system.+state.+changed )|(\[timeout)|(PRM\|1\|D)|(kpr)|(kdp)|(train st.+moving)|(\|gpps)|(penalty))"</v>
      </c>
      <c r="AG238" s="244" t="str">
        <f t="shared" si="108"/>
        <v>Shuttle/Test</v>
      </c>
      <c r="AH238" s="236" t="str">
        <f t="shared" si="117"/>
        <v>"%USERPROFILE%\Documents\GitHub\eaglep3\Utilities\RefineRTDCRunTimes.py" --tripid 59-20 --locoid 4032 --swversion DE.1.0.9.0 --startMP 204:1214 --initTime 2017-12-20T17:06:37 --startdatetime 2017-12-20T17:14:11 --delay 71 --endMP 300:23308 --enddatetime 2017-12-20T17:28:08 --enforcementcount 0 &gt;&gt;%USERPROFILE%\Documents\GitHub\eaglep3-reporting\EC\2017-12-20-refined-times.txt</v>
      </c>
      <c r="AI238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2.3308"},{"id":17,"name":"Train ID","value":"59-20"},{"id":16,"name":"Locomotive ID","value":"4032"},{"id":130,"name":"Impact","value":""},{"id":150,"name":"Time of Event (Mountain Time)","value":"17:28:08"},{"id":151,"name":"Denver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8" s="223"/>
      <c r="AK238" s="231"/>
      <c r="AL238" s="231"/>
      <c r="AM238" s="240" t="str">
        <f t="shared" si="119"/>
        <v>start /low /b %USERPROFILE%\Documents\GitHub\eaglep3\Utilities\DownloadLogsFromS3.py --loco 4032 --day 2017-12-20</v>
      </c>
      <c r="AN238" s="241" t="str">
        <f t="shared" si="120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00:28:08"},{"id":29,"name":"Sharepoint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30" t="str">
        <f t="shared" si="121"/>
        <v>https://d0f6bd738d7f1b3e5a7ca70fe4ff75f0.us-east-1.aws.found.io/app/kibana#/discover/Steve-Slow-Train-Analysis-(2080s-and-2083s)?_g=(refreshInterval:(display:Off,pause:!f,section:0,value:0),time:(from:'2017-12-20T16:06:37-0700',mode:absolute,to:'2017-12-20T18:28:08-0700'))&amp;_a=(columns:!('Message%20ID',Summary),filters:!(),index:'emp_*',interval:auto,query:(query_string:(analyze_wildcard:!t,query:'%22rtdc.l.rtdc.4032%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 s="229" t="s">
        <v>741</v>
      </c>
      <c r="B239" s="225">
        <v>4044</v>
      </c>
      <c r="C239" s="227" t="s">
        <v>192</v>
      </c>
      <c r="D239" s="227" t="s">
        <v>1028</v>
      </c>
      <c r="E239" s="226">
        <v>43089.378275462965</v>
      </c>
      <c r="F239" s="226">
        <v>43089.383726851855</v>
      </c>
      <c r="G239" s="225">
        <v>74</v>
      </c>
      <c r="H239" s="227" t="s">
        <v>1029</v>
      </c>
      <c r="I239" s="226">
        <v>43089.38517361111</v>
      </c>
      <c r="J239" s="225">
        <v>0</v>
      </c>
      <c r="K239" s="237" t="str">
        <f t="shared" si="97"/>
        <v>4043/4044</v>
      </c>
      <c r="L239" s="245" t="str">
        <f>VLOOKUP(A239,'Trips&amp;Operators'!$C$1:$G$99911,5,FALSE)</f>
        <v>SPECTOR MICHAEL</v>
      </c>
      <c r="M239" s="224">
        <f t="shared" si="98"/>
        <v>1.4467592554865405E-3</v>
      </c>
      <c r="N239" s="225">
        <f t="shared" si="122"/>
        <v>2.0833333279006183</v>
      </c>
      <c r="O239" s="225"/>
      <c r="P239" s="225"/>
      <c r="Q239" s="228"/>
      <c r="R239" s="242"/>
      <c r="S239" s="249">
        <f t="shared" si="123"/>
        <v>0</v>
      </c>
      <c r="T239" s="242" t="str">
        <f t="shared" si="101"/>
        <v>Southbound</v>
      </c>
      <c r="U239" s="246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48" t="str">
        <f t="shared" si="102"/>
        <v>https://d0f6bd738d7f1b3e5a7ca70fe4ff75f0.us-east-1.aws.found.io/app/kibana#/discover/Steve-Slow-Train-Analysis-(2080s-and-2083s)?_g=(refreshInterval:(display:Off,pause:!f,section:0,value:0),time:(from:'2017-12-20T08:04:43-0700',mode:absolute,to:'2017-12-20T10:14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9" s="247" t="str">
        <f>IF(AA239&lt;VLOOKUP(AG239,Variables!$AC$3:$AD$8,2,FALSE),"Y","N")</f>
        <v>Y</v>
      </c>
      <c r="X239" s="247">
        <f t="shared" si="116"/>
        <v>1</v>
      </c>
      <c r="Y239" s="247">
        <f t="shared" si="124"/>
        <v>0.14979999999999999</v>
      </c>
      <c r="Z239" s="247">
        <f t="shared" si="125"/>
        <v>0.35360000000000003</v>
      </c>
      <c r="AA239" s="247">
        <f t="shared" si="104"/>
        <v>0.20380000000000004</v>
      </c>
      <c r="AB239" s="233" t="e">
        <f>VLOOKUP(A239,Enforcements!$C$7:$K$9,8,0)</f>
        <v>#N/A</v>
      </c>
      <c r="AC239" s="232" t="e">
        <f>VLOOKUP(A239,Enforcements!$C$7:$E$9,3,0)</f>
        <v>#N/A</v>
      </c>
      <c r="AD239" s="243">
        <f t="shared" si="105"/>
        <v>60</v>
      </c>
      <c r="AE239" s="235" t="str">
        <f t="shared" si="106"/>
        <v>aws s3 cp s3://rtdc.mdm.uploadarchive.raw/RTDC4044/ "%USERPROFILE%\AppData\Local\Temp\OnboardLogs"\RTDC4044\2017-12-20 --exclude "*" --recursive --include "*20171220*" &amp; "%USERPROFILE%\Documents\GitHub\mrs-test-scripts\Headless Mode &amp; Sideloading\WalkAndUnGZ.bat" "%USERPROFILE%\AppData\Local\Temp\OnboardLogs"\RTDC4044\2017-12-20 &amp; aws s3 cp s3://rtdc.mdm.uploadarchive.raw/RTDC4044/ "%USERPROFILE%\AppData\Local\Temp\OnboardLogs"\RTDC4044\2017-12-21 --exclude "*" --recursive --include "*20171221*" &amp; "%USERPROFILE%\Documents\GitHub\mrs-test-scripts\Headless Mode &amp; Sideloading\WalkAndUnGZ.bat" "%USERPROFILE%\AppData\Local\Temp\OnboardLogs"\RTDC4044\2017-12-21</v>
      </c>
      <c r="AF239" s="234" t="str">
        <f t="shared" si="107"/>
        <v>"C:\Program Files (x86)\AstroGrep\AstroGrep.exe" /e /r /s /spath="%USERPROFILE%\AppData\Local\Temp\OnboardLogs" /stypes="app*4044*20171220*" /stext=" 16:.+((SYSTEM_STATE.+slice.+state.+changed )|(ment ac)|(multiple cpu faults)|(system.+state.+changed )|(\[timeout)|(PRM\|1\|D)|(kpr)|(kdp)|(train st.+moving)|(\|gpps)|(penalty))"</v>
      </c>
      <c r="AG239" s="244" t="str">
        <f t="shared" si="108"/>
        <v>Shuttle/Test</v>
      </c>
      <c r="AH239" s="236" t="str">
        <f t="shared" si="117"/>
        <v>"%USERPROFILE%\Documents\GitHub\eaglep3\Utilities\RefineRTDCRunTimes.py" --tripid 60-20 --locoid 4044 --swversion DE.1.0.9.0 --startMP 204:1498 --initTime 2017-12-20T09:04:43 --startdatetime 2017-12-20T09:12:34 --delay 74 --endMP 204:3536 --enddatetime 2017-12-20T09:14:39 --enforcementcount 0 &gt;&gt;%USERPROFILE%\Documents\GitHub\eaglep3-reporting\EC\2017-12-20-refined-times.txt</v>
      </c>
      <c r="AI239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0.3536"},{"id":17,"name":"Train ID","value":"60-20"},{"id":16,"name":"Locomotive ID","value":"4044"},{"id":130,"name":"Impact","value":""},{"id":150,"name":"Time of Event (Mountain Time)","value":"09:14:39"},{"id":151,"name":"Denver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9" s="223"/>
      <c r="AK239" s="231"/>
      <c r="AL239" s="231"/>
      <c r="AM239" s="240" t="str">
        <f t="shared" si="119"/>
        <v>start /low /b %USERPROFILE%\Documents\GitHub\eaglep3\Utilities\DownloadLogsFromS3.py --loco 4044 --day 2017-12-20</v>
      </c>
      <c r="AN239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16:14:39"},{"id":29,"name":"Sharepoint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30" t="str">
        <f t="shared" si="121"/>
        <v>https://d0f6bd738d7f1b3e5a7ca70fe4ff75f0.us-east-1.aws.found.io/app/kibana#/discover/Steve-Slow-Train-Analysis-(2080s-and-2083s)?_g=(refreshInterval:(display:Off,pause:!f,section:0,value:0),time:(from:'2017-12-20T08:04:43-0700',mode:absolute,to:'2017-12-20T10:14:39-0700'))&amp;_a=(columns:!('Message%20ID',Summary),filters:!(),index:'emp_*',interval:auto,query:(query_string:(analyze_wildcard:!t,query:'%22rtdc.l.rtdc.4044%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 s="229" t="s">
        <v>741</v>
      </c>
      <c r="B240" s="225">
        <v>4043</v>
      </c>
      <c r="C240" s="227" t="s">
        <v>192</v>
      </c>
      <c r="D240" s="227" t="s">
        <v>1030</v>
      </c>
      <c r="E240" s="226">
        <v>43089.382488425923</v>
      </c>
      <c r="F240" s="226">
        <v>43089.383726851855</v>
      </c>
      <c r="G240" s="225">
        <v>56</v>
      </c>
      <c r="H240" s="227" t="s">
        <v>597</v>
      </c>
      <c r="I240" s="226">
        <v>43089.38517361111</v>
      </c>
      <c r="J240" s="225">
        <v>0</v>
      </c>
      <c r="K240" s="237" t="str">
        <f t="shared" si="97"/>
        <v>4043/4044</v>
      </c>
      <c r="L240" s="245" t="str">
        <f>VLOOKUP(A240,'Trips&amp;Operators'!$C$1:$G$99911,5,FALSE)</f>
        <v>SPECTOR MICHAEL</v>
      </c>
      <c r="M240" s="224">
        <f t="shared" si="98"/>
        <v>1.4467592554865405E-3</v>
      </c>
      <c r="N240" s="225">
        <f t="shared" si="122"/>
        <v>2.0833333279006183</v>
      </c>
      <c r="O240" s="225"/>
      <c r="P240" s="225"/>
      <c r="Q240" s="228"/>
      <c r="R240" s="242"/>
      <c r="S240" s="249">
        <f t="shared" si="123"/>
        <v>0</v>
      </c>
      <c r="T240" s="242" t="str">
        <f t="shared" si="101"/>
        <v>Southbound</v>
      </c>
      <c r="U240" s="246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48" t="str">
        <f t="shared" si="102"/>
        <v>https://d0f6bd738d7f1b3e5a7ca70fe4ff75f0.us-east-1.aws.found.io/app/kibana#/discover/Steve-Slow-Train-Analysis-(2080s-and-2083s)?_g=(refreshInterval:(display:Off,pause:!f,section:0,value:0),time:(from:'2017-12-20T08:10:47-0700',mode:absolute,to:'2017-12-20T10:14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0" s="247" t="str">
        <f>IF(AA240&lt;VLOOKUP(AG240,Variables!$AC$3:$AD$8,2,FALSE),"Y","N")</f>
        <v>Y</v>
      </c>
      <c r="X240" s="247">
        <f t="shared" si="116"/>
        <v>0</v>
      </c>
      <c r="Y240" s="247">
        <f t="shared" si="124"/>
        <v>0.32229999999999998</v>
      </c>
      <c r="Z240" s="247">
        <f t="shared" si="125"/>
        <v>1.49E-2</v>
      </c>
      <c r="AA240" s="247">
        <f t="shared" si="104"/>
        <v>0.30739999999999995</v>
      </c>
      <c r="AB240" s="233" t="e">
        <f>VLOOKUP(A240,Enforcements!$C$7:$K$9,8,0)</f>
        <v>#N/A</v>
      </c>
      <c r="AC240" s="232" t="e">
        <f>VLOOKUP(A240,Enforcements!$C$7:$E$9,3,0)</f>
        <v>#N/A</v>
      </c>
      <c r="AD240" s="243">
        <f t="shared" si="105"/>
        <v>60</v>
      </c>
      <c r="AE240" s="235" t="str">
        <f t="shared" si="106"/>
        <v>aws s3 cp s3://rtdc.mdm.uploadarchive.raw/RTDC4043/ "%USERPROFILE%\AppData\Local\Temp\OnboardLogs"\RTDC4043\2017-12-20 --exclude "*" --recursive --include "*20171220*" &amp; "%USERPROFILE%\Documents\GitHub\mrs-test-scripts\Headless Mode &amp; Sideloading\WalkAndUnGZ.bat" "%USERPROFILE%\AppData\Local\Temp\OnboardLogs"\RTDC4043\2017-12-20 &amp; aws s3 cp s3://rtdc.mdm.uploadarchive.raw/RTDC4043/ "%USERPROFILE%\AppData\Local\Temp\OnboardLogs"\RTDC4043\2017-12-21 --exclude "*" --recursive --include "*20171221*" &amp; "%USERPROFILE%\Documents\GitHub\mrs-test-scripts\Headless Mode &amp; Sideloading\WalkAndUnGZ.bat" "%USERPROFILE%\AppData\Local\Temp\OnboardLogs"\RTDC4043\2017-12-21</v>
      </c>
      <c r="AF240" s="234" t="str">
        <f t="shared" si="107"/>
        <v>"C:\Program Files (x86)\AstroGrep\AstroGrep.exe" /e /r /s /spath="%USERPROFILE%\AppData\Local\Temp\OnboardLogs" /stypes="app*4043*20171220*" /stext=" 16:.+((SYSTEM_STATE.+slice.+state.+changed )|(ment ac)|(multiple cpu faults)|(system.+state.+changed )|(\[timeout)|(PRM\|1\|D)|(kpr)|(kdp)|(train st.+moving)|(\|gpps)|(penalty))"</v>
      </c>
      <c r="AG240" s="244" t="str">
        <f t="shared" si="108"/>
        <v>Shuttle/Test</v>
      </c>
      <c r="AH240" s="236" t="str">
        <f t="shared" si="117"/>
        <v>"%USERPROFILE%\Documents\GitHub\eaglep3\Utilities\RefineRTDCRunTimes.py" --tripid 60-20 --locoid 4043 --swversion DE.1.0.9.0 --startMP 204:3223 --initTime 2017-12-20T09:10:47 --startdatetime 2017-12-20T09:12:34 --delay 56 --endMP 204:149 --enddatetime 2017-12-20T09:14:39 --enforcementcount 0 &gt;&gt;%USERPROFILE%\Documents\GitHub\eaglep3-reporting\EC\2017-12-20-refined-times.txt</v>
      </c>
      <c r="AI240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0.0149"},{"id":17,"name":"Train ID","value":"60-20"},{"id":16,"name":"Locomotive ID","value":"4043"},{"id":130,"name":"Impact","value":""},{"id":150,"name":"Time of Event (Mountain Time)","value":"09:14:39"},{"id":151,"name":"Denver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0" s="223"/>
      <c r="AK240" s="231"/>
      <c r="AL240" s="231"/>
      <c r="AM240" s="240" t="str">
        <f t="shared" si="119"/>
        <v>start /low /b %USERPROFILE%\Documents\GitHub\eaglep3\Utilities\DownloadLogsFromS3.py --loco 4043 --day 2017-12-20</v>
      </c>
      <c r="AN240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16:14:39"},{"id":29,"name":"Sharepoint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230" t="str">
        <f t="shared" si="121"/>
        <v>https://d0f6bd738d7f1b3e5a7ca70fe4ff75f0.us-east-1.aws.found.io/app/kibana#/discover/Steve-Slow-Train-Analysis-(2080s-and-2083s)?_g=(refreshInterval:(display:Off,pause:!f,section:0,value:0),time:(from:'2017-12-20T08:10:47-0700',mode:absolute,to:'2017-12-20T10:14:39-0700'))&amp;_a=(columns:!('Message%20ID',Summary),filters:!(),index:'emp_*',interval:auto,query:(query_string:(analyze_wildcard:!t,query:'%22rtdc.l.rtdc.4043%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 s="229" t="s">
        <v>662</v>
      </c>
      <c r="B241" s="225">
        <v>4022</v>
      </c>
      <c r="C241" s="227" t="s">
        <v>192</v>
      </c>
      <c r="D241" s="227" t="s">
        <v>1033</v>
      </c>
      <c r="E241" s="226">
        <v>43089.577905092592</v>
      </c>
      <c r="F241" s="226">
        <v>43089.583194444444</v>
      </c>
      <c r="G241" s="225">
        <v>90</v>
      </c>
      <c r="H241" s="227" t="s">
        <v>1034</v>
      </c>
      <c r="I241" s="226">
        <v>43089.597037037034</v>
      </c>
      <c r="J241" s="225">
        <v>0</v>
      </c>
      <c r="K241" s="237" t="str">
        <f t="shared" si="97"/>
        <v>4021/4022</v>
      </c>
      <c r="L241" s="245" t="str">
        <f>VLOOKUP(A241,'Trips&amp;Operators'!$C$1:$G$99911,5,FALSE)</f>
        <v>SANTIZO D. EDY</v>
      </c>
      <c r="M241" s="224">
        <f t="shared" si="98"/>
        <v>1.3842592590663116E-2</v>
      </c>
      <c r="N241" s="225">
        <f t="shared" si="122"/>
        <v>19.933333330554888</v>
      </c>
      <c r="O241" s="225"/>
      <c r="P241" s="225"/>
      <c r="Q241" s="228"/>
      <c r="R241" s="242"/>
      <c r="S241" s="249">
        <f t="shared" si="123"/>
        <v>0</v>
      </c>
      <c r="T241" s="242" t="str">
        <f t="shared" si="101"/>
        <v>NorthBound</v>
      </c>
      <c r="U241" s="246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48" t="str">
        <f t="shared" si="102"/>
        <v>https://d0f6bd738d7f1b3e5a7ca70fe4ff75f0.us-east-1.aws.found.io/app/kibana#/discover/Steve-Slow-Train-Analysis-(2080s-and-2083s)?_g=(refreshInterval:(display:Off,pause:!f,section:0,value:0),time:(from:'2017-12-20T12:52:11-0700',mode:absolute,to:'2017-12-20T15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1" s="247" t="str">
        <f>IF(AA241&lt;VLOOKUP(AG241,Variables!$AC$3:$AD$8,2,FALSE),"Y","N")</f>
        <v>Y</v>
      </c>
      <c r="X241" s="247">
        <f t="shared" si="116"/>
        <v>3</v>
      </c>
      <c r="Y241" s="247">
        <f t="shared" si="124"/>
        <v>3.0362</v>
      </c>
      <c r="Z241" s="247">
        <f t="shared" si="125"/>
        <v>11.2576</v>
      </c>
      <c r="AA241" s="247">
        <f t="shared" si="104"/>
        <v>8.2213999999999992</v>
      </c>
      <c r="AB241" s="233" t="e">
        <f>VLOOKUP(A241,Enforcements!$C$7:$K$9,8,0)</f>
        <v>#N/A</v>
      </c>
      <c r="AC241" s="232" t="e">
        <f>VLOOKUP(A241,Enforcements!$C$7:$E$9,3,0)</f>
        <v>#N/A</v>
      </c>
      <c r="AD241" s="243">
        <f t="shared" si="105"/>
        <v>63</v>
      </c>
      <c r="AE241" s="235" t="str">
        <f t="shared" si="106"/>
        <v>aws s3 cp s3://rtdc.mdm.uploadarchive.raw/RTDC4022/ "%USERPROFILE%\AppData\Local\Temp\OnboardLogs"\RTDC4022\2017-12-20 --exclude "*" --recursive --include "*20171220*" &amp; "%USERPROFILE%\Documents\GitHub\mrs-test-scripts\Headless Mode &amp; Sideloading\WalkAndUnGZ.bat" "%USERPROFILE%\AppData\Local\Temp\OnboardLogs"\RTDC4022\2017-12-20 &amp; aws s3 cp s3://rtdc.mdm.uploadarchive.raw/RTDC4022/ "%USERPROFILE%\AppData\Local\Temp\OnboardLogs"\RTDC4022\2017-12-21 --exclude "*" --recursive --include "*20171221*" &amp; "%USERPROFILE%\Documents\GitHub\mrs-test-scripts\Headless Mode &amp; Sideloading\WalkAndUnGZ.bat" "%USERPROFILE%\AppData\Local\Temp\OnboardLogs"\RTDC4022\2017-12-21</v>
      </c>
      <c r="AF241" s="234" t="str">
        <f t="shared" si="107"/>
        <v>"C:\Program Files (x86)\AstroGrep\AstroGrep.exe" /e /r /s /spath="%USERPROFILE%\AppData\Local\Temp\OnboardLogs" /stypes="app*4022*20171220*" /stext=" 21:.+((SYSTEM_STATE.+slice.+state.+changed )|(ment ac)|(multiple cpu faults)|(system.+state.+changed )|(\[timeout)|(PRM\|1\|D)|(kpr)|(kdp)|(train st.+moving)|(\|gpps)|(penalty))"</v>
      </c>
      <c r="AG241" s="244" t="str">
        <f t="shared" si="108"/>
        <v>Shuttle/Test</v>
      </c>
      <c r="AH241" s="236" t="str">
        <f t="shared" si="117"/>
        <v>"%USERPROFILE%\Documents\GitHub\eaglep3\Utilities\RefineRTDCRunTimes.py" --tripid 63-20 --locoid 4022 --swversion DE.1.0.9.0 --startMP 300:30362 --initTime 2017-12-20T13:52:11 --startdatetime 2017-12-20T13:59:48 --delay 90 --endMP 300:112576 --enddatetime 2017-12-20T14:19:44 --enforcementcount 0 &gt;&gt;%USERPROFILE%\Documents\GitHub\eaglep3-reporting\EC\2017-12-20-refined-times.txt</v>
      </c>
      <c r="AI241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11.2576"},{"id":17,"name":"Train ID","value":"63-20"},{"id":16,"name":"Locomotive ID","value":"4022"},{"id":130,"name":"Impact","value":""},{"id":150,"name":"Time of Event (Mountain Time)","value":"14:19:44"},{"id":151,"name":"Denver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1" s="223"/>
      <c r="AK241" s="231"/>
      <c r="AL241" s="231"/>
      <c r="AM241" s="240" t="str">
        <f t="shared" si="119"/>
        <v>start /low /b %USERPROFILE%\Documents\GitHub\eaglep3\Utilities\DownloadLogsFromS3.py --loco 4022 --day 2017-12-20</v>
      </c>
      <c r="AN241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21:19:44"},{"id":29,"name":"Sharepoint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230" t="str">
        <f t="shared" si="121"/>
        <v>https://d0f6bd738d7f1b3e5a7ca70fe4ff75f0.us-east-1.aws.found.io/app/kibana#/discover/Steve-Slow-Train-Analysis-(2080s-and-2083s)?_g=(refreshInterval:(display:Off,pause:!f,section:0,value:0),time:(from:'2017-12-20T12:52:11-0700',mode:absolute,to:'2017-12-20T15:19:44-0700'))&amp;_a=(columns:!('Message%20ID',Summary),filters:!(),index:'emp_*',interval:auto,query:(query_string:(analyze_wildcard:!t,query:'%22rtdc.l.rtdc.4022%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 s="229" t="s">
        <v>662</v>
      </c>
      <c r="B242" s="225">
        <v>4022</v>
      </c>
      <c r="C242" s="227" t="s">
        <v>192</v>
      </c>
      <c r="D242" s="227" t="s">
        <v>1031</v>
      </c>
      <c r="E242" s="226">
        <v>43089.624432870369</v>
      </c>
      <c r="F242" s="226">
        <v>43089.628946759258</v>
      </c>
      <c r="G242" s="225">
        <v>278</v>
      </c>
      <c r="H242" s="227" t="s">
        <v>1032</v>
      </c>
      <c r="I242" s="226">
        <v>43089.647303240738</v>
      </c>
      <c r="J242" s="225">
        <v>0</v>
      </c>
      <c r="K242" s="237" t="str">
        <f t="shared" si="97"/>
        <v>4021/4022</v>
      </c>
      <c r="L242" s="245" t="str">
        <f>VLOOKUP(A242,'Trips&amp;Operators'!$C$1:$G$99911,5,FALSE)</f>
        <v>SANTIZO D. EDY</v>
      </c>
      <c r="M242" s="224">
        <f t="shared" si="98"/>
        <v>1.8356481479713693E-2</v>
      </c>
      <c r="N242" s="225">
        <f t="shared" si="122"/>
        <v>26.433333330787718</v>
      </c>
      <c r="O242" s="225"/>
      <c r="P242" s="225"/>
      <c r="Q242" s="228"/>
      <c r="R242" s="242"/>
      <c r="S242" s="249">
        <f t="shared" si="123"/>
        <v>1</v>
      </c>
      <c r="T242" s="242" t="str">
        <f t="shared" si="101"/>
        <v>NorthBound</v>
      </c>
      <c r="U242" s="246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48" t="str">
        <f t="shared" si="102"/>
        <v>https://d0f6bd738d7f1b3e5a7ca70fe4ff75f0.us-east-1.aws.found.io/app/kibana#/discover/Steve-Slow-Train-Analysis-(2080s-and-2083s)?_g=(refreshInterval:(display:Off,pause:!f,section:0,value:0),time:(from:'2017-12-20T13:59:11-0700',mode:absolute,to:'2017-12-20T16:32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2" s="247" t="str">
        <f>IF(AA242&lt;VLOOKUP(AG242,Variables!$AC$3:$AD$8,2,FALSE),"Y","N")</f>
        <v>Y</v>
      </c>
      <c r="X242" s="247">
        <f t="shared" si="116"/>
        <v>0</v>
      </c>
      <c r="Y242" s="247">
        <f t="shared" si="124"/>
        <v>0.1081</v>
      </c>
      <c r="Z242" s="247">
        <f t="shared" si="125"/>
        <v>11.257999999999999</v>
      </c>
      <c r="AA242" s="247">
        <f t="shared" si="104"/>
        <v>11.149899999999999</v>
      </c>
      <c r="AB242" s="233" t="e">
        <f>VLOOKUP(A242,Enforcements!$C$7:$K$9,8,0)</f>
        <v>#N/A</v>
      </c>
      <c r="AC242" s="232" t="e">
        <f>VLOOKUP(A242,Enforcements!$C$7:$E$9,3,0)</f>
        <v>#N/A</v>
      </c>
      <c r="AD242" s="243">
        <f t="shared" si="105"/>
        <v>63</v>
      </c>
      <c r="AE242" s="235" t="str">
        <f t="shared" si="106"/>
        <v>aws s3 cp s3://rtdc.mdm.uploadarchive.raw/RTDC4022/ "%USERPROFILE%\AppData\Local\Temp\OnboardLogs"\RTDC4022\2017-12-20 --exclude "*" --recursive --include "*20171220*" &amp; "%USERPROFILE%\Documents\GitHub\mrs-test-scripts\Headless Mode &amp; Sideloading\WalkAndUnGZ.bat" "%USERPROFILE%\AppData\Local\Temp\OnboardLogs"\RTDC4022\2017-12-20 &amp; aws s3 cp s3://rtdc.mdm.uploadarchive.raw/RTDC4022/ "%USERPROFILE%\AppData\Local\Temp\OnboardLogs"\RTDC4022\2017-12-21 --exclude "*" --recursive --include "*20171221*" &amp; "%USERPROFILE%\Documents\GitHub\mrs-test-scripts\Headless Mode &amp; Sideloading\WalkAndUnGZ.bat" "%USERPROFILE%\AppData\Local\Temp\OnboardLogs"\RTDC4022\2017-12-21</v>
      </c>
      <c r="AF242" s="234" t="str">
        <f t="shared" si="107"/>
        <v>"C:\Program Files (x86)\AstroGrep\AstroGrep.exe" /e /r /s /spath="%USERPROFILE%\AppData\Local\Temp\OnboardLogs" /stypes="app*4022*20171220*" /stext=" 22:.+((SYSTEM_STATE.+slice.+state.+changed )|(ment ac)|(multiple cpu faults)|(system.+state.+changed )|(\[timeout)|(PRM\|1\|D)|(kpr)|(kdp)|(train st.+moving)|(\|gpps)|(penalty))"</v>
      </c>
      <c r="AG242" s="244" t="str">
        <f t="shared" si="108"/>
        <v>Shuttle/Test</v>
      </c>
      <c r="AH242" s="236" t="str">
        <f t="shared" si="117"/>
        <v>"%USERPROFILE%\Documents\GitHub\eaglep3\Utilities\RefineRTDCRunTimes.py" --tripid 63-20 --locoid 4022 --swversion DE.1.0.9.0 --startMP 204:1081 --initTime 2017-12-20T14:59:11 --startdatetime 2017-12-20T15:05:41 --delay 278 --endMP 300:112580 --enddatetime 2017-12-20T15:32:07 --enforcementcount 0 &gt;&gt;%USERPROFILE%\Documents\GitHub\eaglep3-reporting\EC\2017-12-20-refined-times.txt</v>
      </c>
      <c r="AI242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11.258"},{"id":17,"name":"Train ID","value":"63-20"},{"id":16,"name":"Locomotive ID","value":"4022"},{"id":130,"name":"Impact","value":""},{"id":150,"name":"Time of Event (Mountain Time)","value":"15:32:07"},{"id":151,"name":"Denver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2" s="223"/>
      <c r="AK242" s="231"/>
      <c r="AL242" s="231"/>
      <c r="AM242" s="240" t="str">
        <f t="shared" si="119"/>
        <v>start /low /b %USERPROFILE%\Documents\GitHub\eaglep3\Utilities\DownloadLogsFromS3.py --loco 4022 --day 2017-12-20</v>
      </c>
      <c r="AN242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22:32:07"},{"id":29,"name":"Sharepoint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230" t="str">
        <f t="shared" si="121"/>
        <v>https://d0f6bd738d7f1b3e5a7ca70fe4ff75f0.us-east-1.aws.found.io/app/kibana#/discover/Steve-Slow-Train-Analysis-(2080s-and-2083s)?_g=(refreshInterval:(display:Off,pause:!f,section:0,value:0),time:(from:'2017-12-20T13:59:11-0700',mode:absolute,to:'2017-12-20T16:32:07-0700'))&amp;_a=(columns:!('Message%20ID',Summary),filters:!(),index:'emp_*',interval:auto,query:(query_string:(analyze_wildcard:!t,query:'%22rtdc.l.rtdc.4022%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 s="229" t="s">
        <v>662</v>
      </c>
      <c r="B243" s="225">
        <v>4022</v>
      </c>
      <c r="C243" s="227" t="s">
        <v>192</v>
      </c>
      <c r="D243" s="227" t="s">
        <v>1035</v>
      </c>
      <c r="E243" s="226">
        <v>43089.676712962966</v>
      </c>
      <c r="F243" s="226">
        <v>43089.680590277778</v>
      </c>
      <c r="G243" s="225">
        <v>174</v>
      </c>
      <c r="H243" s="227" t="s">
        <v>1036</v>
      </c>
      <c r="I243" s="226">
        <v>43089.698865740742</v>
      </c>
      <c r="J243" s="225">
        <v>0</v>
      </c>
      <c r="K243" s="237" t="str">
        <f t="shared" si="97"/>
        <v>4021/4022</v>
      </c>
      <c r="L243" s="245" t="str">
        <f>VLOOKUP(A243,'Trips&amp;Operators'!$C$1:$G$99911,5,FALSE)</f>
        <v>SANTIZO D. EDY</v>
      </c>
      <c r="M243" s="224">
        <f t="shared" si="98"/>
        <v>1.8275462964083999E-2</v>
      </c>
      <c r="N243" s="225">
        <f t="shared" si="122"/>
        <v>26.316666668280959</v>
      </c>
      <c r="O243" s="225"/>
      <c r="P243" s="225"/>
      <c r="Q243" s="228"/>
      <c r="R243" s="242"/>
      <c r="S243" s="249">
        <f t="shared" si="123"/>
        <v>1</v>
      </c>
      <c r="T243" s="242" t="str">
        <f t="shared" si="101"/>
        <v>NorthBound</v>
      </c>
      <c r="U243" s="246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48" t="str">
        <f t="shared" si="102"/>
        <v>https://d0f6bd738d7f1b3e5a7ca70fe4ff75f0.us-east-1.aws.found.io/app/kibana#/discover/Steve-Slow-Train-Analysis-(2080s-and-2083s)?_g=(refreshInterval:(display:Off,pause:!f,section:0,value:0),time:(from:'2017-12-20T15:14:28-0700',mode:absolute,to:'2017-12-20T17:46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3" s="247" t="str">
        <f>IF(AA243&lt;VLOOKUP(AG243,Variables!$AC$3:$AD$8,2,FALSE),"Y","N")</f>
        <v>Y</v>
      </c>
      <c r="X243" s="247">
        <f t="shared" si="116"/>
        <v>0</v>
      </c>
      <c r="Y243" s="247">
        <f t="shared" si="124"/>
        <v>9.7199999999999995E-2</v>
      </c>
      <c r="Z243" s="247">
        <f t="shared" si="125"/>
        <v>11.2506</v>
      </c>
      <c r="AA243" s="247">
        <f t="shared" si="104"/>
        <v>11.1534</v>
      </c>
      <c r="AB243" s="233" t="e">
        <f>VLOOKUP(A243,Enforcements!$C$7:$K$9,8,0)</f>
        <v>#N/A</v>
      </c>
      <c r="AC243" s="232" t="e">
        <f>VLOOKUP(A243,Enforcements!$C$7:$E$9,3,0)</f>
        <v>#N/A</v>
      </c>
      <c r="AD243" s="243">
        <f t="shared" si="105"/>
        <v>63</v>
      </c>
      <c r="AE243" s="235" t="str">
        <f t="shared" si="106"/>
        <v>aws s3 cp s3://rtdc.mdm.uploadarchive.raw/RTDC4022/ "%USERPROFILE%\AppData\Local\Temp\OnboardLogs"\RTDC4022\2017-12-20 --exclude "*" --recursive --include "*20171220*" &amp; "%USERPROFILE%\Documents\GitHub\mrs-test-scripts\Headless Mode &amp; Sideloading\WalkAndUnGZ.bat" "%USERPROFILE%\AppData\Local\Temp\OnboardLogs"\RTDC4022\2017-12-20 &amp; aws s3 cp s3://rtdc.mdm.uploadarchive.raw/RTDC4022/ "%USERPROFILE%\AppData\Local\Temp\OnboardLogs"\RTDC4022\2017-12-21 --exclude "*" --recursive --include "*20171221*" &amp; "%USERPROFILE%\Documents\GitHub\mrs-test-scripts\Headless Mode &amp; Sideloading\WalkAndUnGZ.bat" "%USERPROFILE%\AppData\Local\Temp\OnboardLogs"\RTDC4022\2017-12-21</v>
      </c>
      <c r="AF243" s="234" t="str">
        <f t="shared" si="107"/>
        <v>"C:\Program Files (x86)\AstroGrep\AstroGrep.exe" /e /r /s /spath="%USERPROFILE%\AppData\Local\Temp\OnboardLogs" /stypes="app*4022*20171220*" /stext=" 23:.+((SYSTEM_STATE.+slice.+state.+changed )|(ment ac)|(multiple cpu faults)|(system.+state.+changed )|(\[timeout)|(PRM\|1\|D)|(kpr)|(kdp)|(train st.+moving)|(\|gpps)|(penalty))"</v>
      </c>
      <c r="AG243" s="244" t="str">
        <f t="shared" si="108"/>
        <v>Shuttle/Test</v>
      </c>
      <c r="AH243" s="236" t="str">
        <f t="shared" si="117"/>
        <v>"%USERPROFILE%\Documents\GitHub\eaglep3\Utilities\RefineRTDCRunTimes.py" --tripid 63-20 --locoid 4022 --swversion DE.1.0.9.0 --startMP 204:972 --initTime 2017-12-20T16:14:28 --startdatetime 2017-12-20T16:20:03 --delay 174 --endMP 300:112506 --enddatetime 2017-12-20T16:46:22 --enforcementcount 0 &gt;&gt;%USERPROFILE%\Documents\GitHub\eaglep3-reporting\EC\2017-12-20-refined-times.txt</v>
      </c>
      <c r="AI243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11.2506"},{"id":17,"name":"Train ID","value":"63-20"},{"id":16,"name":"Locomotive ID","value":"4022"},{"id":130,"name":"Impact","value":""},{"id":150,"name":"Time of Event (Mountain Time)","value":"16:46:22"},{"id":151,"name":"Denver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3" s="223"/>
      <c r="AK243" s="231"/>
      <c r="AL243" s="231"/>
      <c r="AM243" s="240" t="str">
        <f t="shared" si="119"/>
        <v>start /low /b %USERPROFILE%\Documents\GitHub\eaglep3\Utilities\DownloadLogsFromS3.py --loco 4022 --day 2017-12-20</v>
      </c>
      <c r="AN243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23:46:22"},{"id":29,"name":"Sharepoint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230" t="str">
        <f t="shared" si="121"/>
        <v>https://d0f6bd738d7f1b3e5a7ca70fe4ff75f0.us-east-1.aws.found.io/app/kibana#/discover/Steve-Slow-Train-Analysis-(2080s-and-2083s)?_g=(refreshInterval:(display:Off,pause:!f,section:0,value:0),time:(from:'2017-12-20T15:14:28-0700',mode:absolute,to:'2017-12-20T17:46:22-0700'))&amp;_a=(columns:!('Message%20ID',Summary),filters:!(),index:'emp_*',interval:auto,query:(query_string:(analyze_wildcard:!t,query:'%22rtdc.l.rtdc.4022%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 s="229" t="s">
        <v>662</v>
      </c>
      <c r="B244" s="225">
        <v>4022</v>
      </c>
      <c r="C244" s="227" t="s">
        <v>192</v>
      </c>
      <c r="D244" s="227" t="s">
        <v>1037</v>
      </c>
      <c r="E244" s="226">
        <v>43089.723136574074</v>
      </c>
      <c r="F244" s="226">
        <v>43089.726134259261</v>
      </c>
      <c r="G244" s="225">
        <v>111</v>
      </c>
      <c r="H244" s="227" t="s">
        <v>1038</v>
      </c>
      <c r="I244" s="226">
        <v>43089.735034722224</v>
      </c>
      <c r="J244" s="225">
        <v>0</v>
      </c>
      <c r="K244" s="237" t="str">
        <f t="shared" si="97"/>
        <v>4021/4022</v>
      </c>
      <c r="L244" s="245" t="str">
        <f>VLOOKUP(A244,'Trips&amp;Operators'!$C$1:$G$99911,5,FALSE)</f>
        <v>SANTIZO D. EDY</v>
      </c>
      <c r="M244" s="224">
        <f t="shared" si="98"/>
        <v>8.9004629626288079E-3</v>
      </c>
      <c r="N244" s="225">
        <f t="shared" si="122"/>
        <v>12.816666666185483</v>
      </c>
      <c r="O244" s="225"/>
      <c r="P244" s="225"/>
      <c r="Q244" s="228"/>
      <c r="R244" s="242"/>
      <c r="S244" s="249">
        <f t="shared" si="123"/>
        <v>1</v>
      </c>
      <c r="T244" s="242" t="str">
        <f t="shared" si="101"/>
        <v>NorthBound</v>
      </c>
      <c r="U244" s="246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248" t="str">
        <f t="shared" si="102"/>
        <v>https://d0f6bd738d7f1b3e5a7ca70fe4ff75f0.us-east-1.aws.found.io/app/kibana#/discover/Steve-Slow-Train-Analysis-(2080s-and-2083s)?_g=(refreshInterval:(display:Off,pause:!f,section:0,value:0),time:(from:'2017-12-20T16:21:19-0700',mode:absolute,to:'2017-12-20T18:38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4" s="247" t="str">
        <f>IF(AA244&lt;VLOOKUP(AG244,Variables!$AC$3:$AD$8,2,FALSE),"Y","N")</f>
        <v>Y</v>
      </c>
      <c r="X244" s="247">
        <f t="shared" si="116"/>
        <v>0</v>
      </c>
      <c r="Y244" s="247">
        <f t="shared" si="124"/>
        <v>0.14610000000000001</v>
      </c>
      <c r="Z244" s="247">
        <f t="shared" si="125"/>
        <v>2.3346</v>
      </c>
      <c r="AA244" s="247">
        <f t="shared" si="104"/>
        <v>2.1884999999999999</v>
      </c>
      <c r="AB244" s="233" t="e">
        <f>VLOOKUP(A244,Enforcements!$C$7:$K$9,8,0)</f>
        <v>#N/A</v>
      </c>
      <c r="AC244" s="232" t="e">
        <f>VLOOKUP(A244,Enforcements!$C$7:$E$9,3,0)</f>
        <v>#N/A</v>
      </c>
      <c r="AD244" s="243">
        <f t="shared" si="105"/>
        <v>63</v>
      </c>
      <c r="AE244" s="235" t="str">
        <f t="shared" si="106"/>
        <v>aws s3 cp s3://rtdc.mdm.uploadarchive.raw/RTDC4022/ "%USERPROFILE%\AppData\Local\Temp\OnboardLogs"\RTDC4022\2017-12-20 --exclude "*" --recursive --include "*20171220*" &amp; "%USERPROFILE%\Documents\GitHub\mrs-test-scripts\Headless Mode &amp; Sideloading\WalkAndUnGZ.bat" "%USERPROFILE%\AppData\Local\Temp\OnboardLogs"\RTDC4022\2017-12-20 &amp; aws s3 cp s3://rtdc.mdm.uploadarchive.raw/RTDC4022/ "%USERPROFILE%\AppData\Local\Temp\OnboardLogs"\RTDC4022\2017-12-21 --exclude "*" --recursive --include "*20171221*" &amp; "%USERPROFILE%\Documents\GitHub\mrs-test-scripts\Headless Mode &amp; Sideloading\WalkAndUnGZ.bat" "%USERPROFILE%\AppData\Local\Temp\OnboardLogs"\RTDC4022\2017-12-21</v>
      </c>
      <c r="AF244" s="234" t="str">
        <f t="shared" si="107"/>
        <v>"C:\Program Files (x86)\AstroGrep\AstroGrep.exe" /e /r /s /spath="%USERPROFILE%\AppData\Local\Temp\OnboardLogs" /stypes="app*4022*20171221*" /stext=" 00:.+((SYSTEM_STATE.+slice.+state.+changed )|(ment ac)|(multiple cpu faults)|(system.+state.+changed )|(\[timeout)|(PRM\|1\|D)|(kpr)|(kdp)|(train st.+moving)|(\|gpps)|(penalty))"</v>
      </c>
      <c r="AG244" s="244" t="str">
        <f t="shared" si="108"/>
        <v>Shuttle/Test</v>
      </c>
      <c r="AH244" s="236" t="str">
        <f t="shared" si="117"/>
        <v>"%USERPROFILE%\Documents\GitHub\eaglep3\Utilities\RefineRTDCRunTimes.py" --tripid 63-20 --locoid 4022 --swversion DE.1.0.9.0 --startMP 204:1461 --initTime 2017-12-20T17:21:19 --startdatetime 2017-12-20T17:25:38 --delay 111 --endMP 300:23346 --enddatetime 2017-12-20T17:38:27 --enforcementcount 0 &gt;&gt;%USERPROFILE%\Documents\GitHub\eaglep3-reporting\EC\2017-12-20-refined-times.txt</v>
      </c>
      <c r="AI244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2.3346"},{"id":17,"name":"Train ID","value":"63-20"},{"id":16,"name":"Locomotive ID","value":"4022"},{"id":130,"name":"Impact","value":""},{"id":150,"name":"Time of Event (Mountain Time)","value":"17:38:27"},{"id":151,"name":"Denver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4" s="223"/>
      <c r="AK244" s="231"/>
      <c r="AL244" s="231"/>
      <c r="AM244" s="240" t="str">
        <f t="shared" si="119"/>
        <v>start /low /b %USERPROFILE%\Documents\GitHub\eaglep3\Utilities\DownloadLogsFromS3.py --loco 4022 --day 2017-12-20</v>
      </c>
      <c r="AN244" s="241" t="str">
        <f t="shared" si="120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00:38:27"},{"id":29,"name":"Sharepoint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230" t="str">
        <f t="shared" si="121"/>
        <v>https://d0f6bd738d7f1b3e5a7ca70fe4ff75f0.us-east-1.aws.found.io/app/kibana#/discover/Steve-Slow-Train-Analysis-(2080s-and-2083s)?_g=(refreshInterval:(display:Off,pause:!f,section:0,value:0),time:(from:'2017-12-20T16:21:19-0700',mode:absolute,to:'2017-12-20T18:38:27-0700'))&amp;_a=(columns:!('Message%20ID',Summary),filters:!(),index:'emp_*',interval:auto,query:(query_string:(analyze_wildcard:!t,query:'%22rtdc.l.rtdc.4022%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 s="229" t="s">
        <v>664</v>
      </c>
      <c r="B245" s="225">
        <v>4021</v>
      </c>
      <c r="C245" s="227" t="s">
        <v>192</v>
      </c>
      <c r="D245" s="227" t="s">
        <v>1105</v>
      </c>
      <c r="E245" s="226">
        <v>43089.600682870368</v>
      </c>
      <c r="F245" s="226">
        <v>43089.602777777778</v>
      </c>
      <c r="G245" s="225">
        <v>102</v>
      </c>
      <c r="H245" s="227" t="s">
        <v>1106</v>
      </c>
      <c r="I245" s="226">
        <v>43089.620532407411</v>
      </c>
      <c r="J245" s="225">
        <v>0</v>
      </c>
      <c r="K245" s="237" t="str">
        <f t="shared" si="97"/>
        <v>4021/4022</v>
      </c>
      <c r="L245" s="245" t="str">
        <f>VLOOKUP(A245,'Trips&amp;Operators'!$C$1:$G$99911,5,FALSE)</f>
        <v>SANTIZO D. EDY</v>
      </c>
      <c r="M245" s="224">
        <f t="shared" si="98"/>
        <v>1.7754629632690921E-2</v>
      </c>
      <c r="N245" s="225">
        <f t="shared" si="122"/>
        <v>25.566666671074927</v>
      </c>
      <c r="O245" s="225"/>
      <c r="P245" s="225"/>
      <c r="Q245" s="228"/>
      <c r="R245" s="242"/>
      <c r="S245" s="249">
        <f t="shared" si="123"/>
        <v>1</v>
      </c>
      <c r="T245" s="242" t="str">
        <f t="shared" si="101"/>
        <v>Southbound</v>
      </c>
      <c r="U245" s="246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48" t="str">
        <f t="shared" si="102"/>
        <v>https://d0f6bd738d7f1b3e5a7ca70fe4ff75f0.us-east-1.aws.found.io/app/kibana#/discover/Steve-Slow-Train-Analysis-(2080s-and-2083s)?_g=(refreshInterval:(display:Off,pause:!f,section:0,value:0),time:(from:'2017-12-20T13:24:59-0700',mode:absolute,to:'2017-12-20T15:53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5" s="247" t="str">
        <f>IF(AA245&lt;VLOOKUP(AG245,Variables!$AC$3:$AD$8,2,FALSE),"Y","N")</f>
        <v>Y</v>
      </c>
      <c r="X245" s="247">
        <f t="shared" si="116"/>
        <v>1</v>
      </c>
      <c r="Y245" s="247">
        <f t="shared" si="124"/>
        <v>11.2264</v>
      </c>
      <c r="Z245" s="247">
        <f t="shared" si="125"/>
        <v>7.7100000000000002E-2</v>
      </c>
      <c r="AA245" s="247">
        <f t="shared" si="104"/>
        <v>11.1493</v>
      </c>
      <c r="AB245" s="233" t="e">
        <f>VLOOKUP(A245,Enforcements!$C$7:$K$9,8,0)</f>
        <v>#N/A</v>
      </c>
      <c r="AC245" s="232" t="e">
        <f>VLOOKUP(A245,Enforcements!$C$7:$E$9,3,0)</f>
        <v>#N/A</v>
      </c>
      <c r="AD245" s="243">
        <f t="shared" si="105"/>
        <v>64</v>
      </c>
      <c r="AE245" s="235" t="str">
        <f t="shared" si="106"/>
        <v>aws s3 cp s3://rtdc.mdm.uploadarchive.raw/RTDC4021/ "%USERPROFILE%\AppData\Local\Temp\OnboardLogs"\RTDC4021\2017-12-20 --exclude "*" --recursive --include "*20171220*" &amp; "%USERPROFILE%\Documents\GitHub\mrs-test-scripts\Headless Mode &amp; Sideloading\WalkAndUnGZ.bat" "%USERPROFILE%\AppData\Local\Temp\OnboardLogs"\RTDC4021\2017-12-20 &amp; aws s3 cp s3://rtdc.mdm.uploadarchive.raw/RTDC4021/ "%USERPROFILE%\AppData\Local\Temp\OnboardLogs"\RTDC4021\2017-12-21 --exclude "*" --recursive --include "*20171221*" &amp; "%USERPROFILE%\Documents\GitHub\mrs-test-scripts\Headless Mode &amp; Sideloading\WalkAndUnGZ.bat" "%USERPROFILE%\AppData\Local\Temp\OnboardLogs"\RTDC4021\2017-12-21</v>
      </c>
      <c r="AF245" s="234" t="str">
        <f t="shared" si="107"/>
        <v>"C:\Program Files (x86)\AstroGrep\AstroGrep.exe" /e /r /s /spath="%USERPROFILE%\AppData\Local\Temp\OnboardLogs" /stypes="app*4021*20171220*" /stext=" 21:.+((SYSTEM_STATE.+slice.+state.+changed )|(ment ac)|(multiple cpu faults)|(system.+state.+changed )|(\[timeout)|(PRM\|1\|D)|(kpr)|(kdp)|(train st.+moving)|(\|gpps)|(penalty))"</v>
      </c>
      <c r="AG245" s="244" t="str">
        <f t="shared" si="108"/>
        <v>Shuttle/Test</v>
      </c>
      <c r="AH245" s="236" t="str">
        <f t="shared" si="117"/>
        <v>"%USERPROFILE%\Documents\GitHub\eaglep3\Utilities\RefineRTDCRunTimes.py" --tripid 64-20 --locoid 4021 --swversion DE.1.0.9.0 --startMP 300:112264 --initTime 2017-12-20T14:24:59 --startdatetime 2017-12-20T14:28:00 --delay 102 --endMP 204:771 --enddatetime 2017-12-20T14:53:34 --enforcementcount 0 &gt;&gt;%USERPROFILE%\Documents\GitHub\eaglep3-reporting\EC\2017-12-20-refined-times.txt</v>
      </c>
      <c r="AI245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0.0771"},{"id":17,"name":"Train ID","value":"64-20"},{"id":16,"name":"Locomotive ID","value":"4021"},{"id":130,"name":"Impact","value":""},{"id":150,"name":"Time of Event (Mountain Time)","value":"14:53:34"},{"id":151,"name":"Denver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5" s="223"/>
      <c r="AK245" s="231"/>
      <c r="AL245" s="231"/>
      <c r="AM245" s="240" t="str">
        <f t="shared" si="119"/>
        <v>start /low /b %USERPROFILE%\Documents\GitHub\eaglep3\Utilities\DownloadLogsFromS3.py --loco 4021 --day 2017-12-20</v>
      </c>
      <c r="AN245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21:53:34"},{"id":29,"name":"Sharepoint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230" t="str">
        <f t="shared" si="121"/>
        <v>https://d0f6bd738d7f1b3e5a7ca70fe4ff75f0.us-east-1.aws.found.io/app/kibana#/discover/Steve-Slow-Train-Analysis-(2080s-and-2083s)?_g=(refreshInterval:(display:Off,pause:!f,section:0,value:0),time:(from:'2017-12-20T13:24:59-0700',mode:absolute,to:'2017-12-20T15:53:34-0700'))&amp;_a=(columns:!('Message%20ID',Summary),filters:!(),index:'emp_*',interval:auto,query:(query_string:(analyze_wildcard:!t,query:'%22rtdc.l.rtdc.4021%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 s="229" t="s">
        <v>664</v>
      </c>
      <c r="B246" s="225">
        <v>4021</v>
      </c>
      <c r="C246" s="227" t="s">
        <v>192</v>
      </c>
      <c r="D246" s="227" t="s">
        <v>1039</v>
      </c>
      <c r="E246" s="226">
        <v>43089.649178240739</v>
      </c>
      <c r="F246" s="226">
        <v>43089.652337962965</v>
      </c>
      <c r="G246" s="225">
        <v>94</v>
      </c>
      <c r="H246" s="227" t="s">
        <v>1040</v>
      </c>
      <c r="I246" s="226">
        <v>43089.670659722222</v>
      </c>
      <c r="J246" s="225">
        <v>0</v>
      </c>
      <c r="K246" s="237" t="str">
        <f t="shared" si="97"/>
        <v>4021/4022</v>
      </c>
      <c r="L246" s="245" t="str">
        <f>VLOOKUP(A246,'Trips&amp;Operators'!$C$1:$G$99911,5,FALSE)</f>
        <v>SANTIZO D. EDY</v>
      </c>
      <c r="M246" s="224">
        <f t="shared" si="98"/>
        <v>1.8321759256650694E-2</v>
      </c>
      <c r="N246" s="225">
        <f t="shared" si="122"/>
        <v>26.383333329576999</v>
      </c>
      <c r="O246" s="225"/>
      <c r="P246" s="225"/>
      <c r="Q246" s="228"/>
      <c r="R246" s="242"/>
      <c r="S246" s="249">
        <f t="shared" si="123"/>
        <v>1</v>
      </c>
      <c r="T246" s="242" t="str">
        <f t="shared" si="101"/>
        <v>Southbound</v>
      </c>
      <c r="U246" s="246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248" t="str">
        <f t="shared" si="102"/>
        <v>https://d0f6bd738d7f1b3e5a7ca70fe4ff75f0.us-east-1.aws.found.io/app/kibana#/discover/Steve-Slow-Train-Analysis-(2080s-and-2083s)?_g=(refreshInterval:(display:Off,pause:!f,section:0,value:0),time:(from:'2017-12-20T14:34:49-0700',mode:absolute,to:'2017-12-20T17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6" s="247" t="str">
        <f>IF(AA246&lt;VLOOKUP(AG246,Variables!$AC$3:$AD$8,2,FALSE),"Y","N")</f>
        <v>Y</v>
      </c>
      <c r="X246" s="247">
        <f t="shared" si="116"/>
        <v>0</v>
      </c>
      <c r="Y246" s="247">
        <f t="shared" si="124"/>
        <v>11.226900000000001</v>
      </c>
      <c r="Z246" s="247">
        <f t="shared" si="125"/>
        <v>6.9900000000000004E-2</v>
      </c>
      <c r="AA246" s="247">
        <f t="shared" si="104"/>
        <v>11.157</v>
      </c>
      <c r="AB246" s="233" t="e">
        <f>VLOOKUP(A246,Enforcements!$C$7:$K$9,8,0)</f>
        <v>#N/A</v>
      </c>
      <c r="AC246" s="232" t="e">
        <f>VLOOKUP(A246,Enforcements!$C$7:$E$9,3,0)</f>
        <v>#N/A</v>
      </c>
      <c r="AD246" s="243">
        <f t="shared" si="105"/>
        <v>64</v>
      </c>
      <c r="AE246" s="235" t="str">
        <f t="shared" si="106"/>
        <v>aws s3 cp s3://rtdc.mdm.uploadarchive.raw/RTDC4021/ "%USERPROFILE%\AppData\Local\Temp\OnboardLogs"\RTDC4021\2017-12-20 --exclude "*" --recursive --include "*20171220*" &amp; "%USERPROFILE%\Documents\GitHub\mrs-test-scripts\Headless Mode &amp; Sideloading\WalkAndUnGZ.bat" "%USERPROFILE%\AppData\Local\Temp\OnboardLogs"\RTDC4021\2017-12-20 &amp; aws s3 cp s3://rtdc.mdm.uploadarchive.raw/RTDC4021/ "%USERPROFILE%\AppData\Local\Temp\OnboardLogs"\RTDC4021\2017-12-21 --exclude "*" --recursive --include "*20171221*" &amp; "%USERPROFILE%\Documents\GitHub\mrs-test-scripts\Headless Mode &amp; Sideloading\WalkAndUnGZ.bat" "%USERPROFILE%\AppData\Local\Temp\OnboardLogs"\RTDC4021\2017-12-21</v>
      </c>
      <c r="AF246" s="234" t="str">
        <f t="shared" si="107"/>
        <v>"C:\Program Files (x86)\AstroGrep\AstroGrep.exe" /e /r /s /spath="%USERPROFILE%\AppData\Local\Temp\OnboardLogs" /stypes="app*4021*20171220*" /stext=" 23:.+((SYSTEM_STATE.+slice.+state.+changed )|(ment ac)|(multiple cpu faults)|(system.+state.+changed )|(\[timeout)|(PRM\|1\|D)|(kpr)|(kdp)|(train st.+moving)|(\|gpps)|(penalty))"</v>
      </c>
      <c r="AG246" s="244" t="str">
        <f t="shared" si="108"/>
        <v>Shuttle/Test</v>
      </c>
      <c r="AH246" s="236" t="str">
        <f t="shared" si="117"/>
        <v>"%USERPROFILE%\Documents\GitHub\eaglep3\Utilities\RefineRTDCRunTimes.py" --tripid 64-20 --locoid 4021 --swversion DE.1.0.9.0 --startMP 300:112269 --initTime 2017-12-20T15:34:49 --startdatetime 2017-12-20T15:39:22 --delay 94 --endMP 204:699 --enddatetime 2017-12-20T16:05:45 --enforcementcount 0 &gt;&gt;%USERPROFILE%\Documents\GitHub\eaglep3-reporting\EC\2017-12-20-refined-times.txt</v>
      </c>
      <c r="AI246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0.0699"},{"id":17,"name":"Train ID","value":"64-20"},{"id":16,"name":"Locomotive ID","value":"4021"},{"id":130,"name":"Impact","value":""},{"id":150,"name":"Time of Event (Mountain Time)","value":"16:05:45"},{"id":151,"name":"Denver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6" s="223"/>
      <c r="AK246" s="231"/>
      <c r="AL246" s="231"/>
      <c r="AM246" s="240" t="str">
        <f t="shared" si="119"/>
        <v>start /low /b %USERPROFILE%\Documents\GitHub\eaglep3\Utilities\DownloadLogsFromS3.py --loco 4021 --day 2017-12-20</v>
      </c>
      <c r="AN246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23:05:45"},{"id":29,"name":"Sharepoint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230" t="str">
        <f t="shared" si="121"/>
        <v>https://d0f6bd738d7f1b3e5a7ca70fe4ff75f0.us-east-1.aws.found.io/app/kibana#/discover/Steve-Slow-Train-Analysis-(2080s-and-2083s)?_g=(refreshInterval:(display:Off,pause:!f,section:0,value:0),time:(from:'2017-12-20T14:34:49-0700',mode:absolute,to:'2017-12-20T17:05:45-0700'))&amp;_a=(columns:!('Message%20ID',Summary),filters:!(),index:'emp_*',interval:auto,query:(query_string:(analyze_wildcard:!t,query:'%22rtdc.l.rtdc.4021%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 s="229" t="s">
        <v>664</v>
      </c>
      <c r="B247" s="225">
        <v>4021</v>
      </c>
      <c r="C247" s="227" t="s">
        <v>192</v>
      </c>
      <c r="D247" s="227" t="s">
        <v>1107</v>
      </c>
      <c r="E247" s="226">
        <v>43089.700624999998</v>
      </c>
      <c r="F247" s="226">
        <v>43089.702511574076</v>
      </c>
      <c r="G247" s="225">
        <v>64</v>
      </c>
      <c r="H247" s="227" t="s">
        <v>1108</v>
      </c>
      <c r="I247" s="226">
        <v>43089.719733796293</v>
      </c>
      <c r="J247" s="225">
        <v>0</v>
      </c>
      <c r="K247" s="237" t="str">
        <f t="shared" si="97"/>
        <v>4021/4022</v>
      </c>
      <c r="L247" s="245" t="str">
        <f>VLOOKUP(A247,'Trips&amp;Operators'!$C$1:$G$99911,5,FALSE)</f>
        <v>SANTIZO D. EDY</v>
      </c>
      <c r="M247" s="224">
        <f t="shared" si="98"/>
        <v>1.7222222217242233E-2</v>
      </c>
      <c r="N247" s="225">
        <f t="shared" si="122"/>
        <v>24.799999992828816</v>
      </c>
      <c r="O247" s="225"/>
      <c r="P247" s="225"/>
      <c r="Q247" s="228"/>
      <c r="R247" s="242"/>
      <c r="S247" s="249">
        <f t="shared" si="123"/>
        <v>1</v>
      </c>
      <c r="T247" s="242" t="str">
        <f t="shared" si="101"/>
        <v>Southbound</v>
      </c>
      <c r="U247" s="246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1</v>
      </c>
      <c r="V247" s="248" t="str">
        <f t="shared" si="102"/>
        <v>https://d0f6bd738d7f1b3e5a7ca70fe4ff75f0.us-east-1.aws.found.io/app/kibana#/discover/Steve-Slow-Train-Analysis-(2080s-and-2083s)?_g=(refreshInterval:(display:Off,pause:!f,section:0,value:0),time:(from:'2017-12-20T15:48:54-0700',mode:absolute,to:'2017-12-20T18:16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7" s="247" t="str">
        <f>IF(AA247&lt;VLOOKUP(AG247,Variables!$AC$3:$AD$8,2,FALSE),"Y","N")</f>
        <v>Y</v>
      </c>
      <c r="X247" s="247">
        <f t="shared" si="116"/>
        <v>0</v>
      </c>
      <c r="Y247" s="247">
        <f t="shared" si="124"/>
        <v>11.2195</v>
      </c>
      <c r="Z247" s="247">
        <f t="shared" si="125"/>
        <v>7.0800000000000002E-2</v>
      </c>
      <c r="AA247" s="247">
        <f t="shared" si="104"/>
        <v>11.1487</v>
      </c>
      <c r="AB247" s="233" t="e">
        <f>VLOOKUP(A247,Enforcements!$C$7:$K$9,8,0)</f>
        <v>#N/A</v>
      </c>
      <c r="AC247" s="232" t="e">
        <f>VLOOKUP(A247,Enforcements!$C$7:$E$9,3,0)</f>
        <v>#N/A</v>
      </c>
      <c r="AD247" s="243">
        <f t="shared" si="105"/>
        <v>64</v>
      </c>
      <c r="AE247" s="235" t="str">
        <f t="shared" si="106"/>
        <v>aws s3 cp s3://rtdc.mdm.uploadarchive.raw/RTDC4021/ "%USERPROFILE%\AppData\Local\Temp\OnboardLogs"\RTDC4021\2017-12-20 --exclude "*" --recursive --include "*20171220*" &amp; "%USERPROFILE%\Documents\GitHub\mrs-test-scripts\Headless Mode &amp; Sideloading\WalkAndUnGZ.bat" "%USERPROFILE%\AppData\Local\Temp\OnboardLogs"\RTDC4021\2017-12-20 &amp; aws s3 cp s3://rtdc.mdm.uploadarchive.raw/RTDC4021/ "%USERPROFILE%\AppData\Local\Temp\OnboardLogs"\RTDC4021\2017-12-21 --exclude "*" --recursive --include "*20171221*" &amp; "%USERPROFILE%\Documents\GitHub\mrs-test-scripts\Headless Mode &amp; Sideloading\WalkAndUnGZ.bat" "%USERPROFILE%\AppData\Local\Temp\OnboardLogs"\RTDC4021\2017-12-21</v>
      </c>
      <c r="AF247" s="234" t="str">
        <f t="shared" si="107"/>
        <v>"C:\Program Files (x86)\AstroGrep\AstroGrep.exe" /e /r /s /spath="%USERPROFILE%\AppData\Local\Temp\OnboardLogs" /stypes="app*4021*20171221*" /stext=" 00:.+((SYSTEM_STATE.+slice.+state.+changed )|(ment ac)|(multiple cpu faults)|(system.+state.+changed )|(\[timeout)|(PRM\|1\|D)|(kpr)|(kdp)|(train st.+moving)|(\|gpps)|(penalty))"</v>
      </c>
      <c r="AG247" s="244" t="str">
        <f t="shared" si="108"/>
        <v>Shuttle/Test</v>
      </c>
      <c r="AH247" s="236" t="str">
        <f t="shared" si="117"/>
        <v>"%USERPROFILE%\Documents\GitHub\eaglep3\Utilities\RefineRTDCRunTimes.py" --tripid 64-20 --locoid 4021 --swversion DE.1.0.9.0 --startMP 300:112195 --initTime 2017-12-20T16:48:54 --startdatetime 2017-12-20T16:51:37 --delay 64 --endMP 204:708 --enddatetime 2017-12-20T17:16:25 --enforcementcount 0 &gt;&gt;%USERPROFILE%\Documents\GitHub\eaglep3-reporting\EC\2017-12-20-refined-times.txt</v>
      </c>
      <c r="AI247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0.0708"},{"id":17,"name":"Train ID","value":"64-20"},{"id":16,"name":"Locomotive ID","value":"4021"},{"id":130,"name":"Impact","value":""},{"id":150,"name":"Time of Event (Mountain Time)","value":"17:16:25"},{"id":151,"name":"Denver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7" s="223"/>
      <c r="AK247" s="231"/>
      <c r="AL247" s="231"/>
      <c r="AM247" s="240" t="str">
        <f t="shared" si="119"/>
        <v>start /low /b %USERPROFILE%\Documents\GitHub\eaglep3\Utilities\DownloadLogsFromS3.py --loco 4021 --day 2017-12-20</v>
      </c>
      <c r="AN247" s="241" t="str">
        <f t="shared" si="120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00:16:25"},{"id":29,"name":"Sharepoint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230" t="str">
        <f t="shared" si="121"/>
        <v>https://d0f6bd738d7f1b3e5a7ca70fe4ff75f0.us-east-1.aws.found.io/app/kibana#/discover/Steve-Slow-Train-Analysis-(2080s-and-2083s)?_g=(refreshInterval:(display:Off,pause:!f,section:0,value:0),time:(from:'2017-12-20T15:48:54-0700',mode:absolute,to:'2017-12-20T18:16:25-0700'))&amp;_a=(columns:!('Message%20ID',Summary),filters:!(),index:'emp_*',interval:auto,query:(query_string:(analyze_wildcard:!t,query:'%22rtdc.l.rtdc.4021%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 s="229" t="s">
        <v>675</v>
      </c>
      <c r="B248" s="225">
        <v>4062</v>
      </c>
      <c r="C248" s="227" t="s">
        <v>192</v>
      </c>
      <c r="D248" s="227" t="s">
        <v>1041</v>
      </c>
      <c r="E248" s="226">
        <v>43089.131655092591</v>
      </c>
      <c r="F248" s="226">
        <v>43089.139976851853</v>
      </c>
      <c r="G248" s="225">
        <v>71</v>
      </c>
      <c r="H248" s="227" t="s">
        <v>1042</v>
      </c>
      <c r="I248" s="226">
        <v>43089.1409375</v>
      </c>
      <c r="J248" s="225">
        <v>0</v>
      </c>
      <c r="K248" s="237" t="str">
        <f t="shared" si="97"/>
        <v>4061/4062</v>
      </c>
      <c r="L248" s="245" t="str">
        <f>VLOOKUP(A248,'Trips&amp;Operators'!$C$1:$G$99911,5,FALSE)</f>
        <v>SPECTOR MICHAEL</v>
      </c>
      <c r="M248" s="224">
        <f t="shared" si="98"/>
        <v>9.6064814715646207E-4</v>
      </c>
      <c r="N248" s="225">
        <f t="shared" si="122"/>
        <v>1.3833333319053054</v>
      </c>
      <c r="O248" s="225"/>
      <c r="P248" s="225"/>
      <c r="Q248" s="228"/>
      <c r="R248" s="242"/>
      <c r="S248" s="249">
        <f t="shared" si="123"/>
        <v>0</v>
      </c>
      <c r="T248" s="242" t="str">
        <f t="shared" si="101"/>
        <v>NorthBound</v>
      </c>
      <c r="U248" s="246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248" t="str">
        <f t="shared" si="102"/>
        <v>https://d0f6bd738d7f1b3e5a7ca70fe4ff75f0.us-east-1.aws.found.io/app/kibana#/discover/Steve-Slow-Train-Analysis-(2080s-and-2083s)?_g=(refreshInterval:(display:Off,pause:!f,section:0,value:0),time:(from:'2017-12-20T02:09:35-0700',mode:absolute,to:'2017-12-20T04:22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48" s="247" t="str">
        <f>IF(AA248&lt;VLOOKUP(AG248,Variables!$AC$3:$AD$8,2,FALSE),"Y","N")</f>
        <v>Y</v>
      </c>
      <c r="X248" s="247">
        <f t="shared" si="116"/>
        <v>7</v>
      </c>
      <c r="Y248" s="247">
        <f t="shared" si="124"/>
        <v>4.9299999999999997E-2</v>
      </c>
      <c r="Z248" s="247">
        <f t="shared" si="125"/>
        <v>0.35460000000000003</v>
      </c>
      <c r="AA248" s="247">
        <f t="shared" si="104"/>
        <v>0.30530000000000002</v>
      </c>
      <c r="AB248" s="233" t="e">
        <f>VLOOKUP(A248,Enforcements!$C$7:$K$9,8,0)</f>
        <v>#N/A</v>
      </c>
      <c r="AC248" s="232" t="e">
        <f>VLOOKUP(A248,Enforcements!$C$7:$E$9,3,0)</f>
        <v>#N/A</v>
      </c>
      <c r="AD248" s="243">
        <f t="shared" si="105"/>
        <v>71</v>
      </c>
      <c r="AE248" s="235" t="str">
        <f t="shared" si="106"/>
        <v>aws s3 cp s3://rtdc.mdm.uploadarchive.raw/RTDC4062/ "%USERPROFILE%\AppData\Local\Temp\OnboardLogs"\RTDC4062\2017-12-20 --exclude "*" --recursive --include "*20171220*" &amp; "%USERPROFILE%\Documents\GitHub\mrs-test-scripts\Headless Mode &amp; Sideloading\WalkAndUnGZ.bat" "%USERPROFILE%\AppData\Local\Temp\OnboardLogs"\RTDC4062\2017-12-20 &amp; aws s3 cp s3://rtdc.mdm.uploadarchive.raw/RTDC4062/ "%USERPROFILE%\AppData\Local\Temp\OnboardLogs"\RTDC4062\2017-12-21 --exclude "*" --recursive --include "*20171221*" &amp; "%USERPROFILE%\Documents\GitHub\mrs-test-scripts\Headless Mode &amp; Sideloading\WalkAndUnGZ.bat" "%USERPROFILE%\AppData\Local\Temp\OnboardLogs"\RTDC4062\2017-12-21</v>
      </c>
      <c r="AF248" s="234" t="str">
        <f t="shared" si="107"/>
        <v>"C:\Program Files (x86)\AstroGrep\AstroGrep.exe" /e /r /s /spath="%USERPROFILE%\AppData\Local\Temp\OnboardLogs" /stypes="app*4062*20171220*" /stext=" 10:.+((SYSTEM_STATE.+slice.+state.+changed )|(ment ac)|(multiple cpu faults)|(system.+state.+changed )|(\[timeout)|(PRM\|1\|D)|(kpr)|(kdp)|(train st.+moving)|(\|gpps)|(penalty))"</v>
      </c>
      <c r="AG248" s="244" t="str">
        <f t="shared" si="108"/>
        <v>Shuttle/Test</v>
      </c>
      <c r="AH248" s="236" t="str">
        <f t="shared" si="117"/>
        <v>"%USERPROFILE%\Documents\GitHub\eaglep3\Utilities\RefineRTDCRunTimes.py" --tripid 71-20 --locoid 4062 --swversion DE.1.0.9.0 --startMP 204:493 --initTime 2017-12-20T03:09:35 --startdatetime 2017-12-20T03:21:34 --delay 71 --endMP 204:3546 --enddatetime 2017-12-20T03:22:57 --enforcementcount 0 &gt;&gt;%USERPROFILE%\Documents\GitHub\eaglep3-reporting\EC\2017-12-20-refined-times.txt</v>
      </c>
      <c r="AI248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0.3546"},{"id":17,"name":"Train ID","value":"71-20"},{"id":16,"name":"Locomotive ID","value":"4062"},{"id":130,"name":"Impact","value":""},{"id":150,"name":"Time of Event (Mountain Time)","value":"03:22:57"},{"id":151,"name":"Denver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8" s="223"/>
      <c r="AK248" s="231"/>
      <c r="AL248" s="231"/>
      <c r="AM248" s="240" t="str">
        <f t="shared" si="119"/>
        <v>start /low /b %USERPROFILE%\Documents\GitHub\eaglep3\Utilities\DownloadLogsFromS3.py --loco 4062 --day 2017-12-20</v>
      </c>
      <c r="AN248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10:22:57"},{"id":29,"name":"Sharepoint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 s="230" t="str">
        <f t="shared" si="121"/>
        <v>https://d0f6bd738d7f1b3e5a7ca70fe4ff75f0.us-east-1.aws.found.io/app/kibana#/discover/Steve-Slow-Train-Analysis-(2080s-and-2083s)?_g=(refreshInterval:(display:Off,pause:!f,section:0,value:0),time:(from:'2017-12-20T02:09:35-0700',mode:absolute,to:'2017-12-20T04:22:57-0700'))&amp;_a=(columns:!('Message%20ID',Summary),filters:!(),index:'emp_*',interval:auto,query:(query_string:(analyze_wildcard:!t,query:'%22rtdc.l.rtdc.4062%22')),sort:!(Time.ISO8601,asc))</v>
      </c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 s="229" t="s">
        <v>675</v>
      </c>
      <c r="B249" s="225">
        <v>4044</v>
      </c>
      <c r="C249" s="227" t="s">
        <v>192</v>
      </c>
      <c r="D249" s="227" t="s">
        <v>518</v>
      </c>
      <c r="E249" s="226">
        <v>43089.163831018515</v>
      </c>
      <c r="F249" s="226">
        <v>43089.166875000003</v>
      </c>
      <c r="G249" s="225">
        <v>75</v>
      </c>
      <c r="H249" s="227" t="s">
        <v>1042</v>
      </c>
      <c r="I249" s="226">
        <v>43089.167951388888</v>
      </c>
      <c r="J249" s="225">
        <v>0</v>
      </c>
      <c r="K249" s="237" t="str">
        <f t="shared" si="97"/>
        <v>4043/4044</v>
      </c>
      <c r="L249" s="245" t="str">
        <f>VLOOKUP(A249,'Trips&amp;Operators'!$C$1:$G$99911,5,FALSE)</f>
        <v>SPECTOR MICHAEL</v>
      </c>
      <c r="M249" s="224">
        <f t="shared" si="98"/>
        <v>1.0763888858491555E-3</v>
      </c>
      <c r="N249" s="225">
        <f t="shared" si="122"/>
        <v>1.5499999956227839</v>
      </c>
      <c r="O249" s="225"/>
      <c r="P249" s="225"/>
      <c r="Q249" s="228"/>
      <c r="R249" s="242"/>
      <c r="S249" s="249">
        <f t="shared" si="123"/>
        <v>0</v>
      </c>
      <c r="T249" s="242" t="str">
        <f t="shared" si="101"/>
        <v>NorthBound</v>
      </c>
      <c r="U249" s="246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248" t="str">
        <f t="shared" si="102"/>
        <v>https://d0f6bd738d7f1b3e5a7ca70fe4ff75f0.us-east-1.aws.found.io/app/kibana#/discover/Steve-Slow-Train-Analysis-(2080s-and-2083s)?_g=(refreshInterval:(display:Off,pause:!f,section:0,value:0),time:(from:'2017-12-20T02:55:55-0700',mode:absolute,to:'2017-12-20T05:01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49" s="247" t="str">
        <f>IF(AA249&lt;VLOOKUP(AG249,Variables!$AC$3:$AD$8,2,FALSE),"Y","N")</f>
        <v>Y</v>
      </c>
      <c r="X249" s="247">
        <f t="shared" si="116"/>
        <v>0</v>
      </c>
      <c r="Y249" s="247">
        <f t="shared" si="124"/>
        <v>4.9700000000000001E-2</v>
      </c>
      <c r="Z249" s="247">
        <f t="shared" si="125"/>
        <v>0.35460000000000003</v>
      </c>
      <c r="AA249" s="247">
        <f t="shared" si="104"/>
        <v>0.3049</v>
      </c>
      <c r="AB249" s="233" t="e">
        <f>VLOOKUP(A249,Enforcements!$C$7:$K$9,8,0)</f>
        <v>#N/A</v>
      </c>
      <c r="AC249" s="232" t="e">
        <f>VLOOKUP(A249,Enforcements!$C$7:$E$9,3,0)</f>
        <v>#N/A</v>
      </c>
      <c r="AD249" s="243">
        <f t="shared" si="105"/>
        <v>71</v>
      </c>
      <c r="AE249" s="235" t="str">
        <f t="shared" si="106"/>
        <v>aws s3 cp s3://rtdc.mdm.uploadarchive.raw/RTDC4044/ "%USERPROFILE%\AppData\Local\Temp\OnboardLogs"\RTDC4044\2017-12-20 --exclude "*" --recursive --include "*20171220*" &amp; "%USERPROFILE%\Documents\GitHub\mrs-test-scripts\Headless Mode &amp; Sideloading\WalkAndUnGZ.bat" "%USERPROFILE%\AppData\Local\Temp\OnboardLogs"\RTDC4044\2017-12-20 &amp; aws s3 cp s3://rtdc.mdm.uploadarchive.raw/RTDC4044/ "%USERPROFILE%\AppData\Local\Temp\OnboardLogs"\RTDC4044\2017-12-21 --exclude "*" --recursive --include "*20171221*" &amp; "%USERPROFILE%\Documents\GitHub\mrs-test-scripts\Headless Mode &amp; Sideloading\WalkAndUnGZ.bat" "%USERPROFILE%\AppData\Local\Temp\OnboardLogs"\RTDC4044\2017-12-21</v>
      </c>
      <c r="AF249" s="234" t="str">
        <f t="shared" si="107"/>
        <v>"C:\Program Files (x86)\AstroGrep\AstroGrep.exe" /e /r /s /spath="%USERPROFILE%\AppData\Local\Temp\OnboardLogs" /stypes="app*4044*20171220*" /stext=" 11:.+((SYSTEM_STATE.+slice.+state.+changed )|(ment ac)|(multiple cpu faults)|(system.+state.+changed )|(\[timeout)|(PRM\|1\|D)|(kpr)|(kdp)|(train st.+moving)|(\|gpps)|(penalty))"</v>
      </c>
      <c r="AG249" s="244" t="str">
        <f t="shared" si="108"/>
        <v>Shuttle/Test</v>
      </c>
      <c r="AH249" s="236" t="str">
        <f t="shared" si="117"/>
        <v>"%USERPROFILE%\Documents\GitHub\eaglep3\Utilities\RefineRTDCRunTimes.py" --tripid 71-20 --locoid 4044 --swversion DE.1.0.9.0 --startMP 204:497 --initTime 2017-12-20T03:55:55 --startdatetime 2017-12-20T04:00:18 --delay 75 --endMP 204:3546 --enddatetime 2017-12-20T04:01:51 --enforcementcount 0 &gt;&gt;%USERPROFILE%\Documents\GitHub\eaglep3-reporting\EC\2017-12-20-refined-times.txt</v>
      </c>
      <c r="AI249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0.3546"},{"id":17,"name":"Train ID","value":"71-20"},{"id":16,"name":"Locomotive ID","value":"4044"},{"id":130,"name":"Impact","value":""},{"id":150,"name":"Time of Event (Mountain Time)","value":"04:01:51"},{"id":151,"name":"Denver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9" s="223"/>
      <c r="AK249" s="231"/>
      <c r="AL249" s="231"/>
      <c r="AM249" s="240" t="str">
        <f t="shared" si="119"/>
        <v>start /low /b %USERPROFILE%\Documents\GitHub\eaglep3\Utilities\DownloadLogsFromS3.py --loco 4044 --day 2017-12-20</v>
      </c>
      <c r="AN249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11:01:51"},{"id":29,"name":"Sharepoint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 s="230" t="str">
        <f t="shared" si="121"/>
        <v>https://d0f6bd738d7f1b3e5a7ca70fe4ff75f0.us-east-1.aws.found.io/app/kibana#/discover/Steve-Slow-Train-Analysis-(2080s-and-2083s)?_g=(refreshInterval:(display:Off,pause:!f,section:0,value:0),time:(from:'2017-12-20T02:55:55-0700',mode:absolute,to:'2017-12-20T05:01:51-0700'))&amp;_a=(columns:!('Message%20ID',Summary),filters:!(),index:'emp_*',interval:auto,query:(query_string:(analyze_wildcard:!t,query:'%22rtdc.l.rtdc.4044%22')),sort:!(Time.ISO8601,asc))</v>
      </c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 s="229" t="s">
        <v>677</v>
      </c>
      <c r="B250" s="225">
        <v>4061</v>
      </c>
      <c r="C250" s="227" t="s">
        <v>192</v>
      </c>
      <c r="D250" s="227" t="s">
        <v>1001</v>
      </c>
      <c r="E250" s="226">
        <v>43089.14203703704</v>
      </c>
      <c r="F250" s="226">
        <v>43089.146493055552</v>
      </c>
      <c r="G250" s="225">
        <v>67</v>
      </c>
      <c r="H250" s="227" t="s">
        <v>631</v>
      </c>
      <c r="I250" s="226">
        <v>43089.147627314815</v>
      </c>
      <c r="J250" s="225">
        <v>0</v>
      </c>
      <c r="K250" s="237" t="str">
        <f t="shared" si="97"/>
        <v>4061/4062</v>
      </c>
      <c r="L250" s="245" t="str">
        <f>VLOOKUP(A250,'Trips&amp;Operators'!$C$1:$G$99911,5,FALSE)</f>
        <v>SPECTOR MICHAEL</v>
      </c>
      <c r="M250" s="224">
        <f t="shared" si="98"/>
        <v>1.1342592624714598E-3</v>
      </c>
      <c r="N250" s="225">
        <f t="shared" si="122"/>
        <v>1.6333333379589021</v>
      </c>
      <c r="O250" s="225"/>
      <c r="P250" s="225"/>
      <c r="Q250" s="228"/>
      <c r="R250" s="242"/>
      <c r="S250" s="249">
        <f t="shared" si="123"/>
        <v>0</v>
      </c>
      <c r="T250" s="242" t="str">
        <f t="shared" si="101"/>
        <v>Southbound</v>
      </c>
      <c r="U250" s="246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248" t="str">
        <f t="shared" si="102"/>
        <v>https://d0f6bd738d7f1b3e5a7ca70fe4ff75f0.us-east-1.aws.found.io/app/kibana#/discover/Steve-Slow-Train-Analysis-(2080s-and-2083s)?_g=(refreshInterval:(display:Off,pause:!f,section:0,value:0),time:(from:'2017-12-20T02:24:32-0700',mode:absolute,to:'2017-12-20T04:32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50" s="247" t="str">
        <f>IF(AA250&lt;VLOOKUP(AG250,Variables!$AC$3:$AD$8,2,FALSE),"Y","N")</f>
        <v>Y</v>
      </c>
      <c r="X250" s="247">
        <f t="shared" si="116"/>
        <v>1</v>
      </c>
      <c r="Y250" s="247">
        <f t="shared" si="124"/>
        <v>0.3211</v>
      </c>
      <c r="Z250" s="247">
        <f t="shared" si="125"/>
        <v>0.1188</v>
      </c>
      <c r="AA250" s="247">
        <f t="shared" si="104"/>
        <v>0.20229999999999998</v>
      </c>
      <c r="AB250" s="233" t="e">
        <f>VLOOKUP(A250,Enforcements!$C$7:$K$9,8,0)</f>
        <v>#N/A</v>
      </c>
      <c r="AC250" s="232" t="e">
        <f>VLOOKUP(A250,Enforcements!$C$7:$E$9,3,0)</f>
        <v>#N/A</v>
      </c>
      <c r="AD250" s="243">
        <f t="shared" si="105"/>
        <v>72</v>
      </c>
      <c r="AE250" s="235" t="str">
        <f t="shared" si="106"/>
        <v>aws s3 cp s3://rtdc.mdm.uploadarchive.raw/RTDC4061/ "%USERPROFILE%\AppData\Local\Temp\OnboardLogs"\RTDC4061\2017-12-20 --exclude "*" --recursive --include "*20171220*" &amp; "%USERPROFILE%\Documents\GitHub\mrs-test-scripts\Headless Mode &amp; Sideloading\WalkAndUnGZ.bat" "%USERPROFILE%\AppData\Local\Temp\OnboardLogs"\RTDC4061\2017-12-20 &amp; aws s3 cp s3://rtdc.mdm.uploadarchive.raw/RTDC4061/ "%USERPROFILE%\AppData\Local\Temp\OnboardLogs"\RTDC4061\2017-12-21 --exclude "*" --recursive --include "*20171221*" &amp; "%USERPROFILE%\Documents\GitHub\mrs-test-scripts\Headless Mode &amp; Sideloading\WalkAndUnGZ.bat" "%USERPROFILE%\AppData\Local\Temp\OnboardLogs"\RTDC4061\2017-12-21</v>
      </c>
      <c r="AF250" s="234" t="str">
        <f t="shared" si="107"/>
        <v>"C:\Program Files (x86)\AstroGrep\AstroGrep.exe" /e /r /s /spath="%USERPROFILE%\AppData\Local\Temp\OnboardLogs" /stypes="app*4061*20171220*" /stext=" 10:.+((SYSTEM_STATE.+slice.+state.+changed )|(ment ac)|(multiple cpu faults)|(system.+state.+changed )|(\[timeout)|(PRM\|1\|D)|(kpr)|(kdp)|(train st.+moving)|(\|gpps)|(penalty))"</v>
      </c>
      <c r="AG250" s="244" t="str">
        <f t="shared" si="108"/>
        <v>Shuttle/Test</v>
      </c>
      <c r="AH250" s="236" t="str">
        <f t="shared" si="117"/>
        <v>"%USERPROFILE%\Documents\GitHub\eaglep3\Utilities\RefineRTDCRunTimes.py" --tripid 72-20 --locoid 4061 --swversion DE.1.0.9.0 --startMP 204:3211 --initTime 2017-12-20T03:24:32 --startdatetime 2017-12-20T03:30:57 --delay 67 --endMP 204:1188 --enddatetime 2017-12-20T03:32:35 --enforcementcount 0 &gt;&gt;%USERPROFILE%\Documents\GitHub\eaglep3-reporting\EC\2017-12-20-refined-times.txt</v>
      </c>
      <c r="AI250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0.1188"},{"id":17,"name":"Train ID","value":"72-20"},{"id":16,"name":"Locomotive ID","value":"4061"},{"id":130,"name":"Impact","value":""},{"id":150,"name":"Time of Event (Mountain Time)","value":"03:32:35"},{"id":151,"name":"Denver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0" s="223"/>
      <c r="AK250" s="231"/>
      <c r="AL250" s="231"/>
      <c r="AM250" s="240" t="str">
        <f t="shared" si="119"/>
        <v>start /low /b %USERPROFILE%\Documents\GitHub\eaglep3\Utilities\DownloadLogsFromS3.py --loco 4061 --day 2017-12-20</v>
      </c>
      <c r="AN250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10:32:35"},{"id":29,"name":"Sharepoint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 s="230" t="str">
        <f t="shared" si="121"/>
        <v>https://d0f6bd738d7f1b3e5a7ca70fe4ff75f0.us-east-1.aws.found.io/app/kibana#/discover/Steve-Slow-Train-Analysis-(2080s-and-2083s)?_g=(refreshInterval:(display:Off,pause:!f,section:0,value:0),time:(from:'2017-12-20T02:24:32-0700',mode:absolute,to:'2017-12-20T04:32:35-0700'))&amp;_a=(columns:!('Message%20ID',Summary),filters:!(),index:'emp_*',interval:auto,query:(query_string:(analyze_wildcard:!t,query:'%22rtdc.l.rtdc.4061%22')),sort:!(Time.ISO8601,asc))</v>
      </c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 s="229" t="s">
        <v>677</v>
      </c>
      <c r="B251" s="225">
        <v>4043</v>
      </c>
      <c r="C251" s="227" t="s">
        <v>192</v>
      </c>
      <c r="D251" s="227" t="s">
        <v>1043</v>
      </c>
      <c r="E251" s="226">
        <v>43089.169259259259</v>
      </c>
      <c r="F251" s="226">
        <v>43089.171099537038</v>
      </c>
      <c r="G251" s="225">
        <v>72</v>
      </c>
      <c r="H251" s="227" t="s">
        <v>1044</v>
      </c>
      <c r="I251" s="226">
        <v>43089.172210648147</v>
      </c>
      <c r="J251" s="225">
        <v>0</v>
      </c>
      <c r="K251" s="237" t="str">
        <f t="shared" si="97"/>
        <v>4043/4044</v>
      </c>
      <c r="L251" s="245" t="str">
        <f>VLOOKUP(A251,'Trips&amp;Operators'!$C$1:$G$99911,5,FALSE)</f>
        <v>SPECTOR MICHAEL</v>
      </c>
      <c r="M251" s="224">
        <f t="shared" si="98"/>
        <v>1.111111108912155E-3</v>
      </c>
      <c r="N251" s="225">
        <f t="shared" si="122"/>
        <v>1.5999999968335032</v>
      </c>
      <c r="O251" s="225"/>
      <c r="P251" s="225"/>
      <c r="Q251" s="228"/>
      <c r="R251" s="242"/>
      <c r="S251" s="249">
        <f t="shared" si="123"/>
        <v>0</v>
      </c>
      <c r="T251" s="242" t="str">
        <f t="shared" si="101"/>
        <v>Southbound</v>
      </c>
      <c r="U251" s="246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248" t="str">
        <f t="shared" si="102"/>
        <v>https://d0f6bd738d7f1b3e5a7ca70fe4ff75f0.us-east-1.aws.found.io/app/kibana#/discover/Steve-Slow-Train-Analysis-(2080s-and-2083s)?_g=(refreshInterval:(display:Off,pause:!f,section:0,value:0),time:(from:'2017-12-20T03:03:44-0700',mode:absolute,to:'2017-12-20T05:07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51" s="247" t="str">
        <f>IF(AA251&lt;VLOOKUP(AG251,Variables!$AC$3:$AD$8,2,FALSE),"Y","N")</f>
        <v>Y</v>
      </c>
      <c r="X251" s="247">
        <f t="shared" si="116"/>
        <v>0</v>
      </c>
      <c r="Y251" s="247">
        <f t="shared" si="124"/>
        <v>0.32129999999999997</v>
      </c>
      <c r="Z251" s="247">
        <f t="shared" si="125"/>
        <v>0.1182</v>
      </c>
      <c r="AA251" s="247">
        <f t="shared" si="104"/>
        <v>0.20309999999999997</v>
      </c>
      <c r="AB251" s="233" t="e">
        <f>VLOOKUP(A251,Enforcements!$C$7:$K$9,8,0)</f>
        <v>#N/A</v>
      </c>
      <c r="AC251" s="232" t="e">
        <f>VLOOKUP(A251,Enforcements!$C$7:$E$9,3,0)</f>
        <v>#N/A</v>
      </c>
      <c r="AD251" s="243">
        <f t="shared" si="105"/>
        <v>72</v>
      </c>
      <c r="AE251" s="235" t="str">
        <f t="shared" si="106"/>
        <v>aws s3 cp s3://rtdc.mdm.uploadarchive.raw/RTDC4043/ "%USERPROFILE%\AppData\Local\Temp\OnboardLogs"\RTDC4043\2017-12-20 --exclude "*" --recursive --include "*20171220*" &amp; "%USERPROFILE%\Documents\GitHub\mrs-test-scripts\Headless Mode &amp; Sideloading\WalkAndUnGZ.bat" "%USERPROFILE%\AppData\Local\Temp\OnboardLogs"\RTDC4043\2017-12-20 &amp; aws s3 cp s3://rtdc.mdm.uploadarchive.raw/RTDC4043/ "%USERPROFILE%\AppData\Local\Temp\OnboardLogs"\RTDC4043\2017-12-21 --exclude "*" --recursive --include "*20171221*" &amp; "%USERPROFILE%\Documents\GitHub\mrs-test-scripts\Headless Mode &amp; Sideloading\WalkAndUnGZ.bat" "%USERPROFILE%\AppData\Local\Temp\OnboardLogs"\RTDC4043\2017-12-21</v>
      </c>
      <c r="AF251" s="234" t="str">
        <f t="shared" si="107"/>
        <v>"C:\Program Files (x86)\AstroGrep\AstroGrep.exe" /e /r /s /spath="%USERPROFILE%\AppData\Local\Temp\OnboardLogs" /stypes="app*4043*20171220*" /stext=" 11:.+((SYSTEM_STATE.+slice.+state.+changed )|(ment ac)|(multiple cpu faults)|(system.+state.+changed )|(\[timeout)|(PRM\|1\|D)|(kpr)|(kdp)|(train st.+moving)|(\|gpps)|(penalty))"</v>
      </c>
      <c r="AG251" s="244" t="str">
        <f t="shared" si="108"/>
        <v>Shuttle/Test</v>
      </c>
      <c r="AH251" s="236" t="str">
        <f t="shared" si="117"/>
        <v>"%USERPROFILE%\Documents\GitHub\eaglep3\Utilities\RefineRTDCRunTimes.py" --tripid 72-20 --locoid 4043 --swversion DE.1.0.9.0 --startMP 204:3213 --initTime 2017-12-20T04:03:44 --startdatetime 2017-12-20T04:06:23 --delay 72 --endMP 204:1182 --enddatetime 2017-12-20T04:07:59 --enforcementcount 0 &gt;&gt;%USERPROFILE%\Documents\GitHub\eaglep3-reporting\EC\2017-12-20-refined-times.txt</v>
      </c>
      <c r="AI251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0.1182"},{"id":17,"name":"Train ID","value":"72-20"},{"id":16,"name":"Locomotive ID","value":"4043"},{"id":130,"name":"Impact","value":""},{"id":150,"name":"Time of Event (Mountain Time)","value":"04:07:59"},{"id":151,"name":"Denver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1" s="223"/>
      <c r="AK251" s="231"/>
      <c r="AL251" s="231"/>
      <c r="AM251" s="240" t="str">
        <f t="shared" si="119"/>
        <v>start /low /b %USERPROFILE%\Documents\GitHub\eaglep3\Utilities\DownloadLogsFromS3.py --loco 4043 --day 2017-12-20</v>
      </c>
      <c r="AN251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11:07:59"},{"id":29,"name":"Sharepoint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 s="230" t="str">
        <f t="shared" si="121"/>
        <v>https://d0f6bd738d7f1b3e5a7ca70fe4ff75f0.us-east-1.aws.found.io/app/kibana#/discover/Steve-Slow-Train-Analysis-(2080s-and-2083s)?_g=(refreshInterval:(display:Off,pause:!f,section:0,value:0),time:(from:'2017-12-20T03:03:44-0700',mode:absolute,to:'2017-12-20T05:07:59-0700'))&amp;_a=(columns:!('Message%20ID',Summary),filters:!(),index:'emp_*',interval:auto,query:(query_string:(analyze_wildcard:!t,query:'%22rtdc.l.rtdc.4043%22')),sort:!(Time.ISO8601,asc))</v>
      </c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 s="229" t="s">
        <v>844</v>
      </c>
      <c r="B252" s="225">
        <v>4011</v>
      </c>
      <c r="C252" s="227" t="s">
        <v>192</v>
      </c>
      <c r="D252" s="227" t="s">
        <v>640</v>
      </c>
      <c r="E252" s="226">
        <v>43089.740219907406</v>
      </c>
      <c r="F252" s="226">
        <v>43089.744108796294</v>
      </c>
      <c r="G252" s="225">
        <v>179</v>
      </c>
      <c r="H252" s="227" t="s">
        <v>1045</v>
      </c>
      <c r="I252" s="226">
        <v>43089.753865740742</v>
      </c>
      <c r="J252" s="225">
        <v>0</v>
      </c>
      <c r="K252" s="237" t="str">
        <f t="shared" si="97"/>
        <v>4011/4012</v>
      </c>
      <c r="L252" s="245" t="str">
        <f>VLOOKUP(A252,'Trips&amp;Operators'!$C$1:$G$99911,5,FALSE)</f>
        <v>ANDREA WILLIAMS</v>
      </c>
      <c r="M252" s="224">
        <f t="shared" si="98"/>
        <v>9.7569444478722289E-3</v>
      </c>
      <c r="N252" s="225">
        <f t="shared" si="122"/>
        <v>14.05000000493601</v>
      </c>
      <c r="O252" s="225"/>
      <c r="P252" s="225"/>
      <c r="Q252" s="228"/>
      <c r="R252" s="242"/>
      <c r="S252" s="249">
        <f t="shared" si="123"/>
        <v>1</v>
      </c>
      <c r="T252" s="242" t="str">
        <f t="shared" si="101"/>
        <v>Southbound</v>
      </c>
      <c r="U252" s="246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1</v>
      </c>
      <c r="V252" s="248" t="str">
        <f t="shared" si="102"/>
        <v>https://d0f6bd738d7f1b3e5a7ca70fe4ff75f0.us-east-1.aws.found.io/app/kibana#/discover/Steve-Slow-Train-Analysis-(2080s-and-2083s)?_g=(refreshInterval:(display:Off,pause:!f,section:0,value:0),time:(from:'2017-12-20T16:45:55-0700',mode:absolute,to:'2017-12-20T19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52" s="247" t="str">
        <f>IF(AA252&lt;VLOOKUP(AG252,Variables!$AC$3:$AD$8,2,FALSE),"Y","N")</f>
        <v>Y</v>
      </c>
      <c r="X252" s="247">
        <f t="shared" si="116"/>
        <v>2</v>
      </c>
      <c r="Y252" s="247">
        <f t="shared" si="124"/>
        <v>2.3656000000000001</v>
      </c>
      <c r="Z252" s="247">
        <f t="shared" si="125"/>
        <v>0.21990000000000001</v>
      </c>
      <c r="AA252" s="247">
        <f t="shared" si="104"/>
        <v>2.1457000000000002</v>
      </c>
      <c r="AB252" s="233" t="e">
        <f>VLOOKUP(A252,Enforcements!$C$7:$K$9,8,0)</f>
        <v>#N/A</v>
      </c>
      <c r="AC252" s="232" t="e">
        <f>VLOOKUP(A252,Enforcements!$C$7:$E$9,3,0)</f>
        <v>#N/A</v>
      </c>
      <c r="AD252" s="243">
        <f t="shared" si="105"/>
        <v>74</v>
      </c>
      <c r="AE252" s="235" t="str">
        <f t="shared" si="106"/>
        <v>aws s3 cp s3://rtdc.mdm.uploadarchive.raw/RTDC4011/ "%USERPROFILE%\AppData\Local\Temp\OnboardLogs"\RTDC4011\2017-12-20 --exclude "*" --recursive --include "*20171220*" &amp; "%USERPROFILE%\Documents\GitHub\mrs-test-scripts\Headless Mode &amp; Sideloading\WalkAndUnGZ.bat" "%USERPROFILE%\AppData\Local\Temp\OnboardLogs"\RTDC4011\2017-12-20 &amp; aws s3 cp s3://rtdc.mdm.uploadarchive.raw/RTDC4011/ "%USERPROFILE%\AppData\Local\Temp\OnboardLogs"\RTDC4011\2017-12-21 --exclude "*" --recursive --include "*20171221*" &amp; "%USERPROFILE%\Documents\GitHub\mrs-test-scripts\Headless Mode &amp; Sideloading\WalkAndUnGZ.bat" "%USERPROFILE%\AppData\Local\Temp\OnboardLogs"\RTDC4011\2017-12-21</v>
      </c>
      <c r="AF252" s="234" t="str">
        <f t="shared" si="107"/>
        <v>"C:\Program Files (x86)\AstroGrep\AstroGrep.exe" /e /r /s /spath="%USERPROFILE%\AppData\Local\Temp\OnboardLogs" /stypes="app*4011*20171221*" /stext=" 01:.+((SYSTEM_STATE.+slice.+state.+changed )|(ment ac)|(multiple cpu faults)|(system.+state.+changed )|(\[timeout)|(PRM\|1\|D)|(kpr)|(kdp)|(train st.+moving)|(\|gpps)|(penalty))"</v>
      </c>
      <c r="AG252" s="244" t="str">
        <f t="shared" si="108"/>
        <v>Shuttle/Test</v>
      </c>
      <c r="AH252" s="236" t="str">
        <f t="shared" si="117"/>
        <v>"%USERPROFILE%\Documents\GitHub\eaglep3\Utilities\RefineRTDCRunTimes.py" --tripid 74-20 --locoid 4011 --swversion DE.1.0.9.0 --startMP 300:23656 --initTime 2017-12-20T17:45:55 --startdatetime 2017-12-20T17:51:31 --delay 179 --endMP 204:2199 --enddatetime 2017-12-20T18:05:34 --enforcementcount 0 &gt;&gt;%USERPROFILE%\Documents\GitHub\eaglep3-reporting\EC\2017-12-20-refined-times.txt</v>
      </c>
      <c r="AI252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0.2199"},{"id":17,"name":"Train ID","value":"74-20"},{"id":16,"name":"Locomotive ID","value":"4011"},{"id":130,"name":"Impact","value":""},{"id":150,"name":"Time of Event (Mountain Time)","value":"18:05:34"},{"id":151,"name":"Denver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2" s="223"/>
      <c r="AK252" s="231"/>
      <c r="AL252" s="231"/>
      <c r="AM252" s="240" t="str">
        <f t="shared" si="119"/>
        <v>start /low /b %USERPROFILE%\Documents\GitHub\eaglep3\Utilities\DownloadLogsFromS3.py --loco 4011 --day 2017-12-20</v>
      </c>
      <c r="AN252" s="241" t="str">
        <f t="shared" si="120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01:05:34"},{"id":29,"name":"Sharepoint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 s="230" t="str">
        <f t="shared" si="121"/>
        <v>https://d0f6bd738d7f1b3e5a7ca70fe4ff75f0.us-east-1.aws.found.io/app/kibana#/discover/Steve-Slow-Train-Analysis-(2080s-and-2083s)?_g=(refreshInterval:(display:Off,pause:!f,section:0,value:0),time:(from:'2017-12-20T16:45:55-0700',mode:absolute,to:'2017-12-20T19:05:34-0700'))&amp;_a=(columns:!('Message%20ID',Summary),filters:!(),index:'emp_*',interval:auto,query:(query_string:(analyze_wildcard:!t,query:'%22rtdc.l.rtdc.4011%22')),sort:!(Time.ISO8601,asc))</v>
      </c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23" customFormat="1" x14ac:dyDescent="0.25">
      <c r="A253" s="229" t="s">
        <v>765</v>
      </c>
      <c r="B253" s="225">
        <v>4020</v>
      </c>
      <c r="C253" s="227" t="s">
        <v>192</v>
      </c>
      <c r="D253" s="227" t="s">
        <v>1046</v>
      </c>
      <c r="E253" s="226">
        <v>43089.455138888887</v>
      </c>
      <c r="F253" s="226">
        <v>43089.463449074072</v>
      </c>
      <c r="G253" s="225">
        <v>68</v>
      </c>
      <c r="H253" s="227" t="s">
        <v>1047</v>
      </c>
      <c r="I253" s="226">
        <v>43089.46570601852</v>
      </c>
      <c r="J253" s="225">
        <v>0</v>
      </c>
      <c r="K253" s="237" t="str">
        <f t="shared" si="97"/>
        <v>4019/4020</v>
      </c>
      <c r="L253" s="245" t="str">
        <f>VLOOKUP(A253,'Trips&amp;Operators'!$C$1:$G$99911,5,FALSE)</f>
        <v>DE LA ROSA ALEX</v>
      </c>
      <c r="M253" s="224">
        <f t="shared" si="98"/>
        <v>2.2569444481632672E-3</v>
      </c>
      <c r="N253" s="225">
        <f t="shared" si="122"/>
        <v>3.2500000053551048</v>
      </c>
      <c r="O253" s="225"/>
      <c r="P253" s="225"/>
      <c r="Q253" s="228"/>
      <c r="R253" s="242"/>
      <c r="S253" s="249">
        <f t="shared" si="123"/>
        <v>0</v>
      </c>
      <c r="T253" s="242" t="str">
        <f t="shared" si="101"/>
        <v>NorthBound</v>
      </c>
      <c r="U253" s="246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248" t="str">
        <f t="shared" si="102"/>
        <v>https://d0f6bd738d7f1b3e5a7ca70fe4ff75f0.us-east-1.aws.found.io/app/kibana#/discover/Steve-Slow-Train-Analysis-(2080s-and-2083s)?_g=(refreshInterval:(display:Off,pause:!f,section:0,value:0),time:(from:'2017-12-20T09:55:24-0700',mode:absolute,to:'2017-12-20T12:10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3" s="247" t="str">
        <f>IF(AA253&lt;VLOOKUP(AG253,Variables!$AC$3:$AD$8,2,FALSE),"Y","N")</f>
        <v>Y</v>
      </c>
      <c r="X253" s="247">
        <f t="shared" si="116"/>
        <v>3</v>
      </c>
      <c r="Y253" s="247">
        <f t="shared" si="124"/>
        <v>0.11749999999999999</v>
      </c>
      <c r="Z253" s="247">
        <f t="shared" si="125"/>
        <v>0.55810000000000004</v>
      </c>
      <c r="AA253" s="247">
        <f t="shared" si="104"/>
        <v>0.44060000000000005</v>
      </c>
      <c r="AB253" s="233" t="e">
        <f>VLOOKUP(A253,Enforcements!$C$7:$K$9,8,0)</f>
        <v>#N/A</v>
      </c>
      <c r="AC253" s="232" t="e">
        <f>VLOOKUP(A253,Enforcements!$C$7:$E$9,3,0)</f>
        <v>#N/A</v>
      </c>
      <c r="AD253" s="243">
        <f t="shared" si="105"/>
        <v>77</v>
      </c>
      <c r="AE253" s="235" t="str">
        <f t="shared" si="106"/>
        <v>aws s3 cp s3://rtdc.mdm.uploadarchive.raw/RTDC4020/ "%USERPROFILE%\AppData\Local\Temp\OnboardLogs"\RTDC4020\2017-12-20 --exclude "*" --recursive --include "*20171220*" &amp; "%USERPROFILE%\Documents\GitHub\mrs-test-scripts\Headless Mode &amp; Sideloading\WalkAndUnGZ.bat" "%USERPROFILE%\AppData\Local\Temp\OnboardLogs"\RTDC4020\2017-12-20 &amp; aws s3 cp s3://rtdc.mdm.uploadarchive.raw/RTDC4020/ "%USERPROFILE%\AppData\Local\Temp\OnboardLogs"\RTDC4020\2017-12-21 --exclude "*" --recursive --include "*20171221*" &amp; "%USERPROFILE%\Documents\GitHub\mrs-test-scripts\Headless Mode &amp; Sideloading\WalkAndUnGZ.bat" "%USERPROFILE%\AppData\Local\Temp\OnboardLogs"\RTDC4020\2017-12-21</v>
      </c>
      <c r="AF253" s="234" t="str">
        <f t="shared" si="107"/>
        <v>"C:\Program Files (x86)\AstroGrep\AstroGrep.exe" /e /r /s /spath="%USERPROFILE%\AppData\Local\Temp\OnboardLogs" /stypes="app*4020*20171220*" /stext=" 18:.+((SYSTEM_STATE.+slice.+state.+changed )|(ment ac)|(multiple cpu faults)|(system.+state.+changed )|(\[timeout)|(PRM\|1\|D)|(kpr)|(kdp)|(train st.+moving)|(\|gpps)|(penalty))"</v>
      </c>
      <c r="AG253" s="244" t="str">
        <f t="shared" si="108"/>
        <v>Shuttle/Test</v>
      </c>
      <c r="AH253" s="236" t="str">
        <f t="shared" si="117"/>
        <v>"%USERPROFILE%\Documents\GitHub\eaglep3\Utilities\RefineRTDCRunTimes.py" --tripid 77-20 --locoid 4020 --swversion DE.1.0.9.0 --startMP 204:1175 --initTime 2017-12-20T10:55:24 --startdatetime 2017-12-20T11:07:22 --delay 68 --endMP 300:5581 --enddatetime 2017-12-20T11:10:37 --enforcementcount 0 &gt;&gt;%USERPROFILE%\Documents\GitHub\eaglep3-reporting\EC\2017-12-20-refined-times.txt</v>
      </c>
      <c r="AI253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0.5581"},{"id":17,"name":"Train ID","value":"77-20"},{"id":16,"name":"Locomotive ID","value":"4020"},{"id":130,"name":"Impact","value":""},{"id":150,"name":"Time of Event (Mountain Time)","value":"11:10:37"},{"id":151,"name":"Denver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3" s="231"/>
      <c r="AL253" s="231"/>
      <c r="AM253" s="240" t="str">
        <f t="shared" si="119"/>
        <v>start /low /b %USERPROFILE%\Documents\GitHub\eaglep3\Utilities\DownloadLogsFromS3.py --loco 4020 --day 2017-12-20</v>
      </c>
      <c r="AN253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18:10:37"},{"id":29,"name":"Sharepoint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 s="230" t="str">
        <f t="shared" si="121"/>
        <v>https://d0f6bd738d7f1b3e5a7ca70fe4ff75f0.us-east-1.aws.found.io/app/kibana#/discover/Steve-Slow-Train-Analysis-(2080s-and-2083s)?_g=(refreshInterval:(display:Off,pause:!f,section:0,value:0),time:(from:'2017-12-20T09:55:24-0700',mode:absolute,to:'2017-12-20T12:10:37-0700'))&amp;_a=(columns:!('Message%20ID',Summary),filters:!(),index:'emp_*',interval:auto,query:(query_string:(analyze_wildcard:!t,query:'%22rtdc.l.rtdc.4020%22')),sort:!(Time.ISO8601,asc))</v>
      </c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 s="229" t="s">
        <v>765</v>
      </c>
      <c r="B254" s="225">
        <v>4019</v>
      </c>
      <c r="C254" s="227" t="s">
        <v>192</v>
      </c>
      <c r="D254" s="227" t="s">
        <v>1048</v>
      </c>
      <c r="E254" s="226">
        <v>43089.461574074077</v>
      </c>
      <c r="F254" s="226">
        <v>43089.463449074072</v>
      </c>
      <c r="G254" s="225">
        <v>84</v>
      </c>
      <c r="H254" s="227" t="s">
        <v>540</v>
      </c>
      <c r="I254" s="226">
        <v>43089.46570601852</v>
      </c>
      <c r="J254" s="225">
        <v>0</v>
      </c>
      <c r="K254" s="237" t="str">
        <f t="shared" si="97"/>
        <v>4019/4020</v>
      </c>
      <c r="L254" s="245" t="str">
        <f>VLOOKUP(A254,'Trips&amp;Operators'!$C$1:$G$99911,5,FALSE)</f>
        <v>DE LA ROSA ALEX</v>
      </c>
      <c r="M254" s="224">
        <f t="shared" si="98"/>
        <v>2.2569444481632672E-3</v>
      </c>
      <c r="N254" s="225">
        <f t="shared" si="122"/>
        <v>3.2500000053551048</v>
      </c>
      <c r="O254" s="225"/>
      <c r="P254" s="225"/>
      <c r="Q254" s="228"/>
      <c r="R254" s="242"/>
      <c r="S254" s="249">
        <f t="shared" si="123"/>
        <v>0</v>
      </c>
      <c r="T254" s="242" t="str">
        <f t="shared" si="101"/>
        <v>NorthBound</v>
      </c>
      <c r="U254" s="246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248" t="str">
        <f t="shared" si="102"/>
        <v>https://d0f6bd738d7f1b3e5a7ca70fe4ff75f0.us-east-1.aws.found.io/app/kibana#/discover/Steve-Slow-Train-Analysis-(2080s-and-2083s)?_g=(refreshInterval:(display:Off,pause:!f,section:0,value:0),time:(from:'2017-12-20T10:04:40-0700',mode:absolute,to:'2017-12-20T12:10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54" s="247" t="str">
        <f>IF(AA254&lt;VLOOKUP(AG254,Variables!$AC$3:$AD$8,2,FALSE),"Y","N")</f>
        <v>Y</v>
      </c>
      <c r="X254" s="247">
        <f t="shared" si="116"/>
        <v>0</v>
      </c>
      <c r="Y254" s="247">
        <f t="shared" si="124"/>
        <v>0.53510000000000002</v>
      </c>
      <c r="Z254" s="247">
        <f t="shared" si="125"/>
        <v>1.52E-2</v>
      </c>
      <c r="AA254" s="247">
        <f t="shared" si="104"/>
        <v>0.51990000000000003</v>
      </c>
      <c r="AB254" s="233" t="e">
        <f>VLOOKUP(A254,Enforcements!$C$7:$K$9,8,0)</f>
        <v>#N/A</v>
      </c>
      <c r="AC254" s="232" t="e">
        <f>VLOOKUP(A254,Enforcements!$C$7:$E$9,3,0)</f>
        <v>#N/A</v>
      </c>
      <c r="AD254" s="243">
        <f t="shared" si="105"/>
        <v>77</v>
      </c>
      <c r="AE254" s="235" t="str">
        <f t="shared" si="106"/>
        <v>aws s3 cp s3://rtdc.mdm.uploadarchive.raw/RTDC4019/ "%USERPROFILE%\AppData\Local\Temp\OnboardLogs"\RTDC4019\2017-12-20 --exclude "*" --recursive --include "*20171220*" &amp; "%USERPROFILE%\Documents\GitHub\mrs-test-scripts\Headless Mode &amp; Sideloading\WalkAndUnGZ.bat" "%USERPROFILE%\AppData\Local\Temp\OnboardLogs"\RTDC4019\2017-12-20 &amp; aws s3 cp s3://rtdc.mdm.uploadarchive.raw/RTDC4019/ "%USERPROFILE%\AppData\Local\Temp\OnboardLogs"\RTDC4019\2017-12-21 --exclude "*" --recursive --include "*20171221*" &amp; "%USERPROFILE%\Documents\GitHub\mrs-test-scripts\Headless Mode &amp; Sideloading\WalkAndUnGZ.bat" "%USERPROFILE%\AppData\Local\Temp\OnboardLogs"\RTDC4019\2017-12-21</v>
      </c>
      <c r="AF254" s="234" t="str">
        <f t="shared" si="107"/>
        <v>"C:\Program Files (x86)\AstroGrep\AstroGrep.exe" /e /r /s /spath="%USERPROFILE%\AppData\Local\Temp\OnboardLogs" /stypes="app*4019*20171220*" /stext=" 18:.+((SYSTEM_STATE.+slice.+state.+changed )|(ment ac)|(multiple cpu faults)|(system.+state.+changed )|(\[timeout)|(PRM\|1\|D)|(kpr)|(kdp)|(train st.+moving)|(\|gpps)|(penalty))"</v>
      </c>
      <c r="AG254" s="244" t="str">
        <f t="shared" si="108"/>
        <v>Shuttle/Test</v>
      </c>
      <c r="AH254" s="236" t="str">
        <f t="shared" si="117"/>
        <v>"%USERPROFILE%\Documents\GitHub\eaglep3\Utilities\RefineRTDCRunTimes.py" --tripid 77-20 --locoid 4019 --swversion DE.1.0.9.0 --startMP 300:5351 --initTime 2017-12-20T11:04:40 --startdatetime 2017-12-20T11:07:22 --delay 84 --endMP 204:152 --enddatetime 2017-12-20T11:10:37 --enforcementcount 0 &gt;&gt;%USERPROFILE%\Documents\GitHub\eaglep3-reporting\EC\2017-12-20-refined-times.txt</v>
      </c>
      <c r="AI254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0.0152"},{"id":17,"name":"Train ID","value":"77-20"},{"id":16,"name":"Locomotive ID","value":"4019"},{"id":130,"name":"Impact","value":""},{"id":150,"name":"Time of Event (Mountain Time)","value":"11:10:37"},{"id":151,"name":"Denver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4" s="223"/>
      <c r="AK254" s="231"/>
      <c r="AL254" s="231"/>
      <c r="AM254" s="240" t="str">
        <f t="shared" si="119"/>
        <v>start /low /b %USERPROFILE%\Documents\GitHub\eaglep3\Utilities\DownloadLogsFromS3.py --loco 4019 --day 2017-12-20</v>
      </c>
      <c r="AN254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18:10:37"},{"id":29,"name":"Sharepoint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4" s="230" t="str">
        <f t="shared" si="121"/>
        <v>https://d0f6bd738d7f1b3e5a7ca70fe4ff75f0.us-east-1.aws.found.io/app/kibana#/discover/Steve-Slow-Train-Analysis-(2080s-and-2083s)?_g=(refreshInterval:(display:Off,pause:!f,section:0,value:0),time:(from:'2017-12-20T10:04:40-0700',mode:absolute,to:'2017-12-20T12:10:37-0700'))&amp;_a=(columns:!('Message%20ID',Summary),filters:!(),index:'emp_*',interval:auto,query:(query_string:(analyze_wildcard:!t,query:'%22rtdc.l.rtdc.4019%22')),sort:!(Time.ISO8601,asc))</v>
      </c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 s="229" t="s">
        <v>826</v>
      </c>
      <c r="B255" s="225">
        <v>4058</v>
      </c>
      <c r="C255" s="227" t="s">
        <v>192</v>
      </c>
      <c r="D255" s="227" t="s">
        <v>1057</v>
      </c>
      <c r="E255" s="226">
        <v>43089.682673611111</v>
      </c>
      <c r="F255" s="226">
        <v>43089.692002314812</v>
      </c>
      <c r="G255" s="225">
        <v>180</v>
      </c>
      <c r="H255" s="227" t="s">
        <v>632</v>
      </c>
      <c r="I255" s="226">
        <v>43089.698541666665</v>
      </c>
      <c r="J255" s="225">
        <v>0</v>
      </c>
      <c r="K255" s="237" t="str">
        <f t="shared" si="97"/>
        <v>4057/4058</v>
      </c>
      <c r="L255" s="245" t="str">
        <f>VLOOKUP(A255,'Trips&amp;Operators'!$C$1:$G$99911,5,FALSE)</f>
        <v>DE LA ROSA ALEX</v>
      </c>
      <c r="M255" s="224">
        <f t="shared" si="98"/>
        <v>6.5393518525524996E-3</v>
      </c>
      <c r="N255" s="225">
        <f t="shared" si="122"/>
        <v>9.4166666676755995</v>
      </c>
      <c r="O255" s="225"/>
      <c r="P255" s="225"/>
      <c r="Q255" s="228"/>
      <c r="R255" s="242"/>
      <c r="S255" s="249">
        <f t="shared" si="123"/>
        <v>1</v>
      </c>
      <c r="T255" s="242" t="str">
        <f t="shared" si="101"/>
        <v>NorthBound</v>
      </c>
      <c r="U255" s="246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1</v>
      </c>
      <c r="V255" s="248" t="str">
        <f t="shared" si="102"/>
        <v>https://d0f6bd738d7f1b3e5a7ca70fe4ff75f0.us-east-1.aws.found.io/app/kibana#/discover/Steve-Slow-Train-Analysis-(2080s-and-2083s)?_g=(refreshInterval:(display:Off,pause:!f,section:0,value:0),time:(from:'2017-12-20T15:23:03-0700',mode:absolute,to:'2017-12-20T17:45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55" s="247" t="str">
        <f>IF(AA255&lt;VLOOKUP(AG255,Variables!$AC$3:$AD$8,2,FALSE),"Y","N")</f>
        <v>Y</v>
      </c>
      <c r="X255" s="247">
        <f t="shared" si="116"/>
        <v>4</v>
      </c>
      <c r="Y255" s="247">
        <f t="shared" si="124"/>
        <v>0.1484</v>
      </c>
      <c r="Z255" s="247">
        <f t="shared" si="125"/>
        <v>2.3311999999999999</v>
      </c>
      <c r="AA255" s="247">
        <f t="shared" si="104"/>
        <v>2.1827999999999999</v>
      </c>
      <c r="AB255" s="233" t="e">
        <f>VLOOKUP(A255,Enforcements!$C$7:$K$9,8,0)</f>
        <v>#N/A</v>
      </c>
      <c r="AC255" s="232" t="e">
        <f>VLOOKUP(A255,Enforcements!$C$7:$E$9,3,0)</f>
        <v>#N/A</v>
      </c>
      <c r="AD255" s="243">
        <f t="shared" si="105"/>
        <v>81</v>
      </c>
      <c r="AE255" s="235" t="str">
        <f t="shared" si="106"/>
        <v>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 &amp; aws s3 cp s3://rtdc.mdm.uploadarchive.raw/RTDC4058/ "%USERPROFILE%\AppData\Local\Temp\OnboardLogs"\RTDC4058\2017-12-21 --exclude "*" --recursive --include "*20171221*" &amp; "%USERPROFILE%\Documents\GitHub\mrs-test-scripts\Headless Mode &amp; Sideloading\WalkAndUnGZ.bat" "%USERPROFILE%\AppData\Local\Temp\OnboardLogs"\RTDC4058\2017-12-21</v>
      </c>
      <c r="AF255" s="234" t="str">
        <f t="shared" si="107"/>
        <v>"C:\Program Files (x86)\AstroGrep\AstroGrep.exe" /e /r /s /spath="%USERPROFILE%\AppData\Local\Temp\OnboardLogs" /stypes="app*4058*20171220*" /stext=" 23:.+((SYSTEM_STATE.+slice.+state.+changed )|(ment ac)|(multiple cpu faults)|(system.+state.+changed )|(\[timeout)|(PRM\|1\|D)|(kpr)|(kdp)|(train st.+moving)|(\|gpps)|(penalty))"</v>
      </c>
      <c r="AG255" s="244" t="str">
        <f t="shared" si="108"/>
        <v>Shuttle/Test</v>
      </c>
      <c r="AH255" s="236" t="str">
        <f t="shared" si="117"/>
        <v>"%USERPROFILE%\Documents\GitHub\eaglep3\Utilities\RefineRTDCRunTimes.py" --tripid 81-20 --locoid 4058 --swversion DE.1.0.9.0 --startMP 204:1484 --initTime 2017-12-20T16:23:03 --startdatetime 2017-12-20T16:36:29 --delay 180 --endMP 300:23312 --enddatetime 2017-12-20T16:45:54 --enforcementcount 0 &gt;&gt;%USERPROFILE%\Documents\GitHub\eaglep3-reporting\EC\2017-12-20-refined-times.txt</v>
      </c>
      <c r="AI255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2.3312"},{"id":17,"name":"Train ID","value":"81-20"},{"id":16,"name":"Locomotive ID","value":"4058"},{"id":130,"name":"Impact","value":""},{"id":150,"name":"Time of Event (Mountain Time)","value":"16:45:54"},{"id":151,"name":"Denver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5" s="223"/>
      <c r="AK255" s="231"/>
      <c r="AL255" s="231"/>
      <c r="AM255" s="240" t="str">
        <f t="shared" si="119"/>
        <v>start /low /b %USERPROFILE%\Documents\GitHub\eaglep3\Utilities\DownloadLogsFromS3.py --loco 4058 --day 2017-12-20</v>
      </c>
      <c r="AN255" s="241" t="str">
        <f t="shared" si="120"/>
        <v>echo {"issue":{"subject":"","project_id":30,"tracker_id":4,"status_id":1,"priority_id":1,"assigned_to_id":10,"start_date":"2017-12-20","description":"","custom_fields":[{"id":30,"name":"Category","value":"Issue"},{"id":3,"name":"Functional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UTC","value":"2017-12-20 23:45:54"},{"id":29,"name":"Sharepoint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5" s="230" t="str">
        <f t="shared" si="121"/>
        <v>https://d0f6bd738d7f1b3e5a7ca70fe4ff75f0.us-east-1.aws.found.io/app/kibana#/discover/Steve-Slow-Train-Analysis-(2080s-and-2083s)?_g=(refreshInterval:(display:Off,pause:!f,section:0,value:0),time:(from:'2017-12-20T15:23:03-0700',mode:absolute,to:'2017-12-20T17:45:54-0700'))&amp;_a=(columns:!('Message%20ID',Summary),filters:!(),index:'emp_*',interval:auto,query:(query_string:(analyze_wildcard:!t,query:'%22rtdc.l.rtdc.4058%22')),sort:!(Time.ISO8601,asc))</v>
      </c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 s="229" t="s">
        <v>836</v>
      </c>
      <c r="B256" s="225">
        <v>4030</v>
      </c>
      <c r="C256" s="227" t="s">
        <v>192</v>
      </c>
      <c r="D256" s="227" t="s">
        <v>1076</v>
      </c>
      <c r="E256" s="226">
        <v>43089.713738425926</v>
      </c>
      <c r="F256" s="226">
        <v>43089.721284722225</v>
      </c>
      <c r="G256" s="225">
        <v>87</v>
      </c>
      <c r="H256" s="227" t="s">
        <v>630</v>
      </c>
      <c r="I256" s="226">
        <v>43089.728032407409</v>
      </c>
      <c r="J256" s="225">
        <v>0</v>
      </c>
      <c r="K256" s="237" t="str">
        <f t="shared" si="97"/>
        <v>4029/4030</v>
      </c>
      <c r="L256" s="245" t="str">
        <f>VLOOKUP(A256,'Trips&amp;Operators'!$C$1:$G$99911,5,FALSE)</f>
        <v>MOSES BRADLEY</v>
      </c>
      <c r="M256" s="224">
        <f t="shared" si="98"/>
        <v>6.7476851836545393E-3</v>
      </c>
      <c r="N256" s="225">
        <f t="shared" si="122"/>
        <v>9.7166666644625366</v>
      </c>
      <c r="O256" s="225"/>
      <c r="P256" s="225"/>
      <c r="Q256" s="228"/>
      <c r="R256" s="242"/>
      <c r="S256" s="249">
        <f t="shared" si="123"/>
        <v>1</v>
      </c>
      <c r="T256" s="242" t="str">
        <f t="shared" si="101"/>
        <v>NorthBound</v>
      </c>
      <c r="U256" s="246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1</v>
      </c>
      <c r="V256" s="248" t="str">
        <f t="shared" si="102"/>
        <v>https://d0f6bd738d7f1b3e5a7ca70fe4ff75f0.us-east-1.aws.found.io/app/kibana#/discover/Steve-Slow-Train-Analysis-(2080s-and-2083s)?_g=(refreshInterval:(display:Off,pause:!f,section:0,value:0),time:(from:'2017-12-20T16:07:47-0700',mode:absolute,to:'2017-12-20T18:28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56" s="247" t="str">
        <f>IF(AA256&lt;VLOOKUP(AG256,Variables!$AC$3:$AD$8,2,FALSE),"Y","N")</f>
        <v>Y</v>
      </c>
      <c r="X256" s="247">
        <f t="shared" si="116"/>
        <v>2</v>
      </c>
      <c r="Y256" s="247">
        <f t="shared" si="124"/>
        <v>0.1145</v>
      </c>
      <c r="Z256" s="247">
        <f t="shared" si="125"/>
        <v>2.3294999999999999</v>
      </c>
      <c r="AA256" s="247">
        <f t="shared" si="104"/>
        <v>2.2149999999999999</v>
      </c>
      <c r="AB256" s="233" t="e">
        <f>VLOOKUP(A256,Enforcements!$C$7:$K$9,8,0)</f>
        <v>#N/A</v>
      </c>
      <c r="AC256" s="232" t="e">
        <f>VLOOKUP(A256,Enforcements!$C$7:$E$9,3,0)</f>
        <v>#N/A</v>
      </c>
      <c r="AD256" s="243">
        <f t="shared" si="105"/>
        <v>83</v>
      </c>
      <c r="AE256" s="235" t="str">
        <f t="shared" si="106"/>
        <v>aws s3 cp s3://rtdc.mdm.uploadarchive.raw/RTDC4030/ "%USERPROFILE%\AppData\Local\Temp\OnboardLogs"\RTDC4030\2017-12-20 --exclude "*" --recursive --include "*20171220*" &amp; "%USERPROFILE%\Documents\GitHub\mrs-test-scripts\Headless Mode &amp; Sideloading\WalkAndUnGZ.bat" "%USERPROFILE%\AppData\Local\Temp\OnboardLogs"\RTDC4030\2017-12-20 &amp; aws s3 cp s3://rtdc.mdm.uploadarchive.raw/RTDC4030/ "%USERPROFILE%\AppData\Local\Temp\OnboardLogs"\RTDC4030\2017-12-21 --exclude "*" --recursive --include "*20171221*" &amp; "%USERPROFILE%\Documents\GitHub\mrs-test-scripts\Headless Mode &amp; Sideloading\WalkAndUnGZ.bat" "%USERPROFILE%\AppData\Local\Temp\OnboardLogs"\RTDC4030\2017-12-21</v>
      </c>
      <c r="AF256" s="234" t="str">
        <f t="shared" si="107"/>
        <v>"C:\Program Files (x86)\AstroGrep\AstroGrep.exe" /e /r /s /spath="%USERPROFILE%\AppData\Local\Temp\OnboardLogs" /stypes="app*4030*20171221*" /stext=" 00:.+((SYSTEM_STATE.+slice.+state.+changed )|(ment ac)|(multiple cpu faults)|(system.+state.+changed )|(\[timeout)|(PRM\|1\|D)|(kpr)|(kdp)|(train st.+moving)|(\|gpps)|(penalty))"</v>
      </c>
      <c r="AG256" s="244" t="str">
        <f t="shared" si="108"/>
        <v>Shuttle/Test</v>
      </c>
      <c r="AH256" s="236" t="str">
        <f t="shared" si="117"/>
        <v>"%USERPROFILE%\Documents\GitHub\eaglep3\Utilities\RefineRTDCRunTimes.py" --tripid 83-20 --locoid 4030 --swversion DE.1.0.9.0 --startMP 204:1145 --initTime 2017-12-20T17:07:47 --startdatetime 2017-12-20T17:18:39 --delay 87 --endMP 300:23295 --enddatetime 2017-12-20T17:28:22 --enforcementcount 0 &gt;&gt;%USERPROFILE%\Documents\GitHub\eaglep3-reporting\EC\2017-12-20-refined-times.txt</v>
      </c>
      <c r="AI256" s="238" t="str">
        <f t="shared" si="118"/>
        <v>echo {"issue":{"subject":"","project_id":79,"tracker_id":40,"status_id":1,"priority_id":2,"assigned_to_id":338,"start_date":"2017-12-20","description":"","custom_fields":[{"id":1,"name":"Subdivision","value":"Shuttle/Test"},{"id":4,"name":"Milepost","value":"2.3295"},{"id":17,"name":"Train ID","value":"83-20"},{"id":16,"name":"Locomotive ID","value":"4030"},{"id":130,"name":"Impact","value":""},{"id":150,"name":"Time of Event (Mountain Time)","value":"17:28:22"},{"id":151,"name":"Denver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6" s="223"/>
      <c r="AK256" s="231"/>
      <c r="AL256" s="231"/>
      <c r="AM256" s="240" t="str">
        <f t="shared" si="119"/>
        <v>start /low /b %USERPROFILE%\Documents\GitHub\eaglep3\Utilities\DownloadLogsFromS3.py --loco 4030 --day 2017-12-20</v>
      </c>
      <c r="AN256" s="241" t="str">
        <f t="shared" si="120"/>
        <v>echo {"issue":{"subject":"","project_id":30,"tracker_id":4,"status_id":1,"priority_id":1,"assigned_to_id":10,"start_date":"2017-12-21","description":"","custom_fields":[{"id":30,"name":"Category","value":"Issue"},{"id":3,"name":"Functional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UTC","value":"2017-12-21 00:28:22"},{"id":29,"name":"Sharepoint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6" s="230" t="str">
        <f t="shared" si="121"/>
        <v>https://d0f6bd738d7f1b3e5a7ca70fe4ff75f0.us-east-1.aws.found.io/app/kibana#/discover/Steve-Slow-Train-Analysis-(2080s-and-2083s)?_g=(refreshInterval:(display:Off,pause:!f,section:0,value:0),time:(from:'2017-12-20T16:07:47-0700',mode:absolute,to:'2017-12-20T18:28:22-0700'))&amp;_a=(columns:!('Message%20ID',Summary),filters:!(),index:'emp_*',interval:auto,query:(query_string:(analyze_wildcard:!t,query:'%22rtdc.l.rtdc.4030%22')),sort:!(Time.ISO8601,asc))</v>
      </c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23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s="2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s="2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s="2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s="20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s="2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s="20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s="2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s="20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s="20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s="20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s="20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s="20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s="20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s="20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:4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4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4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4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4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4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4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4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4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4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4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4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4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4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4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s="20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:9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s="20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:9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4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4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4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4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4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4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4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4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4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4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</sheetData>
  <autoFilter ref="A12:AG533">
    <sortState ref="A13:AG533">
      <sortCondition ref="AG13:AG256"/>
      <sortCondition ref="AD13:AD256"/>
    </sortState>
  </autoFilter>
  <sortState ref="A13:AN438">
    <sortCondition ref="AG13:AG438"/>
    <sortCondition ref="AD13:AD438"/>
  </sortState>
  <mergeCells count="1">
    <mergeCell ref="A11:P11"/>
  </mergeCells>
  <conditionalFormatting sqref="W11:W12 W539:X1048576 W13:X256">
    <cfRule type="cellIs" dxfId="10" priority="472" operator="equal">
      <formula>"Y"</formula>
    </cfRule>
  </conditionalFormatting>
  <conditionalFormatting sqref="X539:X1048576 X13:X256">
    <cfRule type="cellIs" dxfId="9" priority="455" operator="greaterThan">
      <formula>1</formula>
    </cfRule>
  </conditionalFormatting>
  <conditionalFormatting sqref="X539:X1048576 X12:X256">
    <cfRule type="cellIs" dxfId="8" priority="452" operator="equal">
      <formula>0</formula>
    </cfRule>
  </conditionalFormatting>
  <conditionalFormatting sqref="A13:S256">
    <cfRule type="expression" dxfId="7" priority="446" stopIfTrue="1">
      <formula>$P13&gt;0</formula>
    </cfRule>
    <cfRule type="expression" dxfId="6" priority="44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A13:S256</xm:sqref>
        </x14:conditionalFormatting>
        <x14:conditionalFormatting xmlns:xm="http://schemas.microsoft.com/office/excel/2006/main">
          <x14:cfRule type="expression" priority="13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AK13:AK256</xm:sqref>
        </x14:dataValidation>
        <x14:dataValidation type="list" allowBlank="1" showInputMessage="1" showErrorMessage="1">
          <x14:formula1>
            <xm:f>'Redmine List Values'!$C$2:$C$15</xm:f>
          </x14:formula1>
          <xm:sqref>AL13:AL256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1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COUNTIF($O$7:$O$124,"=Y")</f>
        <v>6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COUNTA($O$7:$O$124)-O2</f>
        <v>19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0" t="str">
        <f>"Eagle P3 Braking Events - "&amp;TEXT(Variables!$A$2,"YYYY-mm-dd")</f>
        <v>Eagle P3 Braking Events - 2017-12-20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342</v>
      </c>
      <c r="X6" s="180" t="s">
        <v>335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43089.608599537038</v>
      </c>
      <c r="B7" s="30" t="s">
        <v>447</v>
      </c>
      <c r="C7" s="30" t="s">
        <v>665</v>
      </c>
      <c r="D7" s="30" t="s">
        <v>49</v>
      </c>
      <c r="E7" s="30" t="s">
        <v>183</v>
      </c>
      <c r="F7" s="42">
        <v>0</v>
      </c>
      <c r="G7" s="42">
        <v>162</v>
      </c>
      <c r="H7" s="42">
        <v>26916</v>
      </c>
      <c r="I7" s="42">
        <v>27074</v>
      </c>
      <c r="J7" s="30" t="s">
        <v>184</v>
      </c>
      <c r="K7" s="42">
        <v>27053</v>
      </c>
      <c r="L7" s="131" t="s">
        <v>50</v>
      </c>
      <c r="M7" s="132">
        <f t="shared" ref="M7:M31" si="0">CONVERT((I7-K7)/10000,"mi","ft")*IF(L7="Increasing Mileposts (1)",-1,1)</f>
        <v>-11.087999999999999</v>
      </c>
      <c r="N7" s="133" t="str">
        <f>VLOOKUP(C7,'Trips&amp;Operators'!$C$1:$G$99911,5,FALSE)</f>
        <v>HOLCOMB KAMDEN</v>
      </c>
      <c r="O7" s="175" t="s">
        <v>178</v>
      </c>
      <c r="P7" s="239" t="s">
        <v>1116</v>
      </c>
      <c r="Q7" s="30"/>
      <c r="R7" s="81" t="str">
        <f>VLOOKUP(C7,'Train Runs'!$A$13:$AE$10192,31,0)</f>
        <v>aws s3 cp s3://rtdc.mdm.uploadarchive.raw/RTDC4052/ "%USERPROFILE%\AppData\Local\Temp\OnboardLogs"\RTDC4052\2017-12-20 --exclude "*" --recursive --include "*20171220*" &amp; "%USERPROFILE%\Documents\GitHub\mrs-test-scripts\Headless Mode &amp; Sideloading\WalkAndUnGZ.bat" "%USERPROFILE%\AppData\Local\Temp\OnboardLogs"\RTDC4052\2017-12-20 &amp; aws s3 cp s3://rtdc.mdm.uploadarchive.raw/RTDC4052/ "%USERPROFILE%\AppData\Local\Temp\OnboardLogs"\RTDC4052\2017-12-21 --exclude "*" --recursive --include "*20171221*" &amp; "%USERPROFILE%\Documents\GitHub\mrs-test-scripts\Headless Mode &amp; Sideloading\WalkAndUnGZ.bat" "%USERPROFILE%\AppData\Local\Temp\OnboardLogs"\RTDC4052\2017-12-21</v>
      </c>
      <c r="S7" s="84" t="str">
        <f>VLOOKUP(C7,'Train Runs'!$A$13:$AE$10192,22,0)</f>
        <v>https://d0f6bd738d7f1b3e5a7ca70fe4ff75f0.us-east-1.aws.found.io/app/kibana#/discover/Steve-Slow-Train-Analysis-(2080s-and-2083s)?_g=(refreshInterval:(display:Off,pause:!f,section:0,value:0),time:(from:'2017-12-20T13:26:40-0700',mode:absolute,to:'2017-12-20T16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7" s="86" t="str">
        <f t="shared" ref="T7:T3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/stypes="*4052*201712202*" /stext=" 21:.+((SYSTEM_STATE.+slice.+state.+changed )|(ment ac)|(multiple cpu faults)|(system.+state.+changed )|(\[timeout)|(PRM\|1\|D)|(kpr)|(kdp)|(train st.+moving)|(\|gpps)|(penalty))"</v>
      </c>
      <c r="U7" s="9" t="str">
        <f t="shared" ref="U7:U31" si="2">MID(B7,13,4)</f>
        <v>4052</v>
      </c>
      <c r="V7" s="31">
        <f t="shared" ref="V7:V31" si="3">A7-utc_offset/24</f>
        <v>43089.900266203702</v>
      </c>
      <c r="W7" s="45" t="str">
        <f t="shared" ref="W7:W31" si="4">DetSubdiv(C7)</f>
        <v>EC</v>
      </c>
      <c r="X7" s="22">
        <f t="shared" ref="X7:X31" si="5">VALUE(LEFT(C7,LEN(C7)-3))</f>
        <v>187</v>
      </c>
      <c r="Y7" s="96" t="str">
        <f t="shared" ref="Y7:Y3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Arrival, 58699 - mistakenly attributed as unhealthy crossing","project_id":79,"tracker_id":40,"status_id":1,"priority_id":2,"assigned_to_id":338,"start_date":"2017-12-20","description":"","custom_fields":[{"id":1,"name":"Subdivision","value":"EC"},{"id":4,"name":"Milepost","value":"2.7053"},{"id":17,"name":"Train ID","value":"187-20"},{"id":16,"name":"Locomotive ID","value":"4052"},{"id":130,"name":"Impact","value":""},{"id":150,"name":"Time of Event (Mountain Time)","value":"14:36:23"},{"id":151,"name":"Denver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31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/c/Users/stu/AppData/Local/Temp/OnboardLogs/RTDC4052 --include="*4052*201712202*"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"%USERPROFILE%\AppData\Local\Temp\OnboardLogs"\RTDC4052\*4052*201712202* &gt;&gt; 2017-12-20-SliceDisagreementCheck.txt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4052 --day 2017-12-20</v>
      </c>
    </row>
    <row r="8" spans="1:32" s="1" customFormat="1" x14ac:dyDescent="0.25">
      <c r="A8" s="31">
        <v>43089.36310185185</v>
      </c>
      <c r="B8" s="30" t="s">
        <v>384</v>
      </c>
      <c r="C8" s="30" t="s">
        <v>655</v>
      </c>
      <c r="D8" s="30" t="s">
        <v>95</v>
      </c>
      <c r="E8" s="30" t="s">
        <v>183</v>
      </c>
      <c r="F8" s="42">
        <v>0</v>
      </c>
      <c r="G8" s="42">
        <v>138</v>
      </c>
      <c r="H8" s="42">
        <v>27328</v>
      </c>
      <c r="I8" s="42">
        <v>27264</v>
      </c>
      <c r="J8" s="30" t="s">
        <v>184</v>
      </c>
      <c r="K8" s="42">
        <v>27350</v>
      </c>
      <c r="L8" s="131" t="s">
        <v>51</v>
      </c>
      <c r="M8" s="132">
        <f t="shared" si="0"/>
        <v>-45.408000000000001</v>
      </c>
      <c r="N8" s="133" t="str">
        <f>VLOOKUP(C8,'Trips&amp;Operators'!$C$1:$G$99911,5,FALSE)</f>
        <v>THOMPSON LESTER</v>
      </c>
      <c r="O8" s="175" t="s">
        <v>178</v>
      </c>
      <c r="P8" s="239" t="s">
        <v>572</v>
      </c>
      <c r="Q8" s="30"/>
      <c r="R8" s="81" t="str">
        <f>VLOOKUP(C8,'Train Runs'!$A$13:$AE$10192,31,0)</f>
        <v>aws s3 cp s3://rtdc.mdm.uploadarchive.raw/RTDC4061/ "%USERPROFILE%\AppData\Local\Temp\OnboardLogs"\RTDC4061\2017-12-20 --exclude "*" --recursive --include "*20171220*" &amp; "%USERPROFILE%\Documents\GitHub\mrs-test-scripts\Headless Mode &amp; Sideloading\WalkAndUnGZ.bat" "%USERPROFILE%\AppData\Local\Temp\OnboardLogs"\RTDC4061\2017-12-20 &amp; aws s3 cp s3://rtdc.mdm.uploadarchive.raw/RTDC4061/ "%USERPROFILE%\AppData\Local\Temp\OnboardLogs"\RTDC4061\2017-12-21 --exclude "*" --recursive --include "*20171221*" &amp; "%USERPROFILE%\Documents\GitHub\mrs-test-scripts\Headless Mode &amp; Sideloading\WalkAndUnGZ.bat" "%USERPROFILE%\AppData\Local\Temp\OnboardLogs"\RTDC4061\2017-12-21</v>
      </c>
      <c r="S8" s="84" t="str">
        <f>VLOOKUP(C8,'Train Runs'!$A$13:$AE$10192,22,0)</f>
        <v>https://d0f6bd738d7f1b3e5a7ca70fe4ff75f0.us-east-1.aws.found.io/app/kibana#/discover/Steve-Slow-Train-Analysis-(2080s-and-2083s)?_g=(refreshInterval:(display:Off,pause:!f,section:0,value:0),time:(from:'2017-12-20T07:09:36-0700',mode:absolute,to:'2017-12-20T09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8" s="86" t="str">
        <f t="shared" si="1"/>
        <v>"C:\Program Files (x86)\AstroGrep\AstroGrep.exe" /e /r /s /spath="%USERPROFILE%\AppData\Local\Temp\OnboardLogs" /stypes="*4061*201712201*" /stext=" 15:.+((SYSTEM_STATE.+slice.+state.+changed )|(ment ac)|(multiple cpu faults)|(system.+state.+changed )|(\[timeout)|(PRM\|1\|D)|(kpr)|(kdp)|(train st.+moving)|(\|gpps)|(penalty))"</v>
      </c>
      <c r="U8" s="9" t="str">
        <f t="shared" si="2"/>
        <v>4061</v>
      </c>
      <c r="V8" s="31">
        <f t="shared" si="3"/>
        <v>43089.654768518514</v>
      </c>
      <c r="W8" s="45" t="str">
        <f t="shared" si="4"/>
        <v>EC</v>
      </c>
      <c r="X8" s="228">
        <f t="shared" si="5"/>
        <v>130</v>
      </c>
      <c r="Y8" s="238" t="str">
        <f t="shared" si="6"/>
        <v>echo {"issue":{"subject":"Early Arrival","project_id":79,"tracker_id":40,"status_id":1,"priority_id":2,"assigned_to_id":338,"start_date":"2017-12-20","description":"","custom_fields":[{"id":1,"name":"Subdivision","value":"EC"},{"id":4,"name":"Milepost","value":"2.735"},{"id":17,"name":"Train ID","value":"130-20"},{"id":16,"name":"Locomotive ID","value":"4061"},{"id":130,"name":"Impact","value":""},{"id":150,"name":"Time of Event (Mountain Time)","value":"08:42:52"},{"id":151,"name":"Denver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/c/Users/stu/AppData/Local/Temp/OnboardLogs/RTDC4061 --include="*4061*201712201*"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"%USERPROFILE%\AppData\Local\Temp\OnboardLogs"\RTDC4061\*4061*201712201* &gt;&gt; 2017-12-20-SliceDisagreementCheck.txt</v>
      </c>
      <c r="AE8" s="144" t="str">
        <f t="shared" ref="AE8:AE31" si="9">"start /low /b "&amp;dls3logs&amp;" --loco "&amp;U8&amp;" --day "&amp;TEXT(V8,"YYYY-MM-DD")</f>
        <v>start /low /b %USERPROFILE%\Documents\GitHub\eaglep3\Utilities\DownloadLogsFromS3.py --loco 4061 --day 2017-12-20</v>
      </c>
    </row>
    <row r="9" spans="1:32" s="1" customFormat="1" x14ac:dyDescent="0.25">
      <c r="A9" s="31">
        <v>43089.872766203705</v>
      </c>
      <c r="B9" s="30" t="s">
        <v>384</v>
      </c>
      <c r="C9" s="30" t="s">
        <v>669</v>
      </c>
      <c r="D9" s="30" t="s">
        <v>49</v>
      </c>
      <c r="E9" s="30" t="s">
        <v>183</v>
      </c>
      <c r="F9" s="42">
        <v>180</v>
      </c>
      <c r="G9" s="42">
        <v>250</v>
      </c>
      <c r="H9" s="42">
        <v>31854</v>
      </c>
      <c r="I9" s="42">
        <v>31357</v>
      </c>
      <c r="J9" s="30" t="s">
        <v>184</v>
      </c>
      <c r="K9" s="42">
        <v>30970</v>
      </c>
      <c r="L9" s="131" t="s">
        <v>51</v>
      </c>
      <c r="M9" s="132">
        <f t="shared" si="0"/>
        <v>204.33600000000001</v>
      </c>
      <c r="N9" s="133" t="str">
        <f>VLOOKUP(C9,'Trips&amp;Operators'!$C$1:$G$99911,5,FALSE)</f>
        <v>RESPASS AARON</v>
      </c>
      <c r="O9" s="175" t="s">
        <v>178</v>
      </c>
      <c r="P9" s="239" t="s">
        <v>572</v>
      </c>
      <c r="Q9" s="30"/>
      <c r="R9" s="81" t="str">
        <f>VLOOKUP(C9,'Train Runs'!$A$13:$AE$10192,31,0)</f>
        <v>aws s3 cp s3://rtdc.mdm.uploadarchive.raw/RTDC4061/ "%USERPROFILE%\AppData\Local\Temp\OnboardLogs"\RTDC4061\2017-12-20 --exclude "*" --recursive --include "*20171220*" &amp; "%USERPROFILE%\Documents\GitHub\mrs-test-scripts\Headless Mode &amp; Sideloading\WalkAndUnGZ.bat" "%USERPROFILE%\AppData\Local\Temp\OnboardLogs"\RTDC4061\2017-12-20 &amp; aws s3 cp s3://rtdc.mdm.uploadarchive.raw/RTDC4061/ "%USERPROFILE%\AppData\Local\Temp\OnboardLogs"\RTDC4061\2017-12-21 --exclude "*" --recursive --include "*20171221*" &amp; "%USERPROFILE%\Documents\GitHub\mrs-test-scripts\Headless Mode &amp; Sideloading\WalkAndUnGZ.bat" "%USERPROFILE%\AppData\Local\Temp\OnboardLogs"\RTDC4061\2017-12-21</v>
      </c>
      <c r="S9" s="84" t="str">
        <f>VLOOKUP(C9,'Train Runs'!$A$13:$AE$10192,22,0)</f>
        <v>https://d0f6bd738d7f1b3e5a7ca70fe4ff75f0.us-east-1.aws.found.io/app/kibana#/discover/Steve-Slow-Train-Analysis-(2080s-and-2083s)?_g=(refreshInterval:(display:Off,pause:!f,section:0,value:0),time:(from:'2017-12-20T19:11:55-0700',mode:absolute,to:'2017-12-20T22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9" s="86" t="str">
        <f t="shared" si="1"/>
        <v>"C:\Program Files (x86)\AstroGrep\AstroGrep.exe" /e /r /s /spath="%USERPROFILE%\AppData\Local\Temp\OnboardLogs" /stypes="*4061*201712210*" /stext=" 03:.+((SYSTEM_STATE.+slice.+state.+changed )|(ment ac)|(multiple cpu faults)|(system.+state.+changed )|(\[timeout)|(PRM\|1\|D)|(kpr)|(kdp)|(train st.+moving)|(\|gpps)|(penalty))"</v>
      </c>
      <c r="U9" s="9" t="str">
        <f t="shared" si="2"/>
        <v>4061</v>
      </c>
      <c r="V9" s="31">
        <f t="shared" si="3"/>
        <v>43090.16443287037</v>
      </c>
      <c r="W9" s="45" t="str">
        <f t="shared" si="4"/>
        <v>EC</v>
      </c>
      <c r="X9" s="228">
        <f t="shared" si="5"/>
        <v>224</v>
      </c>
      <c r="Y9" s="238" t="str">
        <f t="shared" si="6"/>
        <v>echo {"issue":{"subject":"Early Arrival","project_id":79,"tracker_id":40,"status_id":1,"priority_id":2,"assigned_to_id":338,"start_date":"2017-12-20","description":"","custom_fields":[{"id":1,"name":"Subdivision","value":"EC"},{"id":4,"name":"Milepost","value":"3.097"},{"id":17,"name":"Train ID","value":"224-20"},{"id":16,"name":"Locomotive ID","value":"4061"},{"id":130,"name":"Impact","value":""},{"id":150,"name":"Time of Event (Mountain Time)","value":"20:56:47"},{"id":151,"name":"Denver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/c/Users/stu/AppData/Local/Temp/OnboardLogs/RTDC4061 --include="*4061*201712210*"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"%USERPROFILE%\AppData\Local\Temp\OnboardLogs"\RTDC4061\*4061*201712210* &gt;&gt; 2017-12-20-SliceDisagreementCheck.txt</v>
      </c>
      <c r="AE9" s="144" t="str">
        <f t="shared" si="9"/>
        <v>start /low /b %USERPROFILE%\Documents\GitHub\eaglep3\Utilities\DownloadLogsFromS3.py --loco 4061 --day 2017-12-21</v>
      </c>
    </row>
    <row r="10" spans="1:32" x14ac:dyDescent="0.25">
      <c r="A10" s="31">
        <v>43089.610219907408</v>
      </c>
      <c r="B10" s="30" t="s">
        <v>447</v>
      </c>
      <c r="C10" s="30" t="s">
        <v>665</v>
      </c>
      <c r="D10" s="30" t="s">
        <v>49</v>
      </c>
      <c r="E10" s="30" t="s">
        <v>183</v>
      </c>
      <c r="F10" s="42">
        <v>350</v>
      </c>
      <c r="G10" s="42">
        <v>400</v>
      </c>
      <c r="H10" s="42">
        <v>32735</v>
      </c>
      <c r="I10" s="42">
        <v>33555</v>
      </c>
      <c r="J10" s="30" t="s">
        <v>184</v>
      </c>
      <c r="K10" s="42">
        <v>33137</v>
      </c>
      <c r="L10" s="131" t="s">
        <v>50</v>
      </c>
      <c r="M10" s="132">
        <f t="shared" si="0"/>
        <v>-220.70400000000001</v>
      </c>
      <c r="N10" s="133" t="str">
        <f>VLOOKUP(C10,'Trips&amp;Operators'!$C$1:$G$99911,5,FALSE)</f>
        <v>HOLCOMB KAMDEN</v>
      </c>
      <c r="O10" s="175" t="s">
        <v>178</v>
      </c>
      <c r="P10" s="239" t="s">
        <v>1116</v>
      </c>
      <c r="Q10" s="30"/>
      <c r="R10" s="81" t="str">
        <f>VLOOKUP(C10,'Train Runs'!$A$13:$AE$10192,31,0)</f>
        <v>aws s3 cp s3://rtdc.mdm.uploadarchive.raw/RTDC4052/ "%USERPROFILE%\AppData\Local\Temp\OnboardLogs"\RTDC4052\2017-12-20 --exclude "*" --recursive --include "*20171220*" &amp; "%USERPROFILE%\Documents\GitHub\mrs-test-scripts\Headless Mode &amp; Sideloading\WalkAndUnGZ.bat" "%USERPROFILE%\AppData\Local\Temp\OnboardLogs"\RTDC4052\2017-12-20 &amp; aws s3 cp s3://rtdc.mdm.uploadarchive.raw/RTDC4052/ "%USERPROFILE%\AppData\Local\Temp\OnboardLogs"\RTDC4052\2017-12-21 --exclude "*" --recursive --include "*20171221*" &amp; "%USERPROFILE%\Documents\GitHub\mrs-test-scripts\Headless Mode &amp; Sideloading\WalkAndUnGZ.bat" "%USERPROFILE%\AppData\Local\Temp\OnboardLogs"\RTDC4052\2017-12-21</v>
      </c>
      <c r="S10" s="84" t="str">
        <f>VLOOKUP(C10,'Train Runs'!$A$13:$AE$10192,22,0)</f>
        <v>https://d0f6bd738d7f1b3e5a7ca70fe4ff75f0.us-east-1.aws.found.io/app/kibana#/discover/Steve-Slow-Train-Analysis-(2080s-and-2083s)?_g=(refreshInterval:(display:Off,pause:!f,section:0,value:0),time:(from:'2017-12-20T13:26:40-0700',mode:absolute,to:'2017-12-20T16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0" s="86" t="str">
        <f t="shared" si="1"/>
        <v>"C:\Program Files (x86)\AstroGrep\AstroGrep.exe" /e /r /s /spath="%USERPROFILE%\AppData\Local\Temp\OnboardLogs" /stypes="*4052*201712202*" /stext=" 21:.+((SYSTEM_STATE.+slice.+state.+changed )|(ment ac)|(multiple cpu faults)|(system.+state.+changed )|(\[timeout)|(PRM\|1\|D)|(kpr)|(kdp)|(train st.+moving)|(\|gpps)|(penalty))"</v>
      </c>
      <c r="U10" s="9" t="str">
        <f t="shared" si="2"/>
        <v>4052</v>
      </c>
      <c r="V10" s="31">
        <f t="shared" si="3"/>
        <v>43089.901886574073</v>
      </c>
      <c r="W10" s="45" t="str">
        <f t="shared" si="4"/>
        <v>EC</v>
      </c>
      <c r="X10" s="228">
        <f t="shared" si="5"/>
        <v>187</v>
      </c>
      <c r="Y10" s="238" t="str">
        <f t="shared" si="6"/>
        <v>echo {"issue":{"subject":"Early Arrival, 58699 - mistakenly attributed as unhealthy crossing","project_id":79,"tracker_id":40,"status_id":1,"priority_id":2,"assigned_to_id":338,"start_date":"2017-12-20","description":"","custom_fields":[{"id":1,"name":"Subdivision","value":"EC"},{"id":4,"name":"Milepost","value":"3.3137"},{"id":17,"name":"Train ID","value":"187-20"},{"id":16,"name":"Locomotive ID","value":"4052"},{"id":130,"name":"Impact","value":""},{"id":150,"name":"Time of Event (Mountain Time)","value":"14:38:43"},{"id":151,"name":"Denver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/c/Users/stu/AppData/Local/Temp/OnboardLogs/RTDC4052 --include="*4052*201712202*"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"%USERPROFILE%\AppData\Local\Temp\OnboardLogs"\RTDC4052\*4052*201712202* &gt;&gt; 2017-12-20-SliceDisagreementCheck.txt</v>
      </c>
      <c r="AE10" s="144" t="str">
        <f t="shared" si="9"/>
        <v>start /low /b %USERPROFILE%\Documents\GitHub\eaglep3\Utilities\DownloadLogsFromS3.py --loco 4052 --day 2017-12-20</v>
      </c>
      <c r="AF10" s="1"/>
    </row>
    <row r="11" spans="1:32" x14ac:dyDescent="0.25">
      <c r="A11" s="31">
        <v>43089.193553240744</v>
      </c>
      <c r="B11" s="30" t="s">
        <v>479</v>
      </c>
      <c r="C11" s="30" t="s">
        <v>648</v>
      </c>
      <c r="D11" s="30" t="s">
        <v>49</v>
      </c>
      <c r="E11" s="30" t="s">
        <v>183</v>
      </c>
      <c r="F11" s="42">
        <v>0</v>
      </c>
      <c r="G11" s="42">
        <v>160</v>
      </c>
      <c r="H11" s="42">
        <v>48542</v>
      </c>
      <c r="I11" s="42">
        <v>48336</v>
      </c>
      <c r="J11" s="30" t="s">
        <v>184</v>
      </c>
      <c r="K11" s="42">
        <v>48048</v>
      </c>
      <c r="L11" s="131" t="s">
        <v>51</v>
      </c>
      <c r="M11" s="132">
        <f t="shared" si="0"/>
        <v>152.06399999999999</v>
      </c>
      <c r="N11" s="133" t="str">
        <f>VLOOKUP(C11,'Trips&amp;Operators'!$C$1:$G$99911,5,FALSE)</f>
        <v>BONDS REYNALDO</v>
      </c>
      <c r="O11" s="175" t="s">
        <v>178</v>
      </c>
      <c r="P11" s="239" t="s">
        <v>1112</v>
      </c>
      <c r="Q11" s="30"/>
      <c r="R11" s="81" t="str">
        <f>VLOOKUP(C11,'Train Runs'!$A$13:$AE$10192,31,0)</f>
        <v>aws s3 cp s3://rtdc.mdm.uploadarchive.raw/RTDC4009/ "%USERPROFILE%\AppData\Local\Temp\OnboardLogs"\RTDC4009\2017-12-20 --exclude "*" --recursive --include "*20171220*" &amp; "%USERPROFILE%\Documents\GitHub\mrs-test-scripts\Headless Mode &amp; Sideloading\WalkAndUnGZ.bat" "%USERPROFILE%\AppData\Local\Temp\OnboardLogs"\RTDC4009\2017-12-20 &amp; aws s3 cp s3://rtdc.mdm.uploadarchive.raw/RTDC4009/ "%USERPROFILE%\AppData\Local\Temp\OnboardLogs"\RTDC4009\2017-12-21 --exclude "*" --recursive --include "*20171221*" &amp; "%USERPROFILE%\Documents\GitHub\mrs-test-scripts\Headless Mode &amp; Sideloading\WalkAndUnGZ.bat" "%USERPROFILE%\AppData\Local\Temp\OnboardLogs"\RTDC4009\2017-12-21</v>
      </c>
      <c r="S11" s="84" t="str">
        <f>VLOOKUP(C11,'Train Runs'!$A$13:$AE$10192,22,0)</f>
        <v>https://d0f6bd738d7f1b3e5a7ca70fe4ff75f0.us-east-1.aws.found.io/app/kibana#/discover/Steve-Slow-Train-Analysis-(2080s-and-2083s)?_g=(refreshInterval:(display:Off,pause:!f,section:0,value:0),time:(from:'2017-12-20T03:06:53-0700',mode:absolute,to:'2017-12-20T05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1" s="86" t="str">
        <f t="shared" si="1"/>
        <v>"C:\Program Files (x86)\AstroGrep\AstroGrep.exe" /e /r /s /spath="%USERPROFILE%\AppData\Local\Temp\OnboardLogs" /stypes="*4009*201712201*" /stext=" 11:.+((SYSTEM_STATE.+slice.+state.+changed )|(ment ac)|(multiple cpu faults)|(system.+state.+changed )|(\[timeout)|(PRM\|1\|D)|(kpr)|(kdp)|(train st.+moving)|(\|gpps)|(penalty))"</v>
      </c>
      <c r="U11" s="9" t="str">
        <f t="shared" si="2"/>
        <v>4009</v>
      </c>
      <c r="V11" s="31">
        <f t="shared" si="3"/>
        <v>43089.485219907408</v>
      </c>
      <c r="W11" s="45" t="str">
        <f t="shared" si="4"/>
        <v>EC</v>
      </c>
      <c r="X11" s="228">
        <f t="shared" si="5"/>
        <v>102</v>
      </c>
      <c r="Y11" s="238" t="str">
        <f t="shared" si="6"/>
        <v>echo {"issue":{"subject":"Form C","project_id":79,"tracker_id":40,"status_id":1,"priority_id":2,"assigned_to_id":338,"start_date":"2017-12-20","description":"","custom_fields":[{"id":1,"name":"Subdivision","value":"EC"},{"id":4,"name":"Milepost","value":"4.8048"},{"id":17,"name":"Train ID","value":"102-20"},{"id":16,"name":"Locomotive ID","value":"4009"},{"id":130,"name":"Impact","value":""},{"id":150,"name":"Time of Event (Mountain Time)","value":"04:38:43"},{"id":151,"name":"Denver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/c/Users/stu/AppData/Local/Temp/OnboardLogs/RTDC4009 --include="*4009*201712201*"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"%USERPROFILE%\AppData\Local\Temp\OnboardLogs"\RTDC4009\*4009*201712201* &gt;&gt; 2017-12-20-SliceDisagreementCheck.txt</v>
      </c>
      <c r="AE11" s="144" t="str">
        <f t="shared" si="9"/>
        <v>start /low /b %USERPROFILE%\Documents\GitHub\eaglep3\Utilities\DownloadLogsFromS3.py --loco 4009 --day 2017-12-20</v>
      </c>
      <c r="AF11" s="1"/>
    </row>
    <row r="12" spans="1:32" x14ac:dyDescent="0.25">
      <c r="A12" s="31">
        <v>43089.863796296297</v>
      </c>
      <c r="B12" s="30" t="s">
        <v>384</v>
      </c>
      <c r="C12" s="30" t="s">
        <v>669</v>
      </c>
      <c r="D12" s="30" t="s">
        <v>49</v>
      </c>
      <c r="E12" s="30" t="s">
        <v>183</v>
      </c>
      <c r="F12" s="42">
        <v>0</v>
      </c>
      <c r="G12" s="42">
        <v>369</v>
      </c>
      <c r="H12" s="42">
        <v>109471</v>
      </c>
      <c r="I12" s="42">
        <v>108915</v>
      </c>
      <c r="J12" s="30" t="s">
        <v>184</v>
      </c>
      <c r="K12" s="42">
        <v>109135</v>
      </c>
      <c r="L12" s="131" t="s">
        <v>51</v>
      </c>
      <c r="M12" s="132">
        <f t="shared" si="0"/>
        <v>-116.16</v>
      </c>
      <c r="N12" s="133" t="str">
        <f>VLOOKUP(C12,'Trips&amp;Operators'!$C$1:$G$99911,5,FALSE)</f>
        <v>RESPASS AARON</v>
      </c>
      <c r="O12" s="175" t="s">
        <v>178</v>
      </c>
      <c r="P12" s="239" t="s">
        <v>572</v>
      </c>
      <c r="Q12" s="30"/>
      <c r="R12" s="81" t="str">
        <f>VLOOKUP(C12,'Train Runs'!$A$13:$AE$10192,31,0)</f>
        <v>aws s3 cp s3://rtdc.mdm.uploadarchive.raw/RTDC4061/ "%USERPROFILE%\AppData\Local\Temp\OnboardLogs"\RTDC4061\2017-12-20 --exclude "*" --recursive --include "*20171220*" &amp; "%USERPROFILE%\Documents\GitHub\mrs-test-scripts\Headless Mode &amp; Sideloading\WalkAndUnGZ.bat" "%USERPROFILE%\AppData\Local\Temp\OnboardLogs"\RTDC4061\2017-12-20 &amp; aws s3 cp s3://rtdc.mdm.uploadarchive.raw/RTDC4061/ "%USERPROFILE%\AppData\Local\Temp\OnboardLogs"\RTDC4061\2017-12-21 --exclude "*" --recursive --include "*20171221*" &amp; "%USERPROFILE%\Documents\GitHub\mrs-test-scripts\Headless Mode &amp; Sideloading\WalkAndUnGZ.bat" "%USERPROFILE%\AppData\Local\Temp\OnboardLogs"\RTDC4061\2017-12-21</v>
      </c>
      <c r="S12" s="84" t="str">
        <f>VLOOKUP(C12,'Train Runs'!$A$13:$AE$10192,22,0)</f>
        <v>https://d0f6bd738d7f1b3e5a7ca70fe4ff75f0.us-east-1.aws.found.io/app/kibana#/discover/Steve-Slow-Train-Analysis-(2080s-and-2083s)?_g=(refreshInterval:(display:Off,pause:!f,section:0,value:0),time:(from:'2017-12-20T19:11:55-0700',mode:absolute,to:'2017-12-20T22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2" s="86" t="str">
        <f t="shared" si="1"/>
        <v>"C:\Program Files (x86)\AstroGrep\AstroGrep.exe" /e /r /s /spath="%USERPROFILE%\AppData\Local\Temp\OnboardLogs" /stypes="*4061*201712210*" /stext=" 03:.+((SYSTEM_STATE.+slice.+state.+changed )|(ment ac)|(multiple cpu faults)|(system.+state.+changed )|(\[timeout)|(PRM\|1\|D)|(kpr)|(kdp)|(train st.+moving)|(\|gpps)|(penalty))"</v>
      </c>
      <c r="U12" s="9" t="str">
        <f t="shared" si="2"/>
        <v>4061</v>
      </c>
      <c r="V12" s="31">
        <f t="shared" si="3"/>
        <v>43090.155462962961</v>
      </c>
      <c r="W12" s="45" t="str">
        <f t="shared" si="4"/>
        <v>EC</v>
      </c>
      <c r="X12" s="228">
        <f t="shared" si="5"/>
        <v>224</v>
      </c>
      <c r="Y12" s="238" t="str">
        <f t="shared" si="6"/>
        <v>echo {"issue":{"subject":"Early Arrival","project_id":79,"tracker_id":40,"status_id":1,"priority_id":2,"assigned_to_id":338,"start_date":"2017-12-20","description":"","custom_fields":[{"id":1,"name":"Subdivision","value":"EC"},{"id":4,"name":"Milepost","value":"10.9135"},{"id":17,"name":"Train ID","value":"224-20"},{"id":16,"name":"Locomotive ID","value":"4061"},{"id":130,"name":"Impact","value":""},{"id":150,"name":"Time of Event (Mountain Time)","value":"20:43:52"},{"id":151,"name":"Denver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/c/Users/stu/AppData/Local/Temp/OnboardLogs/RTDC4061 --include="*4061*201712210*"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"%USERPROFILE%\AppData\Local\Temp\OnboardLogs"\RTDC4061\*4061*201712210* &gt;&gt; 2017-12-20-SliceDisagreementCheck.txt</v>
      </c>
      <c r="AE12" s="144" t="str">
        <f t="shared" si="9"/>
        <v>start /low /b %USERPROFILE%\Documents\GitHub\eaglep3\Utilities\DownloadLogsFromS3.py --loco 4061 --day 2017-12-21</v>
      </c>
      <c r="AF12" s="1"/>
    </row>
    <row r="13" spans="1:32" x14ac:dyDescent="0.25">
      <c r="A13" s="31">
        <v>43089.186574074076</v>
      </c>
      <c r="B13" s="30" t="s">
        <v>479</v>
      </c>
      <c r="C13" s="30" t="s">
        <v>648</v>
      </c>
      <c r="D13" s="30" t="s">
        <v>49</v>
      </c>
      <c r="E13" s="30" t="s">
        <v>183</v>
      </c>
      <c r="F13" s="42">
        <v>350</v>
      </c>
      <c r="G13" s="42">
        <v>402</v>
      </c>
      <c r="H13" s="42">
        <v>110096</v>
      </c>
      <c r="I13" s="42">
        <v>109004</v>
      </c>
      <c r="J13" s="30" t="s">
        <v>184</v>
      </c>
      <c r="K13" s="42">
        <v>109135</v>
      </c>
      <c r="L13" s="131" t="s">
        <v>51</v>
      </c>
      <c r="M13" s="132">
        <f t="shared" si="0"/>
        <v>-69.168000000000006</v>
      </c>
      <c r="N13" s="133" t="str">
        <f>VLOOKUP(C13,'Trips&amp;Operators'!$C$1:$G$99911,5,FALSE)</f>
        <v>BONDS REYNALDO</v>
      </c>
      <c r="O13" s="175" t="s">
        <v>178</v>
      </c>
      <c r="P13" s="239" t="s">
        <v>572</v>
      </c>
      <c r="Q13" s="30"/>
      <c r="R13" s="81" t="str">
        <f>VLOOKUP(C13,'Train Runs'!$A$13:$AE$10192,31,0)</f>
        <v>aws s3 cp s3://rtdc.mdm.uploadarchive.raw/RTDC4009/ "%USERPROFILE%\AppData\Local\Temp\OnboardLogs"\RTDC4009\2017-12-20 --exclude "*" --recursive --include "*20171220*" &amp; "%USERPROFILE%\Documents\GitHub\mrs-test-scripts\Headless Mode &amp; Sideloading\WalkAndUnGZ.bat" "%USERPROFILE%\AppData\Local\Temp\OnboardLogs"\RTDC4009\2017-12-20 &amp; aws s3 cp s3://rtdc.mdm.uploadarchive.raw/RTDC4009/ "%USERPROFILE%\AppData\Local\Temp\OnboardLogs"\RTDC4009\2017-12-21 --exclude "*" --recursive --include "*20171221*" &amp; "%USERPROFILE%\Documents\GitHub\mrs-test-scripts\Headless Mode &amp; Sideloading\WalkAndUnGZ.bat" "%USERPROFILE%\AppData\Local\Temp\OnboardLogs"\RTDC4009\2017-12-21</v>
      </c>
      <c r="S13" s="84" t="str">
        <f>VLOOKUP(C13,'Train Runs'!$A$13:$AE$10192,22,0)</f>
        <v>https://d0f6bd738d7f1b3e5a7ca70fe4ff75f0.us-east-1.aws.found.io/app/kibana#/discover/Steve-Slow-Train-Analysis-(2080s-and-2083s)?_g=(refreshInterval:(display:Off,pause:!f,section:0,value:0),time:(from:'2017-12-20T03:06:53-0700',mode:absolute,to:'2017-12-20T05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3" s="86" t="str">
        <f t="shared" si="1"/>
        <v>"C:\Program Files (x86)\AstroGrep\AstroGrep.exe" /e /r /s /spath="%USERPROFILE%\AppData\Local\Temp\OnboardLogs" /stypes="*4009*201712201*" /stext=" 11:.+((SYSTEM_STATE.+slice.+state.+changed )|(ment ac)|(multiple cpu faults)|(system.+state.+changed )|(\[timeout)|(PRM\|1\|D)|(kpr)|(kdp)|(train st.+moving)|(\|gpps)|(penalty))"</v>
      </c>
      <c r="U13" s="9" t="str">
        <f t="shared" si="2"/>
        <v>4009</v>
      </c>
      <c r="V13" s="31">
        <f t="shared" si="3"/>
        <v>43089.47824074074</v>
      </c>
      <c r="W13" s="45" t="str">
        <f t="shared" si="4"/>
        <v>EC</v>
      </c>
      <c r="X13" s="228">
        <f t="shared" si="5"/>
        <v>102</v>
      </c>
      <c r="Y13" s="238" t="str">
        <f t="shared" si="6"/>
        <v>echo {"issue":{"subject":"Early Arrival","project_id":79,"tracker_id":40,"status_id":1,"priority_id":2,"assigned_to_id":338,"start_date":"2017-12-20","description":"","custom_fields":[{"id":1,"name":"Subdivision","value":"EC"},{"id":4,"name":"Milepost","value":"10.9135"},{"id":17,"name":"Train ID","value":"102-20"},{"id":16,"name":"Locomotive ID","value":"4009"},{"id":130,"name":"Impact","value":""},{"id":150,"name":"Time of Event (Mountain Time)","value":"04:28:40"},{"id":151,"name":"Denver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/c/Users/stu/AppData/Local/Temp/OnboardLogs/RTDC4009 --include="*4009*201712201*"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"%USERPROFILE%\AppData\Local\Temp\OnboardLogs"\RTDC4009\*4009*201712201* &gt;&gt; 2017-12-20-SliceDisagreementCheck.txt</v>
      </c>
      <c r="AE13" s="144" t="str">
        <f t="shared" si="9"/>
        <v>start /low /b %USERPROFILE%\Documents\GitHub\eaglep3\Utilities\DownloadLogsFromS3.py --loco 4009 --day 2017-12-20</v>
      </c>
      <c r="AF13" s="1"/>
    </row>
    <row r="14" spans="1:32" x14ac:dyDescent="0.25">
      <c r="A14" s="31">
        <v>43089.306018518517</v>
      </c>
      <c r="B14" s="30" t="s">
        <v>382</v>
      </c>
      <c r="C14" s="30" t="s">
        <v>652</v>
      </c>
      <c r="D14" s="30" t="s">
        <v>49</v>
      </c>
      <c r="E14" s="30" t="s">
        <v>190</v>
      </c>
      <c r="F14" s="42">
        <v>300</v>
      </c>
      <c r="G14" s="42">
        <v>350</v>
      </c>
      <c r="H14" s="42">
        <v>20296</v>
      </c>
      <c r="I14" s="42">
        <v>21265</v>
      </c>
      <c r="J14" s="30" t="s">
        <v>191</v>
      </c>
      <c r="K14" s="42">
        <v>20338</v>
      </c>
      <c r="L14" s="131" t="s">
        <v>50</v>
      </c>
      <c r="M14" s="132">
        <f t="shared" si="0"/>
        <v>-489.45600000000002</v>
      </c>
      <c r="N14" s="133" t="str">
        <f>VLOOKUP(C14,'Trips&amp;Operators'!$C$1:$G$99911,5,FALSE)</f>
        <v>THOMPSON LESTER</v>
      </c>
      <c r="O14" s="175" t="s">
        <v>178</v>
      </c>
      <c r="P14" s="239"/>
      <c r="Q14" s="30"/>
      <c r="R14" s="81" t="str">
        <f>VLOOKUP(C14,'Train Runs'!$A$13:$AE$10192,31,0)</f>
        <v>aws s3 cp s3://rtdc.mdm.uploadarchive.raw/RTDC4062/ "%USERPROFILE%\AppData\Local\Temp\OnboardLogs"\RTDC4062\2017-12-20 --exclude "*" --recursive --include "*20171220*" &amp; "%USERPROFILE%\Documents\GitHub\mrs-test-scripts\Headless Mode &amp; Sideloading\WalkAndUnGZ.bat" "%USERPROFILE%\AppData\Local\Temp\OnboardLogs"\RTDC4062\2017-12-20 &amp; aws s3 cp s3://rtdc.mdm.uploadarchive.raw/RTDC4062/ "%USERPROFILE%\AppData\Local\Temp\OnboardLogs"\RTDC4062\2017-12-21 --exclude "*" --recursive --include "*20171221*" &amp; "%USERPROFILE%\Documents\GitHub\mrs-test-scripts\Headless Mode &amp; Sideloading\WalkAndUnGZ.bat" "%USERPROFILE%\AppData\Local\Temp\OnboardLogs"\RTDC4062\2017-12-21</v>
      </c>
      <c r="S14" s="84" t="str">
        <f>VLOOKUP(C14,'Train Runs'!$A$13:$AE$10192,22,0)</f>
        <v>https://d0f6bd738d7f1b3e5a7ca70fe4ff75f0.us-east-1.aws.found.io/app/kibana#/discover/Steve-Slow-Train-Analysis-(2080s-and-2083s)?_g=(refreshInterval:(display:Off,pause:!f,section:0,value:0),time:(from:'2017-12-20T06:11:46-0700',mode:absolute,to:'2017-12-20T08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4" s="86" t="str">
        <f t="shared" si="1"/>
        <v>"C:\Program Files (x86)\AstroGrep\AstroGrep.exe" /e /r /s /spath="%USERPROFILE%\AppData\Local\Temp\OnboardLogs" /stypes="*4062*201712201*" /stext=" 14:.+((SYSTEM_STATE.+slice.+state.+changed )|(ment ac)|(multiple cpu faults)|(system.+state.+changed )|(\[timeout)|(PRM\|1\|D)|(kpr)|(kdp)|(train st.+moving)|(\|gpps)|(penalty))"</v>
      </c>
      <c r="U14" s="9" t="str">
        <f t="shared" si="2"/>
        <v>4062</v>
      </c>
      <c r="V14" s="31">
        <f t="shared" si="3"/>
        <v>43089.597685185181</v>
      </c>
      <c r="W14" s="45" t="str">
        <f t="shared" si="4"/>
        <v>EC</v>
      </c>
      <c r="X14" s="228">
        <f t="shared" si="5"/>
        <v>129</v>
      </c>
      <c r="Y14" s="238" t="str">
        <f t="shared" si="6"/>
        <v>echo {"issue":{"subject":"","project_id":79,"tracker_id":40,"status_id":1,"priority_id":2,"assigned_to_id":338,"start_date":"2017-12-20","description":"","custom_fields":[{"id":1,"name":"Subdivision","value":"EC"},{"id":4,"name":"Milepost","value":"2.0338"},{"id":17,"name":"Train ID","value":"129-20"},{"id":16,"name":"Locomotive ID","value":"4062"},{"id":130,"name":"Impact","value":""},{"id":150,"name":"Time of Event (Mountain Time)","value":"07:20:40"},{"id":151,"name":"Denver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/c/Users/stu/AppData/Local/Temp/OnboardLogs/RTDC4062 --include="*4062*201712201*"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"%USERPROFILE%\AppData\Local\Temp\OnboardLogs"\RTDC4062\*4062*201712201* &gt;&gt; 2017-12-20-SliceDisagreementCheck.txt</v>
      </c>
      <c r="AE14" s="144" t="str">
        <f t="shared" si="9"/>
        <v>start /low /b %USERPROFILE%\Documents\GitHub\eaglep3\Utilities\DownloadLogsFromS3.py --loco 4062 --day 2017-12-20</v>
      </c>
      <c r="AF14" s="1"/>
    </row>
    <row r="15" spans="1:32" x14ac:dyDescent="0.25">
      <c r="A15" s="31">
        <v>43089.343391203707</v>
      </c>
      <c r="B15" s="30" t="s">
        <v>479</v>
      </c>
      <c r="C15" s="30" t="s">
        <v>653</v>
      </c>
      <c r="D15" s="30" t="s">
        <v>49</v>
      </c>
      <c r="E15" s="30" t="s">
        <v>190</v>
      </c>
      <c r="F15" s="42">
        <v>300</v>
      </c>
      <c r="G15" s="42">
        <v>400</v>
      </c>
      <c r="H15" s="42">
        <v>23054</v>
      </c>
      <c r="I15" s="42">
        <v>21952</v>
      </c>
      <c r="J15" s="30" t="s">
        <v>191</v>
      </c>
      <c r="K15" s="42">
        <v>21848</v>
      </c>
      <c r="L15" s="131" t="s">
        <v>51</v>
      </c>
      <c r="M15" s="132">
        <f t="shared" si="0"/>
        <v>54.911999999999999</v>
      </c>
      <c r="N15" s="133" t="str">
        <f>VLOOKUP(C15,'Trips&amp;Operators'!$C$1:$G$99911,5,FALSE)</f>
        <v>BONDS REYNALDO</v>
      </c>
      <c r="O15" s="175" t="s">
        <v>178</v>
      </c>
      <c r="P15" s="239" t="s">
        <v>1115</v>
      </c>
      <c r="Q15" s="30"/>
      <c r="R15" s="81" t="str">
        <f>VLOOKUP(C15,'Train Runs'!$A$13:$AE$10192,31,0)</f>
        <v>aws s3 cp s3://rtdc.mdm.uploadarchive.raw/RTDC4009/ "%USERPROFILE%\AppData\Local\Temp\OnboardLogs"\RTDC4009\2017-12-20 --exclude "*" --recursive --include "*20171220*" &amp; "%USERPROFILE%\Documents\GitHub\mrs-test-scripts\Headless Mode &amp; Sideloading\WalkAndUnGZ.bat" "%USERPROFILE%\AppData\Local\Temp\OnboardLogs"\RTDC4009\2017-12-20 &amp; aws s3 cp s3://rtdc.mdm.uploadarchive.raw/RTDC4009/ "%USERPROFILE%\AppData\Local\Temp\OnboardLogs"\RTDC4009\2017-12-21 --exclude "*" --recursive --include "*20171221*" &amp; "%USERPROFILE%\Documents\GitHub\mrs-test-scripts\Headless Mode &amp; Sideloading\WalkAndUnGZ.bat" "%USERPROFILE%\AppData\Local\Temp\OnboardLogs"\RTDC4009\2017-12-21</v>
      </c>
      <c r="S15" s="84" t="str">
        <f>VLOOKUP(C15,'Train Runs'!$A$13:$AE$10192,22,0)</f>
        <v>https://d0f6bd738d7f1b3e5a7ca70fe4ff75f0.us-east-1.aws.found.io/app/kibana#/discover/Steve-Slow-Train-Analysis-(2080s-and-2083s)?_g=(refreshInterval:(display:Off,pause:!f,section:0,value:0),time:(from:'2017-12-20T06:36:13-0700',mode:absolute,to:'2017-12-20T09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5" s="86" t="str">
        <f t="shared" si="1"/>
        <v>"C:\Program Files (x86)\AstroGrep\AstroGrep.exe" /e /r /s /spath="%USERPROFILE%\AppData\Local\Temp\OnboardLogs" /stypes="*4009*201712201*" /stext=" 15:.+((SYSTEM_STATE.+slice.+state.+changed )|(ment ac)|(multiple cpu faults)|(system.+state.+changed )|(\[timeout)|(PRM\|1\|D)|(kpr)|(kdp)|(train st.+moving)|(\|gpps)|(penalty))"</v>
      </c>
      <c r="U15" s="9" t="str">
        <f t="shared" si="2"/>
        <v>4009</v>
      </c>
      <c r="V15" s="31">
        <f t="shared" si="3"/>
        <v>43089.635057870371</v>
      </c>
      <c r="W15" s="45" t="str">
        <f t="shared" si="4"/>
        <v>EC</v>
      </c>
      <c r="X15" s="228">
        <f t="shared" si="5"/>
        <v>126</v>
      </c>
      <c r="Y15" s="238" t="str">
        <f t="shared" si="6"/>
        <v>echo {"issue":{"subject":"58690 - mistakenly attributed as red fence signal unknown","project_id":79,"tracker_id":40,"status_id":1,"priority_id":2,"assigned_to_id":338,"start_date":"2017-12-20","description":"","custom_fields":[{"id":1,"name":"Subdivision","value":"EC"},{"id":4,"name":"Milepost","value":"2.1848"},{"id":17,"name":"Train ID","value":"126-20"},{"id":16,"name":"Locomotive ID","value":"4009"},{"id":130,"name":"Impact","value":""},{"id":150,"name":"Time of Event (Mountain Time)","value":"08:14:29"},{"id":151,"name":"Denver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/c/Users/stu/AppData/Local/Temp/OnboardLogs/RTDC4009 --include="*4009*201712201*"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"%USERPROFILE%\AppData\Local\Temp\OnboardLogs"\RTDC4009\*4009*201712201* &gt;&gt; 2017-12-20-SliceDisagreementCheck.txt</v>
      </c>
      <c r="AE15" s="144" t="str">
        <f t="shared" si="9"/>
        <v>start /low /b %USERPROFILE%\Documents\GitHub\eaglep3\Utilities\DownloadLogsFromS3.py --loco 4009 --day 2017-12-20</v>
      </c>
      <c r="AF15" s="1"/>
    </row>
    <row r="16" spans="1:32" x14ac:dyDescent="0.25">
      <c r="A16" s="31">
        <v>43089.958310185182</v>
      </c>
      <c r="B16" s="30" t="s">
        <v>384</v>
      </c>
      <c r="C16" s="30" t="s">
        <v>670</v>
      </c>
      <c r="D16" s="30" t="s">
        <v>49</v>
      </c>
      <c r="E16" s="30" t="s">
        <v>190</v>
      </c>
      <c r="F16" s="42">
        <v>300</v>
      </c>
      <c r="G16" s="42">
        <v>445</v>
      </c>
      <c r="H16" s="42">
        <v>23552</v>
      </c>
      <c r="I16" s="42">
        <v>22211</v>
      </c>
      <c r="J16" s="30" t="s">
        <v>191</v>
      </c>
      <c r="K16" s="42">
        <v>21848</v>
      </c>
      <c r="L16" s="131" t="s">
        <v>51</v>
      </c>
      <c r="M16" s="132">
        <f t="shared" si="0"/>
        <v>191.66399999999999</v>
      </c>
      <c r="N16" s="133" t="str">
        <f>VLOOKUP(C16,'Trips&amp;Operators'!$C$1:$G$99911,5,FALSE)</f>
        <v>RESPASS AARON</v>
      </c>
      <c r="O16" s="175" t="s">
        <v>178</v>
      </c>
      <c r="P16" s="239"/>
      <c r="Q16" s="30"/>
      <c r="R16" s="81" t="str">
        <f>VLOOKUP(C16,'Train Runs'!$A$13:$AE$10192,31,0)</f>
        <v>aws s3 cp s3://rtdc.mdm.uploadarchive.raw/RTDC4061/ "%USERPROFILE%\AppData\Local\Temp\OnboardLogs"\RTDC4061\2017-12-20 --exclude "*" --recursive --include "*20171220*" &amp; "%USERPROFILE%\Documents\GitHub\mrs-test-scripts\Headless Mode &amp; Sideloading\WalkAndUnGZ.bat" "%USERPROFILE%\AppData\Local\Temp\OnboardLogs"\RTDC4061\2017-12-20 &amp; aws s3 cp s3://rtdc.mdm.uploadarchive.raw/RTDC4061/ "%USERPROFILE%\AppData\Local\Temp\OnboardLogs"\RTDC4061\2017-12-21 --exclude "*" --recursive --include "*20171221*" &amp; "%USERPROFILE%\Documents\GitHub\mrs-test-scripts\Headless Mode &amp; Sideloading\WalkAndUnGZ.bat" "%USERPROFILE%\AppData\Local\Temp\OnboardLogs"\RTDC4061\2017-12-21</v>
      </c>
      <c r="S16" s="84" t="str">
        <f>VLOOKUP(C16,'Train Runs'!$A$13:$AE$10192,22,0)</f>
        <v>https://d0f6bd738d7f1b3e5a7ca70fe4ff75f0.us-east-1.aws.found.io/app/kibana#/discover/Steve-Slow-Train-Analysis-(2080s-and-2083s)?_g=(refreshInterval:(display:Off,pause:!f,section:0,value:0),time:(from:'2017-12-20T21:23:03-0700',mode:absolute,to:'2017-12-21T00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6" s="86" t="str">
        <f t="shared" si="1"/>
        <v>"C:\Program Files (x86)\AstroGrep\AstroGrep.exe" /e /r /s /spath="%USERPROFILE%\AppData\Local\Temp\OnboardLogs" /stypes="*4061*201712210*" /stext=" 05:.+((SYSTEM_STATE.+slice.+state.+changed )|(ment ac)|(multiple cpu faults)|(system.+state.+changed )|(\[timeout)|(PRM\|1\|D)|(kpr)|(kdp)|(train st.+moving)|(\|gpps)|(penalty))"</v>
      </c>
      <c r="U16" s="9" t="str">
        <f t="shared" si="2"/>
        <v>4061</v>
      </c>
      <c r="V16" s="31">
        <f t="shared" si="3"/>
        <v>43090.249976851846</v>
      </c>
      <c r="W16" s="45" t="str">
        <f t="shared" si="4"/>
        <v>EC</v>
      </c>
      <c r="X16" s="228">
        <f t="shared" si="5"/>
        <v>232</v>
      </c>
      <c r="Y16" s="238" t="str">
        <f t="shared" si="6"/>
        <v>echo {"issue":{"subject":"","project_id":79,"tracker_id":40,"status_id":1,"priority_id":2,"assigned_to_id":338,"start_date":"2017-12-20","description":"","custom_fields":[{"id":1,"name":"Subdivision","value":"EC"},{"id":4,"name":"Milepost","value":"2.1848"},{"id":17,"name":"Train ID","value":"232-20"},{"id":16,"name":"Locomotive ID","value":"4061"},{"id":130,"name":"Impact","value":""},{"id":150,"name":"Time of Event (Mountain Time)","value":"22:59:58"},{"id":151,"name":"Denver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/c/Users/stu/AppData/Local/Temp/OnboardLogs/RTDC4061 --include="*4061*201712210*"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"%USERPROFILE%\AppData\Local\Temp\OnboardLogs"\RTDC4061\*4061*201712210* &gt;&gt; 2017-12-20-SliceDisagreementCheck.txt</v>
      </c>
      <c r="AE16" s="144" t="str">
        <f t="shared" si="9"/>
        <v>start /low /b %USERPROFILE%\Documents\GitHub\eaglep3\Utilities\DownloadLogsFromS3.py --loco 4061 --day 2017-12-21</v>
      </c>
      <c r="AF16" s="1"/>
    </row>
    <row r="17" spans="1:32" x14ac:dyDescent="0.25">
      <c r="A17" s="31">
        <v>43089.275810185187</v>
      </c>
      <c r="B17" s="30" t="s">
        <v>510</v>
      </c>
      <c r="C17" s="30" t="s">
        <v>651</v>
      </c>
      <c r="D17" s="30" t="s">
        <v>49</v>
      </c>
      <c r="E17" s="30" t="s">
        <v>353</v>
      </c>
      <c r="F17" s="42">
        <v>0</v>
      </c>
      <c r="G17" s="42">
        <v>360</v>
      </c>
      <c r="H17" s="42">
        <v>117190</v>
      </c>
      <c r="I17" s="42">
        <v>118217</v>
      </c>
      <c r="J17" s="30" t="s">
        <v>354</v>
      </c>
      <c r="K17" s="42">
        <v>118739</v>
      </c>
      <c r="L17" s="131" t="s">
        <v>50</v>
      </c>
      <c r="M17" s="132">
        <f t="shared" si="0"/>
        <v>275.61599999999999</v>
      </c>
      <c r="N17" s="133" t="str">
        <f>VLOOKUP(C17,'Trips&amp;Operators'!$C$1:$G$99911,5,FALSE)</f>
        <v>DAVIDSON DAVID</v>
      </c>
      <c r="O17" s="175" t="s">
        <v>347</v>
      </c>
      <c r="P17" s="239" t="s">
        <v>464</v>
      </c>
      <c r="Q17" s="30"/>
      <c r="R17" s="81" t="str">
        <f>VLOOKUP(C17,'Train Runs'!$A$13:$AE$10192,31,0)</f>
        <v>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 &amp; aws s3 cp s3://rtdc.mdm.uploadarchive.raw/RTDC4058/ "%USERPROFILE%\AppData\Local\Temp\OnboardLogs"\RTDC4058\2017-12-21 --exclude "*" --recursive --include "*20171221*" &amp; "%USERPROFILE%\Documents\GitHub\mrs-test-scripts\Headless Mode &amp; Sideloading\WalkAndUnGZ.bat" "%USERPROFILE%\AppData\Local\Temp\OnboardLogs"\RTDC4058\2017-12-21</v>
      </c>
      <c r="S17" s="84" t="str">
        <f>VLOOKUP(C17,'Train Runs'!$A$13:$AE$10192,22,0)</f>
        <v>https://d0f6bd738d7f1b3e5a7ca70fe4ff75f0.us-east-1.aws.found.io/app/kibana#/discover/Steve-Slow-Train-Analysis-(2080s-and-2083s)?_g=(refreshInterval:(display:Off,pause:!f,section:0,value:0),time:(from:'2017-12-20T05:08:17-0700',mode:absolute,to:'2017-12-20T07:54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7" s="86" t="str">
        <f t="shared" si="1"/>
        <v>"C:\Program Files (x86)\AstroGrep\AstroGrep.exe" /e /r /s /spath="%USERPROFILE%\AppData\Local\Temp\OnboardLogs" /stypes="*4058*201712201*" /stext=" 13:.+((SYSTEM_STATE.+slice.+state.+changed )|(ment ac)|(multiple cpu faults)|(system.+state.+changed )|(\[timeout)|(PRM\|1\|D)|(kpr)|(kdp)|(train st.+moving)|(\|gpps)|(penalty))"</v>
      </c>
      <c r="U17" s="9" t="str">
        <f t="shared" si="2"/>
        <v>4058</v>
      </c>
      <c r="V17" s="31">
        <f t="shared" si="3"/>
        <v>43089.567476851851</v>
      </c>
      <c r="W17" s="45" t="str">
        <f t="shared" si="4"/>
        <v>EC</v>
      </c>
      <c r="X17" s="228">
        <f t="shared" si="5"/>
        <v>121</v>
      </c>
      <c r="Y17" s="238" t="str">
        <f t="shared" si="6"/>
        <v>echo {"issue":{"subject":"Wi-MAX data drop","project_id":79,"tracker_id":40,"status_id":1,"priority_id":2,"assigned_to_id":338,"start_date":"2017-12-20","description":"","custom_fields":[{"id":1,"name":"Subdivision","value":"EC"},{"id":4,"name":"Milepost","value":"11.8739"},{"id":17,"name":"Train ID","value":"121-20"},{"id":16,"name":"Locomotive ID","value":"4058"},{"id":130,"name":"Impact","value":""},{"id":150,"name":"Time of Event (Mountain Time)","value":"06:37:10"},{"id":151,"name":"Denver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/c/Users/stu/AppData/Local/Temp/OnboardLogs/RTDC4058 --include="*4058*201712201*"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"%USERPROFILE%\AppData\Local\Temp\OnboardLogs"\RTDC4058\*4058*201712201* &gt;&gt; 2017-12-20-SliceDisagreementCheck.txt</v>
      </c>
      <c r="AE17" s="144" t="str">
        <f t="shared" si="9"/>
        <v>start /low /b %USERPROFILE%\Documents\GitHub\eaglep3\Utilities\DownloadLogsFromS3.py --loco 4058 --day 2017-12-20</v>
      </c>
      <c r="AF17" s="1"/>
    </row>
    <row r="18" spans="1:32" x14ac:dyDescent="0.25">
      <c r="A18" s="31">
        <v>43089.494814814818</v>
      </c>
      <c r="B18" s="30" t="s">
        <v>657</v>
      </c>
      <c r="C18" s="30" t="s">
        <v>658</v>
      </c>
      <c r="D18" s="30" t="s">
        <v>49</v>
      </c>
      <c r="E18" s="30" t="s">
        <v>353</v>
      </c>
      <c r="F18" s="42">
        <v>0</v>
      </c>
      <c r="G18" s="42">
        <v>412</v>
      </c>
      <c r="H18" s="42">
        <v>126280</v>
      </c>
      <c r="I18" s="42">
        <v>127814</v>
      </c>
      <c r="J18" s="30" t="s">
        <v>354</v>
      </c>
      <c r="K18" s="42">
        <v>126585</v>
      </c>
      <c r="L18" s="131" t="s">
        <v>50</v>
      </c>
      <c r="M18" s="132">
        <f t="shared" si="0"/>
        <v>-648.91200000000003</v>
      </c>
      <c r="N18" s="133" t="str">
        <f>VLOOKUP(C18,'Trips&amp;Operators'!$C$1:$G$99911,5,FALSE)</f>
        <v>STEWART MICHAEL</v>
      </c>
      <c r="O18" s="175" t="s">
        <v>347</v>
      </c>
      <c r="P18" s="239" t="s">
        <v>1113</v>
      </c>
      <c r="Q18" s="30"/>
      <c r="R18" s="81" t="str">
        <f>VLOOKUP(C18,'Train Runs'!$A$13:$AE$10192,31,0)</f>
        <v>aws s3 cp s3://rtdc.mdm.uploadarchive.raw/RTDC4020/ "%USERPROFILE%\AppData\Local\Temp\OnboardLogs"\RTDC4020\2017-12-20 --exclude "*" --recursive --include "*20171220*" &amp; "%USERPROFILE%\Documents\GitHub\mrs-test-scripts\Headless Mode &amp; Sideloading\WalkAndUnGZ.bat" "%USERPROFILE%\AppData\Local\Temp\OnboardLogs"\RTDC4020\2017-12-20 &amp; aws s3 cp s3://rtdc.mdm.uploadarchive.raw/RTDC4020/ "%USERPROFILE%\AppData\Local\Temp\OnboardLogs"\RTDC4020\2017-12-21 --exclude "*" --recursive --include "*20171221*" &amp; "%USERPROFILE%\Documents\GitHub\mrs-test-scripts\Headless Mode &amp; Sideloading\WalkAndUnGZ.bat" "%USERPROFILE%\AppData\Local\Temp\OnboardLogs"\RTDC4020\2017-12-21</v>
      </c>
      <c r="S18" s="84" t="str">
        <f>VLOOKUP(C18,'Train Runs'!$A$13:$AE$10192,22,0)</f>
        <v>https://d0f6bd738d7f1b3e5a7ca70fe4ff75f0.us-east-1.aws.found.io/app/kibana#/discover/Steve-Slow-Train-Analysis-(2080s-and-2083s)?_g=(refreshInterval:(display:Off,pause:!f,section:0,value:0),time:(from:'2017-12-20T10:14:37-0700',mode:absolute,to:'2017-12-20T13:16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8" s="86" t="str">
        <f t="shared" si="1"/>
        <v>"C:\Program Files (x86)\AstroGrep\AstroGrep.exe" /e /r /s /spath="%USERPROFILE%\AppData\Local\Temp\OnboardLogs" /stypes="*4020*201712201*" /stext=" 18:.+((SYSTEM_STATE.+slice.+state.+changed )|(ment ac)|(multiple cpu faults)|(system.+state.+changed )|(\[timeout)|(PRM\|1\|D)|(kpr)|(kdp)|(train st.+moving)|(\|gpps)|(penalty))"</v>
      </c>
      <c r="U18" s="9" t="str">
        <f t="shared" si="2"/>
        <v>4020</v>
      </c>
      <c r="V18" s="31">
        <f t="shared" si="3"/>
        <v>43089.786481481482</v>
      </c>
      <c r="W18" s="45" t="str">
        <f t="shared" si="4"/>
        <v>EC</v>
      </c>
      <c r="X18" s="228">
        <f t="shared" si="5"/>
        <v>163</v>
      </c>
      <c r="Y18" s="238" t="str">
        <f t="shared" si="6"/>
        <v>echo {"issue":{"subject":"Minor Onboard in-route failure","project_id":79,"tracker_id":40,"status_id":1,"priority_id":2,"assigned_to_id":338,"start_date":"2017-12-20","description":"","custom_fields":[{"id":1,"name":"Subdivision","value":"EC"},{"id":4,"name":"Milepost","value":"12.6585"},{"id":17,"name":"Train ID","value":"163-20"},{"id":16,"name":"Locomotive ID","value":"4020"},{"id":130,"name":"Impact","value":""},{"id":150,"name":"Time of Event (Mountain Time)","value":"11:52:32"},{"id":151,"name":"Denver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 t="shared" si="7"/>
        <v>grep -hrE -A400 "Enforcement Action" /c/Users/stu/AppData/Local/Temp/OnboardLogs/RTDC4020 --include="*4020*201712201*"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"%USERPROFILE%\AppData\Local\Temp\OnboardLogs"\RTDC4020\*4020*201712201* &gt;&gt; 2017-12-20-SliceDisagreementCheck.txt</v>
      </c>
      <c r="AE18" s="144" t="str">
        <f t="shared" si="9"/>
        <v>start /low /b %USERPROFILE%\Documents\GitHub\eaglep3\Utilities\DownloadLogsFromS3.py --loco 4020 --day 2017-12-20</v>
      </c>
      <c r="AF18" s="1"/>
    </row>
    <row r="19" spans="1:32" x14ac:dyDescent="0.25">
      <c r="A19" s="31">
        <v>43089.279479166667</v>
      </c>
      <c r="B19" s="30" t="s">
        <v>510</v>
      </c>
      <c r="C19" s="30" t="s">
        <v>651</v>
      </c>
      <c r="D19" s="30" t="s">
        <v>49</v>
      </c>
      <c r="E19" s="30" t="s">
        <v>353</v>
      </c>
      <c r="F19" s="42">
        <v>0</v>
      </c>
      <c r="G19" s="42">
        <v>765</v>
      </c>
      <c r="H19" s="42">
        <v>147262</v>
      </c>
      <c r="I19" s="42">
        <v>151328</v>
      </c>
      <c r="J19" s="30" t="s">
        <v>354</v>
      </c>
      <c r="K19" s="42">
        <v>149694</v>
      </c>
      <c r="L19" s="131" t="s">
        <v>50</v>
      </c>
      <c r="M19" s="132">
        <f t="shared" si="0"/>
        <v>-862.75199999999995</v>
      </c>
      <c r="N19" s="133" t="str">
        <f>VLOOKUP(C19,'Trips&amp;Operators'!$C$1:$G$99911,5,FALSE)</f>
        <v>DAVIDSON DAVID</v>
      </c>
      <c r="O19" s="175" t="s">
        <v>347</v>
      </c>
      <c r="P19" s="239" t="s">
        <v>464</v>
      </c>
      <c r="Q19" s="30"/>
      <c r="R19" s="81" t="str">
        <f>VLOOKUP(C19,'Train Runs'!$A$13:$AE$10192,31,0)</f>
        <v>aws s3 cp s3://rtdc.mdm.uploadarchive.raw/RTDC4058/ "%USERPROFILE%\AppData\Local\Temp\OnboardLogs"\RTDC4058\2017-12-20 --exclude "*" --recursive --include "*20171220*" &amp; "%USERPROFILE%\Documents\GitHub\mrs-test-scripts\Headless Mode &amp; Sideloading\WalkAndUnGZ.bat" "%USERPROFILE%\AppData\Local\Temp\OnboardLogs"\RTDC4058\2017-12-20 &amp; aws s3 cp s3://rtdc.mdm.uploadarchive.raw/RTDC4058/ "%USERPROFILE%\AppData\Local\Temp\OnboardLogs"\RTDC4058\2017-12-21 --exclude "*" --recursive --include "*20171221*" &amp; "%USERPROFILE%\Documents\GitHub\mrs-test-scripts\Headless Mode &amp; Sideloading\WalkAndUnGZ.bat" "%USERPROFILE%\AppData\Local\Temp\OnboardLogs"\RTDC4058\2017-12-21</v>
      </c>
      <c r="S19" s="84" t="str">
        <f>VLOOKUP(C19,'Train Runs'!$A$13:$AE$10192,22,0)</f>
        <v>https://d0f6bd738d7f1b3e5a7ca70fe4ff75f0.us-east-1.aws.found.io/app/kibana#/discover/Steve-Slow-Train-Analysis-(2080s-and-2083s)?_g=(refreshInterval:(display:Off,pause:!f,section:0,value:0),time:(from:'2017-12-20T05:08:17-0700',mode:absolute,to:'2017-12-20T07:54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9" s="86" t="str">
        <f t="shared" si="1"/>
        <v>"C:\Program Files (x86)\AstroGrep\AstroGrep.exe" /e /r /s /spath="%USERPROFILE%\AppData\Local\Temp\OnboardLogs" /stypes="*4058*201712201*" /stext=" 13:.+((SYSTEM_STATE.+slice.+state.+changed )|(ment ac)|(multiple cpu faults)|(system.+state.+changed )|(\[timeout)|(PRM\|1\|D)|(kpr)|(kdp)|(train st.+moving)|(\|gpps)|(penalty))"</v>
      </c>
      <c r="U19" s="9" t="str">
        <f t="shared" si="2"/>
        <v>4058</v>
      </c>
      <c r="V19" s="31">
        <f t="shared" si="3"/>
        <v>43089.571145833332</v>
      </c>
      <c r="W19" s="45" t="str">
        <f t="shared" si="4"/>
        <v>EC</v>
      </c>
      <c r="X19" s="228">
        <f t="shared" si="5"/>
        <v>121</v>
      </c>
      <c r="Y19" s="238" t="str">
        <f t="shared" si="6"/>
        <v>echo {"issue":{"subject":"Wi-MAX data drop","project_id":79,"tracker_id":40,"status_id":1,"priority_id":2,"assigned_to_id":338,"start_date":"2017-12-20","description":"","custom_fields":[{"id":1,"name":"Subdivision","value":"EC"},{"id":4,"name":"Milepost","value":"14.9694"},{"id":17,"name":"Train ID","value":"121-20"},{"id":16,"name":"Locomotive ID","value":"4058"},{"id":130,"name":"Impact","value":""},{"id":150,"name":"Time of Event (Mountain Time)","value":"06:42:27"},{"id":151,"name":"Denver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 t="shared" si="7"/>
        <v>grep -hrE -A400 "Enforcement Action" /c/Users/stu/AppData/Local/Temp/OnboardLogs/RTDC4058 --include="*4058*201712201*"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"%USERPROFILE%\AppData\Local\Temp\OnboardLogs"\RTDC4058\*4058*201712201* &gt;&gt; 2017-12-20-SliceDisagreementCheck.txt</v>
      </c>
      <c r="AE19" s="144" t="str">
        <f t="shared" si="9"/>
        <v>start /low /b %USERPROFILE%\Documents\GitHub\eaglep3\Utilities\DownloadLogsFromS3.py --loco 4058 --day 2017-12-20</v>
      </c>
      <c r="AF19" s="1"/>
    </row>
    <row r="20" spans="1:32" x14ac:dyDescent="0.25">
      <c r="A20" s="31">
        <v>43089.327037037037</v>
      </c>
      <c r="B20" s="30" t="s">
        <v>382</v>
      </c>
      <c r="C20" s="30" t="s">
        <v>652</v>
      </c>
      <c r="D20" s="30" t="s">
        <v>49</v>
      </c>
      <c r="E20" s="30" t="s">
        <v>508</v>
      </c>
      <c r="F20" s="42">
        <v>0</v>
      </c>
      <c r="G20" s="42">
        <v>150</v>
      </c>
      <c r="H20" s="42">
        <v>232662</v>
      </c>
      <c r="I20" s="42">
        <v>232857</v>
      </c>
      <c r="J20" s="30" t="s">
        <v>509</v>
      </c>
      <c r="K20" s="42">
        <v>233491</v>
      </c>
      <c r="L20" s="131" t="s">
        <v>50</v>
      </c>
      <c r="M20" s="132">
        <f t="shared" si="0"/>
        <v>334.75200000000001</v>
      </c>
      <c r="N20" s="133" t="str">
        <f>VLOOKUP(C20,'Trips&amp;Operators'!$C$1:$G$99911,5,FALSE)</f>
        <v>THOMPSON LESTER</v>
      </c>
      <c r="O20" s="175" t="s">
        <v>178</v>
      </c>
      <c r="P20" s="239"/>
      <c r="Q20" s="30"/>
      <c r="R20" s="81" t="str">
        <f>VLOOKUP(C20,'Train Runs'!$A$13:$AE$10192,31,0)</f>
        <v>aws s3 cp s3://rtdc.mdm.uploadarchive.raw/RTDC4062/ "%USERPROFILE%\AppData\Local\Temp\OnboardLogs"\RTDC4062\2017-12-20 --exclude "*" --recursive --include "*20171220*" &amp; "%USERPROFILE%\Documents\GitHub\mrs-test-scripts\Headless Mode &amp; Sideloading\WalkAndUnGZ.bat" "%USERPROFILE%\AppData\Local\Temp\OnboardLogs"\RTDC4062\2017-12-20 &amp; aws s3 cp s3://rtdc.mdm.uploadarchive.raw/RTDC4062/ "%USERPROFILE%\AppData\Local\Temp\OnboardLogs"\RTDC4062\2017-12-21 --exclude "*" --recursive --include "*20171221*" &amp; "%USERPROFILE%\Documents\GitHub\mrs-test-scripts\Headless Mode &amp; Sideloading\WalkAndUnGZ.bat" "%USERPROFILE%\AppData\Local\Temp\OnboardLogs"\RTDC4062\2017-12-21</v>
      </c>
      <c r="S20" s="84" t="str">
        <f>VLOOKUP(C20,'Train Runs'!$A$13:$AE$10192,22,0)</f>
        <v>https://d0f6bd738d7f1b3e5a7ca70fe4ff75f0.us-east-1.aws.found.io/app/kibana#/discover/Steve-Slow-Train-Analysis-(2080s-and-2083s)?_g=(refreshInterval:(display:Off,pause:!f,section:0,value:0),time:(from:'2017-12-20T06:11:46-0700',mode:absolute,to:'2017-12-20T08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0" s="86" t="str">
        <f t="shared" si="1"/>
        <v>"C:\Program Files (x86)\AstroGrep\AstroGrep.exe" /e /r /s /spath="%USERPROFILE%\AppData\Local\Temp\OnboardLogs" /stypes="*4062*201712201*" /stext=" 14:.+((SYSTEM_STATE.+slice.+state.+changed )|(ment ac)|(multiple cpu faults)|(system.+state.+changed )|(\[timeout)|(PRM\|1\|D)|(kpr)|(kdp)|(train st.+moving)|(\|gpps)|(penalty))"</v>
      </c>
      <c r="U20" s="9" t="str">
        <f t="shared" si="2"/>
        <v>4062</v>
      </c>
      <c r="V20" s="31">
        <f t="shared" si="3"/>
        <v>43089.618703703702</v>
      </c>
      <c r="W20" s="45" t="str">
        <f t="shared" si="4"/>
        <v>EC</v>
      </c>
      <c r="X20" s="228">
        <f t="shared" si="5"/>
        <v>129</v>
      </c>
      <c r="Y20" s="238" t="str">
        <f t="shared" si="6"/>
        <v>echo {"issue":{"subject":"","project_id":79,"tracker_id":40,"status_id":1,"priority_id":2,"assigned_to_id":338,"start_date":"2017-12-20","description":"","custom_fields":[{"id":1,"name":"Subdivision","value":"EC"},{"id":4,"name":"Milepost","value":"23.3491"},{"id":17,"name":"Train ID","value":"129-20"},{"id":16,"name":"Locomotive ID","value":"4062"},{"id":130,"name":"Impact","value":""},{"id":150,"name":"Time of Event (Mountain Time)","value":"07:50:56"},{"id":151,"name":"Denver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 t="shared" si="7"/>
        <v>grep -hrE -A400 "Enforcement Action" /c/Users/stu/AppData/Local/Temp/OnboardLogs/RTDC4062 --include="*4062*201712201*"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"%USERPROFILE%\AppData\Local\Temp\OnboardLogs"\RTDC4062\*4062*201712201* &gt;&gt; 2017-12-20-SliceDisagreementCheck.txt</v>
      </c>
      <c r="AE20" s="144" t="str">
        <f t="shared" si="9"/>
        <v>start /low /b %USERPROFILE%\Documents\GitHub\eaglep3\Utilities\DownloadLogsFromS3.py --loco 4062 --day 2017-12-20</v>
      </c>
      <c r="AF20" s="1"/>
    </row>
    <row r="21" spans="1:32" x14ac:dyDescent="0.25">
      <c r="A21" s="31">
        <v>43089.451099537036</v>
      </c>
      <c r="B21" s="30" t="s">
        <v>441</v>
      </c>
      <c r="C21" s="30" t="s">
        <v>656</v>
      </c>
      <c r="D21" s="30" t="s">
        <v>49</v>
      </c>
      <c r="E21" s="30" t="s">
        <v>508</v>
      </c>
      <c r="F21" s="42">
        <v>0</v>
      </c>
      <c r="G21" s="42">
        <v>163</v>
      </c>
      <c r="H21" s="42">
        <v>232871</v>
      </c>
      <c r="I21" s="42">
        <v>233113</v>
      </c>
      <c r="J21" s="30" t="s">
        <v>509</v>
      </c>
      <c r="K21" s="42">
        <v>233491</v>
      </c>
      <c r="L21" s="131" t="s">
        <v>50</v>
      </c>
      <c r="M21" s="132">
        <f t="shared" si="0"/>
        <v>199.584</v>
      </c>
      <c r="N21" s="133" t="str">
        <f>VLOOKUP(C21,'Trips&amp;Operators'!$C$1:$G$99911,5,FALSE)</f>
        <v>LAMAR NEKESHA</v>
      </c>
      <c r="O21" s="175" t="s">
        <v>178</v>
      </c>
      <c r="P21" s="239"/>
      <c r="Q21" s="30"/>
      <c r="R21" s="81" t="str">
        <f>VLOOKUP(C21,'Train Runs'!$A$13:$AE$10192,31,0)</f>
        <v>aws s3 cp s3://rtdc.mdm.uploadarchive.raw/RTDC4010/ "%USERPROFILE%\AppData\Local\Temp\OnboardLogs"\RTDC4010\2017-12-20 --exclude "*" --recursive --include "*20171220*" &amp; "%USERPROFILE%\Documents\GitHub\mrs-test-scripts\Headless Mode &amp; Sideloading\WalkAndUnGZ.bat" "%USERPROFILE%\AppData\Local\Temp\OnboardLogs"\RTDC4010\2017-12-20 &amp; aws s3 cp s3://rtdc.mdm.uploadarchive.raw/RTDC4010/ "%USERPROFILE%\AppData\Local\Temp\OnboardLogs"\RTDC4010\2017-12-21 --exclude "*" --recursive --include "*20171221*" &amp; "%USERPROFILE%\Documents\GitHub\mrs-test-scripts\Headless Mode &amp; Sideloading\WalkAndUnGZ.bat" "%USERPROFILE%\AppData\Local\Temp\OnboardLogs"\RTDC4010\2017-12-21</v>
      </c>
      <c r="S21" s="84" t="str">
        <f>VLOOKUP(C21,'Train Runs'!$A$13:$AE$10192,22,0)</f>
        <v>https://d0f6bd738d7f1b3e5a7ca70fe4ff75f0.us-east-1.aws.found.io/app/kibana#/discover/Steve-Slow-Train-Analysis-(2080s-and-2083s)?_g=(refreshInterval:(display:Off,pause:!f,section:0,value:0),time:(from:'2017-12-20T09:10:07-0700',mode:absolute,to:'2017-12-20T11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1" s="86" t="str">
        <f t="shared" si="1"/>
        <v>"C:\Program Files (x86)\AstroGrep\AstroGrep.exe" /e /r /s /spath="%USERPROFILE%\AppData\Local\Temp\OnboardLogs" /stypes="*4010*201712201*" /stext=" 17:.+((SYSTEM_STATE.+slice.+state.+changed )|(ment ac)|(multiple cpu faults)|(system.+state.+changed )|(\[timeout)|(PRM\|1\|D)|(kpr)|(kdp)|(train st.+moving)|(\|gpps)|(penalty))"</v>
      </c>
      <c r="U21" s="9" t="str">
        <f t="shared" si="2"/>
        <v>4010</v>
      </c>
      <c r="V21" s="31">
        <f t="shared" si="3"/>
        <v>43089.742766203701</v>
      </c>
      <c r="W21" s="45" t="str">
        <f t="shared" si="4"/>
        <v>EC</v>
      </c>
      <c r="X21" s="228">
        <f t="shared" si="5"/>
        <v>153</v>
      </c>
      <c r="Y21" s="238" t="str">
        <f t="shared" si="6"/>
        <v>echo {"issue":{"subject":"","project_id":79,"tracker_id":40,"status_id":1,"priority_id":2,"assigned_to_id":338,"start_date":"2017-12-20","description":"","custom_fields":[{"id":1,"name":"Subdivision","value":"EC"},{"id":4,"name":"Milepost","value":"23.3491"},{"id":17,"name":"Train ID","value":"153-20"},{"id":16,"name":"Locomotive ID","value":"4010"},{"id":130,"name":"Impact","value":""},{"id":150,"name":"Time of Event (Mountain Time)","value":"10:49:35"},{"id":151,"name":"Denver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 t="shared" si="7"/>
        <v>grep -hrE -A400 "Enforcement Action" /c/Users/stu/AppData/Local/Temp/OnboardLogs/RTDC4010 --include="*4010*201712201*"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"%USERPROFILE%\AppData\Local\Temp\OnboardLogs"\RTDC4010\*4010*201712201* &gt;&gt; 2017-12-20-SliceDisagreementCheck.txt</v>
      </c>
      <c r="AE21" s="144" t="str">
        <f t="shared" si="9"/>
        <v>start /low /b %USERPROFILE%\Documents\GitHub\eaglep3\Utilities\DownloadLogsFromS3.py --loco 4010 --day 2017-12-20</v>
      </c>
      <c r="AF21" s="1"/>
    </row>
    <row r="22" spans="1:32" x14ac:dyDescent="0.25">
      <c r="A22" s="31">
        <v>43089.343761574077</v>
      </c>
      <c r="B22" s="30" t="s">
        <v>573</v>
      </c>
      <c r="C22" s="30" t="s">
        <v>654</v>
      </c>
      <c r="D22" s="30" t="s">
        <v>95</v>
      </c>
      <c r="E22" s="30" t="s">
        <v>190</v>
      </c>
      <c r="F22" s="42">
        <v>400</v>
      </c>
      <c r="G22" s="42">
        <v>452</v>
      </c>
      <c r="H22" s="42">
        <v>48270</v>
      </c>
      <c r="I22" s="42">
        <v>46719</v>
      </c>
      <c r="J22" s="30" t="s">
        <v>191</v>
      </c>
      <c r="K22" s="42">
        <v>49775</v>
      </c>
      <c r="L22" s="131" t="s">
        <v>51</v>
      </c>
      <c r="M22" s="132">
        <f t="shared" si="0"/>
        <v>-1613.568</v>
      </c>
      <c r="N22" s="133" t="str">
        <f>VLOOKUP(C22,'Trips&amp;Operators'!$C$1:$G$99911,5,FALSE)</f>
        <v>LAMAR NEKESHA</v>
      </c>
      <c r="O22" s="175" t="s">
        <v>178</v>
      </c>
      <c r="P22" s="239"/>
      <c r="Q22" s="30"/>
      <c r="R22" s="81" t="str">
        <f>VLOOKUP(C22,'Train Runs'!$A$13:$AE$10192,31,0)</f>
        <v>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 &amp; aws s3 cp s3://rtdc.mdm.uploadarchive.raw/RTDC4039/ "%USERPROFILE%\AppData\Local\Temp\OnboardLogs"\RTDC4039\2017-12-21 --exclude "*" --recursive --include "*20171221*" &amp; "%USERPROFILE%\Documents\GitHub\mrs-test-scripts\Headless Mode &amp; Sideloading\WalkAndUnGZ.bat" "%USERPROFILE%\AppData\Local\Temp\OnboardLogs"\RTDC4039\2017-12-21</v>
      </c>
      <c r="S22" s="84" t="str">
        <f>VLOOKUP(C22,'Train Runs'!$A$13:$AE$10192,22,0)</f>
        <v>https://d0f6bd738d7f1b3e5a7ca70fe4ff75f0.us-east-1.aws.found.io/app/kibana#/discover/Steve-Slow-Train-Analysis-(2080s-and-2083s)?_g=(refreshInterval:(display:Off,pause:!f,section:0,value:0),time:(from:'2017-12-20T06:55:27-0700',mode:absolute,to:'2017-12-20T09:25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2" s="86" t="str">
        <f t="shared" si="1"/>
        <v>"C:\Program Files (x86)\AstroGrep\AstroGrep.exe" /e /r /s /spath="%USERPROFILE%\AppData\Local\Temp\OnboardLogs" /stypes="*4039*201712201*" /stext=" 15:.+((SYSTEM_STATE.+slice.+state.+changed )|(ment ac)|(multiple cpu faults)|(system.+state.+changed )|(\[timeout)|(PRM\|1\|D)|(kpr)|(kdp)|(train st.+moving)|(\|gpps)|(penalty))"</v>
      </c>
      <c r="U22" s="9" t="str">
        <f t="shared" si="2"/>
        <v>4039</v>
      </c>
      <c r="V22" s="31">
        <f t="shared" si="3"/>
        <v>43089.635428240741</v>
      </c>
      <c r="W22" s="45" t="str">
        <f t="shared" si="4"/>
        <v>NW</v>
      </c>
      <c r="X22" s="228">
        <f t="shared" si="5"/>
        <v>810</v>
      </c>
      <c r="Y22" s="238" t="str">
        <f t="shared" si="6"/>
        <v>echo {"issue":{"subject":"","project_id":79,"tracker_id":40,"status_id":1,"priority_id":2,"assigned_to_id":338,"start_date":"2017-12-20","description":"","custom_fields":[{"id":1,"name":"Subdivision","value":"NW"},{"id":4,"name":"Milepost","value":"4.9775"},{"id":17,"name":"Train ID","value":"810-20"},{"id":16,"name":"Locomotive ID","value":"4039"},{"id":130,"name":"Impact","value":""},{"id":150,"name":"Time of Event (Mountain Time)","value":"08:15:01"},{"id":151,"name":"Denver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 t="shared" si="7"/>
        <v>grep -hrE -A400 "Enforcement Action" /c/Users/stu/AppData/Local/Temp/OnboardLogs/RTDC4039 --include="*4039*201712201*"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"%USERPROFILE%\AppData\Local\Temp\OnboardLogs"\RTDC4039\*4039*201712201* &gt;&gt; 2017-12-20-SliceDisagreementCheck.txt</v>
      </c>
      <c r="AE22" s="144" t="str">
        <f t="shared" si="9"/>
        <v>start /low /b %USERPROFILE%\Documents\GitHub\eaglep3\Utilities\DownloadLogsFromS3.py --loco 4039 --day 2017-12-20</v>
      </c>
      <c r="AF22" s="1"/>
    </row>
    <row r="23" spans="1:32" x14ac:dyDescent="0.25">
      <c r="A23" s="31">
        <v>43089.266296296293</v>
      </c>
      <c r="B23" s="30" t="s">
        <v>573</v>
      </c>
      <c r="C23" s="30" t="s">
        <v>650</v>
      </c>
      <c r="D23" s="30" t="s">
        <v>49</v>
      </c>
      <c r="E23" s="30" t="s">
        <v>353</v>
      </c>
      <c r="F23" s="42">
        <v>0</v>
      </c>
      <c r="G23" s="42">
        <v>44</v>
      </c>
      <c r="H23" s="42">
        <v>4845</v>
      </c>
      <c r="I23" s="42">
        <v>4794</v>
      </c>
      <c r="J23" s="30" t="s">
        <v>354</v>
      </c>
      <c r="K23" s="42">
        <v>4798</v>
      </c>
      <c r="L23" s="131" t="s">
        <v>51</v>
      </c>
      <c r="M23" s="132">
        <f t="shared" si="0"/>
        <v>-2.1120000000000001</v>
      </c>
      <c r="N23" s="133" t="str">
        <f>VLOOKUP(C23,'Trips&amp;Operators'!$C$1:$G$99911,5,FALSE)</f>
        <v>LAMAR NEKESHA</v>
      </c>
      <c r="O23" s="175" t="s">
        <v>347</v>
      </c>
      <c r="P23" s="239" t="s">
        <v>1114</v>
      </c>
      <c r="Q23" s="30"/>
      <c r="R23" s="81" t="str">
        <f>VLOOKUP(C23,'Train Runs'!$A$13:$AE$10192,31,0)</f>
        <v>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 &amp; aws s3 cp s3://rtdc.mdm.uploadarchive.raw/RTDC4039/ "%USERPROFILE%\AppData\Local\Temp\OnboardLogs"\RTDC4039\2017-12-21 --exclude "*" --recursive --include "*20171221*" &amp; "%USERPROFILE%\Documents\GitHub\mrs-test-scripts\Headless Mode &amp; Sideloading\WalkAndUnGZ.bat" "%USERPROFILE%\AppData\Local\Temp\OnboardLogs"\RTDC4039\2017-12-21</v>
      </c>
      <c r="S23" s="84" t="str">
        <f>VLOOKUP(C23,'Train Runs'!$A$13:$AE$10192,22,0)</f>
        <v>https://d0f6bd738d7f1b3e5a7ca70fe4ff75f0.us-east-1.aws.found.io/app/kibana#/discover/Steve-Slow-Train-Analysis-(2080s-and-2083s)?_g=(refreshInterval:(display:Off,pause:!f,section:0,value:0),time:(from:'2017-12-20T04:54:46-0700',mode:absolute,to:'2017-12-20T07:23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3" s="86" t="str">
        <f t="shared" si="1"/>
        <v>"C:\Program Files (x86)\AstroGrep\AstroGrep.exe" /e /r /s /spath="%USERPROFILE%\AppData\Local\Temp\OnboardLogs" /stypes="*4039*201712201*" /stext=" 13:.+((SYSTEM_STATE.+slice.+state.+changed )|(ment ac)|(multiple cpu faults)|(system.+state.+changed )|(\[timeout)|(PRM\|1\|D)|(kpr)|(kdp)|(train st.+moving)|(\|gpps)|(penalty))"</v>
      </c>
      <c r="U23" s="9" t="str">
        <f t="shared" si="2"/>
        <v>4039</v>
      </c>
      <c r="V23" s="31">
        <f t="shared" si="3"/>
        <v>43089.557962962957</v>
      </c>
      <c r="W23" s="45" t="str">
        <f t="shared" si="4"/>
        <v>NW</v>
      </c>
      <c r="X23" s="228">
        <f t="shared" si="5"/>
        <v>802</v>
      </c>
      <c r="Y23" s="238" t="str">
        <f t="shared" si="6"/>
        <v>echo {"issue":{"subject":"Poor GPS @ Wewatta","project_id":79,"tracker_id":40,"status_id":1,"priority_id":2,"assigned_to_id":338,"start_date":"2017-12-20","description":"","custom_fields":[{"id":1,"name":"Subdivision","value":"NW"},{"id":4,"name":"Milepost","value":"0.4798"},{"id":17,"name":"Train ID","value":"802-20"},{"id":16,"name":"Locomotive ID","value":"4039"},{"id":130,"name":"Impact","value":""},{"id":150,"name":"Time of Event (Mountain Time)","value":"06:23:28"},{"id":151,"name":"Denver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 t="shared" si="7"/>
        <v>grep -hrE -A400 "Enforcement Action" /c/Users/stu/AppData/Local/Temp/OnboardLogs/RTDC4039 --include="*4039*201712201*"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"%USERPROFILE%\AppData\Local\Temp\OnboardLogs"\RTDC4039\*4039*201712201* &gt;&gt; 2017-12-20-SliceDisagreementCheck.txt</v>
      </c>
      <c r="AE23" s="144" t="str">
        <f t="shared" si="9"/>
        <v>start /low /b %USERPROFILE%\Documents\GitHub\eaglep3\Utilities\DownloadLogsFromS3.py --loco 4039 --day 2017-12-20</v>
      </c>
      <c r="AF23" s="1"/>
    </row>
    <row r="24" spans="1:32" x14ac:dyDescent="0.25">
      <c r="A24" s="31">
        <v>43089.680254629631</v>
      </c>
      <c r="B24" s="30" t="s">
        <v>573</v>
      </c>
      <c r="C24" s="30" t="s">
        <v>668</v>
      </c>
      <c r="D24" s="30" t="s">
        <v>49</v>
      </c>
      <c r="E24" s="30" t="s">
        <v>353</v>
      </c>
      <c r="F24" s="42">
        <v>0</v>
      </c>
      <c r="G24" s="42">
        <v>465</v>
      </c>
      <c r="H24" s="42">
        <v>18061</v>
      </c>
      <c r="I24" s="42">
        <v>16393</v>
      </c>
      <c r="J24" s="30" t="s">
        <v>354</v>
      </c>
      <c r="K24" s="42">
        <v>16590</v>
      </c>
      <c r="L24" s="131" t="s">
        <v>51</v>
      </c>
      <c r="M24" s="132">
        <f t="shared" si="0"/>
        <v>-104.01600000000001</v>
      </c>
      <c r="N24" s="133" t="str">
        <f>VLOOKUP(C24,'Trips&amp;Operators'!$C$1:$G$99911,5,FALSE)</f>
        <v>STAMBAUGH JAMES</v>
      </c>
      <c r="O24" s="175" t="s">
        <v>347</v>
      </c>
      <c r="P24" s="239" t="s">
        <v>464</v>
      </c>
      <c r="Q24" s="30"/>
      <c r="R24" s="81" t="str">
        <f>VLOOKUP(C24,'Train Runs'!$A$13:$AE$10192,31,0)</f>
        <v>aws s3 cp s3://rtdc.mdm.uploadarchive.raw/RTDC4039/ "%USERPROFILE%\AppData\Local\Temp\OnboardLogs"\RTDC4039\2017-12-20 --exclude "*" --recursive --include "*20171220*" &amp; "%USERPROFILE%\Documents\GitHub\mrs-test-scripts\Headless Mode &amp; Sideloading\WalkAndUnGZ.bat" "%USERPROFILE%\AppData\Local\Temp\OnboardLogs"\RTDC4039\2017-12-20 &amp; aws s3 cp s3://rtdc.mdm.uploadarchive.raw/RTDC4039/ "%USERPROFILE%\AppData\Local\Temp\OnboardLogs"\RTDC4039\2017-12-21 --exclude "*" --recursive --include "*20171221*" &amp; "%USERPROFILE%\Documents\GitHub\mrs-test-scripts\Headless Mode &amp; Sideloading\WalkAndUnGZ.bat" "%USERPROFILE%\AppData\Local\Temp\OnboardLogs"\RTDC4039\2017-12-21</v>
      </c>
      <c r="S24" s="84" t="str">
        <f>VLOOKUP(C24,'Train Runs'!$A$13:$AE$10192,22,0)</f>
        <v>https://d0f6bd738d7f1b3e5a7ca70fe4ff75f0.us-east-1.aws.found.io/app/kibana#/discover/Steve-Slow-Train-Analysis-(2080s-and-2083s)?_g=(refreshInterval:(display:Off,pause:!f,section:0,value:0),time:(from:'2017-12-20T14:56:42-0700',mode:absolute,to:'2017-12-20T17:25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4" s="86" t="str">
        <f t="shared" si="1"/>
        <v>"C:\Program Files (x86)\AstroGrep\AstroGrep.exe" /e /r /s /spath="%USERPROFILE%\AppData\Local\Temp\OnboardLogs" /stypes="*4039*201712202*" /stext=" 23:.+((SYSTEM_STATE.+slice.+state.+changed )|(ment ac)|(multiple cpu faults)|(system.+state.+changed )|(\[timeout)|(PRM\|1\|D)|(kpr)|(kdp)|(train st.+moving)|(\|gpps)|(penalty))"</v>
      </c>
      <c r="U24" s="9" t="str">
        <f t="shared" si="2"/>
        <v>4039</v>
      </c>
      <c r="V24" s="31">
        <f t="shared" si="3"/>
        <v>43089.971921296295</v>
      </c>
      <c r="W24" s="45" t="str">
        <f t="shared" si="4"/>
        <v>NW</v>
      </c>
      <c r="X24" s="228">
        <f t="shared" si="5"/>
        <v>828</v>
      </c>
      <c r="Y24" s="238" t="str">
        <f t="shared" si="6"/>
        <v>echo {"issue":{"subject":"Wi-MAX data drop","project_id":79,"tracker_id":40,"status_id":1,"priority_id":2,"assigned_to_id":338,"start_date":"2017-12-20","description":"","custom_fields":[{"id":1,"name":"Subdivision","value":"NW"},{"id":4,"name":"Milepost","value":"1.659"},{"id":17,"name":"Train ID","value":"828-20"},{"id":16,"name":"Locomotive ID","value":"4039"},{"id":130,"name":"Impact","value":""},{"id":150,"name":"Time of Event (Mountain Time)","value":"16:19:34"},{"id":151,"name":"Denver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 t="shared" si="7"/>
        <v>grep -hrE -A400 "Enforcement Action" /c/Users/stu/AppData/Local/Temp/OnboardLogs/RTDC4039 --include="*4039*201712202*"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"%USERPROFILE%\AppData\Local\Temp\OnboardLogs"\RTDC4039\*4039*201712202* &gt;&gt; 2017-12-20-SliceDisagreementCheck.txt</v>
      </c>
      <c r="AE24" s="144" t="str">
        <f t="shared" si="9"/>
        <v>start /low /b %USERPROFILE%\Documents\GitHub\eaglep3\Utilities\DownloadLogsFromS3.py --loco 4039 --day 2017-12-20</v>
      </c>
      <c r="AF24" s="1"/>
    </row>
    <row r="25" spans="1:32" x14ac:dyDescent="0.25">
      <c r="A25" s="31">
        <v>43089.511597222219</v>
      </c>
      <c r="B25" s="30" t="s">
        <v>469</v>
      </c>
      <c r="C25" s="30" t="s">
        <v>660</v>
      </c>
      <c r="D25" s="30" t="s">
        <v>49</v>
      </c>
      <c r="E25" s="30" t="s">
        <v>445</v>
      </c>
      <c r="F25" s="42">
        <v>0</v>
      </c>
      <c r="G25" s="42">
        <v>433</v>
      </c>
      <c r="H25" s="42">
        <v>26359</v>
      </c>
      <c r="I25" s="42">
        <v>27989</v>
      </c>
      <c r="J25" s="30" t="s">
        <v>446</v>
      </c>
      <c r="K25" s="42">
        <v>26872</v>
      </c>
      <c r="L25" s="131" t="s">
        <v>50</v>
      </c>
      <c r="M25" s="132">
        <f t="shared" si="0"/>
        <v>-589.77599999999995</v>
      </c>
      <c r="N25" s="133" t="str">
        <f>VLOOKUP(C25,'Trips&amp;Operators'!$C$1:$G$99911,5,FALSE)</f>
        <v>GEBRETEKLE DAGNEW</v>
      </c>
      <c r="O25" s="175" t="s">
        <v>347</v>
      </c>
      <c r="P25" s="239" t="s">
        <v>464</v>
      </c>
      <c r="Q25" s="30"/>
      <c r="R25" s="81" t="str">
        <f>VLOOKUP(C25,'Train Runs'!$A$13:$AE$10192,31,0)</f>
        <v>aws s3 cp s3://rtdc.mdm.uploadarchive.raw/RTDC4054/ "%USERPROFILE%\AppData\Local\Temp\OnboardLogs"\RTDC4054\2017-12-20 --exclude "*" --recursive --include "*20171220*" &amp; "%USERPROFILE%\Documents\GitHub\mrs-test-scripts\Headless Mode &amp; Sideloading\WalkAndUnGZ.bat" "%USERPROFILE%\AppData\Local\Temp\OnboardLogs"\RTDC4054\2017-12-20 &amp; aws s3 cp s3://rtdc.mdm.uploadarchive.raw/RTDC4054/ "%USERPROFILE%\AppData\Local\Temp\OnboardLogs"\RTDC4054\2017-12-21 --exclude "*" --recursive --include "*20171221*" &amp; "%USERPROFILE%\Documents\GitHub\mrs-test-scripts\Headless Mode &amp; Sideloading\WalkAndUnGZ.bat" "%USERPROFILE%\AppData\Local\Temp\OnboardLogs"\RTDC4054\2017-12-21</v>
      </c>
      <c r="S25" s="84" t="str">
        <f>VLOOKUP(C25,'Train Runs'!$A$13:$AE$10192,22,0)</f>
        <v>https://d0f6bd738d7f1b3e5a7ca70fe4ff75f0.us-east-1.aws.found.io/app/kibana#/discover/Steve-Slow-Train-Analysis-(2080s-and-2083s)?_g=(refreshInterval:(display:Off,pause:!f,section:0,value:0),time:(from:'2017-12-20T11:01:31-0700',mode:absolute,to:'2017-12-20T13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5" s="86" t="str">
        <f t="shared" si="1"/>
        <v>"C:\Program Files (x86)\AstroGrep\AstroGrep.exe" /e /r /s /spath="%USERPROFILE%\AppData\Local\Temp\OnboardLogs" /stypes="*4054*201712201*" /stext=" 19:.+((SYSTEM_STATE.+slice.+state.+changed )|(ment ac)|(multiple cpu faults)|(system.+state.+changed )|(\[timeout)|(PRM\|1\|D)|(kpr)|(kdp)|(train st.+moving)|(\|gpps)|(penalty))"</v>
      </c>
      <c r="U25" s="9" t="str">
        <f t="shared" si="2"/>
        <v>4054</v>
      </c>
      <c r="V25" s="31">
        <f t="shared" si="3"/>
        <v>43089.803263888884</v>
      </c>
      <c r="W25" s="45" t="str">
        <f t="shared" si="4"/>
        <v>NW</v>
      </c>
      <c r="X25" s="228">
        <f t="shared" si="5"/>
        <v>819</v>
      </c>
      <c r="Y25" s="238" t="str">
        <f t="shared" si="6"/>
        <v>echo {"issue":{"subject":"Wi-MAX data drop","project_id":79,"tracker_id":40,"status_id":1,"priority_id":2,"assigned_to_id":338,"start_date":"2017-12-20","description":"","custom_fields":[{"id":1,"name":"Subdivision","value":"NW"},{"id":4,"name":"Milepost","value":"2.6872"},{"id":17,"name":"Train ID","value":"819-20"},{"id":16,"name":"Locomotive ID","value":"4054"},{"id":130,"name":"Impact","value":""},{"id":150,"name":"Time of Event (Mountain Time)","value":"12:16:42"},{"id":151,"name":"Denver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 t="shared" si="7"/>
        <v>grep -hrE -A400 "Enforcement Action" /c/Users/stu/AppData/Local/Temp/OnboardLogs/RTDC4054 --include="*4054*201712201*"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"%USERPROFILE%\AppData\Local\Temp\OnboardLogs"\RTDC4054\*4054*201712201* &gt;&gt; 2017-12-20-SliceDisagreementCheck.txt</v>
      </c>
      <c r="AE25" s="144" t="str">
        <f t="shared" si="9"/>
        <v>start /low /b %USERPROFILE%\Documents\GitHub\eaglep3\Utilities\DownloadLogsFromS3.py --loco 4054 --day 2017-12-20</v>
      </c>
      <c r="AF25" s="1"/>
    </row>
    <row r="26" spans="1:32" x14ac:dyDescent="0.25">
      <c r="A26" s="31">
        <v>43090.074583333335</v>
      </c>
      <c r="B26" s="30" t="s">
        <v>485</v>
      </c>
      <c r="C26" s="30" t="s">
        <v>671</v>
      </c>
      <c r="D26" s="30" t="s">
        <v>95</v>
      </c>
      <c r="E26" s="30" t="s">
        <v>353</v>
      </c>
      <c r="F26" s="42">
        <v>0</v>
      </c>
      <c r="G26" s="42">
        <v>103</v>
      </c>
      <c r="H26" s="42">
        <v>22429</v>
      </c>
      <c r="I26" s="42">
        <v>22584</v>
      </c>
      <c r="J26" s="30" t="s">
        <v>354</v>
      </c>
      <c r="K26" s="42">
        <v>22314</v>
      </c>
      <c r="L26" s="131" t="s">
        <v>50</v>
      </c>
      <c r="M26" s="132">
        <f t="shared" si="0"/>
        <v>-142.56</v>
      </c>
      <c r="N26" s="133" t="str">
        <f>VLOOKUP(C26,'Trips&amp;Operators'!$C$1:$G$99911,5,FALSE)</f>
        <v>LOZA FIDEL</v>
      </c>
      <c r="O26" s="175" t="s">
        <v>178</v>
      </c>
      <c r="P26" s="239"/>
      <c r="Q26" s="30"/>
      <c r="R26" s="81" t="str">
        <f>VLOOKUP(C26,'Train Runs'!$A$13:$AE$10192,31,0)</f>
        <v>aws s3 cp s3://rtdc.mdm.uploadarchive.raw/RTDC4044/ "%USERPROFILE%\AppData\Local\Temp\OnboardLogs"\RTDC4044\2017-12-21 --exclude "*" --recursive --include "*20171221*" &amp; "%USERPROFILE%\Documents\GitHub\mrs-test-scripts\Headless Mode &amp; Sideloading\WalkAndUnGZ.bat" "%USERPROFILE%\AppData\Local\Temp\OnboardLogs"\RTDC4044\2017-12-21 &amp; aws s3 cp s3://rtdc.mdm.uploadarchive.raw/RTDC4044/ "%USERPROFILE%\AppData\Local\Temp\OnboardLogs"\RTDC4044\2017-12-22 --exclude "*" --recursive --include "*20171222*" &amp; "%USERPROFILE%\Documents\GitHub\mrs-test-scripts\Headless Mode &amp; Sideloading\WalkAndUnGZ.bat" "%USERPROFILE%\AppData\Local\Temp\OnboardLogs"\RTDC4044\2017-12-22</v>
      </c>
      <c r="S26" s="84" t="str">
        <f>VLOOKUP(C26,'Train Runs'!$A$13:$AE$10192,22,0)</f>
        <v>https://d0f6bd738d7f1b3e5a7ca70fe4ff75f0.us-east-1.aws.found.io/app/kibana#/discover/Steve-Slow-Train-Analysis-(2080s-and-2083s)?_g=(refreshInterval:(display:Off,pause:!f,section:0,value:0),time:(from:'2017-12-21T00:38:08-0700',mode:absolute,to:'2017-12-21T02:47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6" s="86" t="str">
        <f t="shared" si="1"/>
        <v>"C:\Program Files (x86)\AstroGrep\AstroGrep.exe" /e /r /s /spath="%USERPROFILE%\AppData\Local\Temp\OnboardLogs" /stypes="*4044*201712210*" /stext=" 08:.+((SYSTEM_STATE.+slice.+state.+changed )|(ment ac)|(multiple cpu faults)|(system.+state.+changed )|(\[timeout)|(PRM\|1\|D)|(kpr)|(kdp)|(train st.+moving)|(\|gpps)|(penalty))"</v>
      </c>
      <c r="U26" s="9" t="str">
        <f t="shared" si="2"/>
        <v>4044</v>
      </c>
      <c r="V26" s="31">
        <f t="shared" si="3"/>
        <v>43090.366249999999</v>
      </c>
      <c r="W26" s="45" t="str">
        <f t="shared" si="4"/>
        <v>Other</v>
      </c>
      <c r="X26" s="228">
        <f t="shared" si="5"/>
        <v>309</v>
      </c>
      <c r="Y26" s="238" t="str">
        <f t="shared" si="6"/>
        <v>echo {"issue":{"subject":"","project_id":79,"tracker_id":40,"status_id":1,"priority_id":2,"assigned_to_id":338,"start_date":"2017-12-21","description":"","custom_fields":[{"id":1,"name":"Subdivision","value":"Other"},{"id":4,"name":"Milepost","value":"2.2314"},{"id":17,"name":"Train ID","value":"309-20"},{"id":16,"name":"Locomotive ID","value":"4044"},{"id":130,"name":"Impact","value":""},{"id":150,"name":"Time of Event (Mountain Time)","value":"01:47:24"},{"id":151,"name":"Denver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 t="shared" si="7"/>
        <v>grep -hrE -A400 "Enforcement Action" /c/Users/stu/AppData/Local/Temp/OnboardLogs/RTDC4044 --include="*4044*201712210*"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"%USERPROFILE%\AppData\Local\Temp\OnboardLogs"\RTDC4044\*4044*201712210* &gt;&gt; 2017-12-20-SliceDisagreementCheck.txt</v>
      </c>
      <c r="AE26" s="144" t="str">
        <f t="shared" si="9"/>
        <v>start /low /b %USERPROFILE%\Documents\GitHub\eaglep3\Utilities\DownloadLogsFromS3.py --loco 4044 --day 2017-12-21</v>
      </c>
      <c r="AF26" s="1"/>
    </row>
    <row r="27" spans="1:32" x14ac:dyDescent="0.25">
      <c r="A27" s="31">
        <v>43089.605416666665</v>
      </c>
      <c r="B27" s="30" t="s">
        <v>499</v>
      </c>
      <c r="C27" s="30" t="s">
        <v>664</v>
      </c>
      <c r="D27" s="30" t="s">
        <v>49</v>
      </c>
      <c r="E27" s="30" t="s">
        <v>183</v>
      </c>
      <c r="F27" s="42">
        <v>230</v>
      </c>
      <c r="G27" s="42">
        <v>296</v>
      </c>
      <c r="H27" s="42">
        <v>95975</v>
      </c>
      <c r="I27" s="42">
        <v>95382</v>
      </c>
      <c r="J27" s="30" t="s">
        <v>184</v>
      </c>
      <c r="K27" s="42">
        <v>94854</v>
      </c>
      <c r="L27" s="131" t="s">
        <v>51</v>
      </c>
      <c r="M27" s="132">
        <f t="shared" si="0"/>
        <v>278.78399999999999</v>
      </c>
      <c r="N27" s="133" t="str">
        <f>VLOOKUP(C27,'Trips&amp;Operators'!$C$1:$G$99911,5,FALSE)</f>
        <v>SANTIZO D. EDY</v>
      </c>
      <c r="O27" s="175" t="s">
        <v>178</v>
      </c>
      <c r="P27" s="239"/>
      <c r="Q27" s="30"/>
      <c r="R27" s="81" t="str">
        <f>VLOOKUP(C27,'Train Runs'!$A$13:$AE$10192,31,0)</f>
        <v>aws s3 cp s3://rtdc.mdm.uploadarchive.raw/RTDC4021/ "%USERPROFILE%\AppData\Local\Temp\OnboardLogs"\RTDC4021\2017-12-20 --exclude "*" --recursive --include "*20171220*" &amp; "%USERPROFILE%\Documents\GitHub\mrs-test-scripts\Headless Mode &amp; Sideloading\WalkAndUnGZ.bat" "%USERPROFILE%\AppData\Local\Temp\OnboardLogs"\RTDC4021\2017-12-20 &amp; aws s3 cp s3://rtdc.mdm.uploadarchive.raw/RTDC4021/ "%USERPROFILE%\AppData\Local\Temp\OnboardLogs"\RTDC4021\2017-12-21 --exclude "*" --recursive --include "*20171221*" &amp; "%USERPROFILE%\Documents\GitHub\mrs-test-scripts\Headless Mode &amp; Sideloading\WalkAndUnGZ.bat" "%USERPROFILE%\AppData\Local\Temp\OnboardLogs"\RTDC4021\2017-12-21</v>
      </c>
      <c r="S27" s="84" t="str">
        <f>VLOOKUP(C27,'Train Runs'!$A$13:$AE$10192,22,0)</f>
        <v>https://d0f6bd738d7f1b3e5a7ca70fe4ff75f0.us-east-1.aws.found.io/app/kibana#/discover/Steve-Slow-Train-Analysis-(2080s-and-2083s)?_g=(refreshInterval:(display:Off,pause:!f,section:0,value:0),time:(from:'2017-12-20T13:24:59-0700',mode:absolute,to:'2017-12-20T15:53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7" s="86" t="str">
        <f t="shared" si="1"/>
        <v>"C:\Program Files (x86)\AstroGrep\AstroGrep.exe" /e /r /s /spath="%USERPROFILE%\AppData\Local\Temp\OnboardLogs" /stypes="*4021*201712202*" /stext=" 21:.+((SYSTEM_STATE.+slice.+state.+changed )|(ment ac)|(multiple cpu faults)|(system.+state.+changed )|(\[timeout)|(PRM\|1\|D)|(kpr)|(kdp)|(train st.+moving)|(\|gpps)|(penalty))"</v>
      </c>
      <c r="U27" s="9" t="str">
        <f t="shared" si="2"/>
        <v>4021</v>
      </c>
      <c r="V27" s="31">
        <f t="shared" si="3"/>
        <v>43089.89708333333</v>
      </c>
      <c r="W27" s="45" t="str">
        <f t="shared" si="4"/>
        <v>Shuttle/Test</v>
      </c>
      <c r="X27" s="228">
        <f t="shared" si="5"/>
        <v>64</v>
      </c>
      <c r="Y27" s="238" t="str">
        <f t="shared" si="6"/>
        <v>echo {"issue":{"subject":"","project_id":79,"tracker_id":40,"status_id":1,"priority_id":2,"assigned_to_id":338,"start_date":"2017-12-20","description":"","custom_fields":[{"id":1,"name":"Subdivision","value":"Shuttle/Test"},{"id":4,"name":"Milepost","value":"9.4854"},{"id":17,"name":"Train ID","value":"64-20"},{"id":16,"name":"Locomotive ID","value":"4021"},{"id":130,"name":"Impact","value":""},{"id":150,"name":"Time of Event (Mountain Time)","value":"14:31:48"},{"id":151,"name":"Denver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 t="shared" si="7"/>
        <v>grep -hrE -A400 "Enforcement Action" /c/Users/stu/AppData/Local/Temp/OnboardLogs/RTDC4021 --include="*4021*201712202*"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"%USERPROFILE%\AppData\Local\Temp\OnboardLogs"\RTDC4021\*4021*201712202* &gt;&gt; 2017-12-20-SliceDisagreementCheck.txt</v>
      </c>
      <c r="AE27" s="144" t="str">
        <f t="shared" si="9"/>
        <v>start /low /b %USERPROFILE%\Documents\GitHub\eaglep3\Utilities\DownloadLogsFromS3.py --loco 4021 --day 2017-12-20</v>
      </c>
      <c r="AF27" s="1"/>
    </row>
    <row r="28" spans="1:32" x14ac:dyDescent="0.25">
      <c r="A28" s="31">
        <v>43089.601087962961</v>
      </c>
      <c r="B28" s="30" t="s">
        <v>570</v>
      </c>
      <c r="C28" s="30" t="s">
        <v>663</v>
      </c>
      <c r="D28" s="30" t="s">
        <v>49</v>
      </c>
      <c r="E28" s="30" t="s">
        <v>183</v>
      </c>
      <c r="F28" s="42">
        <v>360</v>
      </c>
      <c r="G28" s="42">
        <v>412</v>
      </c>
      <c r="H28" s="42">
        <v>107193</v>
      </c>
      <c r="I28" s="42">
        <v>105998</v>
      </c>
      <c r="J28" s="30" t="s">
        <v>184</v>
      </c>
      <c r="K28" s="42">
        <v>106238</v>
      </c>
      <c r="L28" s="131" t="s">
        <v>51</v>
      </c>
      <c r="M28" s="132">
        <f t="shared" si="0"/>
        <v>-126.72</v>
      </c>
      <c r="N28" s="133" t="str">
        <f>VLOOKUP(C28,'Trips&amp;Operators'!$C$1:$G$99911,5,FALSE)</f>
        <v>MAGEE KENYA</v>
      </c>
      <c r="O28" s="175" t="s">
        <v>178</v>
      </c>
      <c r="P28" s="239"/>
      <c r="Q28" s="30"/>
      <c r="R28" s="81" t="str">
        <f>VLOOKUP(C28,'Train Runs'!$A$13:$AE$10192,31,0)</f>
        <v>aws s3 cp s3://rtdc.mdm.uploadarchive.raw/RTDC4031/ "%USERPROFILE%\AppData\Local\Temp\OnboardLogs"\RTDC4031\2017-12-20 --exclude "*" --recursive --include "*20171220*" &amp; "%USERPROFILE%\Documents\GitHub\mrs-test-scripts\Headless Mode &amp; Sideloading\WalkAndUnGZ.bat" "%USERPROFILE%\AppData\Local\Temp\OnboardLogs"\RTDC4031\2017-12-20 &amp; aws s3 cp s3://rtdc.mdm.uploadarchive.raw/RTDC4031/ "%USERPROFILE%\AppData\Local\Temp\OnboardLogs"\RTDC4031\2017-12-21 --exclude "*" --recursive --include "*20171221*" &amp; "%USERPROFILE%\Documents\GitHub\mrs-test-scripts\Headless Mode &amp; Sideloading\WalkAndUnGZ.bat" "%USERPROFILE%\AppData\Local\Temp\OnboardLogs"\RTDC4031\2017-12-21</v>
      </c>
      <c r="S28" s="84" t="str">
        <f>VLOOKUP(C28,'Train Runs'!$A$13:$AE$10192,22,0)</f>
        <v>https://d0f6bd738d7f1b3e5a7ca70fe4ff75f0.us-east-1.aws.found.io/app/kibana#/discover/Steve-Slow-Train-Analysis-(2080s-and-2083s)?_g=(refreshInterval:(display:Off,pause:!f,section:0,value:0),time:(from:'2017-12-20T13:19:39-0700',mode:absolute,to:'2017-12-20T15:48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8" s="86" t="str">
        <f t="shared" si="1"/>
        <v>"C:\Program Files (x86)\AstroGrep\AstroGrep.exe" /e /r /s /spath="%USERPROFILE%\AppData\Local\Temp\OnboardLogs" /stypes="*4031*201712202*" /stext=" 21:.+((SYSTEM_STATE.+slice.+state.+changed )|(ment ac)|(multiple cpu faults)|(system.+state.+changed )|(\[timeout)|(PRM\|1\|D)|(kpr)|(kdp)|(train st.+moving)|(\|gpps)|(penalty))"</v>
      </c>
      <c r="U28" s="9" t="str">
        <f t="shared" si="2"/>
        <v>4031</v>
      </c>
      <c r="V28" s="31">
        <f t="shared" si="3"/>
        <v>43089.892754629625</v>
      </c>
      <c r="W28" s="45" t="str">
        <f t="shared" si="4"/>
        <v>Shuttle/Test</v>
      </c>
      <c r="X28" s="228">
        <f t="shared" si="5"/>
        <v>58</v>
      </c>
      <c r="Y28" s="238" t="str">
        <f t="shared" si="6"/>
        <v>echo {"issue":{"subject":"","project_id":79,"tracker_id":40,"status_id":1,"priority_id":2,"assigned_to_id":338,"start_date":"2017-12-20","description":"","custom_fields":[{"id":1,"name":"Subdivision","value":"Shuttle/Test"},{"id":4,"name":"Milepost","value":"10.6238"},{"id":17,"name":"Train ID","value":"58-20"},{"id":16,"name":"Locomotive ID","value":"4031"},{"id":130,"name":"Impact","value":""},{"id":150,"name":"Time of Event (Mountain Time)","value":"14:25:34"},{"id":151,"name":"Denver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1"/>
      <c r="AB28" s="231"/>
      <c r="AC28" s="115" t="str">
        <f t="shared" si="7"/>
        <v>grep -hrE -A400 "Enforcement Action" /c/Users/stu/AppData/Local/Temp/OnboardLogs/RTDC4031 --include="*4031*201712202*"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"%USERPROFILE%\AppData\Local\Temp\OnboardLogs"\RTDC4031\*4031*201712202* &gt;&gt; 2017-12-20-SliceDisagreementCheck.txt</v>
      </c>
      <c r="AE28" s="144" t="str">
        <f t="shared" si="9"/>
        <v>start /low /b %USERPROFILE%\Documents\GitHub\eaglep3\Utilities\DownloadLogsFromS3.py --loco 4031 --day 2017-12-20</v>
      </c>
      <c r="AF28" s="1"/>
    </row>
    <row r="29" spans="1:32" x14ac:dyDescent="0.25">
      <c r="A29" s="31">
        <v>43089.650173611109</v>
      </c>
      <c r="B29" s="30" t="s">
        <v>570</v>
      </c>
      <c r="C29" s="30" t="s">
        <v>663</v>
      </c>
      <c r="D29" s="30" t="s">
        <v>95</v>
      </c>
      <c r="E29" s="30" t="s">
        <v>190</v>
      </c>
      <c r="F29" s="42">
        <v>300</v>
      </c>
      <c r="G29" s="42">
        <v>360</v>
      </c>
      <c r="H29" s="42">
        <v>79730</v>
      </c>
      <c r="I29" s="42">
        <v>78747</v>
      </c>
      <c r="J29" s="30" t="s">
        <v>191</v>
      </c>
      <c r="K29" s="42">
        <v>80701</v>
      </c>
      <c r="L29" s="131" t="s">
        <v>51</v>
      </c>
      <c r="M29" s="132">
        <f t="shared" si="0"/>
        <v>-1031.712</v>
      </c>
      <c r="N29" s="133" t="str">
        <f>VLOOKUP(C29,'Trips&amp;Operators'!$C$1:$G$99911,5,FALSE)</f>
        <v>MAGEE KENYA</v>
      </c>
      <c r="O29" s="175" t="s">
        <v>178</v>
      </c>
      <c r="P29" s="239"/>
      <c r="Q29" s="30"/>
      <c r="R29" s="81" t="str">
        <f>VLOOKUP(C29,'Train Runs'!$A$13:$AE$10192,31,0)</f>
        <v>aws s3 cp s3://rtdc.mdm.uploadarchive.raw/RTDC4031/ "%USERPROFILE%\AppData\Local\Temp\OnboardLogs"\RTDC4031\2017-12-20 --exclude "*" --recursive --include "*20171220*" &amp; "%USERPROFILE%\Documents\GitHub\mrs-test-scripts\Headless Mode &amp; Sideloading\WalkAndUnGZ.bat" "%USERPROFILE%\AppData\Local\Temp\OnboardLogs"\RTDC4031\2017-12-20 &amp; aws s3 cp s3://rtdc.mdm.uploadarchive.raw/RTDC4031/ "%USERPROFILE%\AppData\Local\Temp\OnboardLogs"\RTDC4031\2017-12-21 --exclude "*" --recursive --include "*20171221*" &amp; "%USERPROFILE%\Documents\GitHub\mrs-test-scripts\Headless Mode &amp; Sideloading\WalkAndUnGZ.bat" "%USERPROFILE%\AppData\Local\Temp\OnboardLogs"\RTDC4031\2017-12-21</v>
      </c>
      <c r="S29" s="84" t="str">
        <f>VLOOKUP(C29,'Train Runs'!$A$13:$AE$10192,22,0)</f>
        <v>https://d0f6bd738d7f1b3e5a7ca70fe4ff75f0.us-east-1.aws.found.io/app/kibana#/discover/Steve-Slow-Train-Analysis-(2080s-and-2083s)?_g=(refreshInterval:(display:Off,pause:!f,section:0,value:0),time:(from:'2017-12-20T13:19:39-0700',mode:absolute,to:'2017-12-20T15:48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9" s="86" t="str">
        <f t="shared" si="1"/>
        <v>"C:\Program Files (x86)\AstroGrep\AstroGrep.exe" /e /r /s /spath="%USERPROFILE%\AppData\Local\Temp\OnboardLogs" /stypes="*4031*201712202*" /stext=" 22:.+((SYSTEM_STATE.+slice.+state.+changed )|(ment ac)|(multiple cpu faults)|(system.+state.+changed )|(\[timeout)|(PRM\|1\|D)|(kpr)|(kdp)|(train st.+moving)|(\|gpps)|(penalty))"</v>
      </c>
      <c r="U29" s="9" t="str">
        <f t="shared" si="2"/>
        <v>4031</v>
      </c>
      <c r="V29" s="31">
        <f t="shared" si="3"/>
        <v>43089.941840277774</v>
      </c>
      <c r="W29" s="45" t="str">
        <f t="shared" si="4"/>
        <v>Shuttle/Test</v>
      </c>
      <c r="X29" s="228">
        <f t="shared" si="5"/>
        <v>58</v>
      </c>
      <c r="Y29" s="238" t="str">
        <f t="shared" si="6"/>
        <v>echo {"issue":{"subject":"","project_id":79,"tracker_id":40,"status_id":1,"priority_id":2,"assigned_to_id":338,"start_date":"2017-12-20","description":"","custom_fields":[{"id":1,"name":"Subdivision","value":"Shuttle/Test"},{"id":4,"name":"Milepost","value":"8.0701"},{"id":17,"name":"Train ID","value":"58-20"},{"id":16,"name":"Locomotive ID","value":"4031"},{"id":130,"name":"Impact","value":""},{"id":150,"name":"Time of Event (Mountain Time)","value":"15:36:15"},{"id":151,"name":"Denver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 t="shared" si="7"/>
        <v>grep -hrE -A400 "Enforcement Action" /c/Users/stu/AppData/Local/Temp/OnboardLogs/RTDC4031 --include="*4031*201712202*"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"%USERPROFILE%\AppData\Local\Temp\OnboardLogs"\RTDC4031\*4031*201712202* &gt;&gt; 2017-12-20-SliceDisagreementCheck.txt</v>
      </c>
      <c r="AE29" s="144" t="str">
        <f t="shared" si="9"/>
        <v>start /low /b %USERPROFILE%\Documents\GitHub\eaglep3\Utilities\DownloadLogsFromS3.py --loco 4031 --day 2017-12-20</v>
      </c>
      <c r="AF29" s="1"/>
    </row>
    <row r="30" spans="1:32" x14ac:dyDescent="0.25">
      <c r="A30" s="31">
        <v>43089.63857638889</v>
      </c>
      <c r="B30" s="30" t="s">
        <v>576</v>
      </c>
      <c r="C30" s="30" t="s">
        <v>666</v>
      </c>
      <c r="D30" s="30" t="s">
        <v>49</v>
      </c>
      <c r="E30" s="30" t="s">
        <v>190</v>
      </c>
      <c r="F30" s="42">
        <v>150</v>
      </c>
      <c r="G30" s="42">
        <v>330</v>
      </c>
      <c r="H30" s="42">
        <v>108068</v>
      </c>
      <c r="I30" s="42">
        <v>108712</v>
      </c>
      <c r="J30" s="30" t="s">
        <v>191</v>
      </c>
      <c r="K30" s="42">
        <v>109599</v>
      </c>
      <c r="L30" s="131" t="s">
        <v>50</v>
      </c>
      <c r="M30" s="132">
        <f t="shared" si="0"/>
        <v>468.33600000000001</v>
      </c>
      <c r="N30" s="133" t="str">
        <f>VLOOKUP(C30,'Trips&amp;Operators'!$C$1:$G$99911,5,FALSE)</f>
        <v>MAGEE KENYA</v>
      </c>
      <c r="O30" s="175" t="s">
        <v>178</v>
      </c>
      <c r="P30" s="239"/>
      <c r="Q30" s="30"/>
      <c r="R30" s="81" t="str">
        <f>VLOOKUP(C30,'Train Runs'!$A$13:$AE$10192,31,0)</f>
        <v>aws s3 cp s3://rtdc.mdm.uploadarchive.raw/RTDC4032/ "%USERPROFILE%\AppData\Local\Temp\OnboardLogs"\RTDC4032\2017-12-20 --exclude "*" --recursive --include "*20171220*" &amp; "%USERPROFILE%\Documents\GitHub\mrs-test-scripts\Headless Mode &amp; Sideloading\WalkAndUnGZ.bat" "%USERPROFILE%\AppData\Local\Temp\OnboardLogs"\RTDC4032\2017-12-20 &amp; aws s3 cp s3://rtdc.mdm.uploadarchive.raw/RTDC4032/ "%USERPROFILE%\AppData\Local\Temp\OnboardLogs"\RTDC4032\2017-12-21 --exclude "*" --recursive --include "*20171221*" &amp; "%USERPROFILE%\Documents\GitHub\mrs-test-scripts\Headless Mode &amp; Sideloading\WalkAndUnGZ.bat" "%USERPROFILE%\AppData\Local\Temp\OnboardLogs"\RTDC4032\2017-12-21</v>
      </c>
      <c r="S30" s="84" t="str">
        <f>VLOOKUP(C30,'Train Runs'!$A$13:$AE$10192,22,0)</f>
        <v>https://d0f6bd738d7f1b3e5a7ca70fe4ff75f0.us-east-1.aws.found.io/app/kibana#/discover/Steve-Slow-Train-Analysis-(2080s-and-2083s)?_g=(refreshInterval:(display:Off,pause:!f,section:0,value:0),time:(from:'2017-12-20T12:44:52-0700',mode:absolute,to:'2017-12-20T15:17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0" s="86" t="str">
        <f t="shared" si="1"/>
        <v>"C:\Program Files (x86)\AstroGrep\AstroGrep.exe" /e /r /s /spath="%USERPROFILE%\AppData\Local\Temp\OnboardLogs" /stypes="*4032*201712202*" /stext=" 22:.+((SYSTEM_STATE.+slice.+state.+changed )|(ment ac)|(multiple cpu faults)|(system.+state.+changed )|(\[timeout)|(PRM\|1\|D)|(kpr)|(kdp)|(train st.+moving)|(\|gpps)|(penalty))"</v>
      </c>
      <c r="U30" s="9" t="str">
        <f t="shared" si="2"/>
        <v>4032</v>
      </c>
      <c r="V30" s="31">
        <f t="shared" si="3"/>
        <v>43089.930243055554</v>
      </c>
      <c r="W30" s="45" t="str">
        <f t="shared" si="4"/>
        <v>Shuttle/Test</v>
      </c>
      <c r="X30" s="228">
        <f t="shared" si="5"/>
        <v>59</v>
      </c>
      <c r="Y30" s="238" t="str">
        <f t="shared" si="6"/>
        <v>echo {"issue":{"subject":"","project_id":79,"tracker_id":40,"status_id":1,"priority_id":2,"assigned_to_id":338,"start_date":"2017-12-20","description":"","custom_fields":[{"id":1,"name":"Subdivision","value":"Shuttle/Test"},{"id":4,"name":"Milepost","value":"10.9599"},{"id":17,"name":"Train ID","value":"59-20"},{"id":16,"name":"Locomotive ID","value":"4032"},{"id":130,"name":"Impact","value":""},{"id":150,"name":"Time of Event (Mountain Time)","value":"15:19:33"},{"id":151,"name":"Denver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1"/>
      <c r="AB30" s="231"/>
      <c r="AC30" s="115" t="str">
        <f t="shared" si="7"/>
        <v>grep -hrE -A400 "Enforcement Action" /c/Users/stu/AppData/Local/Temp/OnboardLogs/RTDC4032 --include="*4032*201712202*"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"%USERPROFILE%\AppData\Local\Temp\OnboardLogs"\RTDC4032\*4032*201712202* &gt;&gt; 2017-12-20-SliceDisagreementCheck.txt</v>
      </c>
      <c r="AE30" s="144" t="str">
        <f t="shared" si="9"/>
        <v>start /low /b %USERPROFILE%\Documents\GitHub\eaglep3\Utilities\DownloadLogsFromS3.py --loco 4032 --day 2017-12-20</v>
      </c>
      <c r="AF30" s="1"/>
    </row>
    <row r="31" spans="1:32" x14ac:dyDescent="0.25">
      <c r="A31" s="31">
        <v>43089.495219907411</v>
      </c>
      <c r="B31" s="30" t="s">
        <v>499</v>
      </c>
      <c r="C31" s="30" t="s">
        <v>659</v>
      </c>
      <c r="D31" s="30" t="s">
        <v>49</v>
      </c>
      <c r="E31" s="30" t="s">
        <v>353</v>
      </c>
      <c r="F31" s="42">
        <v>0</v>
      </c>
      <c r="G31" s="42">
        <v>16</v>
      </c>
      <c r="H31" s="42">
        <v>63769</v>
      </c>
      <c r="I31" s="42">
        <v>63673</v>
      </c>
      <c r="J31" s="30" t="s">
        <v>354</v>
      </c>
      <c r="K31" s="42">
        <v>63481</v>
      </c>
      <c r="L31" s="131" t="s">
        <v>51</v>
      </c>
      <c r="M31" s="132">
        <f t="shared" si="0"/>
        <v>101.376</v>
      </c>
      <c r="N31" s="133" t="str">
        <f>VLOOKUP(C31,'Trips&amp;Operators'!$C$1:$G$99911,5,FALSE)</f>
        <v>FORTUNATO FRANK</v>
      </c>
      <c r="O31" s="175" t="s">
        <v>178</v>
      </c>
      <c r="P31" s="239"/>
      <c r="Q31" s="30"/>
      <c r="R31" s="81" t="str">
        <f>VLOOKUP(C31,'Train Runs'!$A$13:$AE$10192,31,0)</f>
        <v>aws s3 cp s3://rtdc.mdm.uploadarchive.raw/RTDC4021/ "%USERPROFILE%\AppData\Local\Temp\OnboardLogs"\RTDC4021\2017-12-20 --exclude "*" --recursive --include "*20171220*" &amp; "%USERPROFILE%\Documents\GitHub\mrs-test-scripts\Headless Mode &amp; Sideloading\WalkAndUnGZ.bat" "%USERPROFILE%\AppData\Local\Temp\OnboardLogs"\RTDC4021\2017-12-20 &amp; aws s3 cp s3://rtdc.mdm.uploadarchive.raw/RTDC4021/ "%USERPROFILE%\AppData\Local\Temp\OnboardLogs"\RTDC4021\2017-12-21 --exclude "*" --recursive --include "*20171221*" &amp; "%USERPROFILE%\Documents\GitHub\mrs-test-scripts\Headless Mode &amp; Sideloading\WalkAndUnGZ.bat" "%USERPROFILE%\AppData\Local\Temp\OnboardLogs"\RTDC4021\2017-12-21</v>
      </c>
      <c r="S31" s="84" t="str">
        <f>VLOOKUP(C31,'Train Runs'!$A$13:$AE$10192,22,0)</f>
        <v>https://d0f6bd738d7f1b3e5a7ca70fe4ff75f0.us-east-1.aws.found.io/app/kibana#/discover/Steve-Slow-Train-Analysis-(2080s-and-2083s)?_g=(refreshInterval:(display:Off,pause:!f,section:0,value:0),time:(from:'2017-12-20T10:43:40-0700',mode:absolute,to:'2017-12-20T13:29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1" s="86" t="str">
        <f t="shared" si="1"/>
        <v>"C:\Program Files (x86)\AstroGrep\AstroGrep.exe" /e /r /s /spath="%USERPROFILE%\AppData\Local\Temp\OnboardLogs" /stypes="*4021*201712201*" /stext=" 18:.+((SYSTEM_STATE.+slice.+state.+changed )|(ment ac)|(multiple cpu faults)|(system.+state.+changed )|(\[timeout)|(PRM\|1\|D)|(kpr)|(kdp)|(train st.+moving)|(\|gpps)|(penalty))"</v>
      </c>
      <c r="U31" s="9" t="str">
        <f t="shared" si="2"/>
        <v>4021</v>
      </c>
      <c r="V31" s="31">
        <f t="shared" si="3"/>
        <v>43089.786886574075</v>
      </c>
      <c r="W31" s="45" t="str">
        <f t="shared" si="4"/>
        <v>Shuttle/Test</v>
      </c>
      <c r="X31" s="228">
        <f t="shared" si="5"/>
        <v>50</v>
      </c>
      <c r="Y31" s="238" t="str">
        <f t="shared" si="6"/>
        <v>echo {"issue":{"subject":"","project_id":79,"tracker_id":40,"status_id":1,"priority_id":2,"assigned_to_id":338,"start_date":"2017-12-20","description":"","custom_fields":[{"id":1,"name":"Subdivision","value":"Shuttle/Test"},{"id":4,"name":"Milepost","value":"6.3481"},{"id":17,"name":"Train ID","value":"50-20"},{"id":16,"name":"Locomotive ID","value":"4021"},{"id":130,"name":"Impact","value":""},{"id":150,"name":"Time of Event (Mountain Time)","value":"11:53:07"},{"id":151,"name":"Denver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8"/>
      <c r="AA31" s="231"/>
      <c r="AB31" s="231"/>
      <c r="AC31" s="115" t="str">
        <f t="shared" si="7"/>
        <v>grep -hrE -A400 "Enforcement Action" /c/Users/stu/AppData/Local/Temp/OnboardLogs/RTDC4021 --include="*4021*201712201*"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"%USERPROFILE%\AppData\Local\Temp\OnboardLogs"\RTDC4021\*4021*201712201* &gt;&gt; 2017-12-20-SliceDisagreementCheck.txt</v>
      </c>
      <c r="AE31" s="144" t="str">
        <f t="shared" si="9"/>
        <v>start /low /b %USERPROFILE%\Documents\GitHub\eaglep3\Utilities\DownloadLogsFromS3.py --loco 4021 --day 2017-12-20</v>
      </c>
      <c r="AF31" s="1"/>
    </row>
  </sheetData>
  <autoFilter ref="A6:AC14">
    <sortState ref="A7:AC31">
      <sortCondition ref="W7:W31"/>
      <sortCondition ref="E7:E31"/>
      <sortCondition ref="K7:K31"/>
      <sortCondition ref="F7:F31"/>
    </sortState>
  </autoFilter>
  <sortState ref="A7:AE14">
    <sortCondition ref="W7:W14"/>
    <sortCondition ref="E7:E14"/>
    <sortCondition ref="K7:K14"/>
    <sortCondition ref="C7:C14"/>
    <sortCondition ref="F7:F14"/>
  </sortState>
  <mergeCells count="1">
    <mergeCell ref="A5:O5"/>
  </mergeCells>
  <conditionalFormatting sqref="O2:O3">
    <cfRule type="cellIs" dxfId="3" priority="34" operator="equal">
      <formula>"Y"</formula>
    </cfRule>
  </conditionalFormatting>
  <conditionalFormatting sqref="A7:P31">
    <cfRule type="expression" dxfId="2" priority="27">
      <formula>$O7="Y"</formula>
    </cfRule>
    <cfRule type="expression" dxfId="1" priority="1">
      <formula>ABS($M7)&gt;2000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AA7:AA31</xm:sqref>
        </x14:dataValidation>
        <x14:dataValidation type="list" allowBlank="1" showInputMessage="1" showErrorMessage="1">
          <x14:formula1>
            <xm:f>'Redmine List Values'!$C$2:$C$15</xm:f>
          </x14:formula1>
          <xm:sqref>AB7:AB31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51" t="str">
        <f>"Trips that did not appear in PTC Data "&amp;TEXT(Variables!$A$2,"YYYY-mm-dd")</f>
        <v>Trips that did not appear in PTC Data 2017-12-20</v>
      </c>
      <c r="C1" s="251"/>
      <c r="D1" s="251"/>
      <c r="E1" s="251"/>
      <c r="F1" s="251"/>
      <c r="I1" s="188"/>
    </row>
    <row r="2" spans="1:10" s="23" customFormat="1" ht="45" x14ac:dyDescent="0.25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/>
      <c r="B3" s="42" t="str">
        <f>A3&amp;"-"&amp;IF(DAY(Variables!$A$2)&lt;10,0,"")&amp;DAY(Variables!$A$2)</f>
        <v>-20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" s="30" t="e">
        <f>VLOOKUP(B3,'Train Runs'!$A$13:$A$100189,1,FALSE)</f>
        <v>#N/A</v>
      </c>
    </row>
    <row r="4" spans="1:10" x14ac:dyDescent="0.25">
      <c r="A4" s="197"/>
      <c r="B4" s="42" t="str">
        <f>A4&amp;"-"&amp;IF(DAY(Variables!$A$2)&lt;10,0,"")&amp;DAY(Variables!$A$2)</f>
        <v>-20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" s="30" t="e">
        <f>VLOOKUP(B4,'Train Runs'!$A$13:$A$100189,1,FALSE)</f>
        <v>#N/A</v>
      </c>
    </row>
    <row r="5" spans="1:10" x14ac:dyDescent="0.25">
      <c r="A5" s="197"/>
      <c r="B5" s="42" t="str">
        <f>A5&amp;"-"&amp;IF(DAY(Variables!$A$2)&lt;10,0,"")&amp;DAY(Variables!$A$2)</f>
        <v>-20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" s="30" t="e">
        <f>VLOOKUP(B5,'Train Runs'!$A$13:$A$100189,1,FALSE)</f>
        <v>#N/A</v>
      </c>
    </row>
    <row r="6" spans="1:10" x14ac:dyDescent="0.25">
      <c r="A6" s="197"/>
      <c r="B6" s="42" t="str">
        <f>A6&amp;"-"&amp;IF(DAY(Variables!$A$2)&lt;10,0,"")&amp;DAY(Variables!$A$2)</f>
        <v>-20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" s="30" t="e">
        <f>VLOOKUP(B6,'Train Runs'!$A$13:$A$100189,1,FALSE)</f>
        <v>#N/A</v>
      </c>
    </row>
    <row r="7" spans="1:10" x14ac:dyDescent="0.25">
      <c r="A7" s="197"/>
      <c r="B7" s="42" t="str">
        <f>A7&amp;"-"&amp;IF(DAY(Variables!$A$2)&lt;10,0,"")&amp;DAY(Variables!$A$2)</f>
        <v>-20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" s="30" t="e">
        <f>VLOOKUP(B7,'Train Runs'!$A$13:$A$100189,1,FALSE)</f>
        <v>#N/A</v>
      </c>
    </row>
    <row r="8" spans="1:10" x14ac:dyDescent="0.25">
      <c r="A8" s="197"/>
      <c r="B8" s="42" t="str">
        <f>A8&amp;"-"&amp;IF(DAY(Variables!$A$2)&lt;10,0,"")&amp;DAY(Variables!$A$2)</f>
        <v>-20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" s="30" t="e">
        <f>VLOOKUP(B8,'Train Runs'!$A$13:$A$100189,1,FALSE)</f>
        <v>#N/A</v>
      </c>
    </row>
    <row r="9" spans="1:10" x14ac:dyDescent="0.25">
      <c r="A9" s="197"/>
      <c r="B9" s="42" t="str">
        <f>A9&amp;"-"&amp;IF(DAY(Variables!$A$2)&lt;10,0,"")&amp;DAY(Variables!$A$2)</f>
        <v>-20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" s="30" t="e">
        <f>VLOOKUP(B9,'Train Runs'!$A$13:$A$100189,1,FALSE)</f>
        <v>#N/A</v>
      </c>
    </row>
    <row r="10" spans="1:10" x14ac:dyDescent="0.25">
      <c r="A10" s="197"/>
      <c r="B10" s="42" t="str">
        <f>A10&amp;"-"&amp;IF(DAY(Variables!$A$2)&lt;10,0,"")&amp;DAY(Variables!$A$2)</f>
        <v>-20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" s="30" t="e">
        <f>VLOOKUP(B10,'Train Runs'!$A$13:$A$100189,1,FALSE)</f>
        <v>#N/A</v>
      </c>
    </row>
    <row r="11" spans="1:10" x14ac:dyDescent="0.25">
      <c r="A11" s="197"/>
      <c r="B11" s="42" t="str">
        <f>A11&amp;"-"&amp;IF(DAY(Variables!$A$2)&lt;10,0,"")&amp;DAY(Variables!$A$2)</f>
        <v>-20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" s="30" t="e">
        <f>VLOOKUP(B11,'Train Runs'!$A$13:$A$100189,1,FALSE)</f>
        <v>#N/A</v>
      </c>
    </row>
    <row r="12" spans="1:10" x14ac:dyDescent="0.25">
      <c r="A12" s="197"/>
      <c r="B12" s="42" t="str">
        <f>A12&amp;"-"&amp;IF(DAY(Variables!$A$2)&lt;10,0,"")&amp;DAY(Variables!$A$2)</f>
        <v>-20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" s="30" t="e">
        <f>VLOOKUP(B12,'Train Runs'!$A$13:$A$100189,1,FALSE)</f>
        <v>#N/A</v>
      </c>
    </row>
    <row r="13" spans="1:10" x14ac:dyDescent="0.25">
      <c r="A13" s="197"/>
      <c r="B13" s="42" t="str">
        <f>A13&amp;"-"&amp;IF(DAY(Variables!$A$2)&lt;10,0,"")&amp;DAY(Variables!$A$2)</f>
        <v>-20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" s="30" t="e">
        <f>VLOOKUP(B13,'Train Runs'!$A$13:$A$100189,1,FALSE)</f>
        <v>#N/A</v>
      </c>
    </row>
    <row r="14" spans="1:10" x14ac:dyDescent="0.25">
      <c r="A14" s="197"/>
      <c r="B14" s="42" t="str">
        <f>A14&amp;"-"&amp;IF(DAY(Variables!$A$2)&lt;10,0,"")&amp;DAY(Variables!$A$2)</f>
        <v>-20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4" s="30" t="e">
        <f>VLOOKUP(B14,'Train Runs'!$A$13:$A$100189,1,FALSE)</f>
        <v>#N/A</v>
      </c>
    </row>
    <row r="15" spans="1:10" x14ac:dyDescent="0.25">
      <c r="A15" s="197"/>
      <c r="B15" s="42" t="str">
        <f>A15&amp;"-"&amp;IF(DAY(Variables!$A$2)&lt;10,0,"")&amp;DAY(Variables!$A$2)</f>
        <v>-20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5" s="30" t="e">
        <f>VLOOKUP(B15,'Train Runs'!$A$13:$A$100189,1,FALSE)</f>
        <v>#N/A</v>
      </c>
    </row>
    <row r="16" spans="1:10" x14ac:dyDescent="0.25">
      <c r="A16" s="197"/>
      <c r="B16" s="42" t="str">
        <f>A16&amp;"-"&amp;IF(DAY(Variables!$A$2)&lt;10,0,"")&amp;DAY(Variables!$A$2)</f>
        <v>-20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6" s="30" t="e">
        <f>VLOOKUP(B16,'Train Runs'!$A$13:$A$100189,1,FALSE)</f>
        <v>#N/A</v>
      </c>
    </row>
    <row r="17" spans="1:10" x14ac:dyDescent="0.25">
      <c r="A17" s="197"/>
      <c r="B17" s="42" t="str">
        <f>A17&amp;"-"&amp;IF(DAY(Variables!$A$2)&lt;10,0,"")&amp;DAY(Variables!$A$2)</f>
        <v>-20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7" s="30" t="e">
        <f>VLOOKUP(B17,'Train Runs'!$A$13:$A$100189,1,FALSE)</f>
        <v>#N/A</v>
      </c>
    </row>
    <row r="18" spans="1:10" x14ac:dyDescent="0.25">
      <c r="A18" s="197"/>
      <c r="B18" s="42" t="str">
        <f>A18&amp;"-"&amp;IF(DAY(Variables!$A$2)&lt;10,0,"")&amp;DAY(Variables!$A$2)</f>
        <v>-20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8" s="30" t="e">
        <f>VLOOKUP(B18,'Train Runs'!$A$13:$A$100189,1,FALSE)</f>
        <v>#N/A</v>
      </c>
    </row>
    <row r="19" spans="1:10" x14ac:dyDescent="0.25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5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43089.03670138889</v>
      </c>
      <c r="B2" s="20" t="s">
        <v>361</v>
      </c>
      <c r="C2" s="20" t="s">
        <v>584</v>
      </c>
      <c r="D2" s="137">
        <v>3320000</v>
      </c>
      <c r="E2" s="20" t="s">
        <v>362</v>
      </c>
      <c r="F2" s="20" t="s">
        <v>363</v>
      </c>
      <c r="G2" s="8" t="str">
        <f>E2&amp;" "&amp;F2</f>
        <v>NICHOLSON WESLEY</v>
      </c>
      <c r="H2" t="str">
        <f>MID(B2,13,4)</f>
        <v>4017</v>
      </c>
    </row>
    <row r="3" spans="1:8" x14ac:dyDescent="0.25">
      <c r="A3" s="8">
        <v>43089.047199074077</v>
      </c>
      <c r="B3" s="20" t="s">
        <v>356</v>
      </c>
      <c r="C3" s="20" t="s">
        <v>585</v>
      </c>
      <c r="D3" s="137">
        <v>890000</v>
      </c>
      <c r="E3" s="20" t="s">
        <v>343</v>
      </c>
      <c r="F3" s="20" t="s">
        <v>344</v>
      </c>
      <c r="G3" s="8" t="str">
        <f t="shared" ref="G3:G66" si="0">E3&amp;" "&amp;F3</f>
        <v>LOZA FIDEL</v>
      </c>
      <c r="H3" s="20" t="str">
        <f t="shared" ref="H3:H66" si="1">MID(B3,13,4)</f>
        <v>4060</v>
      </c>
    </row>
    <row r="4" spans="1:8" x14ac:dyDescent="0.25">
      <c r="A4" s="8">
        <v>43089.062638888892</v>
      </c>
      <c r="B4" s="20" t="s">
        <v>472</v>
      </c>
      <c r="C4" s="20" t="s">
        <v>571</v>
      </c>
      <c r="D4" s="137">
        <v>2610000</v>
      </c>
      <c r="E4" s="20" t="s">
        <v>379</v>
      </c>
      <c r="F4" s="20" t="s">
        <v>380</v>
      </c>
      <c r="G4" s="8" t="str">
        <f t="shared" si="0"/>
        <v>MAGEE KENYA</v>
      </c>
      <c r="H4" s="20" t="str">
        <f t="shared" si="1"/>
        <v>4013</v>
      </c>
    </row>
    <row r="5" spans="1:8" x14ac:dyDescent="0.25">
      <c r="A5" s="8">
        <v>43089.070844907408</v>
      </c>
      <c r="B5" s="20" t="s">
        <v>359</v>
      </c>
      <c r="C5" s="20" t="s">
        <v>586</v>
      </c>
      <c r="D5" s="137">
        <v>3320000</v>
      </c>
      <c r="E5" s="20" t="s">
        <v>362</v>
      </c>
      <c r="F5" s="20" t="s">
        <v>363</v>
      </c>
      <c r="G5" s="8" t="str">
        <f t="shared" si="0"/>
        <v>NICHOLSON WESLEY</v>
      </c>
      <c r="H5" s="20" t="str">
        <f t="shared" si="1"/>
        <v>4018</v>
      </c>
    </row>
    <row r="6" spans="1:8" x14ac:dyDescent="0.25">
      <c r="A6" s="8">
        <v>43089.079629629632</v>
      </c>
      <c r="B6" s="20" t="s">
        <v>472</v>
      </c>
      <c r="C6" s="20" t="s">
        <v>571</v>
      </c>
      <c r="D6" s="137">
        <v>2610000</v>
      </c>
      <c r="E6" s="20" t="s">
        <v>379</v>
      </c>
      <c r="F6" s="20" t="s">
        <v>380</v>
      </c>
      <c r="G6" s="8" t="str">
        <f t="shared" si="0"/>
        <v>MAGEE KENYA</v>
      </c>
      <c r="H6" s="20" t="str">
        <f t="shared" si="1"/>
        <v>4013</v>
      </c>
    </row>
    <row r="7" spans="1:8" x14ac:dyDescent="0.25">
      <c r="A7" s="8">
        <v>43089.093032407407</v>
      </c>
      <c r="B7" s="20" t="s">
        <v>471</v>
      </c>
      <c r="C7" s="20" t="s">
        <v>587</v>
      </c>
      <c r="D7" s="137">
        <v>2610000</v>
      </c>
      <c r="E7" s="20" t="s">
        <v>379</v>
      </c>
      <c r="F7" s="20" t="s">
        <v>380</v>
      </c>
      <c r="G7" s="8" t="str">
        <f t="shared" si="0"/>
        <v>MAGEE KENYA</v>
      </c>
      <c r="H7" s="20" t="str">
        <f t="shared" si="1"/>
        <v>4014</v>
      </c>
    </row>
    <row r="8" spans="1:8" x14ac:dyDescent="0.25">
      <c r="A8" s="8">
        <v>43089.120393518519</v>
      </c>
      <c r="B8" s="20" t="s">
        <v>384</v>
      </c>
      <c r="C8" s="20" t="s">
        <v>364</v>
      </c>
      <c r="D8" s="137">
        <v>940000</v>
      </c>
      <c r="E8" s="20" t="s">
        <v>672</v>
      </c>
      <c r="F8" s="20" t="s">
        <v>673</v>
      </c>
      <c r="G8" s="8" t="str">
        <f t="shared" si="0"/>
        <v>BONDS REYNALDO</v>
      </c>
      <c r="H8" s="20" t="str">
        <f t="shared" si="1"/>
        <v>4061</v>
      </c>
    </row>
    <row r="9" spans="1:8" ht="15.75" thickBot="1" x14ac:dyDescent="0.3">
      <c r="A9" s="24">
        <v>43089.131539351853</v>
      </c>
      <c r="B9" s="20" t="s">
        <v>441</v>
      </c>
      <c r="C9" s="20" t="s">
        <v>674</v>
      </c>
      <c r="D9" s="137">
        <v>940000</v>
      </c>
      <c r="E9" s="20" t="s">
        <v>672</v>
      </c>
      <c r="F9" s="20" t="s">
        <v>673</v>
      </c>
      <c r="G9" s="8" t="str">
        <f t="shared" si="0"/>
        <v>BONDS REYNALDO</v>
      </c>
      <c r="H9" s="20" t="str">
        <f t="shared" si="1"/>
        <v>4010</v>
      </c>
    </row>
    <row r="10" spans="1:8" x14ac:dyDescent="0.25">
      <c r="A10" s="8">
        <v>43089.132164351853</v>
      </c>
      <c r="B10" s="20" t="s">
        <v>382</v>
      </c>
      <c r="C10" s="20" t="s">
        <v>675</v>
      </c>
      <c r="D10" s="137">
        <v>1090000</v>
      </c>
      <c r="E10" s="20" t="s">
        <v>529</v>
      </c>
      <c r="F10" s="20" t="s">
        <v>351</v>
      </c>
      <c r="G10" s="8" t="str">
        <f t="shared" si="0"/>
        <v>SPECTOR MICHAEL</v>
      </c>
      <c r="H10" s="20" t="str">
        <f t="shared" si="1"/>
        <v>4062</v>
      </c>
    </row>
    <row r="11" spans="1:8" x14ac:dyDescent="0.25">
      <c r="A11" s="8">
        <v>43089.14234953704</v>
      </c>
      <c r="B11" s="20" t="s">
        <v>486</v>
      </c>
      <c r="C11" s="20" t="s">
        <v>676</v>
      </c>
      <c r="D11" s="137">
        <v>3120000</v>
      </c>
      <c r="E11" s="20" t="s">
        <v>368</v>
      </c>
      <c r="F11" s="20" t="s">
        <v>480</v>
      </c>
      <c r="G11" s="8" t="str">
        <f t="shared" si="0"/>
        <v>THOMPSON LESTER</v>
      </c>
      <c r="H11" s="20" t="str">
        <f t="shared" si="1"/>
        <v>4043</v>
      </c>
    </row>
    <row r="12" spans="1:8" x14ac:dyDescent="0.25">
      <c r="A12" s="8">
        <v>43089.142511574071</v>
      </c>
      <c r="B12" s="20" t="s">
        <v>384</v>
      </c>
      <c r="C12" s="20" t="s">
        <v>677</v>
      </c>
      <c r="D12" s="137">
        <v>1090000</v>
      </c>
      <c r="E12" s="20" t="s">
        <v>529</v>
      </c>
      <c r="F12" s="20" t="s">
        <v>351</v>
      </c>
      <c r="G12" s="8" t="str">
        <f t="shared" si="0"/>
        <v>SPECTOR MICHAEL</v>
      </c>
      <c r="H12" s="20" t="str">
        <f t="shared" si="1"/>
        <v>4061</v>
      </c>
    </row>
    <row r="13" spans="1:8" x14ac:dyDescent="0.25">
      <c r="A13" s="8">
        <v>43089.159548611111</v>
      </c>
      <c r="B13" s="20" t="s">
        <v>678</v>
      </c>
      <c r="C13" s="20" t="s">
        <v>679</v>
      </c>
      <c r="D13" s="137">
        <v>1830000</v>
      </c>
      <c r="E13" s="20" t="s">
        <v>345</v>
      </c>
      <c r="F13" s="20" t="s">
        <v>346</v>
      </c>
      <c r="G13" s="8" t="str">
        <f t="shared" si="0"/>
        <v>YORK EDGAR</v>
      </c>
      <c r="H13" s="20" t="str">
        <f t="shared" si="1"/>
        <v>4019</v>
      </c>
    </row>
    <row r="14" spans="1:8" x14ac:dyDescent="0.25">
      <c r="A14" s="8">
        <v>43089.162511574075</v>
      </c>
      <c r="B14" s="20" t="s">
        <v>382</v>
      </c>
      <c r="C14" s="20" t="s">
        <v>680</v>
      </c>
      <c r="D14" s="137">
        <v>3120000</v>
      </c>
      <c r="E14" s="20" t="s">
        <v>368</v>
      </c>
      <c r="F14" s="20" t="s">
        <v>480</v>
      </c>
      <c r="G14" s="8" t="str">
        <f t="shared" si="0"/>
        <v>THOMPSON LESTER</v>
      </c>
      <c r="H14" s="20" t="str">
        <f t="shared" si="1"/>
        <v>4062</v>
      </c>
    </row>
    <row r="15" spans="1:8" x14ac:dyDescent="0.25">
      <c r="A15" s="8">
        <v>43089.164421296293</v>
      </c>
      <c r="B15" s="20" t="s">
        <v>485</v>
      </c>
      <c r="C15" s="20" t="s">
        <v>675</v>
      </c>
      <c r="D15" s="137">
        <v>1090000</v>
      </c>
      <c r="E15" s="20" t="s">
        <v>529</v>
      </c>
      <c r="F15" s="20" t="s">
        <v>351</v>
      </c>
      <c r="G15" s="8" t="str">
        <f t="shared" si="0"/>
        <v>SPECTOR MICHAEL</v>
      </c>
      <c r="H15" s="20" t="str">
        <f t="shared" si="1"/>
        <v>4044</v>
      </c>
    </row>
    <row r="16" spans="1:8" x14ac:dyDescent="0.25">
      <c r="A16" s="8">
        <v>43089.165775462963</v>
      </c>
      <c r="B16" s="20" t="s">
        <v>575</v>
      </c>
      <c r="C16" s="20" t="s">
        <v>681</v>
      </c>
      <c r="D16" s="137">
        <v>2600000</v>
      </c>
      <c r="E16" s="20" t="s">
        <v>530</v>
      </c>
      <c r="F16" s="20" t="s">
        <v>512</v>
      </c>
      <c r="G16" s="8" t="str">
        <f t="shared" si="0"/>
        <v>DAVIDSON DAVID</v>
      </c>
      <c r="H16" s="20" t="str">
        <f t="shared" si="1"/>
        <v>4057</v>
      </c>
    </row>
    <row r="17" spans="1:8" x14ac:dyDescent="0.25">
      <c r="A17" s="8">
        <v>43089.168437499997</v>
      </c>
      <c r="B17" s="20" t="s">
        <v>657</v>
      </c>
      <c r="C17" s="20" t="s">
        <v>682</v>
      </c>
      <c r="D17" s="137">
        <v>1830000</v>
      </c>
      <c r="E17" s="20" t="s">
        <v>345</v>
      </c>
      <c r="F17" s="20" t="s">
        <v>346</v>
      </c>
      <c r="G17" s="8" t="str">
        <f t="shared" si="0"/>
        <v>YORK EDGAR</v>
      </c>
      <c r="H17" s="20" t="str">
        <f t="shared" si="1"/>
        <v>4020</v>
      </c>
    </row>
    <row r="18" spans="1:8" x14ac:dyDescent="0.25">
      <c r="A18" s="8">
        <v>43089.169756944444</v>
      </c>
      <c r="B18" s="20" t="s">
        <v>486</v>
      </c>
      <c r="C18" s="20" t="s">
        <v>677</v>
      </c>
      <c r="D18" s="137">
        <v>1090000</v>
      </c>
      <c r="E18" s="20" t="s">
        <v>529</v>
      </c>
      <c r="F18" s="20" t="s">
        <v>351</v>
      </c>
      <c r="G18" s="8" t="str">
        <f t="shared" si="0"/>
        <v>SPECTOR MICHAEL</v>
      </c>
      <c r="H18" s="20" t="str">
        <f t="shared" si="1"/>
        <v>4043</v>
      </c>
    </row>
    <row r="19" spans="1:8" x14ac:dyDescent="0.25">
      <c r="A19" s="8">
        <v>43089.171932870369</v>
      </c>
      <c r="B19" s="20" t="s">
        <v>479</v>
      </c>
      <c r="C19" s="20" t="s">
        <v>648</v>
      </c>
      <c r="D19" s="137">
        <v>940000</v>
      </c>
      <c r="E19" s="20" t="s">
        <v>672</v>
      </c>
      <c r="F19" s="20" t="s">
        <v>673</v>
      </c>
      <c r="G19" s="8" t="str">
        <f t="shared" si="0"/>
        <v>BONDS REYNALDO</v>
      </c>
      <c r="H19" s="20" t="str">
        <f t="shared" si="1"/>
        <v>4009</v>
      </c>
    </row>
    <row r="20" spans="1:8" x14ac:dyDescent="0.25">
      <c r="A20" s="8">
        <v>43089.17763888889</v>
      </c>
      <c r="B20" s="20" t="s">
        <v>510</v>
      </c>
      <c r="C20" s="20" t="s">
        <v>683</v>
      </c>
      <c r="D20" s="137">
        <v>2600000</v>
      </c>
      <c r="E20" s="20" t="s">
        <v>530</v>
      </c>
      <c r="F20" s="20" t="s">
        <v>512</v>
      </c>
      <c r="G20" s="8" t="str">
        <f t="shared" si="0"/>
        <v>DAVIDSON DAVID</v>
      </c>
      <c r="H20" s="20" t="str">
        <f t="shared" si="1"/>
        <v>4058</v>
      </c>
    </row>
    <row r="21" spans="1:8" x14ac:dyDescent="0.25">
      <c r="A21" s="8">
        <v>43089.178032407406</v>
      </c>
      <c r="B21" s="20" t="s">
        <v>684</v>
      </c>
      <c r="C21" s="20" t="s">
        <v>685</v>
      </c>
      <c r="D21" s="137">
        <v>2440000</v>
      </c>
      <c r="E21" s="20" t="s">
        <v>450</v>
      </c>
      <c r="F21" s="20" t="s">
        <v>451</v>
      </c>
      <c r="G21" s="8" t="str">
        <f t="shared" si="0"/>
        <v>LOPES KIMBERLY</v>
      </c>
      <c r="H21" s="20" t="str">
        <f t="shared" si="1"/>
        <v>4025</v>
      </c>
    </row>
    <row r="22" spans="1:8" x14ac:dyDescent="0.25">
      <c r="A22" s="26">
        <v>43089.194039351853</v>
      </c>
      <c r="B22" s="20" t="s">
        <v>686</v>
      </c>
      <c r="C22" s="20" t="s">
        <v>687</v>
      </c>
      <c r="D22" s="137">
        <v>2440000</v>
      </c>
      <c r="E22" s="20" t="s">
        <v>450</v>
      </c>
      <c r="F22" s="20" t="s">
        <v>451</v>
      </c>
      <c r="G22" s="8" t="str">
        <f t="shared" si="0"/>
        <v>LOPES KIMBERLY</v>
      </c>
      <c r="H22" s="20" t="str">
        <f t="shared" si="1"/>
        <v>4026</v>
      </c>
    </row>
    <row r="23" spans="1:8" x14ac:dyDescent="0.25">
      <c r="A23" s="8">
        <v>43089.195717592593</v>
      </c>
      <c r="B23" s="20" t="s">
        <v>384</v>
      </c>
      <c r="C23" s="20" t="s">
        <v>688</v>
      </c>
      <c r="D23" s="137">
        <v>3120000</v>
      </c>
      <c r="E23" s="20" t="s">
        <v>368</v>
      </c>
      <c r="F23" s="20" t="s">
        <v>480</v>
      </c>
      <c r="G23" s="8" t="str">
        <f t="shared" si="0"/>
        <v>THOMPSON LESTER</v>
      </c>
      <c r="H23" s="20" t="str">
        <f t="shared" si="1"/>
        <v>4061</v>
      </c>
    </row>
    <row r="24" spans="1:8" x14ac:dyDescent="0.25">
      <c r="A24" s="8">
        <v>43089.197650462964</v>
      </c>
      <c r="B24" s="20" t="s">
        <v>442</v>
      </c>
      <c r="C24" s="20" t="s">
        <v>689</v>
      </c>
      <c r="D24" s="137">
        <v>1230000</v>
      </c>
      <c r="E24" s="20" t="s">
        <v>531</v>
      </c>
      <c r="F24" s="20" t="s">
        <v>532</v>
      </c>
      <c r="G24" s="8" t="str">
        <f t="shared" si="0"/>
        <v>YANAI IAN</v>
      </c>
      <c r="H24" s="20" t="str">
        <f t="shared" si="1"/>
        <v>4049</v>
      </c>
    </row>
    <row r="25" spans="1:8" x14ac:dyDescent="0.25">
      <c r="A25" s="8">
        <v>43089.201145833336</v>
      </c>
      <c r="B25" s="20" t="s">
        <v>574</v>
      </c>
      <c r="C25" s="20" t="s">
        <v>649</v>
      </c>
      <c r="D25" s="137">
        <v>3090000</v>
      </c>
      <c r="E25" s="20" t="s">
        <v>481</v>
      </c>
      <c r="F25" s="20" t="s">
        <v>482</v>
      </c>
      <c r="G25" s="8" t="str">
        <f t="shared" si="0"/>
        <v>LAMAR NEKESHA</v>
      </c>
      <c r="H25" s="20" t="str">
        <f t="shared" si="1"/>
        <v>4040</v>
      </c>
    </row>
    <row r="26" spans="1:8" x14ac:dyDescent="0.25">
      <c r="A26" s="8">
        <v>43089.20449074074</v>
      </c>
      <c r="B26" s="20" t="s">
        <v>441</v>
      </c>
      <c r="C26" s="20" t="s">
        <v>690</v>
      </c>
      <c r="D26" s="137">
        <v>900000</v>
      </c>
      <c r="E26" s="20" t="s">
        <v>691</v>
      </c>
      <c r="F26" s="20" t="s">
        <v>692</v>
      </c>
      <c r="G26" s="8" t="str">
        <f t="shared" si="0"/>
        <v>ROCHA YAOTL</v>
      </c>
      <c r="H26" s="20" t="str">
        <f t="shared" si="1"/>
        <v>4010</v>
      </c>
    </row>
    <row r="27" spans="1:8" x14ac:dyDescent="0.25">
      <c r="A27" s="8">
        <v>43089.209710648145</v>
      </c>
      <c r="B27" s="20" t="s">
        <v>443</v>
      </c>
      <c r="C27" s="20" t="s">
        <v>693</v>
      </c>
      <c r="D27" s="137">
        <v>1230000</v>
      </c>
      <c r="E27" s="20" t="s">
        <v>531</v>
      </c>
      <c r="F27" s="20" t="s">
        <v>532</v>
      </c>
      <c r="G27" s="8" t="str">
        <f t="shared" si="0"/>
        <v>YANAI IAN</v>
      </c>
      <c r="H27" s="20" t="str">
        <f t="shared" si="1"/>
        <v>4050</v>
      </c>
    </row>
    <row r="28" spans="1:8" x14ac:dyDescent="0.25">
      <c r="A28" s="8">
        <v>43089.212789351855</v>
      </c>
      <c r="B28" s="20" t="s">
        <v>573</v>
      </c>
      <c r="C28" s="20" t="s">
        <v>694</v>
      </c>
      <c r="D28" s="137">
        <v>3090000</v>
      </c>
      <c r="E28" s="20" t="s">
        <v>481</v>
      </c>
      <c r="F28" s="20" t="s">
        <v>482</v>
      </c>
      <c r="G28" s="8" t="str">
        <f t="shared" si="0"/>
        <v>LAMAR NEKESHA</v>
      </c>
      <c r="H28" s="20" t="str">
        <f t="shared" si="1"/>
        <v>4039</v>
      </c>
    </row>
    <row r="29" spans="1:8" x14ac:dyDescent="0.25">
      <c r="A29" s="8">
        <v>43089.213923611111</v>
      </c>
      <c r="B29" s="20" t="s">
        <v>678</v>
      </c>
      <c r="C29" s="20" t="s">
        <v>695</v>
      </c>
      <c r="D29" s="137">
        <v>1830000</v>
      </c>
      <c r="E29" s="20" t="s">
        <v>345</v>
      </c>
      <c r="F29" s="20" t="s">
        <v>346</v>
      </c>
      <c r="G29" s="8" t="str">
        <f t="shared" si="0"/>
        <v>YORK EDGAR</v>
      </c>
      <c r="H29" s="20" t="str">
        <f t="shared" si="1"/>
        <v>4019</v>
      </c>
    </row>
    <row r="30" spans="1:8" x14ac:dyDescent="0.25">
      <c r="A30" s="8">
        <v>43089.219652777778</v>
      </c>
      <c r="B30" s="20" t="s">
        <v>575</v>
      </c>
      <c r="C30" s="20" t="s">
        <v>696</v>
      </c>
      <c r="D30" s="137">
        <v>2600000</v>
      </c>
      <c r="E30" s="20" t="s">
        <v>530</v>
      </c>
      <c r="F30" s="20" t="s">
        <v>512</v>
      </c>
      <c r="G30" s="8" t="str">
        <f t="shared" si="0"/>
        <v>DAVIDSON DAVID</v>
      </c>
      <c r="H30" s="20" t="str">
        <f t="shared" si="1"/>
        <v>4057</v>
      </c>
    </row>
    <row r="31" spans="1:8" x14ac:dyDescent="0.25">
      <c r="A31" s="8">
        <v>43089.22384259259</v>
      </c>
      <c r="B31" s="20" t="s">
        <v>449</v>
      </c>
      <c r="C31" s="20" t="s">
        <v>697</v>
      </c>
      <c r="D31" s="137">
        <v>3180000</v>
      </c>
      <c r="E31" s="20" t="s">
        <v>698</v>
      </c>
      <c r="F31" s="20" t="s">
        <v>699</v>
      </c>
      <c r="G31" s="8" t="str">
        <f t="shared" si="0"/>
        <v>HUFFSMITH MONTY</v>
      </c>
      <c r="H31" s="20" t="str">
        <f t="shared" si="1"/>
        <v>4051</v>
      </c>
    </row>
    <row r="32" spans="1:8" x14ac:dyDescent="0.25">
      <c r="A32" s="8">
        <v>43089.227523148147</v>
      </c>
      <c r="B32" s="20" t="s">
        <v>382</v>
      </c>
      <c r="C32" s="20" t="s">
        <v>700</v>
      </c>
      <c r="D32" s="137">
        <v>3120000</v>
      </c>
      <c r="E32" s="20" t="s">
        <v>368</v>
      </c>
      <c r="F32" s="20" t="s">
        <v>480</v>
      </c>
      <c r="G32" s="8" t="str">
        <f t="shared" si="0"/>
        <v>THOMPSON LESTER</v>
      </c>
      <c r="H32" s="20" t="str">
        <f t="shared" si="1"/>
        <v>4062</v>
      </c>
    </row>
    <row r="33" spans="1:8" x14ac:dyDescent="0.25">
      <c r="A33" s="8">
        <v>43089.229386574072</v>
      </c>
      <c r="B33" s="20" t="s">
        <v>574</v>
      </c>
      <c r="C33" s="20" t="s">
        <v>701</v>
      </c>
      <c r="D33" s="137">
        <v>3090000</v>
      </c>
      <c r="E33" s="20" t="s">
        <v>481</v>
      </c>
      <c r="F33" s="20" t="s">
        <v>482</v>
      </c>
      <c r="G33" s="8" t="str">
        <f t="shared" si="0"/>
        <v>LAMAR NEKESHA</v>
      </c>
      <c r="H33" s="20" t="str">
        <f t="shared" si="1"/>
        <v>4040</v>
      </c>
    </row>
    <row r="34" spans="1:8" x14ac:dyDescent="0.25">
      <c r="A34" s="8">
        <v>43089.234317129631</v>
      </c>
      <c r="B34" s="20" t="s">
        <v>470</v>
      </c>
      <c r="C34" s="20" t="s">
        <v>702</v>
      </c>
      <c r="D34" s="137">
        <v>1100000</v>
      </c>
      <c r="E34" s="20" t="s">
        <v>703</v>
      </c>
      <c r="F34" s="20" t="s">
        <v>704</v>
      </c>
      <c r="G34" s="8" t="str">
        <f t="shared" si="0"/>
        <v>GEBRETEKLE DAGNEW</v>
      </c>
      <c r="H34" s="20" t="str">
        <f t="shared" si="1"/>
        <v>4053</v>
      </c>
    </row>
    <row r="35" spans="1:8" x14ac:dyDescent="0.25">
      <c r="A35" s="8">
        <v>43089.234456018516</v>
      </c>
      <c r="B35" s="20" t="s">
        <v>684</v>
      </c>
      <c r="C35" s="20" t="s">
        <v>705</v>
      </c>
      <c r="D35" s="137">
        <v>2440000</v>
      </c>
      <c r="E35" s="20" t="s">
        <v>450</v>
      </c>
      <c r="F35" s="20" t="s">
        <v>451</v>
      </c>
      <c r="G35" s="8" t="str">
        <f t="shared" si="0"/>
        <v>LOPES KIMBERLY</v>
      </c>
      <c r="H35" s="20" t="str">
        <f t="shared" si="1"/>
        <v>4025</v>
      </c>
    </row>
    <row r="36" spans="1:8" x14ac:dyDescent="0.25">
      <c r="A36" s="8">
        <v>43089.235081018516</v>
      </c>
      <c r="B36" s="20" t="s">
        <v>447</v>
      </c>
      <c r="C36" s="20" t="s">
        <v>706</v>
      </c>
      <c r="D36" s="137">
        <v>3180000</v>
      </c>
      <c r="E36" s="20" t="s">
        <v>698</v>
      </c>
      <c r="F36" s="20" t="s">
        <v>699</v>
      </c>
      <c r="G36" s="8" t="str">
        <f t="shared" si="0"/>
        <v>HUFFSMITH MONTY</v>
      </c>
      <c r="H36" s="20" t="str">
        <f t="shared" si="1"/>
        <v>4052</v>
      </c>
    </row>
    <row r="37" spans="1:8" x14ac:dyDescent="0.25">
      <c r="A37" s="8">
        <v>43089.24428240741</v>
      </c>
      <c r="B37" s="20" t="s">
        <v>657</v>
      </c>
      <c r="C37" s="20" t="s">
        <v>707</v>
      </c>
      <c r="D37" s="137">
        <v>1830000</v>
      </c>
      <c r="E37" s="20" t="s">
        <v>345</v>
      </c>
      <c r="F37" s="20" t="s">
        <v>346</v>
      </c>
      <c r="G37" s="8" t="str">
        <f t="shared" si="0"/>
        <v>YORK EDGAR</v>
      </c>
      <c r="H37" s="20" t="str">
        <f t="shared" si="1"/>
        <v>4020</v>
      </c>
    </row>
    <row r="38" spans="1:8" x14ac:dyDescent="0.25">
      <c r="A38" s="8">
        <v>43089.245046296295</v>
      </c>
      <c r="B38" s="20" t="s">
        <v>442</v>
      </c>
      <c r="C38" s="20" t="s">
        <v>708</v>
      </c>
      <c r="D38" s="137">
        <v>1230000</v>
      </c>
      <c r="E38" s="20" t="s">
        <v>531</v>
      </c>
      <c r="F38" s="20" t="s">
        <v>532</v>
      </c>
      <c r="G38" s="8" t="str">
        <f t="shared" si="0"/>
        <v>YANAI IAN</v>
      </c>
      <c r="H38" s="20" t="str">
        <f t="shared" si="1"/>
        <v>4049</v>
      </c>
    </row>
    <row r="39" spans="1:8" x14ac:dyDescent="0.25">
      <c r="A39" s="8">
        <v>43089.245868055557</v>
      </c>
      <c r="B39" s="20" t="s">
        <v>479</v>
      </c>
      <c r="C39" s="20" t="s">
        <v>709</v>
      </c>
      <c r="D39" s="137">
        <v>900000</v>
      </c>
      <c r="E39" s="20" t="s">
        <v>691</v>
      </c>
      <c r="F39" s="20" t="s">
        <v>692</v>
      </c>
      <c r="G39" s="8" t="str">
        <f t="shared" si="0"/>
        <v>ROCHA YAOTL</v>
      </c>
      <c r="H39" s="20" t="str">
        <f t="shared" si="1"/>
        <v>4009</v>
      </c>
    </row>
    <row r="40" spans="1:8" x14ac:dyDescent="0.25">
      <c r="A40" s="8">
        <v>43089.246736111112</v>
      </c>
      <c r="B40" s="25" t="s">
        <v>573</v>
      </c>
      <c r="C40" s="20" t="s">
        <v>650</v>
      </c>
      <c r="D40" s="137">
        <v>3090000</v>
      </c>
      <c r="E40" s="20" t="s">
        <v>481</v>
      </c>
      <c r="F40" s="20" t="s">
        <v>482</v>
      </c>
      <c r="G40" s="8" t="str">
        <f t="shared" si="0"/>
        <v>LAMAR NEKESHA</v>
      </c>
      <c r="H40" s="20" t="str">
        <f t="shared" si="1"/>
        <v>4039</v>
      </c>
    </row>
    <row r="41" spans="1:8" x14ac:dyDescent="0.25">
      <c r="A41" s="8">
        <v>43089.251180555555</v>
      </c>
      <c r="B41" s="20" t="s">
        <v>469</v>
      </c>
      <c r="C41" s="20" t="s">
        <v>710</v>
      </c>
      <c r="D41" s="137">
        <v>1100000</v>
      </c>
      <c r="E41" s="20" t="s">
        <v>703</v>
      </c>
      <c r="F41" s="20" t="s">
        <v>704</v>
      </c>
      <c r="G41" s="8" t="str">
        <f t="shared" si="0"/>
        <v>GEBRETEKLE DAGNEW</v>
      </c>
      <c r="H41" s="20" t="str">
        <f t="shared" si="1"/>
        <v>4054</v>
      </c>
    </row>
    <row r="42" spans="1:8" x14ac:dyDescent="0.25">
      <c r="A42" s="8">
        <v>43089.25640046296</v>
      </c>
      <c r="B42" s="20" t="s">
        <v>510</v>
      </c>
      <c r="C42" s="20" t="s">
        <v>651</v>
      </c>
      <c r="D42" s="137">
        <v>2600000</v>
      </c>
      <c r="E42" s="20" t="s">
        <v>530</v>
      </c>
      <c r="F42" s="20" t="s">
        <v>512</v>
      </c>
      <c r="G42" s="8" t="str">
        <f t="shared" si="0"/>
        <v>DAVIDSON DAVID</v>
      </c>
      <c r="H42" s="20" t="str">
        <f t="shared" si="1"/>
        <v>4058</v>
      </c>
    </row>
    <row r="43" spans="1:8" x14ac:dyDescent="0.25">
      <c r="A43" s="8">
        <v>43089.265462962961</v>
      </c>
      <c r="B43" s="20" t="s">
        <v>686</v>
      </c>
      <c r="C43" s="20" t="s">
        <v>711</v>
      </c>
      <c r="D43" s="137">
        <v>2440000</v>
      </c>
      <c r="E43" s="20" t="s">
        <v>450</v>
      </c>
      <c r="F43" s="20" t="s">
        <v>451</v>
      </c>
      <c r="G43" s="8" t="str">
        <f t="shared" si="0"/>
        <v>LOPES KIMBERLY</v>
      </c>
      <c r="H43" s="20" t="str">
        <f t="shared" si="1"/>
        <v>4026</v>
      </c>
    </row>
    <row r="44" spans="1:8" x14ac:dyDescent="0.25">
      <c r="A44" s="8">
        <v>43089.267708333333</v>
      </c>
      <c r="B44" s="20" t="s">
        <v>384</v>
      </c>
      <c r="C44" s="20" t="s">
        <v>712</v>
      </c>
      <c r="D44" s="137">
        <v>3120000</v>
      </c>
      <c r="E44" s="20" t="s">
        <v>368</v>
      </c>
      <c r="F44" s="20" t="s">
        <v>480</v>
      </c>
      <c r="G44" s="8" t="str">
        <f t="shared" si="0"/>
        <v>THOMPSON LESTER</v>
      </c>
      <c r="H44" s="20" t="str">
        <f t="shared" si="1"/>
        <v>4061</v>
      </c>
    </row>
    <row r="45" spans="1:8" x14ac:dyDescent="0.25">
      <c r="A45" s="8">
        <v>43089.268587962964</v>
      </c>
      <c r="B45" s="20" t="s">
        <v>470</v>
      </c>
      <c r="C45" s="20" t="s">
        <v>713</v>
      </c>
      <c r="D45" s="137">
        <v>1100000</v>
      </c>
      <c r="E45" s="20" t="s">
        <v>703</v>
      </c>
      <c r="F45" s="20" t="s">
        <v>704</v>
      </c>
      <c r="G45" s="8" t="str">
        <f t="shared" si="0"/>
        <v>GEBRETEKLE DAGNEW</v>
      </c>
      <c r="H45" s="20" t="str">
        <f t="shared" si="1"/>
        <v>4053</v>
      </c>
    </row>
    <row r="46" spans="1:8" x14ac:dyDescent="0.25">
      <c r="A46" s="8">
        <v>43089.268784722219</v>
      </c>
      <c r="B46" s="20" t="s">
        <v>449</v>
      </c>
      <c r="C46" s="20" t="s">
        <v>714</v>
      </c>
      <c r="D46" s="137">
        <v>3180000</v>
      </c>
      <c r="E46" s="20" t="s">
        <v>698</v>
      </c>
      <c r="F46" s="20" t="s">
        <v>699</v>
      </c>
      <c r="G46" s="8" t="str">
        <f t="shared" si="0"/>
        <v>HUFFSMITH MONTY</v>
      </c>
      <c r="H46" s="20" t="str">
        <f t="shared" si="1"/>
        <v>4051</v>
      </c>
    </row>
    <row r="47" spans="1:8" x14ac:dyDescent="0.25">
      <c r="A47" s="8">
        <v>43089.274351851855</v>
      </c>
      <c r="B47" s="20" t="s">
        <v>574</v>
      </c>
      <c r="C47" s="20" t="s">
        <v>715</v>
      </c>
      <c r="D47" s="137">
        <v>3090000</v>
      </c>
      <c r="E47" s="20" t="s">
        <v>481</v>
      </c>
      <c r="F47" s="20" t="s">
        <v>482</v>
      </c>
      <c r="G47" s="8" t="str">
        <f t="shared" si="0"/>
        <v>LAMAR NEKESHA</v>
      </c>
      <c r="H47" s="20" t="str">
        <f t="shared" si="1"/>
        <v>4040</v>
      </c>
    </row>
    <row r="48" spans="1:8" x14ac:dyDescent="0.25">
      <c r="A48" s="8">
        <v>43089.276076388887</v>
      </c>
      <c r="B48" s="20" t="s">
        <v>441</v>
      </c>
      <c r="C48" s="20" t="s">
        <v>716</v>
      </c>
      <c r="D48" s="137">
        <v>940000</v>
      </c>
      <c r="E48" s="20" t="s">
        <v>672</v>
      </c>
      <c r="F48" s="20" t="s">
        <v>673</v>
      </c>
      <c r="G48" s="8" t="str">
        <f t="shared" si="0"/>
        <v>BONDS REYNALDO</v>
      </c>
      <c r="H48" s="20" t="str">
        <f t="shared" si="1"/>
        <v>4010</v>
      </c>
    </row>
    <row r="49" spans="1:8" x14ac:dyDescent="0.25">
      <c r="A49" s="8">
        <v>43089.277048611111</v>
      </c>
      <c r="B49" s="20" t="s">
        <v>678</v>
      </c>
      <c r="C49" s="20" t="s">
        <v>717</v>
      </c>
      <c r="D49" s="137">
        <v>1830000</v>
      </c>
      <c r="E49" s="20" t="s">
        <v>345</v>
      </c>
      <c r="F49" s="20" t="s">
        <v>346</v>
      </c>
      <c r="G49" s="8" t="str">
        <f t="shared" si="0"/>
        <v>YORK EDGAR</v>
      </c>
      <c r="H49" s="20" t="str">
        <f t="shared" si="1"/>
        <v>4019</v>
      </c>
    </row>
    <row r="50" spans="1:8" x14ac:dyDescent="0.25">
      <c r="A50" s="8">
        <v>43089.286689814813</v>
      </c>
      <c r="B50" s="20" t="s">
        <v>443</v>
      </c>
      <c r="C50" s="20" t="s">
        <v>718</v>
      </c>
      <c r="D50" s="137">
        <v>1230000</v>
      </c>
      <c r="E50" s="20" t="s">
        <v>531</v>
      </c>
      <c r="F50" s="20" t="s">
        <v>532</v>
      </c>
      <c r="G50" s="8" t="str">
        <f t="shared" si="0"/>
        <v>YANAI IAN</v>
      </c>
      <c r="H50" s="20" t="str">
        <f t="shared" si="1"/>
        <v>4050</v>
      </c>
    </row>
    <row r="51" spans="1:8" x14ac:dyDescent="0.25">
      <c r="A51" s="8">
        <v>43089.288935185185</v>
      </c>
      <c r="B51" s="20" t="s">
        <v>573</v>
      </c>
      <c r="C51" s="20" t="s">
        <v>719</v>
      </c>
      <c r="D51" s="137">
        <v>3090000</v>
      </c>
      <c r="E51" s="20" t="s">
        <v>481</v>
      </c>
      <c r="F51" s="20" t="s">
        <v>482</v>
      </c>
      <c r="G51" s="8" t="str">
        <f t="shared" si="0"/>
        <v>LAMAR NEKESHA</v>
      </c>
      <c r="H51" s="20" t="str">
        <f t="shared" si="1"/>
        <v>4039</v>
      </c>
    </row>
    <row r="52" spans="1:8" x14ac:dyDescent="0.25">
      <c r="A52" s="8">
        <v>43089.289513888885</v>
      </c>
      <c r="B52" s="20" t="s">
        <v>575</v>
      </c>
      <c r="C52" s="20" t="s">
        <v>720</v>
      </c>
      <c r="D52" s="137">
        <v>2600000</v>
      </c>
      <c r="E52" s="20" t="s">
        <v>530</v>
      </c>
      <c r="F52" s="20" t="s">
        <v>512</v>
      </c>
      <c r="G52" s="8" t="str">
        <f t="shared" si="0"/>
        <v>DAVIDSON DAVID</v>
      </c>
      <c r="H52" s="20" t="str">
        <f t="shared" si="1"/>
        <v>4057</v>
      </c>
    </row>
    <row r="53" spans="1:8" x14ac:dyDescent="0.25">
      <c r="A53" s="8">
        <v>43089.290960648148</v>
      </c>
      <c r="B53" s="20" t="s">
        <v>469</v>
      </c>
      <c r="C53" s="20" t="s">
        <v>721</v>
      </c>
      <c r="D53" s="137">
        <v>1100000</v>
      </c>
      <c r="E53" s="20" t="s">
        <v>703</v>
      </c>
      <c r="F53" s="20" t="s">
        <v>704</v>
      </c>
      <c r="G53" s="8" t="str">
        <f t="shared" si="0"/>
        <v>GEBRETEKLE DAGNEW</v>
      </c>
      <c r="H53" s="20" t="str">
        <f t="shared" si="1"/>
        <v>4054</v>
      </c>
    </row>
    <row r="54" spans="1:8" x14ac:dyDescent="0.25">
      <c r="A54" s="8">
        <v>43089.300219907411</v>
      </c>
      <c r="B54" s="20" t="s">
        <v>382</v>
      </c>
      <c r="C54" s="20" t="s">
        <v>652</v>
      </c>
      <c r="D54" s="137">
        <v>3120000</v>
      </c>
      <c r="E54" s="20" t="s">
        <v>368</v>
      </c>
      <c r="F54" s="20" t="s">
        <v>480</v>
      </c>
      <c r="G54" s="8" t="str">
        <f t="shared" si="0"/>
        <v>THOMPSON LESTER</v>
      </c>
      <c r="H54" s="20" t="str">
        <f t="shared" si="1"/>
        <v>4062</v>
      </c>
    </row>
    <row r="55" spans="1:8" x14ac:dyDescent="0.25">
      <c r="A55" s="8">
        <v>43089.30574074074</v>
      </c>
      <c r="B55" s="20" t="s">
        <v>684</v>
      </c>
      <c r="C55" s="20" t="s">
        <v>722</v>
      </c>
      <c r="D55" s="137">
        <v>2440000</v>
      </c>
      <c r="E55" s="20" t="s">
        <v>450</v>
      </c>
      <c r="F55" s="20" t="s">
        <v>451</v>
      </c>
      <c r="G55" s="8" t="str">
        <f t="shared" si="0"/>
        <v>LOPES KIMBERLY</v>
      </c>
      <c r="H55" s="20" t="str">
        <f t="shared" si="1"/>
        <v>4025</v>
      </c>
    </row>
    <row r="56" spans="1:8" x14ac:dyDescent="0.25">
      <c r="A56" s="8">
        <v>43089.309166666666</v>
      </c>
      <c r="B56" s="20" t="s">
        <v>447</v>
      </c>
      <c r="C56" s="20" t="s">
        <v>723</v>
      </c>
      <c r="D56" s="137">
        <v>3180000</v>
      </c>
      <c r="E56" s="20" t="s">
        <v>698</v>
      </c>
      <c r="F56" s="20" t="s">
        <v>699</v>
      </c>
      <c r="G56" s="8" t="str">
        <f t="shared" si="0"/>
        <v>HUFFSMITH MONTY</v>
      </c>
      <c r="H56" s="20" t="str">
        <f t="shared" si="1"/>
        <v>4052</v>
      </c>
    </row>
    <row r="57" spans="1:8" x14ac:dyDescent="0.25">
      <c r="A57" s="8">
        <v>43089.31050925926</v>
      </c>
      <c r="B57" s="20" t="s">
        <v>470</v>
      </c>
      <c r="C57" s="20" t="s">
        <v>724</v>
      </c>
      <c r="D57" s="137">
        <v>1100000</v>
      </c>
      <c r="E57" s="20" t="s">
        <v>703</v>
      </c>
      <c r="F57" s="20" t="s">
        <v>704</v>
      </c>
      <c r="G57" s="8" t="str">
        <f t="shared" si="0"/>
        <v>GEBRETEKLE DAGNEW</v>
      </c>
      <c r="H57" s="20" t="str">
        <f t="shared" si="1"/>
        <v>4053</v>
      </c>
    </row>
    <row r="58" spans="1:8" x14ac:dyDescent="0.25">
      <c r="A58" s="8">
        <v>43089.316481481481</v>
      </c>
      <c r="B58" s="20" t="s">
        <v>574</v>
      </c>
      <c r="C58" s="20" t="s">
        <v>725</v>
      </c>
      <c r="D58" s="137">
        <v>3090000</v>
      </c>
      <c r="E58" s="20" t="s">
        <v>481</v>
      </c>
      <c r="F58" s="20" t="s">
        <v>482</v>
      </c>
      <c r="G58" s="8" t="str">
        <f t="shared" si="0"/>
        <v>LAMAR NEKESHA</v>
      </c>
      <c r="H58" s="20" t="str">
        <f t="shared" si="1"/>
        <v>4040</v>
      </c>
    </row>
    <row r="59" spans="1:8" x14ac:dyDescent="0.25">
      <c r="A59" s="8">
        <v>43089.317071759258</v>
      </c>
      <c r="B59" s="20" t="s">
        <v>657</v>
      </c>
      <c r="C59" s="20" t="s">
        <v>726</v>
      </c>
      <c r="D59" s="137">
        <v>1830000</v>
      </c>
      <c r="E59" s="20" t="s">
        <v>345</v>
      </c>
      <c r="F59" s="20" t="s">
        <v>346</v>
      </c>
      <c r="G59" s="8" t="str">
        <f t="shared" si="0"/>
        <v>YORK EDGAR</v>
      </c>
      <c r="H59" s="20" t="str">
        <f t="shared" si="1"/>
        <v>4020</v>
      </c>
    </row>
    <row r="60" spans="1:8" x14ac:dyDescent="0.25">
      <c r="A60" s="8">
        <v>43089.317326388889</v>
      </c>
      <c r="B60" s="20" t="s">
        <v>479</v>
      </c>
      <c r="C60" s="20" t="s">
        <v>653</v>
      </c>
      <c r="D60" s="137">
        <v>940000</v>
      </c>
      <c r="E60" s="20" t="s">
        <v>672</v>
      </c>
      <c r="F60" s="20" t="s">
        <v>673</v>
      </c>
      <c r="G60" s="8" t="str">
        <f t="shared" si="0"/>
        <v>BONDS REYNALDO</v>
      </c>
      <c r="H60" s="20" t="str">
        <f t="shared" si="1"/>
        <v>4009</v>
      </c>
    </row>
    <row r="61" spans="1:8" x14ac:dyDescent="0.25">
      <c r="A61" s="8">
        <v>43089.318101851852</v>
      </c>
      <c r="B61" s="20" t="s">
        <v>442</v>
      </c>
      <c r="C61" s="20" t="s">
        <v>727</v>
      </c>
      <c r="D61" s="137">
        <v>1230000</v>
      </c>
      <c r="E61" s="20" t="s">
        <v>531</v>
      </c>
      <c r="F61" s="20" t="s">
        <v>532</v>
      </c>
      <c r="G61" s="8" t="str">
        <f t="shared" si="0"/>
        <v>YANAI IAN</v>
      </c>
      <c r="H61" s="20" t="str">
        <f t="shared" si="1"/>
        <v>4049</v>
      </c>
    </row>
    <row r="62" spans="1:8" x14ac:dyDescent="0.25">
      <c r="A62" s="8">
        <v>43089.330509259256</v>
      </c>
      <c r="B62" s="20" t="s">
        <v>573</v>
      </c>
      <c r="C62" s="20" t="s">
        <v>654</v>
      </c>
      <c r="D62" s="137">
        <v>3090000</v>
      </c>
      <c r="E62" s="20" t="s">
        <v>481</v>
      </c>
      <c r="F62" s="20" t="s">
        <v>482</v>
      </c>
      <c r="G62" s="8" t="str">
        <f t="shared" si="0"/>
        <v>LAMAR NEKESHA</v>
      </c>
      <c r="H62" s="20" t="str">
        <f t="shared" si="1"/>
        <v>4039</v>
      </c>
    </row>
    <row r="63" spans="1:8" x14ac:dyDescent="0.25">
      <c r="A63" s="8">
        <v>43089.331030092595</v>
      </c>
      <c r="B63" s="20" t="s">
        <v>510</v>
      </c>
      <c r="C63" s="20" t="s">
        <v>728</v>
      </c>
      <c r="D63" s="137">
        <v>2600000</v>
      </c>
      <c r="E63" s="20" t="s">
        <v>530</v>
      </c>
      <c r="F63" s="20" t="s">
        <v>512</v>
      </c>
      <c r="G63" s="8" t="str">
        <f t="shared" si="0"/>
        <v>DAVIDSON DAVID</v>
      </c>
      <c r="H63" s="20" t="str">
        <f t="shared" si="1"/>
        <v>4058</v>
      </c>
    </row>
    <row r="64" spans="1:8" x14ac:dyDescent="0.25">
      <c r="A64" s="26">
        <v>43089.332303240742</v>
      </c>
      <c r="B64" s="20" t="s">
        <v>469</v>
      </c>
      <c r="C64" s="20" t="s">
        <v>729</v>
      </c>
      <c r="D64" s="137">
        <v>1100000</v>
      </c>
      <c r="E64" s="20" t="s">
        <v>703</v>
      </c>
      <c r="F64" s="20" t="s">
        <v>704</v>
      </c>
      <c r="G64" s="8" t="str">
        <f t="shared" si="0"/>
        <v>GEBRETEKLE DAGNEW</v>
      </c>
      <c r="H64" s="20" t="str">
        <f t="shared" si="1"/>
        <v>4054</v>
      </c>
    </row>
    <row r="65" spans="1:8" x14ac:dyDescent="0.25">
      <c r="A65" s="8">
        <v>43089.339525462965</v>
      </c>
      <c r="B65" s="20" t="s">
        <v>686</v>
      </c>
      <c r="C65" s="20" t="s">
        <v>730</v>
      </c>
      <c r="D65" s="137">
        <v>2440000</v>
      </c>
      <c r="E65" s="20" t="s">
        <v>450</v>
      </c>
      <c r="F65" s="20" t="s">
        <v>451</v>
      </c>
      <c r="G65" s="8" t="str">
        <f t="shared" si="0"/>
        <v>LOPES KIMBERLY</v>
      </c>
      <c r="H65" s="20" t="str">
        <f t="shared" si="1"/>
        <v>4026</v>
      </c>
    </row>
    <row r="66" spans="1:8" x14ac:dyDescent="0.25">
      <c r="A66" s="8">
        <v>43089.34</v>
      </c>
      <c r="B66" s="20" t="s">
        <v>449</v>
      </c>
      <c r="C66" s="20" t="s">
        <v>731</v>
      </c>
      <c r="D66" s="137">
        <v>3180000</v>
      </c>
      <c r="E66" s="20" t="s">
        <v>698</v>
      </c>
      <c r="F66" s="20" t="s">
        <v>699</v>
      </c>
      <c r="G66" s="8" t="str">
        <f t="shared" si="0"/>
        <v>HUFFSMITH MONTY</v>
      </c>
      <c r="H66" s="20" t="str">
        <f t="shared" si="1"/>
        <v>4051</v>
      </c>
    </row>
    <row r="67" spans="1:8" x14ac:dyDescent="0.25">
      <c r="A67" s="8">
        <v>43089.340416666666</v>
      </c>
      <c r="B67" s="20" t="s">
        <v>384</v>
      </c>
      <c r="C67" s="20" t="s">
        <v>655</v>
      </c>
      <c r="D67" s="137">
        <v>3120000</v>
      </c>
      <c r="E67" s="20" t="s">
        <v>368</v>
      </c>
      <c r="F67" s="20" t="s">
        <v>480</v>
      </c>
      <c r="G67" s="8" t="str">
        <f t="shared" ref="G67:G130" si="2">E67&amp;" "&amp;F67</f>
        <v>THOMPSON LESTER</v>
      </c>
      <c r="H67" s="20" t="str">
        <f t="shared" ref="H67:H130" si="3">MID(B67,13,4)</f>
        <v>4061</v>
      </c>
    </row>
    <row r="68" spans="1:8" x14ac:dyDescent="0.25">
      <c r="A68" s="8">
        <v>43089.350856481484</v>
      </c>
      <c r="B68" s="20" t="s">
        <v>441</v>
      </c>
      <c r="C68" s="20" t="s">
        <v>732</v>
      </c>
      <c r="D68" s="137">
        <v>940000</v>
      </c>
      <c r="E68" s="20" t="s">
        <v>672</v>
      </c>
      <c r="F68" s="20" t="s">
        <v>673</v>
      </c>
      <c r="G68" s="8" t="str">
        <f t="shared" si="2"/>
        <v>BONDS REYNALDO</v>
      </c>
      <c r="H68" s="20" t="str">
        <f t="shared" si="3"/>
        <v>4010</v>
      </c>
    </row>
    <row r="69" spans="1:8" x14ac:dyDescent="0.25">
      <c r="A69" s="8">
        <v>43089.352870370371</v>
      </c>
      <c r="B69" s="20" t="s">
        <v>470</v>
      </c>
      <c r="C69" s="20" t="s">
        <v>733</v>
      </c>
      <c r="D69" s="137">
        <v>1100000</v>
      </c>
      <c r="E69" s="20" t="s">
        <v>703</v>
      </c>
      <c r="F69" s="20" t="s">
        <v>704</v>
      </c>
      <c r="G69" s="8" t="str">
        <f t="shared" si="2"/>
        <v>GEBRETEKLE DAGNEW</v>
      </c>
      <c r="H69" s="20" t="str">
        <f t="shared" si="3"/>
        <v>4053</v>
      </c>
    </row>
    <row r="70" spans="1:8" x14ac:dyDescent="0.25">
      <c r="A70" s="8">
        <v>43089.353333333333</v>
      </c>
      <c r="B70" s="20" t="s">
        <v>574</v>
      </c>
      <c r="C70" s="20" t="s">
        <v>734</v>
      </c>
      <c r="D70" s="137">
        <v>3090000</v>
      </c>
      <c r="E70" s="20" t="s">
        <v>481</v>
      </c>
      <c r="F70" s="20" t="s">
        <v>482</v>
      </c>
      <c r="G70" s="8" t="str">
        <f t="shared" si="2"/>
        <v>LAMAR NEKESHA</v>
      </c>
      <c r="H70" s="20" t="str">
        <f t="shared" si="3"/>
        <v>4040</v>
      </c>
    </row>
    <row r="71" spans="1:8" x14ac:dyDescent="0.25">
      <c r="A71" s="8">
        <v>43089.35974537037</v>
      </c>
      <c r="B71" s="20" t="s">
        <v>443</v>
      </c>
      <c r="C71" s="20" t="s">
        <v>735</v>
      </c>
      <c r="D71" s="137">
        <v>1230000</v>
      </c>
      <c r="E71" s="20" t="s">
        <v>531</v>
      </c>
      <c r="F71" s="20" t="s">
        <v>532</v>
      </c>
      <c r="G71" s="8" t="str">
        <f t="shared" si="2"/>
        <v>YANAI IAN</v>
      </c>
      <c r="H71" s="20" t="str">
        <f t="shared" si="3"/>
        <v>4050</v>
      </c>
    </row>
    <row r="72" spans="1:8" x14ac:dyDescent="0.25">
      <c r="A72" s="8">
        <v>43089.359768518516</v>
      </c>
      <c r="B72" s="20" t="s">
        <v>678</v>
      </c>
      <c r="C72" s="20" t="s">
        <v>736</v>
      </c>
      <c r="D72" s="137">
        <v>1830000</v>
      </c>
      <c r="E72" s="20" t="s">
        <v>345</v>
      </c>
      <c r="F72" s="20" t="s">
        <v>346</v>
      </c>
      <c r="G72" s="8" t="str">
        <f t="shared" si="2"/>
        <v>YORK EDGAR</v>
      </c>
      <c r="H72" s="20" t="str">
        <f t="shared" si="3"/>
        <v>4019</v>
      </c>
    </row>
    <row r="73" spans="1:8" x14ac:dyDescent="0.25">
      <c r="A73" s="8">
        <v>43089.36078703704</v>
      </c>
      <c r="B73" s="20" t="s">
        <v>575</v>
      </c>
      <c r="C73" s="20" t="s">
        <v>737</v>
      </c>
      <c r="D73" s="137">
        <v>2600000</v>
      </c>
      <c r="E73" s="20" t="s">
        <v>530</v>
      </c>
      <c r="F73" s="20" t="s">
        <v>512</v>
      </c>
      <c r="G73" s="8" t="str">
        <f t="shared" si="2"/>
        <v>DAVIDSON DAVID</v>
      </c>
      <c r="H73" s="20" t="str">
        <f t="shared" si="3"/>
        <v>4057</v>
      </c>
    </row>
    <row r="74" spans="1:8" x14ac:dyDescent="0.25">
      <c r="A74" s="8">
        <v>43089.372395833336</v>
      </c>
      <c r="B74" s="20" t="s">
        <v>382</v>
      </c>
      <c r="C74" s="20" t="s">
        <v>738</v>
      </c>
      <c r="D74" s="137">
        <v>3120000</v>
      </c>
      <c r="E74" s="20" t="s">
        <v>368</v>
      </c>
      <c r="F74" s="20" t="s">
        <v>480</v>
      </c>
      <c r="G74" s="8" t="str">
        <f t="shared" si="2"/>
        <v>THOMPSON LESTER</v>
      </c>
      <c r="H74" s="20" t="str">
        <f t="shared" si="3"/>
        <v>4062</v>
      </c>
    </row>
    <row r="75" spans="1:8" x14ac:dyDescent="0.25">
      <c r="A75" s="8">
        <v>43089.375335648147</v>
      </c>
      <c r="B75" s="20" t="s">
        <v>469</v>
      </c>
      <c r="C75" s="20" t="s">
        <v>739</v>
      </c>
      <c r="D75" s="137">
        <v>1100000</v>
      </c>
      <c r="E75" s="20" t="s">
        <v>703</v>
      </c>
      <c r="F75" s="20" t="s">
        <v>704</v>
      </c>
      <c r="G75" s="8" t="str">
        <f t="shared" si="2"/>
        <v>GEBRETEKLE DAGNEW</v>
      </c>
      <c r="H75" s="20" t="str">
        <f t="shared" si="3"/>
        <v>4054</v>
      </c>
    </row>
    <row r="76" spans="1:8" x14ac:dyDescent="0.25">
      <c r="A76" s="8">
        <v>43089.378472222219</v>
      </c>
      <c r="B76" s="20" t="s">
        <v>684</v>
      </c>
      <c r="C76" s="20" t="s">
        <v>740</v>
      </c>
      <c r="D76" s="137">
        <v>2440000</v>
      </c>
      <c r="E76" s="20" t="s">
        <v>450</v>
      </c>
      <c r="F76" s="20" t="s">
        <v>451</v>
      </c>
      <c r="G76" s="8" t="str">
        <f t="shared" si="2"/>
        <v>LOPES KIMBERLY</v>
      </c>
      <c r="H76" s="20" t="str">
        <f t="shared" si="3"/>
        <v>4025</v>
      </c>
    </row>
    <row r="77" spans="1:8" x14ac:dyDescent="0.25">
      <c r="A77" s="8">
        <v>43089.37872685185</v>
      </c>
      <c r="B77" s="20" t="s">
        <v>485</v>
      </c>
      <c r="C77" s="20" t="s">
        <v>741</v>
      </c>
      <c r="D77" s="137">
        <v>1090000</v>
      </c>
      <c r="E77" s="20" t="s">
        <v>529</v>
      </c>
      <c r="F77" s="20" t="s">
        <v>351</v>
      </c>
      <c r="G77" s="8" t="str">
        <f t="shared" si="2"/>
        <v>SPECTOR MICHAEL</v>
      </c>
      <c r="H77" s="20" t="str">
        <f t="shared" si="3"/>
        <v>4044</v>
      </c>
    </row>
    <row r="78" spans="1:8" x14ac:dyDescent="0.25">
      <c r="A78" s="8">
        <v>43089.380752314813</v>
      </c>
      <c r="B78" s="20" t="s">
        <v>447</v>
      </c>
      <c r="C78" s="20" t="s">
        <v>742</v>
      </c>
      <c r="D78" s="137">
        <v>3180000</v>
      </c>
      <c r="E78" s="20" t="s">
        <v>698</v>
      </c>
      <c r="F78" s="20" t="s">
        <v>699</v>
      </c>
      <c r="G78" s="8" t="str">
        <f t="shared" si="2"/>
        <v>HUFFSMITH MONTY</v>
      </c>
      <c r="H78" s="20" t="str">
        <f t="shared" si="3"/>
        <v>4052</v>
      </c>
    </row>
    <row r="79" spans="1:8" x14ac:dyDescent="0.25">
      <c r="A79" s="8">
        <v>43089.381944444445</v>
      </c>
      <c r="B79" s="20" t="s">
        <v>486</v>
      </c>
      <c r="C79" s="20" t="s">
        <v>741</v>
      </c>
      <c r="D79" s="137">
        <v>1090000</v>
      </c>
      <c r="E79" s="20" t="s">
        <v>529</v>
      </c>
      <c r="F79" s="20" t="s">
        <v>351</v>
      </c>
      <c r="G79" s="8" t="str">
        <f t="shared" si="2"/>
        <v>SPECTOR MICHAEL</v>
      </c>
      <c r="H79" s="20" t="str">
        <f t="shared" si="3"/>
        <v>4043</v>
      </c>
    </row>
    <row r="80" spans="1:8" x14ac:dyDescent="0.25">
      <c r="A80" s="8">
        <v>43089.382824074077</v>
      </c>
      <c r="B80" s="20" t="s">
        <v>486</v>
      </c>
      <c r="C80" s="20" t="s">
        <v>741</v>
      </c>
      <c r="D80" s="137">
        <v>1090000</v>
      </c>
      <c r="E80" s="20" t="s">
        <v>529</v>
      </c>
      <c r="F80" s="20" t="s">
        <v>351</v>
      </c>
      <c r="G80" s="8" t="str">
        <f t="shared" si="2"/>
        <v>SPECTOR MICHAEL</v>
      </c>
      <c r="H80" s="20" t="str">
        <f t="shared" si="3"/>
        <v>4043</v>
      </c>
    </row>
    <row r="81" spans="1:8" x14ac:dyDescent="0.25">
      <c r="A81" s="8">
        <v>43089.385266203702</v>
      </c>
      <c r="B81" s="20" t="s">
        <v>383</v>
      </c>
      <c r="C81" s="20" t="s">
        <v>743</v>
      </c>
      <c r="D81" s="137">
        <v>330000</v>
      </c>
      <c r="E81" s="20" t="s">
        <v>744</v>
      </c>
      <c r="F81" s="20" t="s">
        <v>745</v>
      </c>
      <c r="G81" s="8" t="str">
        <f t="shared" si="2"/>
        <v>PELLITIER GEORGE</v>
      </c>
      <c r="H81" s="20" t="str">
        <f t="shared" si="3"/>
        <v>4022</v>
      </c>
    </row>
    <row r="82" spans="1:8" x14ac:dyDescent="0.25">
      <c r="A82" s="8">
        <v>43089.389178240737</v>
      </c>
      <c r="B82" s="20" t="s">
        <v>576</v>
      </c>
      <c r="C82" s="20" t="s">
        <v>746</v>
      </c>
      <c r="D82" s="137">
        <v>2470000</v>
      </c>
      <c r="E82" s="20" t="s">
        <v>747</v>
      </c>
      <c r="F82" s="20" t="s">
        <v>748</v>
      </c>
      <c r="G82" s="8" t="str">
        <f t="shared" si="2"/>
        <v>ROMERO CHAD</v>
      </c>
      <c r="H82" s="20" t="str">
        <f t="shared" si="3"/>
        <v>4032</v>
      </c>
    </row>
    <row r="83" spans="1:8" x14ac:dyDescent="0.25">
      <c r="A83" s="8">
        <v>43089.389675925922</v>
      </c>
      <c r="B83" s="20" t="s">
        <v>485</v>
      </c>
      <c r="C83" s="20" t="s">
        <v>749</v>
      </c>
      <c r="D83" s="137">
        <v>1090000</v>
      </c>
      <c r="E83" s="20" t="s">
        <v>529</v>
      </c>
      <c r="F83" s="20" t="s">
        <v>351</v>
      </c>
      <c r="G83" s="8" t="str">
        <f t="shared" si="2"/>
        <v>SPECTOR MICHAEL</v>
      </c>
      <c r="H83" s="20" t="str">
        <f t="shared" si="3"/>
        <v>4044</v>
      </c>
    </row>
    <row r="84" spans="1:8" x14ac:dyDescent="0.25">
      <c r="A84" s="8">
        <v>43089.390104166669</v>
      </c>
      <c r="B84" s="20" t="s">
        <v>576</v>
      </c>
      <c r="C84" s="20" t="s">
        <v>746</v>
      </c>
      <c r="D84" s="137">
        <v>2470000</v>
      </c>
      <c r="E84" s="20" t="s">
        <v>747</v>
      </c>
      <c r="F84" s="20" t="s">
        <v>748</v>
      </c>
      <c r="G84" s="8" t="str">
        <f t="shared" si="2"/>
        <v>ROMERO CHAD</v>
      </c>
      <c r="H84" s="20" t="str">
        <f t="shared" si="3"/>
        <v>4032</v>
      </c>
    </row>
    <row r="85" spans="1:8" x14ac:dyDescent="0.25">
      <c r="A85" s="8">
        <v>43089.390520833331</v>
      </c>
      <c r="B85" s="20" t="s">
        <v>479</v>
      </c>
      <c r="C85" s="20" t="s">
        <v>750</v>
      </c>
      <c r="D85" s="137">
        <v>940000</v>
      </c>
      <c r="E85" s="20" t="s">
        <v>672</v>
      </c>
      <c r="F85" s="20" t="s">
        <v>673</v>
      </c>
      <c r="G85" s="8" t="str">
        <f t="shared" si="2"/>
        <v>BONDS REYNALDO</v>
      </c>
      <c r="H85" s="20" t="str">
        <f t="shared" si="3"/>
        <v>4009</v>
      </c>
    </row>
    <row r="86" spans="1:8" x14ac:dyDescent="0.25">
      <c r="A86" s="8">
        <v>43089.393067129633</v>
      </c>
      <c r="B86" s="20" t="s">
        <v>442</v>
      </c>
      <c r="C86" s="20" t="s">
        <v>751</v>
      </c>
      <c r="D86" s="137">
        <v>1230000</v>
      </c>
      <c r="E86" s="20" t="s">
        <v>531</v>
      </c>
      <c r="F86" s="20" t="s">
        <v>532</v>
      </c>
      <c r="G86" s="8" t="str">
        <f t="shared" si="2"/>
        <v>YANAI IAN</v>
      </c>
      <c r="H86" s="20" t="str">
        <f t="shared" si="3"/>
        <v>4049</v>
      </c>
    </row>
    <row r="87" spans="1:8" x14ac:dyDescent="0.25">
      <c r="A87" s="8">
        <v>43089.393703703703</v>
      </c>
      <c r="B87" s="20" t="s">
        <v>470</v>
      </c>
      <c r="C87" s="20" t="s">
        <v>752</v>
      </c>
      <c r="D87" s="137">
        <v>1100000</v>
      </c>
      <c r="E87" s="20" t="s">
        <v>703</v>
      </c>
      <c r="F87" s="20" t="s">
        <v>704</v>
      </c>
      <c r="G87" s="8" t="str">
        <f t="shared" si="2"/>
        <v>GEBRETEKLE DAGNEW</v>
      </c>
      <c r="H87" s="20" t="str">
        <f t="shared" si="3"/>
        <v>4053</v>
      </c>
    </row>
    <row r="88" spans="1:8" x14ac:dyDescent="0.25">
      <c r="A88" s="8">
        <v>43089.402581018519</v>
      </c>
      <c r="B88" s="20" t="s">
        <v>510</v>
      </c>
      <c r="C88" s="20" t="s">
        <v>753</v>
      </c>
      <c r="D88" s="137">
        <v>2600000</v>
      </c>
      <c r="E88" s="20" t="s">
        <v>530</v>
      </c>
      <c r="F88" s="20" t="s">
        <v>512</v>
      </c>
      <c r="G88" s="8" t="str">
        <f t="shared" si="2"/>
        <v>DAVIDSON DAVID</v>
      </c>
      <c r="H88" s="20" t="str">
        <f t="shared" si="3"/>
        <v>4058</v>
      </c>
    </row>
    <row r="89" spans="1:8" x14ac:dyDescent="0.25">
      <c r="A89" s="8">
        <v>43089.412835648145</v>
      </c>
      <c r="B89" s="20" t="s">
        <v>686</v>
      </c>
      <c r="C89" s="20" t="s">
        <v>754</v>
      </c>
      <c r="D89" s="137">
        <v>2440000</v>
      </c>
      <c r="E89" s="20" t="s">
        <v>450</v>
      </c>
      <c r="F89" s="20" t="s">
        <v>451</v>
      </c>
      <c r="G89" s="8" t="str">
        <f t="shared" si="2"/>
        <v>LOPES KIMBERLY</v>
      </c>
      <c r="H89" s="20" t="str">
        <f t="shared" si="3"/>
        <v>4026</v>
      </c>
    </row>
    <row r="90" spans="1:8" x14ac:dyDescent="0.25">
      <c r="A90" s="8">
        <v>43089.412951388891</v>
      </c>
      <c r="B90" s="20" t="s">
        <v>449</v>
      </c>
      <c r="C90" s="20" t="s">
        <v>755</v>
      </c>
      <c r="D90" s="137">
        <v>3180000</v>
      </c>
      <c r="E90" s="20" t="s">
        <v>698</v>
      </c>
      <c r="F90" s="20" t="s">
        <v>699</v>
      </c>
      <c r="G90" s="8" t="str">
        <f t="shared" si="2"/>
        <v>HUFFSMITH MONTY</v>
      </c>
      <c r="H90" s="20" t="str">
        <f t="shared" si="3"/>
        <v>4051</v>
      </c>
    </row>
    <row r="91" spans="1:8" x14ac:dyDescent="0.25">
      <c r="A91" s="8">
        <v>43089.413842592592</v>
      </c>
      <c r="B91" s="20" t="s">
        <v>384</v>
      </c>
      <c r="C91" s="20" t="s">
        <v>756</v>
      </c>
      <c r="D91" s="137">
        <v>3120000</v>
      </c>
      <c r="E91" s="20" t="s">
        <v>368</v>
      </c>
      <c r="F91" s="20" t="s">
        <v>480</v>
      </c>
      <c r="G91" s="8" t="str">
        <f t="shared" si="2"/>
        <v>THOMPSON LESTER</v>
      </c>
      <c r="H91" s="20" t="str">
        <f t="shared" si="3"/>
        <v>4061</v>
      </c>
    </row>
    <row r="92" spans="1:8" x14ac:dyDescent="0.25">
      <c r="A92" s="8">
        <v>43089.415717592594</v>
      </c>
      <c r="B92" s="20" t="s">
        <v>469</v>
      </c>
      <c r="C92" s="20" t="s">
        <v>757</v>
      </c>
      <c r="D92" s="137">
        <v>1100000</v>
      </c>
      <c r="E92" s="20" t="s">
        <v>703</v>
      </c>
      <c r="F92" s="20" t="s">
        <v>704</v>
      </c>
      <c r="G92" s="8" t="str">
        <f t="shared" si="2"/>
        <v>GEBRETEKLE DAGNEW</v>
      </c>
      <c r="H92" s="20" t="str">
        <f t="shared" si="3"/>
        <v>4054</v>
      </c>
    </row>
    <row r="93" spans="1:8" x14ac:dyDescent="0.25">
      <c r="A93" s="8">
        <v>43089.426145833335</v>
      </c>
      <c r="B93" s="20" t="s">
        <v>441</v>
      </c>
      <c r="C93" s="20" t="s">
        <v>656</v>
      </c>
      <c r="D93" s="137">
        <v>3090000</v>
      </c>
      <c r="E93" s="20" t="s">
        <v>481</v>
      </c>
      <c r="F93" s="20" t="s">
        <v>482</v>
      </c>
      <c r="G93" s="8" t="str">
        <f t="shared" si="2"/>
        <v>LAMAR NEKESHA</v>
      </c>
      <c r="H93" s="20" t="str">
        <f t="shared" si="3"/>
        <v>4010</v>
      </c>
    </row>
    <row r="94" spans="1:8" x14ac:dyDescent="0.25">
      <c r="A94" s="8">
        <v>43089.426620370374</v>
      </c>
      <c r="B94" s="20" t="s">
        <v>486</v>
      </c>
      <c r="C94" s="20" t="s">
        <v>758</v>
      </c>
      <c r="D94" s="137">
        <v>1090000</v>
      </c>
      <c r="E94" s="20" t="s">
        <v>529</v>
      </c>
      <c r="F94" s="20" t="s">
        <v>351</v>
      </c>
      <c r="G94" s="8" t="str">
        <f t="shared" si="2"/>
        <v>SPECTOR MICHAEL</v>
      </c>
      <c r="H94" s="20" t="str">
        <f t="shared" si="3"/>
        <v>4043</v>
      </c>
    </row>
    <row r="95" spans="1:8" x14ac:dyDescent="0.25">
      <c r="A95" s="8">
        <v>43089.43340277778</v>
      </c>
      <c r="B95" s="20" t="s">
        <v>443</v>
      </c>
      <c r="C95" s="20" t="s">
        <v>759</v>
      </c>
      <c r="D95" s="137">
        <v>1230000</v>
      </c>
      <c r="E95" s="20" t="s">
        <v>531</v>
      </c>
      <c r="F95" s="20" t="s">
        <v>532</v>
      </c>
      <c r="G95" s="8" t="str">
        <f t="shared" si="2"/>
        <v>YANAI IAN</v>
      </c>
      <c r="H95" s="20" t="str">
        <f t="shared" si="3"/>
        <v>4050</v>
      </c>
    </row>
    <row r="96" spans="1:8" x14ac:dyDescent="0.25">
      <c r="A96" s="8">
        <v>43089.434016203704</v>
      </c>
      <c r="B96" s="20" t="s">
        <v>575</v>
      </c>
      <c r="C96" s="20" t="s">
        <v>760</v>
      </c>
      <c r="D96" s="137">
        <v>2600000</v>
      </c>
      <c r="E96" s="20" t="s">
        <v>530</v>
      </c>
      <c r="F96" s="20" t="s">
        <v>512</v>
      </c>
      <c r="G96" s="8" t="str">
        <f t="shared" si="2"/>
        <v>DAVIDSON DAVID</v>
      </c>
      <c r="H96" s="20" t="str">
        <f t="shared" si="3"/>
        <v>4057</v>
      </c>
    </row>
    <row r="97" spans="1:8" x14ac:dyDescent="0.25">
      <c r="A97" s="8">
        <v>43089.434687499997</v>
      </c>
      <c r="B97" s="20" t="s">
        <v>470</v>
      </c>
      <c r="C97" s="20" t="s">
        <v>761</v>
      </c>
      <c r="D97" s="137">
        <v>1100000</v>
      </c>
      <c r="E97" s="20" t="s">
        <v>703</v>
      </c>
      <c r="F97" s="20" t="s">
        <v>704</v>
      </c>
      <c r="G97" s="8" t="str">
        <f t="shared" si="2"/>
        <v>GEBRETEKLE DAGNEW</v>
      </c>
      <c r="H97" s="20" t="str">
        <f t="shared" si="3"/>
        <v>4053</v>
      </c>
    </row>
    <row r="98" spans="1:8" x14ac:dyDescent="0.25">
      <c r="A98" s="8">
        <v>43089.444421296299</v>
      </c>
      <c r="B98" s="20" t="s">
        <v>382</v>
      </c>
      <c r="C98" s="20" t="s">
        <v>762</v>
      </c>
      <c r="D98" s="137">
        <v>920000</v>
      </c>
      <c r="E98" s="20" t="s">
        <v>488</v>
      </c>
      <c r="F98" s="20" t="s">
        <v>351</v>
      </c>
      <c r="G98" s="8" t="str">
        <f t="shared" si="2"/>
        <v>DAVIS MICHAEL</v>
      </c>
      <c r="H98" s="20" t="str">
        <f t="shared" si="3"/>
        <v>4062</v>
      </c>
    </row>
    <row r="99" spans="1:8" x14ac:dyDescent="0.25">
      <c r="A99" s="8">
        <v>43089.449120370373</v>
      </c>
      <c r="B99" s="20" t="s">
        <v>684</v>
      </c>
      <c r="C99" s="20" t="s">
        <v>763</v>
      </c>
      <c r="D99" s="137">
        <v>2440000</v>
      </c>
      <c r="E99" s="20" t="s">
        <v>450</v>
      </c>
      <c r="F99" s="20" t="s">
        <v>451</v>
      </c>
      <c r="G99" s="8" t="str">
        <f t="shared" si="2"/>
        <v>LOPES KIMBERLY</v>
      </c>
      <c r="H99" s="20" t="str">
        <f t="shared" si="3"/>
        <v>4025</v>
      </c>
    </row>
    <row r="100" spans="1:8" x14ac:dyDescent="0.25">
      <c r="A100" s="8">
        <v>43089.453622685185</v>
      </c>
      <c r="B100" s="20" t="s">
        <v>447</v>
      </c>
      <c r="C100" s="20" t="s">
        <v>764</v>
      </c>
      <c r="D100" s="137">
        <v>3180000</v>
      </c>
      <c r="E100" s="20" t="s">
        <v>698</v>
      </c>
      <c r="F100" s="20" t="s">
        <v>699</v>
      </c>
      <c r="G100" s="8" t="str">
        <f t="shared" si="2"/>
        <v>HUFFSMITH MONTY</v>
      </c>
      <c r="H100" s="20" t="str">
        <f t="shared" si="3"/>
        <v>4052</v>
      </c>
    </row>
    <row r="101" spans="1:8" x14ac:dyDescent="0.25">
      <c r="A101" s="8">
        <v>43089.455706018518</v>
      </c>
      <c r="B101" s="20" t="s">
        <v>657</v>
      </c>
      <c r="C101" s="20" t="s">
        <v>765</v>
      </c>
      <c r="D101" s="137">
        <v>1780000</v>
      </c>
      <c r="E101" s="20" t="s">
        <v>766</v>
      </c>
      <c r="F101" s="20" t="s">
        <v>767</v>
      </c>
      <c r="G101" s="8" t="str">
        <f t="shared" si="2"/>
        <v>DE LA ROSA ALEX</v>
      </c>
      <c r="H101" s="20" t="str">
        <f t="shared" si="3"/>
        <v>4020</v>
      </c>
    </row>
    <row r="102" spans="1:8" x14ac:dyDescent="0.25">
      <c r="A102" s="8">
        <v>43089.459166666667</v>
      </c>
      <c r="B102" s="20" t="s">
        <v>469</v>
      </c>
      <c r="C102" s="20" t="s">
        <v>768</v>
      </c>
      <c r="D102" s="137">
        <v>1100000</v>
      </c>
      <c r="E102" s="20" t="s">
        <v>703</v>
      </c>
      <c r="F102" s="20" t="s">
        <v>704</v>
      </c>
      <c r="G102" s="8" t="str">
        <f t="shared" si="2"/>
        <v>GEBRETEKLE DAGNEW</v>
      </c>
      <c r="H102" s="20" t="str">
        <f t="shared" si="3"/>
        <v>4054</v>
      </c>
    </row>
    <row r="103" spans="1:8" x14ac:dyDescent="0.25">
      <c r="A103" s="8">
        <v>43089.462129629632</v>
      </c>
      <c r="B103" s="20" t="s">
        <v>678</v>
      </c>
      <c r="C103" s="20" t="s">
        <v>765</v>
      </c>
      <c r="D103" s="137">
        <v>1780000</v>
      </c>
      <c r="E103" s="20" t="s">
        <v>766</v>
      </c>
      <c r="F103" s="20" t="s">
        <v>767</v>
      </c>
      <c r="G103" s="8" t="str">
        <f t="shared" si="2"/>
        <v>DE LA ROSA ALEX</v>
      </c>
      <c r="H103" s="20" t="str">
        <f t="shared" si="3"/>
        <v>4019</v>
      </c>
    </row>
    <row r="104" spans="1:8" x14ac:dyDescent="0.25">
      <c r="A104" s="8">
        <v>43089.463703703703</v>
      </c>
      <c r="B104" s="20" t="s">
        <v>442</v>
      </c>
      <c r="C104" s="20" t="s">
        <v>769</v>
      </c>
      <c r="D104" s="137">
        <v>1230000</v>
      </c>
      <c r="E104" s="20" t="s">
        <v>531</v>
      </c>
      <c r="F104" s="20" t="s">
        <v>532</v>
      </c>
      <c r="G104" s="8" t="str">
        <f t="shared" si="2"/>
        <v>YANAI IAN</v>
      </c>
      <c r="H104" s="20" t="str">
        <f t="shared" si="3"/>
        <v>4049</v>
      </c>
    </row>
    <row r="105" spans="1:8" x14ac:dyDescent="0.25">
      <c r="A105" s="8">
        <v>43089.464108796295</v>
      </c>
      <c r="B105" s="20" t="s">
        <v>485</v>
      </c>
      <c r="C105" s="20" t="s">
        <v>770</v>
      </c>
      <c r="D105" s="137">
        <v>2040000</v>
      </c>
      <c r="E105" s="20" t="s">
        <v>395</v>
      </c>
      <c r="F105" s="20" t="s">
        <v>396</v>
      </c>
      <c r="G105" s="8" t="str">
        <f t="shared" si="2"/>
        <v>MOSES BRADLEY</v>
      </c>
      <c r="H105" s="20" t="str">
        <f t="shared" si="3"/>
        <v>4044</v>
      </c>
    </row>
    <row r="106" spans="1:8" x14ac:dyDescent="0.25">
      <c r="A106" s="8">
        <v>43089.467164351852</v>
      </c>
      <c r="B106" s="20" t="s">
        <v>479</v>
      </c>
      <c r="C106" s="20" t="s">
        <v>771</v>
      </c>
      <c r="D106" s="137">
        <v>3090000</v>
      </c>
      <c r="E106" s="20" t="s">
        <v>481</v>
      </c>
      <c r="F106" s="20" t="s">
        <v>482</v>
      </c>
      <c r="G106" s="8" t="str">
        <f t="shared" si="2"/>
        <v>LAMAR NEKESHA</v>
      </c>
      <c r="H106" s="20" t="str">
        <f t="shared" si="3"/>
        <v>4009</v>
      </c>
    </row>
    <row r="107" spans="1:8" x14ac:dyDescent="0.25">
      <c r="A107" s="8">
        <v>43089.469918981478</v>
      </c>
      <c r="B107" s="20" t="s">
        <v>657</v>
      </c>
      <c r="C107" s="20" t="s">
        <v>658</v>
      </c>
      <c r="D107" s="137">
        <v>880000</v>
      </c>
      <c r="E107" s="20" t="s">
        <v>511</v>
      </c>
      <c r="F107" s="20" t="s">
        <v>351</v>
      </c>
      <c r="G107" s="8" t="str">
        <f t="shared" si="2"/>
        <v>STEWART MICHAEL</v>
      </c>
      <c r="H107" s="20" t="str">
        <f t="shared" si="3"/>
        <v>4020</v>
      </c>
    </row>
    <row r="108" spans="1:8" x14ac:dyDescent="0.25">
      <c r="A108" s="8">
        <v>43089.476203703707</v>
      </c>
      <c r="B108" s="20" t="s">
        <v>470</v>
      </c>
      <c r="C108" s="20" t="s">
        <v>772</v>
      </c>
      <c r="D108" s="137">
        <v>1100000</v>
      </c>
      <c r="E108" s="20" t="s">
        <v>703</v>
      </c>
      <c r="F108" s="20" t="s">
        <v>704</v>
      </c>
      <c r="G108" s="8" t="str">
        <f t="shared" si="2"/>
        <v>GEBRETEKLE DAGNEW</v>
      </c>
      <c r="H108" s="20" t="str">
        <f t="shared" si="3"/>
        <v>4053</v>
      </c>
    </row>
    <row r="109" spans="1:8" x14ac:dyDescent="0.25">
      <c r="A109" s="8">
        <v>43089.483668981484</v>
      </c>
      <c r="B109" s="20" t="s">
        <v>686</v>
      </c>
      <c r="C109" s="20" t="s">
        <v>773</v>
      </c>
      <c r="D109" s="137">
        <v>2970000</v>
      </c>
      <c r="E109" s="20" t="s">
        <v>373</v>
      </c>
      <c r="F109" s="20" t="s">
        <v>374</v>
      </c>
      <c r="G109" s="8" t="str">
        <f t="shared" si="2"/>
        <v>GUZMAN DANNY</v>
      </c>
      <c r="H109" s="20" t="str">
        <f t="shared" si="3"/>
        <v>4026</v>
      </c>
    </row>
    <row r="110" spans="1:8" x14ac:dyDescent="0.25">
      <c r="A110" s="8">
        <v>43089.486076388886</v>
      </c>
      <c r="B110" s="20" t="s">
        <v>384</v>
      </c>
      <c r="C110" s="20" t="s">
        <v>774</v>
      </c>
      <c r="D110" s="137">
        <v>920000</v>
      </c>
      <c r="E110" s="20" t="s">
        <v>488</v>
      </c>
      <c r="F110" s="20" t="s">
        <v>351</v>
      </c>
      <c r="G110" s="8" t="str">
        <f t="shared" si="2"/>
        <v>DAVIS MICHAEL</v>
      </c>
      <c r="H110" s="20" t="str">
        <f t="shared" si="3"/>
        <v>4061</v>
      </c>
    </row>
    <row r="111" spans="1:8" x14ac:dyDescent="0.25">
      <c r="A111" s="8">
        <v>43089.487962962965</v>
      </c>
      <c r="B111" s="20" t="s">
        <v>449</v>
      </c>
      <c r="C111" s="20" t="s">
        <v>775</v>
      </c>
      <c r="D111" s="137">
        <v>3180000</v>
      </c>
      <c r="E111" s="20" t="s">
        <v>698</v>
      </c>
      <c r="F111" s="20" t="s">
        <v>699</v>
      </c>
      <c r="G111" s="8" t="str">
        <f t="shared" si="2"/>
        <v>HUFFSMITH MONTY</v>
      </c>
      <c r="H111" s="20" t="str">
        <f t="shared" si="3"/>
        <v>4051</v>
      </c>
    </row>
    <row r="112" spans="1:8" x14ac:dyDescent="0.25">
      <c r="A112" s="8">
        <v>43089.489479166667</v>
      </c>
      <c r="B112" s="20" t="s">
        <v>570</v>
      </c>
      <c r="C112" s="20" t="s">
        <v>776</v>
      </c>
      <c r="D112" s="137">
        <v>2470000</v>
      </c>
      <c r="E112" s="20" t="s">
        <v>747</v>
      </c>
      <c r="F112" s="20" t="s">
        <v>748</v>
      </c>
      <c r="G112" s="8" t="str">
        <f t="shared" si="2"/>
        <v>ROMERO CHAD</v>
      </c>
      <c r="H112" s="20" t="str">
        <f t="shared" si="3"/>
        <v>4031</v>
      </c>
    </row>
    <row r="113" spans="1:8" x14ac:dyDescent="0.25">
      <c r="A113" s="8">
        <v>43089.489502314813</v>
      </c>
      <c r="B113" s="20" t="s">
        <v>499</v>
      </c>
      <c r="C113" s="20" t="s">
        <v>659</v>
      </c>
      <c r="D113" s="137">
        <v>3000000</v>
      </c>
      <c r="E113" s="20" t="s">
        <v>577</v>
      </c>
      <c r="F113" s="20" t="s">
        <v>578</v>
      </c>
      <c r="G113" s="8" t="str">
        <f t="shared" si="2"/>
        <v>FORTUNATO FRANK</v>
      </c>
      <c r="H113" s="20" t="str">
        <f t="shared" si="3"/>
        <v>4021</v>
      </c>
    </row>
    <row r="114" spans="1:8" x14ac:dyDescent="0.25">
      <c r="A114" s="8">
        <v>43089.496261574073</v>
      </c>
      <c r="B114" s="20" t="s">
        <v>657</v>
      </c>
      <c r="C114" s="20" t="s">
        <v>658</v>
      </c>
      <c r="D114" s="137">
        <v>880000</v>
      </c>
      <c r="E114" s="20" t="s">
        <v>511</v>
      </c>
      <c r="F114" s="20" t="s">
        <v>351</v>
      </c>
      <c r="G114" s="8" t="str">
        <f t="shared" si="2"/>
        <v>STEWART MICHAEL</v>
      </c>
      <c r="H114" s="20" t="str">
        <f t="shared" si="3"/>
        <v>4020</v>
      </c>
    </row>
    <row r="115" spans="1:8" x14ac:dyDescent="0.25">
      <c r="A115" s="8">
        <v>43089.496412037035</v>
      </c>
      <c r="B115" s="20" t="s">
        <v>441</v>
      </c>
      <c r="C115" s="20" t="s">
        <v>777</v>
      </c>
      <c r="D115" s="137">
        <v>2030000</v>
      </c>
      <c r="E115" s="20" t="s">
        <v>778</v>
      </c>
      <c r="F115" s="20" t="s">
        <v>512</v>
      </c>
      <c r="G115" s="8" t="str">
        <f t="shared" si="2"/>
        <v>KILLION DAVID</v>
      </c>
      <c r="H115" s="20" t="str">
        <f t="shared" si="3"/>
        <v>4010</v>
      </c>
    </row>
    <row r="116" spans="1:8" x14ac:dyDescent="0.25">
      <c r="A116" s="8">
        <v>43089.50172453704</v>
      </c>
      <c r="B116" s="20" t="s">
        <v>469</v>
      </c>
      <c r="C116" s="20" t="s">
        <v>660</v>
      </c>
      <c r="D116" s="137">
        <v>1100000</v>
      </c>
      <c r="E116" s="20" t="s">
        <v>703</v>
      </c>
      <c r="F116" s="20" t="s">
        <v>704</v>
      </c>
      <c r="G116" s="8" t="str">
        <f t="shared" si="2"/>
        <v>GEBRETEKLE DAGNEW</v>
      </c>
      <c r="H116" s="20" t="str">
        <f t="shared" si="3"/>
        <v>4054</v>
      </c>
    </row>
    <row r="117" spans="1:8" x14ac:dyDescent="0.25">
      <c r="A117" s="8">
        <v>43089.504374999997</v>
      </c>
      <c r="B117" s="20" t="s">
        <v>486</v>
      </c>
      <c r="C117" s="20" t="s">
        <v>779</v>
      </c>
      <c r="D117" s="137">
        <v>2040000</v>
      </c>
      <c r="E117" s="20" t="s">
        <v>395</v>
      </c>
      <c r="F117" s="20" t="s">
        <v>396</v>
      </c>
      <c r="G117" s="8" t="str">
        <f t="shared" si="2"/>
        <v>MOSES BRADLEY</v>
      </c>
      <c r="H117" s="20" t="str">
        <f t="shared" si="3"/>
        <v>4043</v>
      </c>
    </row>
    <row r="118" spans="1:8" x14ac:dyDescent="0.25">
      <c r="A118" s="8">
        <v>43089.504710648151</v>
      </c>
      <c r="B118" s="20" t="s">
        <v>443</v>
      </c>
      <c r="C118" s="20" t="s">
        <v>780</v>
      </c>
      <c r="D118" s="137">
        <v>2140000</v>
      </c>
      <c r="E118" s="20" t="s">
        <v>535</v>
      </c>
      <c r="F118" s="20" t="s">
        <v>536</v>
      </c>
      <c r="G118" s="8" t="str">
        <f t="shared" si="2"/>
        <v>ROBINSON KADDIBA</v>
      </c>
      <c r="H118" s="20" t="str">
        <f t="shared" si="3"/>
        <v>4050</v>
      </c>
    </row>
    <row r="119" spans="1:8" x14ac:dyDescent="0.25">
      <c r="A119" s="8">
        <v>43089.517060185186</v>
      </c>
      <c r="B119" s="20" t="s">
        <v>684</v>
      </c>
      <c r="C119" s="20" t="s">
        <v>781</v>
      </c>
      <c r="D119" s="137">
        <v>2970000</v>
      </c>
      <c r="E119" s="20" t="s">
        <v>373</v>
      </c>
      <c r="F119" s="20" t="s">
        <v>374</v>
      </c>
      <c r="G119" s="8" t="str">
        <f t="shared" si="2"/>
        <v>GUZMAN DANNY</v>
      </c>
      <c r="H119" s="20" t="str">
        <f t="shared" si="3"/>
        <v>4025</v>
      </c>
    </row>
    <row r="120" spans="1:8" x14ac:dyDescent="0.25">
      <c r="A120" s="8">
        <v>43089.51829861111</v>
      </c>
      <c r="B120" s="20" t="s">
        <v>678</v>
      </c>
      <c r="C120" s="20" t="s">
        <v>782</v>
      </c>
      <c r="D120" s="137">
        <v>880000</v>
      </c>
      <c r="E120" s="20" t="s">
        <v>511</v>
      </c>
      <c r="F120" s="20" t="s">
        <v>351</v>
      </c>
      <c r="G120" s="8" t="str">
        <f t="shared" si="2"/>
        <v>STEWART MICHAEL</v>
      </c>
      <c r="H120" s="20" t="str">
        <f t="shared" si="3"/>
        <v>4019</v>
      </c>
    </row>
    <row r="121" spans="1:8" x14ac:dyDescent="0.25">
      <c r="A121" s="8">
        <v>43089.519236111111</v>
      </c>
      <c r="B121" s="20" t="s">
        <v>382</v>
      </c>
      <c r="C121" s="20" t="s">
        <v>661</v>
      </c>
      <c r="D121" s="137">
        <v>920000</v>
      </c>
      <c r="E121" s="20" t="s">
        <v>488</v>
      </c>
      <c r="F121" s="20" t="s">
        <v>351</v>
      </c>
      <c r="G121" s="8" t="str">
        <f t="shared" si="2"/>
        <v>DAVIS MICHAEL</v>
      </c>
      <c r="H121" s="20" t="str">
        <f t="shared" si="3"/>
        <v>4062</v>
      </c>
    </row>
    <row r="122" spans="1:8" x14ac:dyDescent="0.25">
      <c r="A122" s="8">
        <v>43089.519525462965</v>
      </c>
      <c r="B122" s="25" t="s">
        <v>470</v>
      </c>
      <c r="C122" s="20" t="s">
        <v>783</v>
      </c>
      <c r="D122" s="137">
        <v>1100000</v>
      </c>
      <c r="E122" s="20" t="s">
        <v>703</v>
      </c>
      <c r="F122" s="20" t="s">
        <v>704</v>
      </c>
      <c r="G122" s="8" t="str">
        <f t="shared" si="2"/>
        <v>GEBRETEKLE DAGNEW</v>
      </c>
      <c r="H122" s="20" t="str">
        <f t="shared" si="3"/>
        <v>4053</v>
      </c>
    </row>
    <row r="123" spans="1:8" x14ac:dyDescent="0.25">
      <c r="A123" s="8">
        <v>43089.529745370368</v>
      </c>
      <c r="B123" s="20" t="s">
        <v>447</v>
      </c>
      <c r="C123" s="20" t="s">
        <v>784</v>
      </c>
      <c r="D123" s="137">
        <v>2420000</v>
      </c>
      <c r="E123" s="20" t="s">
        <v>785</v>
      </c>
      <c r="F123" s="20" t="s">
        <v>786</v>
      </c>
      <c r="G123" s="8" t="str">
        <f t="shared" si="2"/>
        <v>HOLCOMB KAMDEN</v>
      </c>
      <c r="H123" s="20" t="str">
        <f t="shared" si="3"/>
        <v>4052</v>
      </c>
    </row>
    <row r="124" spans="1:8" x14ac:dyDescent="0.25">
      <c r="A124" s="8">
        <v>43089.532326388886</v>
      </c>
      <c r="B124" s="20" t="s">
        <v>479</v>
      </c>
      <c r="C124" s="20" t="s">
        <v>787</v>
      </c>
      <c r="D124" s="137">
        <v>2030000</v>
      </c>
      <c r="E124" s="20" t="s">
        <v>778</v>
      </c>
      <c r="F124" s="20" t="s">
        <v>512</v>
      </c>
      <c r="G124" s="8" t="str">
        <f t="shared" si="2"/>
        <v>KILLION DAVID</v>
      </c>
      <c r="H124" s="20" t="str">
        <f t="shared" si="3"/>
        <v>4009</v>
      </c>
    </row>
    <row r="125" spans="1:8" x14ac:dyDescent="0.25">
      <c r="A125" s="8">
        <v>43089.539270833331</v>
      </c>
      <c r="B125" s="20" t="s">
        <v>485</v>
      </c>
      <c r="C125" s="20" t="s">
        <v>788</v>
      </c>
      <c r="D125" s="137">
        <v>1810000</v>
      </c>
      <c r="E125" s="20" t="s">
        <v>579</v>
      </c>
      <c r="F125" s="20" t="s">
        <v>394</v>
      </c>
      <c r="G125" s="8" t="str">
        <f t="shared" si="2"/>
        <v>NEWELL JAMES</v>
      </c>
      <c r="H125" s="20" t="str">
        <f t="shared" si="3"/>
        <v>4044</v>
      </c>
    </row>
    <row r="126" spans="1:8" x14ac:dyDescent="0.25">
      <c r="A126" s="8">
        <v>43089.542685185188</v>
      </c>
      <c r="B126" s="20" t="s">
        <v>469</v>
      </c>
      <c r="C126" s="20" t="s">
        <v>789</v>
      </c>
      <c r="D126" s="137">
        <v>1180000</v>
      </c>
      <c r="E126" s="20" t="s">
        <v>533</v>
      </c>
      <c r="F126" s="20" t="s">
        <v>534</v>
      </c>
      <c r="G126" s="8" t="str">
        <f t="shared" si="2"/>
        <v>LEVERE CRAIG</v>
      </c>
      <c r="H126" s="20" t="str">
        <f t="shared" si="3"/>
        <v>4054</v>
      </c>
    </row>
    <row r="127" spans="1:8" x14ac:dyDescent="0.25">
      <c r="A127" s="8">
        <v>43089.543541666666</v>
      </c>
      <c r="B127" s="20" t="s">
        <v>442</v>
      </c>
      <c r="C127" s="20" t="s">
        <v>790</v>
      </c>
      <c r="D127" s="137">
        <v>2140000</v>
      </c>
      <c r="E127" s="20" t="s">
        <v>535</v>
      </c>
      <c r="F127" s="20" t="s">
        <v>536</v>
      </c>
      <c r="G127" s="8" t="str">
        <f t="shared" si="2"/>
        <v>ROBINSON KADDIBA</v>
      </c>
      <c r="H127" s="20" t="str">
        <f t="shared" si="3"/>
        <v>4049</v>
      </c>
    </row>
    <row r="128" spans="1:8" x14ac:dyDescent="0.25">
      <c r="A128" s="8">
        <v>43089.547800925924</v>
      </c>
      <c r="B128" s="20" t="s">
        <v>657</v>
      </c>
      <c r="C128" s="20" t="s">
        <v>791</v>
      </c>
      <c r="D128" s="137">
        <v>2040000</v>
      </c>
      <c r="E128" s="20" t="s">
        <v>395</v>
      </c>
      <c r="F128" s="20" t="s">
        <v>396</v>
      </c>
      <c r="G128" s="8" t="str">
        <f t="shared" si="2"/>
        <v>MOSES BRADLEY</v>
      </c>
      <c r="H128" s="20" t="str">
        <f t="shared" si="3"/>
        <v>4020</v>
      </c>
    </row>
    <row r="129" spans="1:8" x14ac:dyDescent="0.25">
      <c r="A129" s="8">
        <v>43089.558576388888</v>
      </c>
      <c r="B129" s="20" t="s">
        <v>384</v>
      </c>
      <c r="C129" s="20" t="s">
        <v>792</v>
      </c>
      <c r="D129" s="137">
        <v>920000</v>
      </c>
      <c r="E129" s="20" t="s">
        <v>488</v>
      </c>
      <c r="F129" s="20" t="s">
        <v>351</v>
      </c>
      <c r="G129" s="8" t="str">
        <f t="shared" si="2"/>
        <v>DAVIS MICHAEL</v>
      </c>
      <c r="H129" s="20" t="str">
        <f t="shared" si="3"/>
        <v>4061</v>
      </c>
    </row>
    <row r="130" spans="1:8" x14ac:dyDescent="0.25">
      <c r="A130" s="8">
        <v>43089.558703703704</v>
      </c>
      <c r="B130" s="20" t="s">
        <v>686</v>
      </c>
      <c r="C130" s="20" t="s">
        <v>793</v>
      </c>
      <c r="D130" s="137">
        <v>2970000</v>
      </c>
      <c r="E130" s="20" t="s">
        <v>373</v>
      </c>
      <c r="F130" s="20" t="s">
        <v>374</v>
      </c>
      <c r="G130" s="8" t="str">
        <f t="shared" si="2"/>
        <v>GUZMAN DANNY</v>
      </c>
      <c r="H130" s="20" t="str">
        <f t="shared" si="3"/>
        <v>4026</v>
      </c>
    </row>
    <row r="131" spans="1:8" x14ac:dyDescent="0.25">
      <c r="A131" s="8">
        <v>43089.562951388885</v>
      </c>
      <c r="B131" s="20" t="s">
        <v>470</v>
      </c>
      <c r="C131" s="20" t="s">
        <v>794</v>
      </c>
      <c r="D131" s="137">
        <v>1180000</v>
      </c>
      <c r="E131" s="20" t="s">
        <v>533</v>
      </c>
      <c r="F131" s="20" t="s">
        <v>534</v>
      </c>
      <c r="G131" s="8" t="str">
        <f t="shared" ref="G131:G194" si="4">E131&amp;" "&amp;F131</f>
        <v>LEVERE CRAIG</v>
      </c>
      <c r="H131" s="20" t="str">
        <f t="shared" ref="H131:H194" si="5">MID(B131,13,4)</f>
        <v>4053</v>
      </c>
    </row>
    <row r="132" spans="1:8" x14ac:dyDescent="0.25">
      <c r="A132" s="8">
        <v>43089.567800925928</v>
      </c>
      <c r="B132" s="20" t="s">
        <v>441</v>
      </c>
      <c r="C132" s="20" t="s">
        <v>795</v>
      </c>
      <c r="D132" s="137">
        <v>2030000</v>
      </c>
      <c r="E132" s="20" t="s">
        <v>778</v>
      </c>
      <c r="F132" s="20" t="s">
        <v>512</v>
      </c>
      <c r="G132" s="8" t="str">
        <f t="shared" si="4"/>
        <v>KILLION DAVID</v>
      </c>
      <c r="H132" s="20" t="str">
        <f t="shared" si="5"/>
        <v>4010</v>
      </c>
    </row>
    <row r="133" spans="1:8" x14ac:dyDescent="0.25">
      <c r="A133" s="8">
        <v>43089.568657407406</v>
      </c>
      <c r="B133" s="20" t="s">
        <v>449</v>
      </c>
      <c r="C133" s="20" t="s">
        <v>796</v>
      </c>
      <c r="D133" s="137">
        <v>2420000</v>
      </c>
      <c r="E133" s="20" t="s">
        <v>785</v>
      </c>
      <c r="F133" s="20" t="s">
        <v>786</v>
      </c>
      <c r="G133" s="8" t="str">
        <f t="shared" si="4"/>
        <v>HOLCOMB KAMDEN</v>
      </c>
      <c r="H133" s="20" t="str">
        <f t="shared" si="5"/>
        <v>4051</v>
      </c>
    </row>
    <row r="134" spans="1:8" x14ac:dyDescent="0.25">
      <c r="A134" s="8">
        <v>43089.572118055556</v>
      </c>
      <c r="B134" s="20" t="s">
        <v>486</v>
      </c>
      <c r="C134" s="20" t="s">
        <v>797</v>
      </c>
      <c r="D134" s="137">
        <v>1810000</v>
      </c>
      <c r="E134" s="20" t="s">
        <v>579</v>
      </c>
      <c r="F134" s="20" t="s">
        <v>394</v>
      </c>
      <c r="G134" s="8" t="str">
        <f t="shared" si="4"/>
        <v>NEWELL JAMES</v>
      </c>
      <c r="H134" s="20" t="str">
        <f t="shared" si="5"/>
        <v>4043</v>
      </c>
    </row>
    <row r="135" spans="1:8" x14ac:dyDescent="0.25">
      <c r="A135" s="8">
        <v>43089.572569444441</v>
      </c>
      <c r="B135" s="20" t="s">
        <v>576</v>
      </c>
      <c r="C135" s="20" t="s">
        <v>663</v>
      </c>
      <c r="D135" s="137">
        <v>2610000</v>
      </c>
      <c r="E135" s="20" t="s">
        <v>379</v>
      </c>
      <c r="F135" s="20" t="s">
        <v>380</v>
      </c>
      <c r="G135" s="8" t="str">
        <f t="shared" si="4"/>
        <v>MAGEE KENYA</v>
      </c>
      <c r="H135" s="20" t="str">
        <f t="shared" si="5"/>
        <v>4032</v>
      </c>
    </row>
    <row r="136" spans="1:8" x14ac:dyDescent="0.25">
      <c r="A136" s="8">
        <v>43089.573229166665</v>
      </c>
      <c r="B136" s="20" t="s">
        <v>576</v>
      </c>
      <c r="C136" s="20" t="s">
        <v>666</v>
      </c>
      <c r="D136" s="137">
        <v>2610000</v>
      </c>
      <c r="E136" s="20" t="s">
        <v>379</v>
      </c>
      <c r="F136" s="20" t="s">
        <v>380</v>
      </c>
      <c r="G136" s="8" t="str">
        <f t="shared" si="4"/>
        <v>MAGEE KENYA</v>
      </c>
      <c r="H136" s="20" t="str">
        <f t="shared" si="5"/>
        <v>4032</v>
      </c>
    </row>
    <row r="137" spans="1:8" x14ac:dyDescent="0.25">
      <c r="A137" s="8">
        <v>43089.578726851854</v>
      </c>
      <c r="B137" s="20" t="s">
        <v>383</v>
      </c>
      <c r="C137" s="20" t="s">
        <v>662</v>
      </c>
      <c r="D137" s="137">
        <v>1360000</v>
      </c>
      <c r="E137" s="20" t="s">
        <v>798</v>
      </c>
      <c r="F137" s="20" t="s">
        <v>799</v>
      </c>
      <c r="G137" s="8" t="str">
        <f t="shared" si="4"/>
        <v>SANTIZO D. EDY</v>
      </c>
      <c r="H137" s="20" t="str">
        <f t="shared" si="5"/>
        <v>4022</v>
      </c>
    </row>
    <row r="138" spans="1:8" x14ac:dyDescent="0.25">
      <c r="A138" s="8">
        <v>43089.57880787037</v>
      </c>
      <c r="B138" s="20" t="s">
        <v>443</v>
      </c>
      <c r="C138" s="20" t="s">
        <v>800</v>
      </c>
      <c r="D138" s="137">
        <v>2140000</v>
      </c>
      <c r="E138" s="20" t="s">
        <v>535</v>
      </c>
      <c r="F138" s="20" t="s">
        <v>536</v>
      </c>
      <c r="G138" s="8" t="str">
        <f t="shared" si="4"/>
        <v>ROBINSON KADDIBA</v>
      </c>
      <c r="H138" s="20" t="str">
        <f t="shared" si="5"/>
        <v>4050</v>
      </c>
    </row>
    <row r="139" spans="1:8" x14ac:dyDescent="0.25">
      <c r="A139" s="8">
        <v>43089.586122685185</v>
      </c>
      <c r="B139" s="20" t="s">
        <v>469</v>
      </c>
      <c r="C139" s="20" t="s">
        <v>801</v>
      </c>
      <c r="D139" s="137">
        <v>1180000</v>
      </c>
      <c r="E139" s="20" t="s">
        <v>533</v>
      </c>
      <c r="F139" s="20" t="s">
        <v>534</v>
      </c>
      <c r="G139" s="8" t="str">
        <f t="shared" si="4"/>
        <v>LEVERE CRAIG</v>
      </c>
      <c r="H139" s="20" t="str">
        <f t="shared" si="5"/>
        <v>4054</v>
      </c>
    </row>
    <row r="140" spans="1:8" x14ac:dyDescent="0.25">
      <c r="A140" s="8">
        <v>43089.588020833333</v>
      </c>
      <c r="B140" s="20" t="s">
        <v>678</v>
      </c>
      <c r="C140" s="20" t="s">
        <v>802</v>
      </c>
      <c r="D140" s="137">
        <v>2040000</v>
      </c>
      <c r="E140" s="20" t="s">
        <v>395</v>
      </c>
      <c r="F140" s="20" t="s">
        <v>396</v>
      </c>
      <c r="G140" s="8" t="str">
        <f t="shared" si="4"/>
        <v>MOSES BRADLEY</v>
      </c>
      <c r="H140" s="20" t="str">
        <f t="shared" si="5"/>
        <v>4019</v>
      </c>
    </row>
    <row r="141" spans="1:8" x14ac:dyDescent="0.25">
      <c r="A141" s="8">
        <v>43089.589629629627</v>
      </c>
      <c r="B141" s="20" t="s">
        <v>684</v>
      </c>
      <c r="C141" s="20" t="s">
        <v>803</v>
      </c>
      <c r="D141" s="137">
        <v>2970000</v>
      </c>
      <c r="E141" s="20" t="s">
        <v>373</v>
      </c>
      <c r="F141" s="20" t="s">
        <v>374</v>
      </c>
      <c r="G141" s="8" t="str">
        <f t="shared" si="4"/>
        <v>GUZMAN DANNY</v>
      </c>
      <c r="H141" s="20" t="str">
        <f t="shared" si="5"/>
        <v>4025</v>
      </c>
    </row>
    <row r="142" spans="1:8" x14ac:dyDescent="0.25">
      <c r="A142" s="8">
        <v>43089.591736111113</v>
      </c>
      <c r="B142" s="20" t="s">
        <v>382</v>
      </c>
      <c r="C142" s="20" t="s">
        <v>804</v>
      </c>
      <c r="D142" s="137">
        <v>920000</v>
      </c>
      <c r="E142" s="20" t="s">
        <v>488</v>
      </c>
      <c r="F142" s="20" t="s">
        <v>351</v>
      </c>
      <c r="G142" s="8" t="str">
        <f t="shared" si="4"/>
        <v>DAVIS MICHAEL</v>
      </c>
      <c r="H142" s="20" t="str">
        <f t="shared" si="5"/>
        <v>4062</v>
      </c>
    </row>
    <row r="143" spans="1:8" x14ac:dyDescent="0.25">
      <c r="A143" s="8">
        <v>43089.597546296296</v>
      </c>
      <c r="B143" s="20" t="s">
        <v>570</v>
      </c>
      <c r="C143" s="20" t="s">
        <v>663</v>
      </c>
      <c r="D143" s="137">
        <v>2610000</v>
      </c>
      <c r="E143" s="20" t="s">
        <v>379</v>
      </c>
      <c r="F143" s="20" t="s">
        <v>380</v>
      </c>
      <c r="G143" s="8" t="str">
        <f t="shared" si="4"/>
        <v>MAGEE KENYA</v>
      </c>
      <c r="H143" s="20" t="str">
        <f t="shared" si="5"/>
        <v>4031</v>
      </c>
    </row>
    <row r="144" spans="1:8" x14ac:dyDescent="0.25">
      <c r="A144" s="8">
        <v>43089.600613425922</v>
      </c>
      <c r="B144" s="20" t="s">
        <v>479</v>
      </c>
      <c r="C144" s="20" t="s">
        <v>805</v>
      </c>
      <c r="D144" s="137">
        <v>2030000</v>
      </c>
      <c r="E144" s="20" t="s">
        <v>778</v>
      </c>
      <c r="F144" s="20" t="s">
        <v>512</v>
      </c>
      <c r="G144" s="8" t="str">
        <f t="shared" si="4"/>
        <v>KILLION DAVID</v>
      </c>
      <c r="H144" s="20" t="str">
        <f t="shared" si="5"/>
        <v>4009</v>
      </c>
    </row>
    <row r="145" spans="1:8" x14ac:dyDescent="0.25">
      <c r="A145" s="8">
        <v>43089.601655092592</v>
      </c>
      <c r="B145" s="20" t="s">
        <v>499</v>
      </c>
      <c r="C145" s="20" t="s">
        <v>664</v>
      </c>
      <c r="D145" s="137">
        <v>1360000</v>
      </c>
      <c r="E145" s="20" t="s">
        <v>798</v>
      </c>
      <c r="F145" s="20" t="s">
        <v>799</v>
      </c>
      <c r="G145" s="8" t="str">
        <f t="shared" si="4"/>
        <v>SANTIZO D. EDY</v>
      </c>
      <c r="H145" s="20" t="str">
        <f t="shared" si="5"/>
        <v>4021</v>
      </c>
    </row>
    <row r="146" spans="1:8" x14ac:dyDescent="0.25">
      <c r="A146" s="8">
        <v>43089.60224537037</v>
      </c>
      <c r="B146" s="20" t="s">
        <v>447</v>
      </c>
      <c r="C146" s="20" t="s">
        <v>665</v>
      </c>
      <c r="D146" s="137">
        <v>2420000</v>
      </c>
      <c r="E146" s="20" t="s">
        <v>785</v>
      </c>
      <c r="F146" s="20" t="s">
        <v>786</v>
      </c>
      <c r="G146" s="8" t="str">
        <f t="shared" si="4"/>
        <v>HOLCOMB KAMDEN</v>
      </c>
      <c r="H146" s="20" t="str">
        <f t="shared" si="5"/>
        <v>4052</v>
      </c>
    </row>
    <row r="147" spans="1:8" x14ac:dyDescent="0.25">
      <c r="A147" s="8">
        <v>43089.605162037034</v>
      </c>
      <c r="B147" s="20" t="s">
        <v>470</v>
      </c>
      <c r="C147" s="20" t="s">
        <v>806</v>
      </c>
      <c r="D147" s="137">
        <v>1180000</v>
      </c>
      <c r="E147" s="20" t="s">
        <v>533</v>
      </c>
      <c r="F147" s="20" t="s">
        <v>534</v>
      </c>
      <c r="G147" s="8" t="str">
        <f t="shared" si="4"/>
        <v>LEVERE CRAIG</v>
      </c>
      <c r="H147" s="20" t="str">
        <f t="shared" si="5"/>
        <v>4053</v>
      </c>
    </row>
    <row r="148" spans="1:8" x14ac:dyDescent="0.25">
      <c r="A148" s="8">
        <v>43089.611828703702</v>
      </c>
      <c r="B148" s="20" t="s">
        <v>485</v>
      </c>
      <c r="C148" s="20" t="s">
        <v>807</v>
      </c>
      <c r="D148" s="137">
        <v>1810000</v>
      </c>
      <c r="E148" s="20" t="s">
        <v>579</v>
      </c>
      <c r="F148" s="20" t="s">
        <v>394</v>
      </c>
      <c r="G148" s="8" t="str">
        <f t="shared" si="4"/>
        <v>NEWELL JAMES</v>
      </c>
      <c r="H148" s="20" t="str">
        <f t="shared" si="5"/>
        <v>4044</v>
      </c>
    </row>
    <row r="149" spans="1:8" x14ac:dyDescent="0.25">
      <c r="A149" s="8">
        <v>43089.618206018517</v>
      </c>
      <c r="B149" s="20" t="s">
        <v>442</v>
      </c>
      <c r="C149" s="20" t="s">
        <v>808</v>
      </c>
      <c r="D149" s="137">
        <v>2140000</v>
      </c>
      <c r="E149" s="20" t="s">
        <v>535</v>
      </c>
      <c r="F149" s="20" t="s">
        <v>536</v>
      </c>
      <c r="G149" s="8" t="str">
        <f t="shared" si="4"/>
        <v>ROBINSON KADDIBA</v>
      </c>
      <c r="H149" s="20" t="str">
        <f t="shared" si="5"/>
        <v>4049</v>
      </c>
    </row>
    <row r="150" spans="1:8" x14ac:dyDescent="0.25">
      <c r="A150" s="8">
        <v>43089.619930555556</v>
      </c>
      <c r="B150" s="20" t="s">
        <v>657</v>
      </c>
      <c r="C150" s="20" t="s">
        <v>809</v>
      </c>
      <c r="D150" s="137">
        <v>880000</v>
      </c>
      <c r="E150" s="20" t="s">
        <v>511</v>
      </c>
      <c r="F150" s="20" t="s">
        <v>351</v>
      </c>
      <c r="G150" s="8" t="str">
        <f t="shared" si="4"/>
        <v>STEWART MICHAEL</v>
      </c>
      <c r="H150" s="20" t="str">
        <f t="shared" si="5"/>
        <v>4020</v>
      </c>
    </row>
    <row r="151" spans="1:8" x14ac:dyDescent="0.25">
      <c r="A151" s="8">
        <v>43089.621076388888</v>
      </c>
      <c r="B151" s="20" t="s">
        <v>576</v>
      </c>
      <c r="C151" s="20" t="s">
        <v>666</v>
      </c>
      <c r="D151" s="137">
        <v>2610000</v>
      </c>
      <c r="E151" s="20" t="s">
        <v>379</v>
      </c>
      <c r="F151" s="20" t="s">
        <v>380</v>
      </c>
      <c r="G151" s="8" t="str">
        <f t="shared" si="4"/>
        <v>MAGEE KENYA</v>
      </c>
      <c r="H151" s="20" t="str">
        <f t="shared" si="5"/>
        <v>4032</v>
      </c>
    </row>
    <row r="152" spans="1:8" x14ac:dyDescent="0.25">
      <c r="A152" s="8">
        <v>43089.627210648148</v>
      </c>
      <c r="B152" s="20" t="s">
        <v>383</v>
      </c>
      <c r="C152" s="20" t="s">
        <v>662</v>
      </c>
      <c r="D152" s="137">
        <v>3490000</v>
      </c>
      <c r="E152" s="20" t="s">
        <v>580</v>
      </c>
      <c r="F152" s="20" t="s">
        <v>581</v>
      </c>
      <c r="G152" s="8" t="str">
        <f t="shared" si="4"/>
        <v>WEST BRYAN</v>
      </c>
      <c r="H152" s="20" t="str">
        <f t="shared" si="5"/>
        <v>4022</v>
      </c>
    </row>
    <row r="153" spans="1:8" x14ac:dyDescent="0.25">
      <c r="A153" s="8">
        <v>43089.629351851851</v>
      </c>
      <c r="B153" s="20" t="s">
        <v>469</v>
      </c>
      <c r="C153" s="20" t="s">
        <v>810</v>
      </c>
      <c r="D153" s="137">
        <v>1180000</v>
      </c>
      <c r="E153" s="20" t="s">
        <v>533</v>
      </c>
      <c r="F153" s="20" t="s">
        <v>534</v>
      </c>
      <c r="G153" s="8" t="str">
        <f t="shared" si="4"/>
        <v>LEVERE CRAIG</v>
      </c>
      <c r="H153" s="20" t="str">
        <f t="shared" si="5"/>
        <v>4054</v>
      </c>
    </row>
    <row r="154" spans="1:8" x14ac:dyDescent="0.25">
      <c r="A154" s="8">
        <v>43089.630497685182</v>
      </c>
      <c r="B154" s="20" t="s">
        <v>686</v>
      </c>
      <c r="C154" s="20" t="s">
        <v>811</v>
      </c>
      <c r="D154" s="137">
        <v>2970000</v>
      </c>
      <c r="E154" s="20" t="s">
        <v>373</v>
      </c>
      <c r="F154" s="20" t="s">
        <v>374</v>
      </c>
      <c r="G154" s="8" t="str">
        <f t="shared" si="4"/>
        <v>GUZMAN DANNY</v>
      </c>
      <c r="H154" s="20" t="str">
        <f t="shared" si="5"/>
        <v>4026</v>
      </c>
    </row>
    <row r="155" spans="1:8" x14ac:dyDescent="0.25">
      <c r="A155" s="8">
        <v>43089.631053240744</v>
      </c>
      <c r="B155" s="20" t="s">
        <v>384</v>
      </c>
      <c r="C155" s="20" t="s">
        <v>812</v>
      </c>
      <c r="D155" s="137">
        <v>920000</v>
      </c>
      <c r="E155" s="20" t="s">
        <v>488</v>
      </c>
      <c r="F155" s="20" t="s">
        <v>351</v>
      </c>
      <c r="G155" s="8" t="str">
        <f t="shared" si="4"/>
        <v>DAVIS MICHAEL</v>
      </c>
      <c r="H155" s="20" t="str">
        <f t="shared" si="5"/>
        <v>4061</v>
      </c>
    </row>
    <row r="156" spans="1:8" x14ac:dyDescent="0.25">
      <c r="A156" s="8">
        <v>43089.638090277775</v>
      </c>
      <c r="B156" s="20" t="s">
        <v>573</v>
      </c>
      <c r="C156" s="20" t="s">
        <v>667</v>
      </c>
      <c r="D156" s="137">
        <v>2000000</v>
      </c>
      <c r="E156" s="20" t="s">
        <v>393</v>
      </c>
      <c r="F156" s="20" t="s">
        <v>394</v>
      </c>
      <c r="G156" s="8" t="str">
        <f t="shared" si="4"/>
        <v>STAMBAUGH JAMES</v>
      </c>
      <c r="H156" s="20" t="str">
        <f t="shared" si="5"/>
        <v>4039</v>
      </c>
    </row>
    <row r="157" spans="1:8" x14ac:dyDescent="0.25">
      <c r="A157" s="8">
        <v>43089.640405092592</v>
      </c>
      <c r="B157" s="20" t="s">
        <v>486</v>
      </c>
      <c r="C157" s="20" t="s">
        <v>813</v>
      </c>
      <c r="D157" s="137">
        <v>1810000</v>
      </c>
      <c r="E157" s="20" t="s">
        <v>579</v>
      </c>
      <c r="F157" s="20" t="s">
        <v>394</v>
      </c>
      <c r="G157" s="8" t="str">
        <f t="shared" si="4"/>
        <v>NEWELL JAMES</v>
      </c>
      <c r="H157" s="20" t="str">
        <f t="shared" si="5"/>
        <v>4043</v>
      </c>
    </row>
    <row r="158" spans="1:8" x14ac:dyDescent="0.25">
      <c r="A158" s="8">
        <v>43089.640682870369</v>
      </c>
      <c r="B158" s="20" t="s">
        <v>449</v>
      </c>
      <c r="C158" s="20" t="s">
        <v>814</v>
      </c>
      <c r="D158" s="137">
        <v>2420000</v>
      </c>
      <c r="E158" s="20" t="s">
        <v>785</v>
      </c>
      <c r="F158" s="20" t="s">
        <v>786</v>
      </c>
      <c r="G158" s="8" t="str">
        <f t="shared" si="4"/>
        <v>HOLCOMB KAMDEN</v>
      </c>
      <c r="H158" s="20" t="str">
        <f t="shared" si="5"/>
        <v>4051</v>
      </c>
    </row>
    <row r="159" spans="1:8" x14ac:dyDescent="0.25">
      <c r="A159" s="8">
        <v>43089.641701388886</v>
      </c>
      <c r="B159" s="20" t="s">
        <v>441</v>
      </c>
      <c r="C159" s="20" t="s">
        <v>815</v>
      </c>
      <c r="D159" s="137">
        <v>2030000</v>
      </c>
      <c r="E159" s="20" t="s">
        <v>778</v>
      </c>
      <c r="F159" s="20" t="s">
        <v>512</v>
      </c>
      <c r="G159" s="8" t="str">
        <f t="shared" si="4"/>
        <v>KILLION DAVID</v>
      </c>
      <c r="H159" s="20" t="str">
        <f t="shared" si="5"/>
        <v>4010</v>
      </c>
    </row>
    <row r="160" spans="1:8" x14ac:dyDescent="0.25">
      <c r="A160" s="8">
        <v>43089.642337962963</v>
      </c>
      <c r="B160" s="20" t="s">
        <v>570</v>
      </c>
      <c r="C160" s="20" t="s">
        <v>663</v>
      </c>
      <c r="D160" s="137">
        <v>2610000</v>
      </c>
      <c r="E160" s="20" t="s">
        <v>379</v>
      </c>
      <c r="F160" s="20" t="s">
        <v>380</v>
      </c>
      <c r="G160" s="8" t="str">
        <f t="shared" si="4"/>
        <v>MAGEE KENYA</v>
      </c>
      <c r="H160" s="20" t="str">
        <f t="shared" si="5"/>
        <v>4031</v>
      </c>
    </row>
    <row r="161" spans="1:8" x14ac:dyDescent="0.25">
      <c r="A161" s="8">
        <v>43089.64371527778</v>
      </c>
      <c r="B161" s="20" t="s">
        <v>470</v>
      </c>
      <c r="C161" s="20" t="s">
        <v>816</v>
      </c>
      <c r="D161" s="137">
        <v>1180000</v>
      </c>
      <c r="E161" s="20" t="s">
        <v>533</v>
      </c>
      <c r="F161" s="20" t="s">
        <v>534</v>
      </c>
      <c r="G161" s="8" t="str">
        <f t="shared" si="4"/>
        <v>LEVERE CRAIG</v>
      </c>
      <c r="H161" s="20" t="str">
        <f t="shared" si="5"/>
        <v>4053</v>
      </c>
    </row>
    <row r="162" spans="1:8" x14ac:dyDescent="0.25">
      <c r="A162" s="8">
        <v>43089.649780092594</v>
      </c>
      <c r="B162" s="20" t="s">
        <v>574</v>
      </c>
      <c r="C162" s="20" t="s">
        <v>817</v>
      </c>
      <c r="D162" s="137">
        <v>2000000</v>
      </c>
      <c r="E162" s="20" t="s">
        <v>393</v>
      </c>
      <c r="F162" s="20" t="s">
        <v>394</v>
      </c>
      <c r="G162" s="8" t="str">
        <f t="shared" si="4"/>
        <v>STAMBAUGH JAMES</v>
      </c>
      <c r="H162" s="20" t="str">
        <f t="shared" si="5"/>
        <v>4040</v>
      </c>
    </row>
    <row r="163" spans="1:8" x14ac:dyDescent="0.25">
      <c r="A163" s="8">
        <v>43089.649930555555</v>
      </c>
      <c r="B163" s="20" t="s">
        <v>499</v>
      </c>
      <c r="C163" s="20" t="s">
        <v>664</v>
      </c>
      <c r="D163" s="137">
        <v>3490000</v>
      </c>
      <c r="E163" s="20" t="s">
        <v>580</v>
      </c>
      <c r="F163" s="20" t="s">
        <v>581</v>
      </c>
      <c r="G163" s="8" t="str">
        <f t="shared" si="4"/>
        <v>WEST BRYAN</v>
      </c>
      <c r="H163" s="20" t="str">
        <f t="shared" si="5"/>
        <v>4021</v>
      </c>
    </row>
    <row r="164" spans="1:8" x14ac:dyDescent="0.25">
      <c r="A164" s="8">
        <v>43089.651967592596</v>
      </c>
      <c r="B164" s="20" t="s">
        <v>443</v>
      </c>
      <c r="C164" s="20" t="s">
        <v>818</v>
      </c>
      <c r="D164" s="137">
        <v>2140000</v>
      </c>
      <c r="E164" s="20" t="s">
        <v>535</v>
      </c>
      <c r="F164" s="20" t="s">
        <v>536</v>
      </c>
      <c r="G164" s="8" t="str">
        <f t="shared" si="4"/>
        <v>ROBINSON KADDIBA</v>
      </c>
      <c r="H164" s="20" t="str">
        <f t="shared" si="5"/>
        <v>4050</v>
      </c>
    </row>
    <row r="165" spans="1:8" x14ac:dyDescent="0.25">
      <c r="A165" s="8">
        <v>43089.660949074074</v>
      </c>
      <c r="B165" s="20" t="s">
        <v>678</v>
      </c>
      <c r="C165" s="20" t="s">
        <v>819</v>
      </c>
      <c r="D165" s="137">
        <v>880000</v>
      </c>
      <c r="E165" s="20" t="s">
        <v>511</v>
      </c>
      <c r="F165" s="20" t="s">
        <v>351</v>
      </c>
      <c r="G165" s="8" t="str">
        <f t="shared" si="4"/>
        <v>STEWART MICHAEL</v>
      </c>
      <c r="H165" s="20" t="str">
        <f t="shared" si="5"/>
        <v>4019</v>
      </c>
    </row>
    <row r="166" spans="1:8" x14ac:dyDescent="0.25">
      <c r="A166" s="8">
        <v>43089.664756944447</v>
      </c>
      <c r="B166" s="20" t="s">
        <v>573</v>
      </c>
      <c r="C166" s="20" t="s">
        <v>668</v>
      </c>
      <c r="D166" s="137">
        <v>2000000</v>
      </c>
      <c r="E166" s="20" t="s">
        <v>393</v>
      </c>
      <c r="F166" s="20" t="s">
        <v>394</v>
      </c>
      <c r="G166" s="8" t="str">
        <f t="shared" si="4"/>
        <v>STAMBAUGH JAMES</v>
      </c>
      <c r="H166" s="20" t="str">
        <f t="shared" si="5"/>
        <v>4039</v>
      </c>
    </row>
    <row r="167" spans="1:8" x14ac:dyDescent="0.25">
      <c r="A167" s="8">
        <v>43089.665243055555</v>
      </c>
      <c r="B167" s="20" t="s">
        <v>382</v>
      </c>
      <c r="C167" s="20" t="s">
        <v>820</v>
      </c>
      <c r="D167" s="137">
        <v>920000</v>
      </c>
      <c r="E167" s="20" t="s">
        <v>488</v>
      </c>
      <c r="F167" s="20" t="s">
        <v>351</v>
      </c>
      <c r="G167" s="8" t="str">
        <f t="shared" si="4"/>
        <v>DAVIS MICHAEL</v>
      </c>
      <c r="H167" s="20" t="str">
        <f t="shared" si="5"/>
        <v>4062</v>
      </c>
    </row>
    <row r="168" spans="1:8" x14ac:dyDescent="0.25">
      <c r="A168" s="8">
        <v>43089.665659722225</v>
      </c>
      <c r="B168" s="20" t="s">
        <v>684</v>
      </c>
      <c r="C168" s="20" t="s">
        <v>821</v>
      </c>
      <c r="D168" s="137">
        <v>2970000</v>
      </c>
      <c r="E168" s="20" t="s">
        <v>373</v>
      </c>
      <c r="F168" s="20" t="s">
        <v>374</v>
      </c>
      <c r="G168" s="8" t="str">
        <f t="shared" si="4"/>
        <v>GUZMAN DANNY</v>
      </c>
      <c r="H168" s="20" t="str">
        <f t="shared" si="5"/>
        <v>4025</v>
      </c>
    </row>
    <row r="169" spans="1:8" x14ac:dyDescent="0.25">
      <c r="A169" s="8">
        <v>43089.667372685188</v>
      </c>
      <c r="B169" s="20" t="s">
        <v>576</v>
      </c>
      <c r="C169" s="20" t="s">
        <v>666</v>
      </c>
      <c r="D169" s="137">
        <v>3130000</v>
      </c>
      <c r="E169" s="20" t="s">
        <v>582</v>
      </c>
      <c r="F169" s="20" t="s">
        <v>583</v>
      </c>
      <c r="G169" s="8" t="str">
        <f t="shared" si="4"/>
        <v>ZEWDU DEREJE</v>
      </c>
      <c r="H169" s="20" t="str">
        <f t="shared" si="5"/>
        <v>4032</v>
      </c>
    </row>
    <row r="170" spans="1:8" x14ac:dyDescent="0.25">
      <c r="A170" s="8">
        <v>43089.669861111113</v>
      </c>
      <c r="B170" s="20" t="s">
        <v>469</v>
      </c>
      <c r="C170" s="20" t="s">
        <v>822</v>
      </c>
      <c r="D170" s="137">
        <v>1180000</v>
      </c>
      <c r="E170" s="20" t="s">
        <v>533</v>
      </c>
      <c r="F170" s="20" t="s">
        <v>534</v>
      </c>
      <c r="G170" s="8" t="str">
        <f t="shared" si="4"/>
        <v>LEVERE CRAIG</v>
      </c>
      <c r="H170" s="20" t="str">
        <f t="shared" si="5"/>
        <v>4054</v>
      </c>
    </row>
    <row r="171" spans="1:8" x14ac:dyDescent="0.25">
      <c r="A171" s="8">
        <v>43089.672384259262</v>
      </c>
      <c r="B171" s="20" t="s">
        <v>447</v>
      </c>
      <c r="C171" s="20" t="s">
        <v>823</v>
      </c>
      <c r="D171" s="137">
        <v>2420000</v>
      </c>
      <c r="E171" s="20" t="s">
        <v>785</v>
      </c>
      <c r="F171" s="20" t="s">
        <v>786</v>
      </c>
      <c r="G171" s="8" t="str">
        <f t="shared" si="4"/>
        <v>HOLCOMB KAMDEN</v>
      </c>
      <c r="H171" s="20" t="str">
        <f t="shared" si="5"/>
        <v>4052</v>
      </c>
    </row>
    <row r="172" spans="1:8" x14ac:dyDescent="0.25">
      <c r="A172" s="8">
        <v>43089.677083333336</v>
      </c>
      <c r="B172" s="20" t="s">
        <v>479</v>
      </c>
      <c r="C172" s="20" t="s">
        <v>824</v>
      </c>
      <c r="D172" s="137">
        <v>2030000</v>
      </c>
      <c r="E172" s="20" t="s">
        <v>778</v>
      </c>
      <c r="F172" s="20" t="s">
        <v>512</v>
      </c>
      <c r="G172" s="8" t="str">
        <f t="shared" si="4"/>
        <v>KILLION DAVID</v>
      </c>
      <c r="H172" s="20" t="str">
        <f t="shared" si="5"/>
        <v>4009</v>
      </c>
    </row>
    <row r="173" spans="1:8" x14ac:dyDescent="0.25">
      <c r="A173" s="8">
        <v>43089.678333333337</v>
      </c>
      <c r="B173" s="20" t="s">
        <v>383</v>
      </c>
      <c r="C173" s="20" t="s">
        <v>662</v>
      </c>
      <c r="D173" s="137">
        <v>3490000</v>
      </c>
      <c r="E173" s="20" t="s">
        <v>580</v>
      </c>
      <c r="F173" s="20" t="s">
        <v>581</v>
      </c>
      <c r="G173" s="8" t="str">
        <f t="shared" si="4"/>
        <v>WEST BRYAN</v>
      </c>
      <c r="H173" s="20" t="str">
        <f t="shared" si="5"/>
        <v>4022</v>
      </c>
    </row>
    <row r="174" spans="1:8" x14ac:dyDescent="0.25">
      <c r="A174" s="8">
        <v>43089.681296296294</v>
      </c>
      <c r="B174" s="20" t="s">
        <v>510</v>
      </c>
      <c r="C174" s="20" t="s">
        <v>675</v>
      </c>
      <c r="D174" s="137">
        <v>1780000</v>
      </c>
      <c r="E174" s="20" t="s">
        <v>766</v>
      </c>
      <c r="F174" s="20" t="s">
        <v>767</v>
      </c>
      <c r="G174" s="8" t="str">
        <f t="shared" si="4"/>
        <v>DE LA ROSA ALEX</v>
      </c>
      <c r="H174" s="20" t="str">
        <f t="shared" si="5"/>
        <v>4058</v>
      </c>
    </row>
    <row r="175" spans="1:8" x14ac:dyDescent="0.25">
      <c r="A175" s="8">
        <v>43089.681481481479</v>
      </c>
      <c r="B175" s="20" t="s">
        <v>485</v>
      </c>
      <c r="C175" s="20" t="s">
        <v>825</v>
      </c>
      <c r="D175" s="137">
        <v>1810000</v>
      </c>
      <c r="E175" s="20" t="s">
        <v>579</v>
      </c>
      <c r="F175" s="20" t="s">
        <v>394</v>
      </c>
      <c r="G175" s="8" t="str">
        <f t="shared" si="4"/>
        <v>NEWELL JAMES</v>
      </c>
      <c r="H175" s="20" t="str">
        <f t="shared" si="5"/>
        <v>4044</v>
      </c>
    </row>
    <row r="176" spans="1:8" x14ac:dyDescent="0.25">
      <c r="A176" s="8">
        <v>43089.684490740743</v>
      </c>
      <c r="B176" s="20" t="s">
        <v>510</v>
      </c>
      <c r="C176" s="20" t="s">
        <v>826</v>
      </c>
      <c r="D176" s="137">
        <v>1780000</v>
      </c>
      <c r="E176" s="20" t="s">
        <v>766</v>
      </c>
      <c r="F176" s="20" t="s">
        <v>767</v>
      </c>
      <c r="G176" s="8" t="str">
        <f t="shared" si="4"/>
        <v>DE LA ROSA ALEX</v>
      </c>
      <c r="H176" s="20" t="str">
        <f t="shared" si="5"/>
        <v>4058</v>
      </c>
    </row>
    <row r="177" spans="1:8" x14ac:dyDescent="0.25">
      <c r="A177" s="8">
        <v>43089.687141203707</v>
      </c>
      <c r="B177" s="20" t="s">
        <v>470</v>
      </c>
      <c r="C177" s="20" t="s">
        <v>827</v>
      </c>
      <c r="D177" s="137">
        <v>1180000</v>
      </c>
      <c r="E177" s="20" t="s">
        <v>533</v>
      </c>
      <c r="F177" s="20" t="s">
        <v>534</v>
      </c>
      <c r="G177" s="8" t="str">
        <f t="shared" si="4"/>
        <v>LEVERE CRAIG</v>
      </c>
      <c r="H177" s="20" t="str">
        <f t="shared" si="5"/>
        <v>4053</v>
      </c>
    </row>
    <row r="178" spans="1:8" x14ac:dyDescent="0.25">
      <c r="A178" s="8">
        <v>43089.689652777779</v>
      </c>
      <c r="B178" s="20" t="s">
        <v>570</v>
      </c>
      <c r="C178" s="20" t="s">
        <v>663</v>
      </c>
      <c r="D178" s="137">
        <v>3130000</v>
      </c>
      <c r="E178" s="20" t="s">
        <v>582</v>
      </c>
      <c r="F178" s="20" t="s">
        <v>583</v>
      </c>
      <c r="G178" s="8" t="str">
        <f t="shared" si="4"/>
        <v>ZEWDU DEREJE</v>
      </c>
      <c r="H178" s="20" t="str">
        <f t="shared" si="5"/>
        <v>4031</v>
      </c>
    </row>
    <row r="179" spans="1:8" x14ac:dyDescent="0.25">
      <c r="A179" s="8">
        <v>43089.690034722225</v>
      </c>
      <c r="B179" s="20" t="s">
        <v>574</v>
      </c>
      <c r="C179" s="20" t="s">
        <v>828</v>
      </c>
      <c r="D179" s="137">
        <v>2000000</v>
      </c>
      <c r="E179" s="20" t="s">
        <v>393</v>
      </c>
      <c r="F179" s="20" t="s">
        <v>394</v>
      </c>
      <c r="G179" s="8" t="str">
        <f t="shared" si="4"/>
        <v>STAMBAUGH JAMES</v>
      </c>
      <c r="H179" s="20" t="str">
        <f t="shared" si="5"/>
        <v>4040</v>
      </c>
    </row>
    <row r="180" spans="1:8" x14ac:dyDescent="0.25">
      <c r="A180" s="8">
        <v>43089.692569444444</v>
      </c>
      <c r="B180" s="20" t="s">
        <v>442</v>
      </c>
      <c r="C180" s="20" t="s">
        <v>829</v>
      </c>
      <c r="D180" s="137">
        <v>2140000</v>
      </c>
      <c r="E180" s="20" t="s">
        <v>535</v>
      </c>
      <c r="F180" s="20" t="s">
        <v>536</v>
      </c>
      <c r="G180" s="8" t="str">
        <f t="shared" si="4"/>
        <v>ROBINSON KADDIBA</v>
      </c>
      <c r="H180" s="20" t="str">
        <f t="shared" si="5"/>
        <v>4049</v>
      </c>
    </row>
    <row r="181" spans="1:8" x14ac:dyDescent="0.25">
      <c r="A181" s="8">
        <v>43089.694537037038</v>
      </c>
      <c r="B181" s="20" t="s">
        <v>657</v>
      </c>
      <c r="C181" s="20" t="s">
        <v>830</v>
      </c>
      <c r="D181" s="137">
        <v>880000</v>
      </c>
      <c r="E181" s="20" t="s">
        <v>511</v>
      </c>
      <c r="F181" s="20" t="s">
        <v>351</v>
      </c>
      <c r="G181" s="8" t="str">
        <f t="shared" si="4"/>
        <v>STEWART MICHAEL</v>
      </c>
      <c r="H181" s="20" t="str">
        <f t="shared" si="5"/>
        <v>4020</v>
      </c>
    </row>
    <row r="182" spans="1:8" x14ac:dyDescent="0.25">
      <c r="A182" s="8">
        <v>43089.701157407406</v>
      </c>
      <c r="B182" s="20" t="s">
        <v>499</v>
      </c>
      <c r="C182" s="20" t="s">
        <v>664</v>
      </c>
      <c r="D182" s="137">
        <v>3490000</v>
      </c>
      <c r="E182" s="20" t="s">
        <v>580</v>
      </c>
      <c r="F182" s="20" t="s">
        <v>581</v>
      </c>
      <c r="G182" s="8" t="str">
        <f t="shared" si="4"/>
        <v>WEST BRYAN</v>
      </c>
      <c r="H182" s="20" t="str">
        <f t="shared" si="5"/>
        <v>4021</v>
      </c>
    </row>
    <row r="183" spans="1:8" x14ac:dyDescent="0.25">
      <c r="A183" s="8">
        <v>43089.703657407408</v>
      </c>
      <c r="B183" s="20" t="s">
        <v>384</v>
      </c>
      <c r="C183" s="20" t="s">
        <v>831</v>
      </c>
      <c r="D183" s="137">
        <v>920000</v>
      </c>
      <c r="E183" s="20" t="s">
        <v>488</v>
      </c>
      <c r="F183" s="20" t="s">
        <v>351</v>
      </c>
      <c r="G183" s="8" t="str">
        <f t="shared" si="4"/>
        <v>DAVIS MICHAEL</v>
      </c>
      <c r="H183" s="20" t="str">
        <f t="shared" si="5"/>
        <v>4061</v>
      </c>
    </row>
    <row r="184" spans="1:8" x14ac:dyDescent="0.25">
      <c r="A184" s="8">
        <v>43089.705717592595</v>
      </c>
      <c r="B184" s="20" t="s">
        <v>686</v>
      </c>
      <c r="C184" s="20" t="s">
        <v>832</v>
      </c>
      <c r="D184" s="137">
        <v>2970000</v>
      </c>
      <c r="E184" s="20" t="s">
        <v>373</v>
      </c>
      <c r="F184" s="20" t="s">
        <v>374</v>
      </c>
      <c r="G184" s="8" t="str">
        <f t="shared" si="4"/>
        <v>GUZMAN DANNY</v>
      </c>
      <c r="H184" s="20" t="str">
        <f t="shared" si="5"/>
        <v>4026</v>
      </c>
    </row>
    <row r="185" spans="1:8" x14ac:dyDescent="0.25">
      <c r="A185" s="8">
        <v>43089.706006944441</v>
      </c>
      <c r="B185" s="20" t="s">
        <v>573</v>
      </c>
      <c r="C185" s="20" t="s">
        <v>833</v>
      </c>
      <c r="D185" s="137">
        <v>2000000</v>
      </c>
      <c r="E185" s="20" t="s">
        <v>393</v>
      </c>
      <c r="F185" s="20" t="s">
        <v>394</v>
      </c>
      <c r="G185" s="8" t="str">
        <f t="shared" si="4"/>
        <v>STAMBAUGH JAMES</v>
      </c>
      <c r="H185" s="20" t="str">
        <f t="shared" si="5"/>
        <v>4039</v>
      </c>
    </row>
    <row r="186" spans="1:8" x14ac:dyDescent="0.25">
      <c r="A186" s="8">
        <v>43089.711064814815</v>
      </c>
      <c r="B186" s="20" t="s">
        <v>469</v>
      </c>
      <c r="C186" s="20" t="s">
        <v>834</v>
      </c>
      <c r="D186" s="137">
        <v>1180000</v>
      </c>
      <c r="E186" s="20" t="s">
        <v>533</v>
      </c>
      <c r="F186" s="20" t="s">
        <v>534</v>
      </c>
      <c r="G186" s="8" t="str">
        <f t="shared" si="4"/>
        <v>LEVERE CRAIG</v>
      </c>
      <c r="H186" s="20" t="str">
        <f t="shared" si="5"/>
        <v>4054</v>
      </c>
    </row>
    <row r="187" spans="1:8" x14ac:dyDescent="0.25">
      <c r="A187" s="8">
        <v>43089.713333333333</v>
      </c>
      <c r="B187" s="20" t="s">
        <v>576</v>
      </c>
      <c r="C187" s="20" t="s">
        <v>666</v>
      </c>
      <c r="D187" s="137">
        <v>3130000</v>
      </c>
      <c r="E187" s="20" t="s">
        <v>582</v>
      </c>
      <c r="F187" s="20" t="s">
        <v>583</v>
      </c>
      <c r="G187" s="8" t="str">
        <f t="shared" si="4"/>
        <v>ZEWDU DEREJE</v>
      </c>
      <c r="H187" s="20" t="str">
        <f t="shared" si="5"/>
        <v>4032</v>
      </c>
    </row>
    <row r="188" spans="1:8" x14ac:dyDescent="0.25">
      <c r="A188" s="8">
        <v>43089.714409722219</v>
      </c>
      <c r="B188" s="20" t="s">
        <v>449</v>
      </c>
      <c r="C188" s="20" t="s">
        <v>835</v>
      </c>
      <c r="D188" s="137">
        <v>2420000</v>
      </c>
      <c r="E188" s="20" t="s">
        <v>785</v>
      </c>
      <c r="F188" s="20" t="s">
        <v>786</v>
      </c>
      <c r="G188" s="8" t="str">
        <f t="shared" si="4"/>
        <v>HOLCOMB KAMDEN</v>
      </c>
      <c r="H188" s="20" t="str">
        <f t="shared" si="5"/>
        <v>4051</v>
      </c>
    </row>
    <row r="189" spans="1:8" x14ac:dyDescent="0.25">
      <c r="A189" s="8">
        <v>43089.714421296296</v>
      </c>
      <c r="B189" s="20" t="s">
        <v>391</v>
      </c>
      <c r="C189" s="20" t="s">
        <v>836</v>
      </c>
      <c r="D189" s="137">
        <v>2040000</v>
      </c>
      <c r="E189" s="20" t="s">
        <v>395</v>
      </c>
      <c r="F189" s="20" t="s">
        <v>396</v>
      </c>
      <c r="G189" s="8" t="str">
        <f t="shared" si="4"/>
        <v>MOSES BRADLEY</v>
      </c>
      <c r="H189" s="20" t="str">
        <f t="shared" si="5"/>
        <v>4030</v>
      </c>
    </row>
    <row r="190" spans="1:8" x14ac:dyDescent="0.25">
      <c r="A190" s="8">
        <v>43089.715185185189</v>
      </c>
      <c r="B190" s="20" t="s">
        <v>486</v>
      </c>
      <c r="C190" s="20" t="s">
        <v>837</v>
      </c>
      <c r="D190" s="137">
        <v>1810000</v>
      </c>
      <c r="E190" s="20" t="s">
        <v>579</v>
      </c>
      <c r="F190" s="20" t="s">
        <v>394</v>
      </c>
      <c r="G190" s="8" t="str">
        <f t="shared" si="4"/>
        <v>NEWELL JAMES</v>
      </c>
      <c r="H190" s="20" t="str">
        <f t="shared" si="5"/>
        <v>4043</v>
      </c>
    </row>
    <row r="191" spans="1:8" x14ac:dyDescent="0.25">
      <c r="A191" s="8">
        <v>43089.715439814812</v>
      </c>
      <c r="B191" s="20" t="s">
        <v>441</v>
      </c>
      <c r="C191" s="20" t="s">
        <v>838</v>
      </c>
      <c r="D191" s="137">
        <v>2030000</v>
      </c>
      <c r="E191" s="20" t="s">
        <v>778</v>
      </c>
      <c r="F191" s="20" t="s">
        <v>512</v>
      </c>
      <c r="G191" s="8" t="str">
        <f t="shared" si="4"/>
        <v>KILLION DAVID</v>
      </c>
      <c r="H191" s="20" t="str">
        <f t="shared" si="5"/>
        <v>4010</v>
      </c>
    </row>
    <row r="192" spans="1:8" x14ac:dyDescent="0.25">
      <c r="A192" s="8">
        <v>43089.724178240744</v>
      </c>
      <c r="B192" s="20" t="s">
        <v>383</v>
      </c>
      <c r="C192" s="20" t="s">
        <v>662</v>
      </c>
      <c r="D192" s="137">
        <v>3490000</v>
      </c>
      <c r="E192" s="20" t="s">
        <v>580</v>
      </c>
      <c r="F192" s="20" t="s">
        <v>581</v>
      </c>
      <c r="G192" s="8" t="str">
        <f t="shared" si="4"/>
        <v>WEST BRYAN</v>
      </c>
      <c r="H192" s="20" t="str">
        <f t="shared" si="5"/>
        <v>4022</v>
      </c>
    </row>
    <row r="193" spans="1:8" x14ac:dyDescent="0.25">
      <c r="A193" s="8">
        <v>43089.724432870367</v>
      </c>
      <c r="B193" s="20" t="s">
        <v>443</v>
      </c>
      <c r="C193" s="20" t="s">
        <v>839</v>
      </c>
      <c r="D193" s="137">
        <v>2140000</v>
      </c>
      <c r="E193" s="20" t="s">
        <v>535</v>
      </c>
      <c r="F193" s="20" t="s">
        <v>536</v>
      </c>
      <c r="G193" s="8" t="str">
        <f t="shared" si="4"/>
        <v>ROBINSON KADDIBA</v>
      </c>
      <c r="H193" s="20" t="str">
        <f t="shared" si="5"/>
        <v>4050</v>
      </c>
    </row>
    <row r="194" spans="1:8" x14ac:dyDescent="0.25">
      <c r="A194" s="8">
        <v>43089.729004629633</v>
      </c>
      <c r="B194" s="20" t="s">
        <v>470</v>
      </c>
      <c r="C194" s="20" t="s">
        <v>840</v>
      </c>
      <c r="D194" s="137">
        <v>1180000</v>
      </c>
      <c r="E194" s="20" t="s">
        <v>533</v>
      </c>
      <c r="F194" s="20" t="s">
        <v>534</v>
      </c>
      <c r="G194" s="8" t="str">
        <f t="shared" si="4"/>
        <v>LEVERE CRAIG</v>
      </c>
      <c r="H194" s="20" t="str">
        <f t="shared" si="5"/>
        <v>4053</v>
      </c>
    </row>
    <row r="195" spans="1:8" x14ac:dyDescent="0.25">
      <c r="A195" s="8">
        <v>43089.73097222222</v>
      </c>
      <c r="B195" s="20" t="s">
        <v>574</v>
      </c>
      <c r="C195" s="20" t="s">
        <v>841</v>
      </c>
      <c r="D195" s="137">
        <v>2000000</v>
      </c>
      <c r="E195" s="20" t="s">
        <v>393</v>
      </c>
      <c r="F195" s="20" t="s">
        <v>394</v>
      </c>
      <c r="G195" s="8" t="str">
        <f t="shared" ref="G195:G258" si="6">E195&amp;" "&amp;F195</f>
        <v>STAMBAUGH JAMES</v>
      </c>
      <c r="H195" s="20" t="str">
        <f t="shared" ref="H195:H258" si="7">MID(B195,13,4)</f>
        <v>4040</v>
      </c>
    </row>
    <row r="196" spans="1:8" x14ac:dyDescent="0.25">
      <c r="A196" s="8">
        <v>43089.7346875</v>
      </c>
      <c r="B196" s="20" t="s">
        <v>678</v>
      </c>
      <c r="C196" s="20" t="s">
        <v>842</v>
      </c>
      <c r="D196" s="137">
        <v>880000</v>
      </c>
      <c r="E196" s="20" t="s">
        <v>511</v>
      </c>
      <c r="F196" s="20" t="s">
        <v>351</v>
      </c>
      <c r="G196" s="8" t="str">
        <f t="shared" si="6"/>
        <v>STEWART MICHAEL</v>
      </c>
      <c r="H196" s="20" t="str">
        <f t="shared" si="7"/>
        <v>4019</v>
      </c>
    </row>
    <row r="197" spans="1:8" x14ac:dyDescent="0.25">
      <c r="A197" s="8">
        <v>43089.737199074072</v>
      </c>
      <c r="B197" s="20" t="s">
        <v>382</v>
      </c>
      <c r="C197" s="20" t="s">
        <v>843</v>
      </c>
      <c r="D197" s="137">
        <v>3220000</v>
      </c>
      <c r="E197" s="20" t="s">
        <v>377</v>
      </c>
      <c r="F197" s="20" t="s">
        <v>378</v>
      </c>
      <c r="G197" s="8" t="str">
        <f t="shared" si="6"/>
        <v>RESPASS AARON</v>
      </c>
      <c r="H197" s="20" t="str">
        <f t="shared" si="7"/>
        <v>4062</v>
      </c>
    </row>
    <row r="198" spans="1:8" x14ac:dyDescent="0.25">
      <c r="A198" s="8">
        <v>43089.741944444446</v>
      </c>
      <c r="B198" s="20" t="s">
        <v>370</v>
      </c>
      <c r="C198" s="20" t="s">
        <v>844</v>
      </c>
      <c r="D198" s="137">
        <v>3670000</v>
      </c>
      <c r="E198" s="20" t="s">
        <v>381</v>
      </c>
      <c r="F198" s="20" t="s">
        <v>367</v>
      </c>
      <c r="G198" s="8" t="str">
        <f t="shared" si="6"/>
        <v>ANDREA WILLIAMS</v>
      </c>
      <c r="H198" s="20" t="str">
        <f t="shared" si="7"/>
        <v>4011</v>
      </c>
    </row>
    <row r="199" spans="1:8" x14ac:dyDescent="0.25">
      <c r="A199" s="8">
        <v>43089.743495370371</v>
      </c>
      <c r="B199" s="20" t="s">
        <v>684</v>
      </c>
      <c r="C199" s="20" t="s">
        <v>845</v>
      </c>
      <c r="D199" s="137">
        <v>2970000</v>
      </c>
      <c r="E199" s="20" t="s">
        <v>373</v>
      </c>
      <c r="F199" s="20" t="s">
        <v>374</v>
      </c>
      <c r="G199" s="8" t="str">
        <f t="shared" si="6"/>
        <v>GUZMAN DANNY</v>
      </c>
      <c r="H199" s="20" t="str">
        <f t="shared" si="7"/>
        <v>4025</v>
      </c>
    </row>
    <row r="200" spans="1:8" x14ac:dyDescent="0.25">
      <c r="A200" s="8">
        <v>43089.747233796297</v>
      </c>
      <c r="B200" s="20" t="s">
        <v>573</v>
      </c>
      <c r="C200" s="20" t="s">
        <v>846</v>
      </c>
      <c r="D200" s="137">
        <v>2000000</v>
      </c>
      <c r="E200" s="20" t="s">
        <v>393</v>
      </c>
      <c r="F200" s="20" t="s">
        <v>394</v>
      </c>
      <c r="G200" s="8" t="str">
        <f t="shared" si="6"/>
        <v>STAMBAUGH JAMES</v>
      </c>
      <c r="H200" s="20" t="str">
        <f t="shared" si="7"/>
        <v>4039</v>
      </c>
    </row>
    <row r="201" spans="1:8" x14ac:dyDescent="0.25">
      <c r="A201" s="8">
        <v>43089.748020833336</v>
      </c>
      <c r="B201" s="20" t="s">
        <v>447</v>
      </c>
      <c r="C201" s="20" t="s">
        <v>847</v>
      </c>
      <c r="D201" s="137">
        <v>2420000</v>
      </c>
      <c r="E201" s="20" t="s">
        <v>785</v>
      </c>
      <c r="F201" s="20" t="s">
        <v>786</v>
      </c>
      <c r="G201" s="8" t="str">
        <f t="shared" si="6"/>
        <v>HOLCOMB KAMDEN</v>
      </c>
      <c r="H201" s="20" t="str">
        <f t="shared" si="7"/>
        <v>4052</v>
      </c>
    </row>
    <row r="202" spans="1:8" x14ac:dyDescent="0.25">
      <c r="A202" s="26">
        <v>43089.752245370371</v>
      </c>
      <c r="B202" s="20" t="s">
        <v>469</v>
      </c>
      <c r="C202" s="20" t="s">
        <v>848</v>
      </c>
      <c r="D202" s="137">
        <v>1180000</v>
      </c>
      <c r="E202" s="20" t="s">
        <v>533</v>
      </c>
      <c r="F202" s="20" t="s">
        <v>534</v>
      </c>
      <c r="G202" s="8" t="str">
        <f t="shared" si="6"/>
        <v>LEVERE CRAIG</v>
      </c>
      <c r="H202" s="20" t="str">
        <f t="shared" si="7"/>
        <v>4054</v>
      </c>
    </row>
    <row r="203" spans="1:8" x14ac:dyDescent="0.25">
      <c r="A203" s="8">
        <v>43089.754155092596</v>
      </c>
      <c r="B203" s="20" t="s">
        <v>479</v>
      </c>
      <c r="C203" s="20" t="s">
        <v>849</v>
      </c>
      <c r="D203" s="137">
        <v>2030000</v>
      </c>
      <c r="E203" s="20" t="s">
        <v>778</v>
      </c>
      <c r="F203" s="20" t="s">
        <v>512</v>
      </c>
      <c r="G203" s="8" t="str">
        <f t="shared" si="6"/>
        <v>KILLION DAVID</v>
      </c>
      <c r="H203" s="20" t="str">
        <f t="shared" si="7"/>
        <v>4009</v>
      </c>
    </row>
    <row r="204" spans="1:8" x14ac:dyDescent="0.25">
      <c r="A204" s="8">
        <v>43089.757986111108</v>
      </c>
      <c r="B204" s="20" t="s">
        <v>485</v>
      </c>
      <c r="C204" s="20" t="s">
        <v>850</v>
      </c>
      <c r="D204" s="137">
        <v>890000</v>
      </c>
      <c r="E204" s="20" t="s">
        <v>343</v>
      </c>
      <c r="F204" s="20" t="s">
        <v>344</v>
      </c>
      <c r="G204" s="8" t="str">
        <f t="shared" si="6"/>
        <v>LOZA FIDEL</v>
      </c>
      <c r="H204" s="20" t="str">
        <f t="shared" si="7"/>
        <v>4044</v>
      </c>
    </row>
    <row r="205" spans="1:8" x14ac:dyDescent="0.25">
      <c r="A205" s="8">
        <v>43089.764143518521</v>
      </c>
      <c r="B205" s="20" t="s">
        <v>442</v>
      </c>
      <c r="C205" s="20" t="s">
        <v>851</v>
      </c>
      <c r="D205" s="137">
        <v>2140000</v>
      </c>
      <c r="E205" s="20" t="s">
        <v>535</v>
      </c>
      <c r="F205" s="20" t="s">
        <v>536</v>
      </c>
      <c r="G205" s="8" t="str">
        <f t="shared" si="6"/>
        <v>ROBINSON KADDIBA</v>
      </c>
      <c r="H205" s="20" t="str">
        <f t="shared" si="7"/>
        <v>4049</v>
      </c>
    </row>
    <row r="206" spans="1:8" x14ac:dyDescent="0.25">
      <c r="A206" s="8">
        <v>43089.768090277779</v>
      </c>
      <c r="B206" s="20" t="s">
        <v>657</v>
      </c>
      <c r="C206" s="20" t="s">
        <v>852</v>
      </c>
      <c r="D206" s="137">
        <v>2540000</v>
      </c>
      <c r="E206" s="20" t="s">
        <v>452</v>
      </c>
      <c r="F206" s="20" t="s">
        <v>453</v>
      </c>
      <c r="G206" s="8" t="str">
        <f t="shared" si="6"/>
        <v>MCREYNOLDS KYLE</v>
      </c>
      <c r="H206" s="20" t="str">
        <f t="shared" si="7"/>
        <v>4020</v>
      </c>
    </row>
    <row r="207" spans="1:8" x14ac:dyDescent="0.25">
      <c r="A207" s="8">
        <v>43089.769444444442</v>
      </c>
      <c r="B207" s="20" t="s">
        <v>470</v>
      </c>
      <c r="C207" s="20" t="s">
        <v>853</v>
      </c>
      <c r="D207" s="137">
        <v>1180000</v>
      </c>
      <c r="E207" s="20" t="s">
        <v>533</v>
      </c>
      <c r="F207" s="20" t="s">
        <v>534</v>
      </c>
      <c r="G207" s="8" t="str">
        <f t="shared" si="6"/>
        <v>LEVERE CRAIG</v>
      </c>
      <c r="H207" s="20" t="str">
        <f t="shared" si="7"/>
        <v>4053</v>
      </c>
    </row>
    <row r="208" spans="1:8" x14ac:dyDescent="0.25">
      <c r="A208" s="8">
        <v>43089.774189814816</v>
      </c>
      <c r="B208" s="20" t="s">
        <v>574</v>
      </c>
      <c r="C208" s="20" t="s">
        <v>854</v>
      </c>
      <c r="D208" s="137">
        <v>2000000</v>
      </c>
      <c r="E208" s="20" t="s">
        <v>393</v>
      </c>
      <c r="F208" s="20" t="s">
        <v>394</v>
      </c>
      <c r="G208" s="8" t="str">
        <f t="shared" si="6"/>
        <v>STAMBAUGH JAMES</v>
      </c>
      <c r="H208" s="20" t="str">
        <f t="shared" si="7"/>
        <v>4040</v>
      </c>
    </row>
    <row r="209" spans="1:8" x14ac:dyDescent="0.25">
      <c r="A209" s="8">
        <v>43089.777280092596</v>
      </c>
      <c r="B209" s="20" t="s">
        <v>384</v>
      </c>
      <c r="C209" s="20" t="s">
        <v>855</v>
      </c>
      <c r="D209" s="137">
        <v>3220000</v>
      </c>
      <c r="E209" s="20" t="s">
        <v>377</v>
      </c>
      <c r="F209" s="20" t="s">
        <v>378</v>
      </c>
      <c r="G209" s="8" t="str">
        <f t="shared" si="6"/>
        <v>RESPASS AARON</v>
      </c>
      <c r="H209" s="20" t="str">
        <f t="shared" si="7"/>
        <v>4061</v>
      </c>
    </row>
    <row r="210" spans="1:8" x14ac:dyDescent="0.25">
      <c r="A210" s="8">
        <v>43089.779293981483</v>
      </c>
      <c r="B210" s="20" t="s">
        <v>686</v>
      </c>
      <c r="C210" s="20" t="s">
        <v>856</v>
      </c>
      <c r="D210" s="137">
        <v>2970000</v>
      </c>
      <c r="E210" s="20" t="s">
        <v>373</v>
      </c>
      <c r="F210" s="20" t="s">
        <v>374</v>
      </c>
      <c r="G210" s="8" t="str">
        <f t="shared" si="6"/>
        <v>GUZMAN DANNY</v>
      </c>
      <c r="H210" s="20" t="str">
        <f t="shared" si="7"/>
        <v>4026</v>
      </c>
    </row>
    <row r="211" spans="1:8" x14ac:dyDescent="0.25">
      <c r="A211" s="8">
        <v>43089.788368055553</v>
      </c>
      <c r="B211" s="20" t="s">
        <v>573</v>
      </c>
      <c r="C211" s="20" t="s">
        <v>857</v>
      </c>
      <c r="D211" s="137">
        <v>2000000</v>
      </c>
      <c r="E211" s="20" t="s">
        <v>393</v>
      </c>
      <c r="F211" s="20" t="s">
        <v>394</v>
      </c>
      <c r="G211" s="8" t="str">
        <f t="shared" si="6"/>
        <v>STAMBAUGH JAMES</v>
      </c>
      <c r="H211" s="20" t="str">
        <f t="shared" si="7"/>
        <v>4039</v>
      </c>
    </row>
    <row r="212" spans="1:8" x14ac:dyDescent="0.25">
      <c r="A212" s="8">
        <v>43089.788506944446</v>
      </c>
      <c r="B212" s="20" t="s">
        <v>449</v>
      </c>
      <c r="C212" s="20" t="s">
        <v>858</v>
      </c>
      <c r="D212" s="137">
        <v>2420000</v>
      </c>
      <c r="E212" s="20" t="s">
        <v>785</v>
      </c>
      <c r="F212" s="20" t="s">
        <v>786</v>
      </c>
      <c r="G212" s="8" t="str">
        <f t="shared" si="6"/>
        <v>HOLCOMB KAMDEN</v>
      </c>
      <c r="H212" s="20" t="str">
        <f t="shared" si="7"/>
        <v>4051</v>
      </c>
    </row>
    <row r="213" spans="1:8" x14ac:dyDescent="0.25">
      <c r="A213" s="8">
        <v>43089.790185185186</v>
      </c>
      <c r="B213" s="20" t="s">
        <v>441</v>
      </c>
      <c r="C213" s="20" t="s">
        <v>859</v>
      </c>
      <c r="D213" s="137">
        <v>3320000</v>
      </c>
      <c r="E213" s="20" t="s">
        <v>362</v>
      </c>
      <c r="F213" s="20" t="s">
        <v>363</v>
      </c>
      <c r="G213" s="8" t="str">
        <f t="shared" si="6"/>
        <v>NICHOLSON WESLEY</v>
      </c>
      <c r="H213" s="20" t="str">
        <f t="shared" si="7"/>
        <v>4010</v>
      </c>
    </row>
    <row r="214" spans="1:8" x14ac:dyDescent="0.25">
      <c r="A214" s="8">
        <v>43089.794004629628</v>
      </c>
      <c r="B214" s="20" t="s">
        <v>486</v>
      </c>
      <c r="C214" s="20" t="s">
        <v>860</v>
      </c>
      <c r="D214" s="137">
        <v>890000</v>
      </c>
      <c r="E214" s="20" t="s">
        <v>343</v>
      </c>
      <c r="F214" s="20" t="s">
        <v>344</v>
      </c>
      <c r="G214" s="8" t="str">
        <f t="shared" si="6"/>
        <v>LOZA FIDEL</v>
      </c>
      <c r="H214" s="20" t="str">
        <f t="shared" si="7"/>
        <v>4043</v>
      </c>
    </row>
    <row r="215" spans="1:8" x14ac:dyDescent="0.25">
      <c r="A215" s="8">
        <v>43089.795347222222</v>
      </c>
      <c r="B215" s="20" t="s">
        <v>469</v>
      </c>
      <c r="C215" s="20" t="s">
        <v>861</v>
      </c>
      <c r="D215" s="137">
        <v>1180000</v>
      </c>
      <c r="E215" s="20" t="s">
        <v>533</v>
      </c>
      <c r="F215" s="20" t="s">
        <v>534</v>
      </c>
      <c r="G215" s="8" t="str">
        <f t="shared" si="6"/>
        <v>LEVERE CRAIG</v>
      </c>
      <c r="H215" s="20" t="str">
        <f t="shared" si="7"/>
        <v>4054</v>
      </c>
    </row>
    <row r="216" spans="1:8" x14ac:dyDescent="0.25">
      <c r="A216" s="8">
        <v>43089.799398148149</v>
      </c>
      <c r="B216" s="20" t="s">
        <v>443</v>
      </c>
      <c r="C216" s="20" t="s">
        <v>862</v>
      </c>
      <c r="D216" s="137">
        <v>2140000</v>
      </c>
      <c r="E216" s="20" t="s">
        <v>535</v>
      </c>
      <c r="F216" s="20" t="s">
        <v>536</v>
      </c>
      <c r="G216" s="8" t="str">
        <f t="shared" si="6"/>
        <v>ROBINSON KADDIBA</v>
      </c>
      <c r="H216" s="20" t="str">
        <f t="shared" si="7"/>
        <v>4050</v>
      </c>
    </row>
    <row r="217" spans="1:8" x14ac:dyDescent="0.25">
      <c r="A217" s="8">
        <v>43089.805069444446</v>
      </c>
      <c r="B217" s="20" t="s">
        <v>678</v>
      </c>
      <c r="C217" s="20" t="s">
        <v>863</v>
      </c>
      <c r="D217" s="137">
        <v>2540000</v>
      </c>
      <c r="E217" s="20" t="s">
        <v>452</v>
      </c>
      <c r="F217" s="20" t="s">
        <v>453</v>
      </c>
      <c r="G217" s="8" t="str">
        <f t="shared" si="6"/>
        <v>MCREYNOLDS KYLE</v>
      </c>
      <c r="H217" s="20" t="str">
        <f t="shared" si="7"/>
        <v>4019</v>
      </c>
    </row>
    <row r="218" spans="1:8" x14ac:dyDescent="0.25">
      <c r="A218" s="8">
        <v>43089.809733796297</v>
      </c>
      <c r="B218" s="20" t="s">
        <v>382</v>
      </c>
      <c r="C218" s="20" t="s">
        <v>864</v>
      </c>
      <c r="D218" s="137">
        <v>3220000</v>
      </c>
      <c r="E218" s="20" t="s">
        <v>377</v>
      </c>
      <c r="F218" s="20" t="s">
        <v>378</v>
      </c>
      <c r="G218" s="8" t="str">
        <f t="shared" si="6"/>
        <v>RESPASS AARON</v>
      </c>
      <c r="H218" s="20" t="str">
        <f t="shared" si="7"/>
        <v>4062</v>
      </c>
    </row>
    <row r="219" spans="1:8" x14ac:dyDescent="0.25">
      <c r="A219" s="8">
        <v>43089.810567129629</v>
      </c>
      <c r="B219" s="20" t="s">
        <v>470</v>
      </c>
      <c r="C219" s="20" t="s">
        <v>865</v>
      </c>
      <c r="D219" s="137">
        <v>1180000</v>
      </c>
      <c r="E219" s="20" t="s">
        <v>533</v>
      </c>
      <c r="F219" s="20" t="s">
        <v>534</v>
      </c>
      <c r="G219" s="8" t="str">
        <f t="shared" si="6"/>
        <v>LEVERE CRAIG</v>
      </c>
      <c r="H219" s="20" t="str">
        <f t="shared" si="7"/>
        <v>4053</v>
      </c>
    </row>
    <row r="220" spans="1:8" x14ac:dyDescent="0.25">
      <c r="A220" s="8">
        <v>43089.820613425924</v>
      </c>
      <c r="B220" s="20" t="s">
        <v>447</v>
      </c>
      <c r="C220" s="20" t="s">
        <v>866</v>
      </c>
      <c r="D220" s="137">
        <v>2420000</v>
      </c>
      <c r="E220" s="20" t="s">
        <v>785</v>
      </c>
      <c r="F220" s="20" t="s">
        <v>786</v>
      </c>
      <c r="G220" s="8" t="str">
        <f t="shared" si="6"/>
        <v>HOLCOMB KAMDEN</v>
      </c>
      <c r="H220" s="20" t="str">
        <f t="shared" si="7"/>
        <v>4052</v>
      </c>
    </row>
    <row r="221" spans="1:8" x14ac:dyDescent="0.25">
      <c r="A221" s="8">
        <v>43089.823321759257</v>
      </c>
      <c r="B221" s="20" t="s">
        <v>479</v>
      </c>
      <c r="C221" s="20" t="s">
        <v>867</v>
      </c>
      <c r="D221" s="137">
        <v>3320000</v>
      </c>
      <c r="E221" s="20" t="s">
        <v>362</v>
      </c>
      <c r="F221" s="20" t="s">
        <v>363</v>
      </c>
      <c r="G221" s="8" t="str">
        <f t="shared" si="6"/>
        <v>NICHOLSON WESLEY</v>
      </c>
      <c r="H221" s="20" t="str">
        <f t="shared" si="7"/>
        <v>4009</v>
      </c>
    </row>
    <row r="222" spans="1:8" x14ac:dyDescent="0.25">
      <c r="A222" s="8">
        <v>43089.831111111111</v>
      </c>
      <c r="B222" s="20" t="s">
        <v>485</v>
      </c>
      <c r="C222" s="20" t="s">
        <v>868</v>
      </c>
      <c r="D222" s="137">
        <v>890000</v>
      </c>
      <c r="E222" s="20" t="s">
        <v>343</v>
      </c>
      <c r="F222" s="20" t="s">
        <v>344</v>
      </c>
      <c r="G222" s="8" t="str">
        <f t="shared" si="6"/>
        <v>LOZA FIDEL</v>
      </c>
      <c r="H222" s="20" t="str">
        <f t="shared" si="7"/>
        <v>4044</v>
      </c>
    </row>
    <row r="223" spans="1:8" x14ac:dyDescent="0.25">
      <c r="A223" s="8">
        <v>43089.836724537039</v>
      </c>
      <c r="B223" s="20" t="s">
        <v>469</v>
      </c>
      <c r="C223" s="20" t="s">
        <v>869</v>
      </c>
      <c r="D223" s="137">
        <v>1180000</v>
      </c>
      <c r="E223" s="20" t="s">
        <v>533</v>
      </c>
      <c r="F223" s="20" t="s">
        <v>534</v>
      </c>
      <c r="G223" s="8" t="str">
        <f t="shared" si="6"/>
        <v>LEVERE CRAIG</v>
      </c>
      <c r="H223" s="20" t="str">
        <f t="shared" si="7"/>
        <v>4054</v>
      </c>
    </row>
    <row r="224" spans="1:8" x14ac:dyDescent="0.25">
      <c r="A224" s="8">
        <v>43089.84033564815</v>
      </c>
      <c r="B224" t="s">
        <v>657</v>
      </c>
      <c r="C224" t="s">
        <v>870</v>
      </c>
      <c r="D224" s="137">
        <v>2540000</v>
      </c>
      <c r="E224" t="s">
        <v>452</v>
      </c>
      <c r="F224" s="20" t="s">
        <v>453</v>
      </c>
      <c r="G224" s="8" t="str">
        <f t="shared" si="6"/>
        <v>MCREYNOLDS KYLE</v>
      </c>
      <c r="H224" s="20" t="str">
        <f t="shared" si="7"/>
        <v>4020</v>
      </c>
    </row>
    <row r="225" spans="1:8" x14ac:dyDescent="0.25">
      <c r="A225" s="8">
        <v>43089.841921296298</v>
      </c>
      <c r="B225" t="s">
        <v>384</v>
      </c>
      <c r="C225" t="s">
        <v>669</v>
      </c>
      <c r="D225" s="137">
        <v>3220000</v>
      </c>
      <c r="E225" t="s">
        <v>377</v>
      </c>
      <c r="F225" s="20" t="s">
        <v>378</v>
      </c>
      <c r="G225" s="8" t="str">
        <f t="shared" si="6"/>
        <v>RESPASS AARON</v>
      </c>
      <c r="H225" s="20" t="str">
        <f t="shared" si="7"/>
        <v>4061</v>
      </c>
    </row>
    <row r="226" spans="1:8" x14ac:dyDescent="0.25">
      <c r="A226" s="8">
        <v>43089.85255787037</v>
      </c>
      <c r="B226" t="s">
        <v>470</v>
      </c>
      <c r="C226" t="s">
        <v>871</v>
      </c>
      <c r="D226" s="137">
        <v>1180000</v>
      </c>
      <c r="E226" t="s">
        <v>533</v>
      </c>
      <c r="F226" s="20" t="s">
        <v>534</v>
      </c>
      <c r="G226" s="8" t="str">
        <f t="shared" si="6"/>
        <v>LEVERE CRAIG</v>
      </c>
      <c r="H226" s="20" t="str">
        <f t="shared" si="7"/>
        <v>4053</v>
      </c>
    </row>
    <row r="227" spans="1:8" x14ac:dyDescent="0.25">
      <c r="A227" s="8">
        <v>43089.86309027778</v>
      </c>
      <c r="B227" t="s">
        <v>441</v>
      </c>
      <c r="C227" t="s">
        <v>872</v>
      </c>
      <c r="D227" s="137">
        <v>3320000</v>
      </c>
      <c r="E227" t="s">
        <v>362</v>
      </c>
      <c r="F227" s="20" t="s">
        <v>363</v>
      </c>
      <c r="G227" s="8" t="str">
        <f t="shared" si="6"/>
        <v>NICHOLSON WESLEY</v>
      </c>
      <c r="H227" s="20" t="str">
        <f t="shared" si="7"/>
        <v>4010</v>
      </c>
    </row>
    <row r="228" spans="1:8" x14ac:dyDescent="0.25">
      <c r="A228" s="8">
        <v>43089.868206018517</v>
      </c>
      <c r="B228" t="s">
        <v>486</v>
      </c>
      <c r="C228" t="s">
        <v>873</v>
      </c>
      <c r="D228" s="137">
        <v>890000</v>
      </c>
      <c r="E228" t="s">
        <v>343</v>
      </c>
      <c r="F228" s="20" t="s">
        <v>344</v>
      </c>
      <c r="G228" s="8" t="str">
        <f t="shared" si="6"/>
        <v>LOZA FIDEL</v>
      </c>
      <c r="H228" s="20" t="str">
        <f t="shared" si="7"/>
        <v>4043</v>
      </c>
    </row>
    <row r="229" spans="1:8" x14ac:dyDescent="0.25">
      <c r="A229" s="8">
        <v>43089.879236111112</v>
      </c>
      <c r="B229" t="s">
        <v>469</v>
      </c>
      <c r="C229" t="s">
        <v>874</v>
      </c>
      <c r="D229" s="137">
        <v>2000000</v>
      </c>
      <c r="E229" t="s">
        <v>393</v>
      </c>
      <c r="F229" s="20" t="s">
        <v>394</v>
      </c>
      <c r="G229" s="8" t="str">
        <f t="shared" si="6"/>
        <v>STAMBAUGH JAMES</v>
      </c>
      <c r="H229" s="20" t="str">
        <f t="shared" si="7"/>
        <v>4054</v>
      </c>
    </row>
    <row r="230" spans="1:8" x14ac:dyDescent="0.25">
      <c r="A230" s="8">
        <v>43089.888668981483</v>
      </c>
      <c r="B230" t="s">
        <v>678</v>
      </c>
      <c r="C230" t="s">
        <v>875</v>
      </c>
      <c r="D230" s="137">
        <v>2540000</v>
      </c>
      <c r="E230" t="s">
        <v>452</v>
      </c>
      <c r="F230" s="20" t="s">
        <v>453</v>
      </c>
      <c r="G230" s="8" t="str">
        <f t="shared" si="6"/>
        <v>MCREYNOLDS KYLE</v>
      </c>
      <c r="H230" s="20" t="str">
        <f t="shared" si="7"/>
        <v>4019</v>
      </c>
    </row>
    <row r="231" spans="1:8" x14ac:dyDescent="0.25">
      <c r="A231" s="8">
        <v>43089.892708333333</v>
      </c>
      <c r="B231" t="s">
        <v>470</v>
      </c>
      <c r="C231" t="s">
        <v>876</v>
      </c>
      <c r="D231" s="137">
        <v>2000000</v>
      </c>
      <c r="E231" t="s">
        <v>393</v>
      </c>
      <c r="F231" s="20" t="s">
        <v>394</v>
      </c>
      <c r="G231" s="8" t="str">
        <f t="shared" si="6"/>
        <v>STAMBAUGH JAMES</v>
      </c>
      <c r="H231" s="20" t="str">
        <f t="shared" si="7"/>
        <v>4053</v>
      </c>
    </row>
    <row r="232" spans="1:8" x14ac:dyDescent="0.25">
      <c r="A232" s="8">
        <v>43089.893483796295</v>
      </c>
      <c r="B232" t="s">
        <v>382</v>
      </c>
      <c r="C232" t="s">
        <v>877</v>
      </c>
      <c r="D232" s="137">
        <v>3220000</v>
      </c>
      <c r="E232" t="s">
        <v>377</v>
      </c>
      <c r="F232" s="20" t="s">
        <v>378</v>
      </c>
      <c r="G232" s="8" t="str">
        <f t="shared" si="6"/>
        <v>RESPASS AARON</v>
      </c>
      <c r="H232" s="20" t="str">
        <f t="shared" si="7"/>
        <v>4062</v>
      </c>
    </row>
    <row r="233" spans="1:8" x14ac:dyDescent="0.25">
      <c r="A233" s="8">
        <v>43089.904768518521</v>
      </c>
      <c r="B233" t="s">
        <v>485</v>
      </c>
      <c r="C233" t="s">
        <v>878</v>
      </c>
      <c r="D233" s="137">
        <v>890000</v>
      </c>
      <c r="E233" t="s">
        <v>343</v>
      </c>
      <c r="F233" s="20" t="s">
        <v>344</v>
      </c>
      <c r="G233" s="8" t="str">
        <f t="shared" si="6"/>
        <v>LOZA FIDEL</v>
      </c>
      <c r="H233" s="20" t="str">
        <f t="shared" si="7"/>
        <v>4044</v>
      </c>
    </row>
    <row r="234" spans="1:8" x14ac:dyDescent="0.25">
      <c r="A234" s="8">
        <v>43089.909861111111</v>
      </c>
      <c r="B234" t="s">
        <v>479</v>
      </c>
      <c r="C234" t="s">
        <v>879</v>
      </c>
      <c r="D234" s="137">
        <v>3320000</v>
      </c>
      <c r="E234" t="s">
        <v>362</v>
      </c>
      <c r="F234" s="20" t="s">
        <v>363</v>
      </c>
      <c r="G234" s="8" t="str">
        <f t="shared" si="6"/>
        <v>NICHOLSON WESLEY</v>
      </c>
      <c r="H234" s="20" t="str">
        <f t="shared" si="7"/>
        <v>4009</v>
      </c>
    </row>
    <row r="235" spans="1:8" x14ac:dyDescent="0.25">
      <c r="A235" s="8">
        <v>43089.918877314813</v>
      </c>
      <c r="B235" t="s">
        <v>469</v>
      </c>
      <c r="C235" t="s">
        <v>880</v>
      </c>
      <c r="D235" s="137">
        <v>2000000</v>
      </c>
      <c r="E235" t="s">
        <v>393</v>
      </c>
      <c r="F235" s="20" t="s">
        <v>394</v>
      </c>
      <c r="G235" s="8" t="str">
        <f t="shared" si="6"/>
        <v>STAMBAUGH JAMES</v>
      </c>
      <c r="H235" s="20" t="str">
        <f t="shared" si="7"/>
        <v>4054</v>
      </c>
    </row>
    <row r="236" spans="1:8" x14ac:dyDescent="0.25">
      <c r="A236" s="8">
        <v>43089.931354166663</v>
      </c>
      <c r="B236" t="s">
        <v>657</v>
      </c>
      <c r="C236" t="s">
        <v>881</v>
      </c>
      <c r="D236" s="137">
        <v>2540000</v>
      </c>
      <c r="E236" t="s">
        <v>452</v>
      </c>
      <c r="F236" s="20" t="s">
        <v>453</v>
      </c>
      <c r="G236" s="8" t="str">
        <f t="shared" si="6"/>
        <v>MCREYNOLDS KYLE</v>
      </c>
      <c r="H236" s="20" t="str">
        <f t="shared" si="7"/>
        <v>4020</v>
      </c>
    </row>
    <row r="237" spans="1:8" x14ac:dyDescent="0.25">
      <c r="A237" s="8">
        <v>43089.932986111111</v>
      </c>
      <c r="B237" t="s">
        <v>384</v>
      </c>
      <c r="C237" t="s">
        <v>670</v>
      </c>
      <c r="D237" s="137">
        <v>3220000</v>
      </c>
      <c r="E237" t="s">
        <v>377</v>
      </c>
      <c r="F237" s="20" t="s">
        <v>378</v>
      </c>
      <c r="G237" s="8" t="str">
        <f t="shared" si="6"/>
        <v>RESPASS AARON</v>
      </c>
      <c r="H237" s="20" t="str">
        <f t="shared" si="7"/>
        <v>4061</v>
      </c>
    </row>
    <row r="238" spans="1:8" x14ac:dyDescent="0.25">
      <c r="A238" s="8">
        <v>43089.93377314815</v>
      </c>
      <c r="B238" t="s">
        <v>470</v>
      </c>
      <c r="C238" t="s">
        <v>882</v>
      </c>
      <c r="D238" s="137">
        <v>2000000</v>
      </c>
      <c r="E238" t="s">
        <v>393</v>
      </c>
      <c r="F238" s="20" t="s">
        <v>394</v>
      </c>
      <c r="G238" s="8" t="str">
        <f t="shared" si="6"/>
        <v>STAMBAUGH JAMES</v>
      </c>
      <c r="H238" s="20" t="str">
        <f t="shared" si="7"/>
        <v>4053</v>
      </c>
    </row>
    <row r="239" spans="1:8" x14ac:dyDescent="0.25">
      <c r="A239" s="8">
        <v>43089.952499999999</v>
      </c>
      <c r="B239" t="s">
        <v>486</v>
      </c>
      <c r="C239" t="s">
        <v>883</v>
      </c>
      <c r="D239" s="137">
        <v>890000</v>
      </c>
      <c r="E239" t="s">
        <v>343</v>
      </c>
      <c r="F239" s="20" t="s">
        <v>344</v>
      </c>
      <c r="G239" s="8" t="str">
        <f t="shared" si="6"/>
        <v>LOZA FIDEL</v>
      </c>
      <c r="H239" s="20" t="str">
        <f t="shared" si="7"/>
        <v>4043</v>
      </c>
    </row>
    <row r="240" spans="1:8" x14ac:dyDescent="0.25">
      <c r="A240" s="8">
        <v>43089.95412037037</v>
      </c>
      <c r="B240" t="s">
        <v>441</v>
      </c>
      <c r="C240" t="s">
        <v>884</v>
      </c>
      <c r="D240" s="137">
        <v>3320000</v>
      </c>
      <c r="E240" t="s">
        <v>362</v>
      </c>
      <c r="F240" s="20" t="s">
        <v>363</v>
      </c>
      <c r="G240" s="8" t="str">
        <f t="shared" si="6"/>
        <v>NICHOLSON WESLEY</v>
      </c>
      <c r="H240" s="20" t="str">
        <f t="shared" si="7"/>
        <v>4010</v>
      </c>
    </row>
    <row r="241" spans="1:8" x14ac:dyDescent="0.25">
      <c r="A241" s="8">
        <v>43089.962361111109</v>
      </c>
      <c r="B241" t="s">
        <v>469</v>
      </c>
      <c r="C241" t="s">
        <v>885</v>
      </c>
      <c r="D241" s="137">
        <v>2000000</v>
      </c>
      <c r="E241" t="s">
        <v>393</v>
      </c>
      <c r="F241" s="20" t="s">
        <v>394</v>
      </c>
      <c r="G241" s="8" t="str">
        <f t="shared" si="6"/>
        <v>STAMBAUGH JAMES</v>
      </c>
      <c r="H241" s="20" t="str">
        <f t="shared" si="7"/>
        <v>4054</v>
      </c>
    </row>
    <row r="242" spans="1:8" x14ac:dyDescent="0.25">
      <c r="A242" s="8">
        <v>43089.970289351855</v>
      </c>
      <c r="B242" t="s">
        <v>678</v>
      </c>
      <c r="C242" t="s">
        <v>886</v>
      </c>
      <c r="D242" s="137">
        <v>2540000</v>
      </c>
      <c r="E242" t="s">
        <v>452</v>
      </c>
      <c r="F242" s="20" t="s">
        <v>453</v>
      </c>
      <c r="G242" s="8" t="str">
        <f t="shared" si="6"/>
        <v>MCREYNOLDS KYLE</v>
      </c>
      <c r="H242" s="20" t="str">
        <f t="shared" si="7"/>
        <v>4019</v>
      </c>
    </row>
    <row r="243" spans="1:8" x14ac:dyDescent="0.25">
      <c r="A243" s="8">
        <v>43089.974745370368</v>
      </c>
      <c r="B243" t="s">
        <v>382</v>
      </c>
      <c r="C243" t="s">
        <v>887</v>
      </c>
      <c r="D243" s="137">
        <v>3220000</v>
      </c>
      <c r="E243" t="s">
        <v>377</v>
      </c>
      <c r="F243" s="20" t="s">
        <v>378</v>
      </c>
      <c r="G243" s="8" t="str">
        <f t="shared" si="6"/>
        <v>RESPASS AARON</v>
      </c>
      <c r="H243" s="20" t="str">
        <f t="shared" si="7"/>
        <v>4062</v>
      </c>
    </row>
    <row r="244" spans="1:8" x14ac:dyDescent="0.25">
      <c r="A244" s="8">
        <v>43089.975104166668</v>
      </c>
      <c r="B244" t="s">
        <v>470</v>
      </c>
      <c r="C244" t="s">
        <v>888</v>
      </c>
      <c r="D244" s="137">
        <v>2000000</v>
      </c>
      <c r="E244" t="s">
        <v>393</v>
      </c>
      <c r="F244" s="20" t="s">
        <v>394</v>
      </c>
      <c r="G244" s="8" t="str">
        <f t="shared" si="6"/>
        <v>STAMBAUGH JAMES</v>
      </c>
      <c r="H244" s="20" t="str">
        <f t="shared" si="7"/>
        <v>4053</v>
      </c>
    </row>
    <row r="245" spans="1:8" x14ac:dyDescent="0.25">
      <c r="A245" s="8">
        <v>43089.985462962963</v>
      </c>
      <c r="B245" t="s">
        <v>485</v>
      </c>
      <c r="C245" t="s">
        <v>889</v>
      </c>
      <c r="D245" s="137">
        <v>890000</v>
      </c>
      <c r="E245" t="s">
        <v>343</v>
      </c>
      <c r="F245" s="20" t="s">
        <v>344</v>
      </c>
      <c r="G245" s="8" t="str">
        <f t="shared" si="6"/>
        <v>LOZA FIDEL</v>
      </c>
      <c r="H245" s="20" t="str">
        <f t="shared" si="7"/>
        <v>4044</v>
      </c>
    </row>
    <row r="246" spans="1:8" x14ac:dyDescent="0.25">
      <c r="A246" s="8">
        <v>43089.996122685188</v>
      </c>
      <c r="B246" t="s">
        <v>479</v>
      </c>
      <c r="C246" t="s">
        <v>890</v>
      </c>
      <c r="D246" s="137">
        <v>3320000</v>
      </c>
      <c r="E246" t="s">
        <v>362</v>
      </c>
      <c r="F246" s="20" t="s">
        <v>363</v>
      </c>
      <c r="G246" s="8" t="str">
        <f t="shared" si="6"/>
        <v>NICHOLSON WESLEY</v>
      </c>
      <c r="H246" s="20" t="str">
        <f t="shared" si="7"/>
        <v>4009</v>
      </c>
    </row>
    <row r="247" spans="1:8" x14ac:dyDescent="0.25">
      <c r="A247" s="8">
        <v>43090.006643518522</v>
      </c>
      <c r="B247" t="s">
        <v>657</v>
      </c>
      <c r="C247" t="s">
        <v>891</v>
      </c>
      <c r="D247" s="137">
        <v>2540000</v>
      </c>
      <c r="E247" t="s">
        <v>452</v>
      </c>
      <c r="F247" s="20" t="s">
        <v>453</v>
      </c>
      <c r="G247" s="8" t="str">
        <f t="shared" si="6"/>
        <v>MCREYNOLDS KYLE</v>
      </c>
      <c r="H247" s="20" t="str">
        <f t="shared" si="7"/>
        <v>4020</v>
      </c>
    </row>
    <row r="248" spans="1:8" x14ac:dyDescent="0.25">
      <c r="A248" s="8">
        <v>43090.016736111109</v>
      </c>
      <c r="B248" t="s">
        <v>384</v>
      </c>
      <c r="C248" t="s">
        <v>892</v>
      </c>
      <c r="D248" s="137">
        <v>3220000</v>
      </c>
      <c r="E248" t="s">
        <v>377</v>
      </c>
      <c r="F248" s="20" t="s">
        <v>378</v>
      </c>
      <c r="G248" s="8" t="str">
        <f t="shared" si="6"/>
        <v>RESPASS AARON</v>
      </c>
      <c r="H248" s="20" t="str">
        <f t="shared" si="7"/>
        <v>4061</v>
      </c>
    </row>
    <row r="249" spans="1:8" x14ac:dyDescent="0.25">
      <c r="A249" s="8">
        <v>43090.03025462963</v>
      </c>
      <c r="B249" t="s">
        <v>441</v>
      </c>
      <c r="C249" t="s">
        <v>893</v>
      </c>
      <c r="D249" s="137">
        <v>3320000</v>
      </c>
      <c r="E249" t="s">
        <v>362</v>
      </c>
      <c r="F249" s="20" t="s">
        <v>363</v>
      </c>
      <c r="G249" s="8" t="str">
        <f t="shared" si="6"/>
        <v>NICHOLSON WESLEY</v>
      </c>
      <c r="H249" s="20" t="str">
        <f t="shared" si="7"/>
        <v>4010</v>
      </c>
    </row>
    <row r="250" spans="1:8" x14ac:dyDescent="0.25">
      <c r="A250" s="8">
        <v>43090.036608796298</v>
      </c>
      <c r="B250" t="s">
        <v>486</v>
      </c>
      <c r="C250" t="s">
        <v>894</v>
      </c>
      <c r="D250" s="137">
        <v>890000</v>
      </c>
      <c r="E250" t="s">
        <v>343</v>
      </c>
      <c r="F250" s="20" t="s">
        <v>344</v>
      </c>
      <c r="G250" s="8" t="str">
        <f t="shared" si="6"/>
        <v>LOZA FIDEL</v>
      </c>
      <c r="H250" s="20" t="str">
        <f t="shared" si="7"/>
        <v>4043</v>
      </c>
    </row>
    <row r="251" spans="1:8" x14ac:dyDescent="0.25">
      <c r="A251" s="8">
        <v>43090.047465277778</v>
      </c>
      <c r="B251" t="s">
        <v>382</v>
      </c>
      <c r="C251" t="s">
        <v>895</v>
      </c>
      <c r="D251" s="137">
        <v>3220000</v>
      </c>
      <c r="E251" t="s">
        <v>377</v>
      </c>
      <c r="F251" s="20" t="s">
        <v>378</v>
      </c>
      <c r="G251" s="8" t="str">
        <f t="shared" si="6"/>
        <v>RESPASS AARON</v>
      </c>
      <c r="H251" s="20" t="str">
        <f t="shared" si="7"/>
        <v>4062</v>
      </c>
    </row>
    <row r="252" spans="1:8" x14ac:dyDescent="0.25">
      <c r="A252" s="8">
        <v>43090.052488425928</v>
      </c>
      <c r="B252" t="s">
        <v>678</v>
      </c>
      <c r="C252" t="s">
        <v>896</v>
      </c>
      <c r="D252" s="137">
        <v>2540000</v>
      </c>
      <c r="E252" t="s">
        <v>452</v>
      </c>
      <c r="F252" s="20" t="s">
        <v>453</v>
      </c>
      <c r="G252" s="8" t="str">
        <f t="shared" si="6"/>
        <v>MCREYNOLDS KYLE</v>
      </c>
      <c r="H252" s="20" t="str">
        <f t="shared" si="7"/>
        <v>4019</v>
      </c>
    </row>
    <row r="253" spans="1:8" x14ac:dyDescent="0.25">
      <c r="A253" s="8">
        <v>43090.068472222221</v>
      </c>
      <c r="B253" t="s">
        <v>485</v>
      </c>
      <c r="C253" t="s">
        <v>671</v>
      </c>
      <c r="D253" s="137">
        <v>890000</v>
      </c>
      <c r="E253" t="s">
        <v>343</v>
      </c>
      <c r="F253" s="20" t="s">
        <v>344</v>
      </c>
      <c r="G253" s="8" t="str">
        <f t="shared" si="6"/>
        <v>LOZA FIDEL</v>
      </c>
      <c r="H253" s="20" t="str">
        <f t="shared" si="7"/>
        <v>4044</v>
      </c>
    </row>
    <row r="254" spans="1:8" x14ac:dyDescent="0.25">
      <c r="A254" s="8">
        <v>43090.090127314812</v>
      </c>
      <c r="B254" t="s">
        <v>657</v>
      </c>
      <c r="C254" t="s">
        <v>897</v>
      </c>
      <c r="D254" s="137">
        <v>2540000</v>
      </c>
      <c r="E254" t="s">
        <v>452</v>
      </c>
      <c r="F254" s="20" t="s">
        <v>453</v>
      </c>
      <c r="G254" s="8" t="str">
        <f t="shared" si="6"/>
        <v>MCREYNOLDS KYLE</v>
      </c>
      <c r="H254" s="20" t="str">
        <f t="shared" si="7"/>
        <v>4020</v>
      </c>
    </row>
    <row r="255" spans="1:8" x14ac:dyDescent="0.25">
      <c r="A255" s="8">
        <v>43090.112013888887</v>
      </c>
      <c r="B255" t="s">
        <v>350</v>
      </c>
      <c r="C255" t="s">
        <v>898</v>
      </c>
      <c r="D255" s="137">
        <v>1830000</v>
      </c>
      <c r="E255" t="s">
        <v>345</v>
      </c>
      <c r="F255" s="20" t="s">
        <v>346</v>
      </c>
      <c r="G255" s="8" t="str">
        <f t="shared" si="6"/>
        <v>YORK EDGAR</v>
      </c>
      <c r="H255" s="20" t="str">
        <f t="shared" si="7"/>
        <v>4055</v>
      </c>
    </row>
    <row r="256" spans="1:8" x14ac:dyDescent="0.25">
      <c r="A256" s="8">
        <v>43057.109247685185</v>
      </c>
      <c r="B256" t="s">
        <v>441</v>
      </c>
      <c r="C256" t="s">
        <v>467</v>
      </c>
      <c r="D256" s="137">
        <v>3680000</v>
      </c>
      <c r="E256" t="s">
        <v>465</v>
      </c>
      <c r="F256" s="20" t="s">
        <v>466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442</v>
      </c>
      <c r="C257" t="s">
        <v>454</v>
      </c>
      <c r="D257" s="137">
        <v>2540000</v>
      </c>
      <c r="E257" t="s">
        <v>452</v>
      </c>
      <c r="F257" s="20" t="s">
        <v>453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356</v>
      </c>
      <c r="C258" t="s">
        <v>448</v>
      </c>
      <c r="D258" s="137">
        <v>3700000</v>
      </c>
      <c r="E258" t="s">
        <v>444</v>
      </c>
      <c r="F258" s="20" t="s">
        <v>368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441</v>
      </c>
      <c r="C259" t="s">
        <v>455</v>
      </c>
      <c r="D259" s="137">
        <v>3320000</v>
      </c>
      <c r="E259" t="s">
        <v>362</v>
      </c>
      <c r="F259" s="20" t="s">
        <v>363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449</v>
      </c>
      <c r="C260" t="s">
        <v>456</v>
      </c>
      <c r="D260" s="137">
        <v>890000</v>
      </c>
      <c r="E260" t="s">
        <v>343</v>
      </c>
      <c r="F260" s="20" t="s">
        <v>344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443</v>
      </c>
      <c r="C261" t="s">
        <v>457</v>
      </c>
      <c r="D261" s="137">
        <v>2440000</v>
      </c>
      <c r="E261" t="s">
        <v>450</v>
      </c>
      <c r="F261" s="20" t="s">
        <v>451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389</v>
      </c>
      <c r="C262" t="s">
        <v>458</v>
      </c>
      <c r="D262" s="137">
        <v>3700000</v>
      </c>
      <c r="E262" t="s">
        <v>444</v>
      </c>
      <c r="F262" s="20" t="s">
        <v>368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447</v>
      </c>
      <c r="C263" t="s">
        <v>459</v>
      </c>
      <c r="D263" s="137">
        <v>890000</v>
      </c>
      <c r="E263" t="s">
        <v>343</v>
      </c>
      <c r="F263" s="20" t="s">
        <v>344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356</v>
      </c>
      <c r="C264" t="s">
        <v>460</v>
      </c>
      <c r="D264" s="137">
        <v>3700000</v>
      </c>
      <c r="E264" t="s">
        <v>444</v>
      </c>
      <c r="F264" s="20" t="s">
        <v>368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385</v>
      </c>
      <c r="C265" t="s">
        <v>397</v>
      </c>
      <c r="D265" s="137">
        <v>3670000</v>
      </c>
      <c r="E265" t="s">
        <v>381</v>
      </c>
      <c r="F265" s="20" t="s">
        <v>367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359</v>
      </c>
      <c r="C266" t="s">
        <v>398</v>
      </c>
      <c r="D266" s="137">
        <v>2000000</v>
      </c>
      <c r="E266" t="s">
        <v>393</v>
      </c>
      <c r="F266" s="20" t="s">
        <v>394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383</v>
      </c>
      <c r="C267" t="s">
        <v>399</v>
      </c>
      <c r="D267" s="137">
        <v>1300000</v>
      </c>
      <c r="E267" t="s">
        <v>357</v>
      </c>
      <c r="F267" s="20" t="s">
        <v>358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389</v>
      </c>
      <c r="C268" t="s">
        <v>400</v>
      </c>
      <c r="D268" s="137">
        <v>2230000</v>
      </c>
      <c r="E268" t="s">
        <v>392</v>
      </c>
      <c r="F268" s="20" t="s">
        <v>351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361</v>
      </c>
      <c r="C269" t="s">
        <v>401</v>
      </c>
      <c r="D269" s="137">
        <v>2000000</v>
      </c>
      <c r="E269" t="s">
        <v>393</v>
      </c>
      <c r="F269" s="20" t="s">
        <v>394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355</v>
      </c>
      <c r="C270" t="s">
        <v>402</v>
      </c>
      <c r="D270" s="137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370</v>
      </c>
      <c r="C271" t="s">
        <v>403</v>
      </c>
      <c r="D271" s="137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382</v>
      </c>
      <c r="C272" t="s">
        <v>404</v>
      </c>
      <c r="D272" s="137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390</v>
      </c>
      <c r="C273" t="s">
        <v>405</v>
      </c>
      <c r="D273" s="137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391</v>
      </c>
      <c r="C274" t="s">
        <v>406</v>
      </c>
      <c r="D274" s="137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366</v>
      </c>
      <c r="C275" t="s">
        <v>407</v>
      </c>
      <c r="D275" s="137">
        <v>2040000</v>
      </c>
      <c r="E275" t="s">
        <v>395</v>
      </c>
      <c r="F275" s="20" t="s">
        <v>396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384</v>
      </c>
      <c r="C276" t="s">
        <v>408</v>
      </c>
      <c r="D276" s="137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356</v>
      </c>
      <c r="C277" t="s">
        <v>409</v>
      </c>
      <c r="D277" s="137">
        <v>2230000</v>
      </c>
      <c r="E277" t="s">
        <v>392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360</v>
      </c>
      <c r="C278" t="s">
        <v>410</v>
      </c>
      <c r="D278" s="137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382</v>
      </c>
      <c r="C279" t="s">
        <v>411</v>
      </c>
      <c r="D279" s="137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369</v>
      </c>
      <c r="C280" t="s">
        <v>412</v>
      </c>
      <c r="D280" s="137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385</v>
      </c>
      <c r="C281" t="s">
        <v>386</v>
      </c>
      <c r="D281" s="137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384</v>
      </c>
      <c r="C282" t="s">
        <v>413</v>
      </c>
      <c r="D282" s="137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365</v>
      </c>
      <c r="C283" t="s">
        <v>414</v>
      </c>
      <c r="D283" s="137">
        <v>2040000</v>
      </c>
      <c r="E283" t="s">
        <v>395</v>
      </c>
      <c r="F283" s="20" t="s">
        <v>396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355</v>
      </c>
      <c r="C284" t="s">
        <v>415</v>
      </c>
      <c r="D284" s="137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370</v>
      </c>
      <c r="C285" t="s">
        <v>416</v>
      </c>
      <c r="D285" s="137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382</v>
      </c>
      <c r="C286" t="s">
        <v>417</v>
      </c>
      <c r="D286" s="137">
        <v>2000000</v>
      </c>
      <c r="E286" t="s">
        <v>393</v>
      </c>
      <c r="F286" s="20" t="s">
        <v>394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382</v>
      </c>
      <c r="C287" t="s">
        <v>417</v>
      </c>
      <c r="D287" s="137">
        <v>2000000</v>
      </c>
      <c r="E287" t="s">
        <v>393</v>
      </c>
      <c r="F287" s="20" t="s">
        <v>394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391</v>
      </c>
      <c r="C288" t="s">
        <v>418</v>
      </c>
      <c r="D288" s="137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366</v>
      </c>
      <c r="C289" t="s">
        <v>419</v>
      </c>
      <c r="D289" s="137">
        <v>2040000</v>
      </c>
      <c r="E289" t="s">
        <v>395</v>
      </c>
      <c r="F289" s="20" t="s">
        <v>396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384</v>
      </c>
      <c r="C290" t="s">
        <v>420</v>
      </c>
      <c r="D290" s="137">
        <v>2000000</v>
      </c>
      <c r="E290" t="s">
        <v>393</v>
      </c>
      <c r="F290" s="20" t="s">
        <v>394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369</v>
      </c>
      <c r="C291" t="s">
        <v>421</v>
      </c>
      <c r="D291" s="137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360</v>
      </c>
      <c r="C292" t="s">
        <v>422</v>
      </c>
      <c r="D292" s="137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382</v>
      </c>
      <c r="C293" t="s">
        <v>423</v>
      </c>
      <c r="D293" s="137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385</v>
      </c>
      <c r="C294" t="s">
        <v>387</v>
      </c>
      <c r="D294" s="137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365</v>
      </c>
      <c r="C295" t="s">
        <v>424</v>
      </c>
      <c r="D295" s="137">
        <v>2040000</v>
      </c>
      <c r="E295" t="s">
        <v>395</v>
      </c>
      <c r="F295" s="20" t="s">
        <v>396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384</v>
      </c>
      <c r="C296" t="s">
        <v>425</v>
      </c>
      <c r="D296" s="137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355</v>
      </c>
      <c r="C297" t="s">
        <v>426</v>
      </c>
      <c r="D297" s="137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370</v>
      </c>
      <c r="C298" t="s">
        <v>427</v>
      </c>
      <c r="D298" s="137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382</v>
      </c>
      <c r="C299" t="s">
        <v>428</v>
      </c>
      <c r="D299" s="137">
        <v>2000000</v>
      </c>
      <c r="E299" t="s">
        <v>393</v>
      </c>
      <c r="F299" s="20" t="s">
        <v>394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391</v>
      </c>
      <c r="C300" t="s">
        <v>429</v>
      </c>
      <c r="D300" s="137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366</v>
      </c>
      <c r="C301" t="s">
        <v>430</v>
      </c>
      <c r="D301" s="137">
        <v>2040000</v>
      </c>
      <c r="E301" t="s">
        <v>395</v>
      </c>
      <c r="F301" s="20" t="s">
        <v>396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384</v>
      </c>
      <c r="C302" t="s">
        <v>431</v>
      </c>
      <c r="D302" s="137">
        <v>2000000</v>
      </c>
      <c r="E302" t="s">
        <v>393</v>
      </c>
      <c r="F302" s="20" t="s">
        <v>394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360</v>
      </c>
      <c r="C303" t="s">
        <v>388</v>
      </c>
      <c r="D303" s="137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369</v>
      </c>
      <c r="C304" t="s">
        <v>432</v>
      </c>
      <c r="D304" s="137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385</v>
      </c>
      <c r="C305" t="s">
        <v>433</v>
      </c>
      <c r="D305" s="137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365</v>
      </c>
      <c r="C306" t="s">
        <v>434</v>
      </c>
      <c r="D306" s="137">
        <v>2040000</v>
      </c>
      <c r="E306" t="s">
        <v>395</v>
      </c>
      <c r="F306" s="20" t="s">
        <v>396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355</v>
      </c>
      <c r="C307" t="s">
        <v>435</v>
      </c>
      <c r="D307" s="137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370</v>
      </c>
      <c r="C308" t="s">
        <v>436</v>
      </c>
      <c r="D308" s="137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391</v>
      </c>
      <c r="C309" t="s">
        <v>437</v>
      </c>
      <c r="D309" s="137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366</v>
      </c>
      <c r="C310" t="s">
        <v>438</v>
      </c>
      <c r="D310" s="137">
        <v>2040000</v>
      </c>
      <c r="E310" t="s">
        <v>395</v>
      </c>
      <c r="F310" s="20" t="s">
        <v>396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369</v>
      </c>
      <c r="C311" t="s">
        <v>439</v>
      </c>
      <c r="D311" s="137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365</v>
      </c>
      <c r="C312" t="s">
        <v>440</v>
      </c>
      <c r="D312" s="137">
        <v>2040000</v>
      </c>
      <c r="E312" t="s">
        <v>395</v>
      </c>
      <c r="F312" s="20" t="s">
        <v>396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350</v>
      </c>
      <c r="C313" t="s">
        <v>364</v>
      </c>
      <c r="D313" s="137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T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899</v>
      </c>
      <c r="I1" s="217" t="s">
        <v>162</v>
      </c>
      <c r="J1" s="217" t="s">
        <v>163</v>
      </c>
      <c r="K1" s="217" t="s">
        <v>900</v>
      </c>
      <c r="L1" s="217" t="s">
        <v>157</v>
      </c>
      <c r="M1" s="217" t="s">
        <v>155</v>
      </c>
      <c r="N1" s="217" t="s">
        <v>150</v>
      </c>
      <c r="O1" s="217" t="s">
        <v>160</v>
      </c>
      <c r="P1" s="217" t="s">
        <v>333</v>
      </c>
      <c r="Q1" s="217" t="s">
        <v>154</v>
      </c>
      <c r="R1" s="217" t="s">
        <v>161</v>
      </c>
      <c r="S1" s="217" t="s">
        <v>334</v>
      </c>
      <c r="T1" s="217" t="s">
        <v>158</v>
      </c>
    </row>
    <row r="2" spans="1:20" x14ac:dyDescent="0.25">
      <c r="A2" s="195">
        <v>34.020000000000003</v>
      </c>
      <c r="B2" s="195">
        <v>0.06</v>
      </c>
      <c r="C2" s="195">
        <v>20.88</v>
      </c>
      <c r="D2" s="8">
        <v>43089</v>
      </c>
      <c r="E2" s="195">
        <v>0.57999999999999996</v>
      </c>
      <c r="F2" s="195" t="s">
        <v>462</v>
      </c>
      <c r="G2" s="195">
        <v>288.37</v>
      </c>
      <c r="H2" s="195"/>
      <c r="I2" s="195">
        <v>0</v>
      </c>
      <c r="J2" s="195">
        <v>0</v>
      </c>
      <c r="K2" s="195"/>
      <c r="L2" s="195">
        <v>1012.53</v>
      </c>
      <c r="M2" s="195" t="s">
        <v>461</v>
      </c>
      <c r="N2" s="195">
        <v>34.020000000000003</v>
      </c>
      <c r="O2" s="195">
        <v>1513753200</v>
      </c>
      <c r="P2" s="195">
        <v>0</v>
      </c>
      <c r="Q2" s="195">
        <v>4.04</v>
      </c>
      <c r="R2" s="195">
        <v>188</v>
      </c>
      <c r="S2" s="195">
        <v>3.09</v>
      </c>
      <c r="T2" s="195">
        <v>0.97</v>
      </c>
    </row>
    <row r="3" spans="1:20" x14ac:dyDescent="0.25">
      <c r="A3" s="195">
        <v>34.53</v>
      </c>
      <c r="B3" s="195">
        <v>0.04</v>
      </c>
      <c r="C3" s="195">
        <v>20.48</v>
      </c>
      <c r="D3" s="8">
        <v>43089.041666666664</v>
      </c>
      <c r="E3" s="195">
        <v>0.56000000000000005</v>
      </c>
      <c r="F3" s="195" t="s">
        <v>462</v>
      </c>
      <c r="G3" s="195">
        <v>289.63</v>
      </c>
      <c r="H3" s="195"/>
      <c r="I3" s="195">
        <v>0</v>
      </c>
      <c r="J3" s="195">
        <v>0</v>
      </c>
      <c r="K3" s="195"/>
      <c r="L3" s="195">
        <v>1011.54</v>
      </c>
      <c r="M3" s="195" t="s">
        <v>461</v>
      </c>
      <c r="N3" s="195">
        <v>34.53</v>
      </c>
      <c r="O3" s="195">
        <v>1513756800</v>
      </c>
      <c r="P3" s="195">
        <v>0</v>
      </c>
      <c r="Q3" s="195">
        <v>4.04</v>
      </c>
      <c r="R3" s="195">
        <v>184</v>
      </c>
      <c r="S3" s="195">
        <v>4.53</v>
      </c>
      <c r="T3" s="195">
        <v>1.23</v>
      </c>
    </row>
    <row r="4" spans="1:20" x14ac:dyDescent="0.25">
      <c r="A4" s="195">
        <v>36.64</v>
      </c>
      <c r="B4" s="195">
        <v>7.0000000000000007E-2</v>
      </c>
      <c r="C4" s="195">
        <v>18.739999999999998</v>
      </c>
      <c r="D4" s="8">
        <v>43089.083333333336</v>
      </c>
      <c r="E4" s="195">
        <v>0.48</v>
      </c>
      <c r="F4" s="195" t="s">
        <v>462</v>
      </c>
      <c r="G4" s="195">
        <v>290.88</v>
      </c>
      <c r="H4" s="195"/>
      <c r="I4" s="195">
        <v>0</v>
      </c>
      <c r="J4" s="195">
        <v>0</v>
      </c>
      <c r="K4" s="195"/>
      <c r="L4" s="195">
        <v>1010.51</v>
      </c>
      <c r="M4" s="195" t="s">
        <v>461</v>
      </c>
      <c r="N4" s="195">
        <v>36.64</v>
      </c>
      <c r="O4" s="195">
        <v>1513760400</v>
      </c>
      <c r="P4" s="195">
        <v>0</v>
      </c>
      <c r="Q4" s="195">
        <v>3.44</v>
      </c>
      <c r="R4" s="195">
        <v>189</v>
      </c>
      <c r="S4" s="195">
        <v>6.12</v>
      </c>
      <c r="T4" s="195">
        <v>1.87</v>
      </c>
    </row>
    <row r="5" spans="1:20" x14ac:dyDescent="0.25">
      <c r="A5" s="195">
        <v>39.369999999999997</v>
      </c>
      <c r="B5" s="195">
        <v>0.09</v>
      </c>
      <c r="C5" s="195">
        <v>16.55</v>
      </c>
      <c r="D5" s="8">
        <v>43089.125</v>
      </c>
      <c r="E5" s="195">
        <v>0.39</v>
      </c>
      <c r="F5" s="195" t="s">
        <v>462</v>
      </c>
      <c r="G5" s="195">
        <v>291.68</v>
      </c>
      <c r="H5" s="195"/>
      <c r="I5" s="195">
        <v>0</v>
      </c>
      <c r="J5" s="195">
        <v>0</v>
      </c>
      <c r="K5" s="195"/>
      <c r="L5" s="195">
        <v>1011.05</v>
      </c>
      <c r="M5" s="195" t="s">
        <v>461</v>
      </c>
      <c r="N5" s="195">
        <v>39.369999999999997</v>
      </c>
      <c r="O5" s="195">
        <v>1513764000</v>
      </c>
      <c r="P5" s="195">
        <v>0</v>
      </c>
      <c r="Q5" s="195">
        <v>3.34</v>
      </c>
      <c r="R5" s="195">
        <v>192</v>
      </c>
      <c r="S5" s="195">
        <v>6.66</v>
      </c>
      <c r="T5" s="195">
        <v>1.81</v>
      </c>
    </row>
    <row r="6" spans="1:20" x14ac:dyDescent="0.25">
      <c r="A6" s="195">
        <v>40.119999999999997</v>
      </c>
      <c r="B6" s="195">
        <v>0.04</v>
      </c>
      <c r="C6" s="195">
        <v>13.95</v>
      </c>
      <c r="D6" s="8">
        <v>43089.166666666664</v>
      </c>
      <c r="E6" s="195">
        <v>0.34</v>
      </c>
      <c r="F6" s="195" t="s">
        <v>462</v>
      </c>
      <c r="G6" s="195">
        <v>292.36</v>
      </c>
      <c r="H6" s="195"/>
      <c r="I6" s="195">
        <v>0</v>
      </c>
      <c r="J6" s="195">
        <v>0</v>
      </c>
      <c r="K6" s="195"/>
      <c r="L6" s="195">
        <v>1010.43</v>
      </c>
      <c r="M6" s="195" t="s">
        <v>461</v>
      </c>
      <c r="N6" s="195">
        <v>40.119999999999997</v>
      </c>
      <c r="O6" s="195">
        <v>1513767600</v>
      </c>
      <c r="P6" s="195">
        <v>0</v>
      </c>
      <c r="Q6" s="195">
        <v>3.88</v>
      </c>
      <c r="R6" s="195">
        <v>210</v>
      </c>
      <c r="S6" s="195">
        <v>7.39</v>
      </c>
      <c r="T6" s="195">
        <v>2.2599999999999998</v>
      </c>
    </row>
    <row r="7" spans="1:20" x14ac:dyDescent="0.25">
      <c r="A7" s="195">
        <v>41.01</v>
      </c>
      <c r="B7" s="195">
        <v>7.0000000000000007E-2</v>
      </c>
      <c r="C7" s="195">
        <v>12.58</v>
      </c>
      <c r="D7" s="8">
        <v>43089.208333333336</v>
      </c>
      <c r="E7" s="195">
        <v>0.31</v>
      </c>
      <c r="F7" s="195" t="s">
        <v>462</v>
      </c>
      <c r="G7" s="195">
        <v>295.06</v>
      </c>
      <c r="H7" s="195"/>
      <c r="I7" s="195">
        <v>0</v>
      </c>
      <c r="J7" s="195">
        <v>0</v>
      </c>
      <c r="K7" s="195"/>
      <c r="L7" s="195">
        <v>1009.64</v>
      </c>
      <c r="M7" s="195" t="s">
        <v>461</v>
      </c>
      <c r="N7" s="195">
        <v>41.01</v>
      </c>
      <c r="O7" s="195">
        <v>1513771200</v>
      </c>
      <c r="P7" s="195">
        <v>0</v>
      </c>
      <c r="Q7" s="195">
        <v>5.56</v>
      </c>
      <c r="R7" s="195">
        <v>211</v>
      </c>
      <c r="S7" s="195">
        <v>7.59</v>
      </c>
      <c r="T7" s="195">
        <v>2.46</v>
      </c>
    </row>
    <row r="8" spans="1:20" x14ac:dyDescent="0.25">
      <c r="A8" s="195">
        <v>40.24</v>
      </c>
      <c r="B8" s="195">
        <v>0.05</v>
      </c>
      <c r="C8" s="195">
        <v>12.61</v>
      </c>
      <c r="D8" s="8">
        <v>43089.25</v>
      </c>
      <c r="E8" s="195">
        <v>0.32</v>
      </c>
      <c r="F8" s="195" t="s">
        <v>462</v>
      </c>
      <c r="G8" s="195">
        <v>295.5</v>
      </c>
      <c r="H8" s="195"/>
      <c r="I8" s="195">
        <v>0</v>
      </c>
      <c r="J8" s="195">
        <v>0</v>
      </c>
      <c r="K8" s="195"/>
      <c r="L8" s="195">
        <v>1009.76</v>
      </c>
      <c r="M8" s="195" t="s">
        <v>461</v>
      </c>
      <c r="N8" s="195">
        <v>40.24</v>
      </c>
      <c r="O8" s="195">
        <v>1513774800</v>
      </c>
      <c r="P8" s="195">
        <v>0</v>
      </c>
      <c r="Q8" s="195">
        <v>4.76</v>
      </c>
      <c r="R8" s="195">
        <v>210</v>
      </c>
      <c r="S8" s="195">
        <v>6.75</v>
      </c>
      <c r="T8" s="195">
        <v>1.44</v>
      </c>
    </row>
    <row r="9" spans="1:20" x14ac:dyDescent="0.25">
      <c r="A9" s="195">
        <v>37.909999999999997</v>
      </c>
      <c r="B9" s="195">
        <v>0.05</v>
      </c>
      <c r="C9" s="195">
        <v>13.07</v>
      </c>
      <c r="D9" s="8">
        <v>43089.291666666664</v>
      </c>
      <c r="E9" s="195">
        <v>0.36</v>
      </c>
      <c r="F9" s="195" t="s">
        <v>462</v>
      </c>
      <c r="G9" s="195">
        <v>295.61</v>
      </c>
      <c r="H9" s="195"/>
      <c r="I9" s="195">
        <v>0</v>
      </c>
      <c r="J9" s="195">
        <v>0</v>
      </c>
      <c r="K9" s="195"/>
      <c r="L9" s="195">
        <v>1010.64</v>
      </c>
      <c r="M9" s="195" t="s">
        <v>461</v>
      </c>
      <c r="N9" s="195">
        <v>37.909999999999997</v>
      </c>
      <c r="O9" s="195">
        <v>1513778400</v>
      </c>
      <c r="P9" s="195">
        <v>0</v>
      </c>
      <c r="Q9" s="195">
        <v>4.82</v>
      </c>
      <c r="R9" s="195">
        <v>194</v>
      </c>
      <c r="S9" s="195">
        <v>5.66</v>
      </c>
      <c r="T9" s="195">
        <v>1.56</v>
      </c>
    </row>
    <row r="10" spans="1:20" x14ac:dyDescent="0.25">
      <c r="A10" s="195">
        <v>36.82</v>
      </c>
      <c r="B10" s="195">
        <v>0.09</v>
      </c>
      <c r="C10" s="195">
        <v>13.74</v>
      </c>
      <c r="D10" s="8">
        <v>43089.333333333336</v>
      </c>
      <c r="E10" s="195">
        <v>0.38</v>
      </c>
      <c r="F10" s="195" t="s">
        <v>473</v>
      </c>
      <c r="G10" s="195">
        <v>295.72000000000003</v>
      </c>
      <c r="H10" s="195"/>
      <c r="I10" s="195">
        <v>0</v>
      </c>
      <c r="J10" s="195">
        <v>0</v>
      </c>
      <c r="K10" s="195"/>
      <c r="L10" s="195">
        <v>1009.55</v>
      </c>
      <c r="M10" s="195" t="s">
        <v>461</v>
      </c>
      <c r="N10" s="195">
        <v>36.82</v>
      </c>
      <c r="O10" s="195">
        <v>1513782000</v>
      </c>
      <c r="P10" s="195">
        <v>0</v>
      </c>
      <c r="Q10" s="195">
        <v>4.45</v>
      </c>
      <c r="R10" s="195">
        <v>205</v>
      </c>
      <c r="S10" s="195">
        <v>5.4</v>
      </c>
      <c r="T10" s="195">
        <v>1.74</v>
      </c>
    </row>
    <row r="11" spans="1:20" x14ac:dyDescent="0.25">
      <c r="A11" s="195">
        <v>44.31</v>
      </c>
      <c r="B11" s="195">
        <v>0.06</v>
      </c>
      <c r="C11" s="195">
        <v>15.28</v>
      </c>
      <c r="D11" s="8">
        <v>43089.375</v>
      </c>
      <c r="E11" s="195">
        <v>0.31</v>
      </c>
      <c r="F11" s="195" t="s">
        <v>473</v>
      </c>
      <c r="G11" s="195">
        <v>295.83</v>
      </c>
      <c r="H11" s="195"/>
      <c r="I11" s="195">
        <v>0</v>
      </c>
      <c r="J11" s="195">
        <v>0</v>
      </c>
      <c r="K11" s="195"/>
      <c r="L11" s="195">
        <v>1008.38</v>
      </c>
      <c r="M11" s="195" t="s">
        <v>461</v>
      </c>
      <c r="N11" s="195">
        <v>44.31</v>
      </c>
      <c r="O11" s="195">
        <v>1513785600</v>
      </c>
      <c r="P11" s="195">
        <v>1</v>
      </c>
      <c r="Q11" s="195">
        <v>3.51</v>
      </c>
      <c r="R11" s="195">
        <v>189</v>
      </c>
      <c r="S11" s="195">
        <v>5.7</v>
      </c>
      <c r="T11" s="195">
        <v>2.17</v>
      </c>
    </row>
    <row r="12" spans="1:20" x14ac:dyDescent="0.25">
      <c r="A12" s="195">
        <v>51.46</v>
      </c>
      <c r="B12" s="195">
        <v>0.08</v>
      </c>
      <c r="C12" s="195">
        <v>15.18</v>
      </c>
      <c r="D12" s="8">
        <v>43089.416666666664</v>
      </c>
      <c r="E12" s="195">
        <v>0.23</v>
      </c>
      <c r="F12" s="195" t="s">
        <v>473</v>
      </c>
      <c r="G12" s="195">
        <v>295.94</v>
      </c>
      <c r="H12" s="195"/>
      <c r="I12" s="195">
        <v>0</v>
      </c>
      <c r="J12" s="195">
        <v>0</v>
      </c>
      <c r="K12" s="195"/>
      <c r="L12" s="195">
        <v>1006.7</v>
      </c>
      <c r="M12" s="195" t="s">
        <v>461</v>
      </c>
      <c r="N12" s="195">
        <v>51.46</v>
      </c>
      <c r="O12" s="195">
        <v>1513789200</v>
      </c>
      <c r="P12" s="195">
        <v>1</v>
      </c>
      <c r="Q12" s="195">
        <v>4.6900000000000004</v>
      </c>
      <c r="R12" s="195">
        <v>188</v>
      </c>
      <c r="S12" s="195">
        <v>7.09</v>
      </c>
      <c r="T12" s="195">
        <v>2.68</v>
      </c>
    </row>
    <row r="13" spans="1:20" x14ac:dyDescent="0.25">
      <c r="A13" s="195">
        <v>57.17</v>
      </c>
      <c r="B13" s="195">
        <v>7.0000000000000007E-2</v>
      </c>
      <c r="C13" s="195">
        <v>14.68</v>
      </c>
      <c r="D13" s="8">
        <v>43089.458333333336</v>
      </c>
      <c r="E13" s="195">
        <v>0.18</v>
      </c>
      <c r="F13" s="195" t="s">
        <v>473</v>
      </c>
      <c r="G13" s="195">
        <v>287.44</v>
      </c>
      <c r="H13" s="195"/>
      <c r="I13" s="195">
        <v>0</v>
      </c>
      <c r="J13" s="195">
        <v>0</v>
      </c>
      <c r="K13" s="195"/>
      <c r="L13" s="195">
        <v>1004.4</v>
      </c>
      <c r="M13" s="195" t="s">
        <v>461</v>
      </c>
      <c r="N13" s="195">
        <v>57.17</v>
      </c>
      <c r="O13" s="195">
        <v>1513792800</v>
      </c>
      <c r="P13" s="195">
        <v>2</v>
      </c>
      <c r="Q13" s="195">
        <v>4.6900000000000004</v>
      </c>
      <c r="R13" s="195">
        <v>168</v>
      </c>
      <c r="S13" s="195">
        <v>8.3000000000000007</v>
      </c>
      <c r="T13" s="195">
        <v>3.42</v>
      </c>
    </row>
    <row r="14" spans="1:20" x14ac:dyDescent="0.25">
      <c r="A14" s="195">
        <v>61.45</v>
      </c>
      <c r="B14" s="195">
        <v>0.08</v>
      </c>
      <c r="C14" s="195">
        <v>14.05</v>
      </c>
      <c r="D14" s="8">
        <v>43089.5</v>
      </c>
      <c r="E14" s="195">
        <v>0.15</v>
      </c>
      <c r="F14" s="195" t="s">
        <v>473</v>
      </c>
      <c r="G14" s="195">
        <v>286.86</v>
      </c>
      <c r="H14" s="195"/>
      <c r="I14" s="195">
        <v>0</v>
      </c>
      <c r="J14" s="195">
        <v>0</v>
      </c>
      <c r="K14" s="195"/>
      <c r="L14" s="195">
        <v>1002.41</v>
      </c>
      <c r="M14" s="195" t="s">
        <v>461</v>
      </c>
      <c r="N14" s="195">
        <v>61.45</v>
      </c>
      <c r="O14" s="195">
        <v>1513796400</v>
      </c>
      <c r="P14" s="195">
        <v>2</v>
      </c>
      <c r="Q14" s="195">
        <v>4.6900000000000004</v>
      </c>
      <c r="R14" s="195">
        <v>160</v>
      </c>
      <c r="S14" s="195">
        <v>10.8</v>
      </c>
      <c r="T14" s="195">
        <v>3.87</v>
      </c>
    </row>
    <row r="15" spans="1:20" x14ac:dyDescent="0.25">
      <c r="A15" s="195">
        <v>64.11</v>
      </c>
      <c r="B15" s="195">
        <v>7.0000000000000007E-2</v>
      </c>
      <c r="C15" s="195">
        <v>12.67</v>
      </c>
      <c r="D15" s="8">
        <v>43089.541666666664</v>
      </c>
      <c r="E15" s="195">
        <v>0.13</v>
      </c>
      <c r="F15" s="195" t="s">
        <v>473</v>
      </c>
      <c r="G15" s="195">
        <v>287.43</v>
      </c>
      <c r="H15" s="195"/>
      <c r="I15" s="195">
        <v>0</v>
      </c>
      <c r="J15" s="195">
        <v>0</v>
      </c>
      <c r="K15" s="195"/>
      <c r="L15" s="195">
        <v>1000.98</v>
      </c>
      <c r="M15" s="195" t="s">
        <v>461</v>
      </c>
      <c r="N15" s="195">
        <v>64.11</v>
      </c>
      <c r="O15" s="195">
        <v>1513800000</v>
      </c>
      <c r="P15" s="195">
        <v>2</v>
      </c>
      <c r="Q15" s="195">
        <v>4.82</v>
      </c>
      <c r="R15" s="195">
        <v>175</v>
      </c>
      <c r="S15" s="195">
        <v>8.66</v>
      </c>
      <c r="T15" s="195">
        <v>2.52</v>
      </c>
    </row>
    <row r="16" spans="1:20" x14ac:dyDescent="0.25">
      <c r="A16" s="195">
        <v>65</v>
      </c>
      <c r="B16" s="195">
        <v>7.0000000000000007E-2</v>
      </c>
      <c r="C16" s="195">
        <v>12.1</v>
      </c>
      <c r="D16" s="8">
        <v>43089.583333333336</v>
      </c>
      <c r="E16" s="195">
        <v>0.13</v>
      </c>
      <c r="F16" s="195" t="s">
        <v>473</v>
      </c>
      <c r="G16" s="195">
        <v>287.66000000000003</v>
      </c>
      <c r="H16" s="195"/>
      <c r="I16" s="195">
        <v>0</v>
      </c>
      <c r="J16" s="195">
        <v>0</v>
      </c>
      <c r="K16" s="195"/>
      <c r="L16" s="195">
        <v>999.8</v>
      </c>
      <c r="M16" s="195" t="s">
        <v>461</v>
      </c>
      <c r="N16" s="195">
        <v>65</v>
      </c>
      <c r="O16" s="195">
        <v>1513803600</v>
      </c>
      <c r="P16" s="195">
        <v>1</v>
      </c>
      <c r="Q16" s="195">
        <v>4.6900000000000004</v>
      </c>
      <c r="R16" s="195">
        <v>0</v>
      </c>
      <c r="S16" s="195">
        <v>8.6300000000000008</v>
      </c>
      <c r="T16" s="195">
        <v>0.14000000000000001</v>
      </c>
    </row>
    <row r="17" spans="1:20" x14ac:dyDescent="0.25">
      <c r="A17" s="195">
        <v>64.02</v>
      </c>
      <c r="B17" s="195">
        <v>0.06</v>
      </c>
      <c r="C17" s="195">
        <v>12.17</v>
      </c>
      <c r="D17" s="8">
        <v>43089.625</v>
      </c>
      <c r="E17" s="195">
        <v>0.13</v>
      </c>
      <c r="F17" s="195" t="s">
        <v>473</v>
      </c>
      <c r="G17" s="195">
        <v>287.43</v>
      </c>
      <c r="H17" s="195"/>
      <c r="I17" s="195">
        <v>0</v>
      </c>
      <c r="J17" s="195">
        <v>0</v>
      </c>
      <c r="K17" s="195"/>
      <c r="L17" s="195">
        <v>998.92</v>
      </c>
      <c r="M17" s="195" t="s">
        <v>461</v>
      </c>
      <c r="N17" s="195">
        <v>64.02</v>
      </c>
      <c r="O17" s="195">
        <v>1513807200</v>
      </c>
      <c r="P17" s="195">
        <v>1</v>
      </c>
      <c r="Q17" s="195">
        <v>3.87</v>
      </c>
      <c r="R17" s="195">
        <v>30</v>
      </c>
      <c r="S17" s="195">
        <v>7.74</v>
      </c>
      <c r="T17" s="195">
        <v>1.55</v>
      </c>
    </row>
    <row r="18" spans="1:20" x14ac:dyDescent="0.25">
      <c r="A18" s="195">
        <v>61.76</v>
      </c>
      <c r="B18" s="195">
        <v>7.0000000000000007E-2</v>
      </c>
      <c r="C18" s="195">
        <v>12.51</v>
      </c>
      <c r="D18" s="8">
        <v>43089.666666666664</v>
      </c>
      <c r="E18" s="195">
        <v>0.14000000000000001</v>
      </c>
      <c r="F18" s="195" t="s">
        <v>473</v>
      </c>
      <c r="G18" s="195">
        <v>286.98</v>
      </c>
      <c r="H18" s="195"/>
      <c r="I18" s="195">
        <v>0</v>
      </c>
      <c r="J18" s="195">
        <v>0</v>
      </c>
      <c r="K18" s="195"/>
      <c r="L18" s="195">
        <v>999.09</v>
      </c>
      <c r="M18" s="195" t="s">
        <v>461</v>
      </c>
      <c r="N18" s="195">
        <v>61.76</v>
      </c>
      <c r="O18" s="195">
        <v>1513810800</v>
      </c>
      <c r="P18" s="195">
        <v>0</v>
      </c>
      <c r="Q18" s="195">
        <v>4.82</v>
      </c>
      <c r="R18" s="195">
        <v>34</v>
      </c>
      <c r="S18" s="195">
        <v>7.02</v>
      </c>
      <c r="T18" s="195">
        <v>2.04</v>
      </c>
    </row>
    <row r="19" spans="1:20" x14ac:dyDescent="0.25">
      <c r="A19" s="195">
        <v>55.63</v>
      </c>
      <c r="B19" s="195">
        <v>0.04</v>
      </c>
      <c r="C19" s="195">
        <v>13.6</v>
      </c>
      <c r="D19" s="8">
        <v>43089.708333333336</v>
      </c>
      <c r="E19" s="195">
        <v>0.19</v>
      </c>
      <c r="F19" s="195" t="s">
        <v>462</v>
      </c>
      <c r="G19" s="195">
        <v>282.08999999999997</v>
      </c>
      <c r="H19" s="195"/>
      <c r="I19" s="195">
        <v>0</v>
      </c>
      <c r="J19" s="195">
        <v>0</v>
      </c>
      <c r="K19" s="195"/>
      <c r="L19" s="195">
        <v>1000.89</v>
      </c>
      <c r="M19" s="195" t="s">
        <v>461</v>
      </c>
      <c r="N19" s="195">
        <v>55.63</v>
      </c>
      <c r="O19" s="195">
        <v>1513814400</v>
      </c>
      <c r="P19" s="195">
        <v>0</v>
      </c>
      <c r="Q19" s="195">
        <v>4.38</v>
      </c>
      <c r="R19" s="195">
        <v>335</v>
      </c>
      <c r="S19" s="195">
        <v>5.08</v>
      </c>
      <c r="T19" s="195">
        <v>1.06</v>
      </c>
    </row>
    <row r="20" spans="1:20" x14ac:dyDescent="0.25">
      <c r="A20" s="195">
        <v>51.11</v>
      </c>
      <c r="B20" s="195">
        <v>0.04</v>
      </c>
      <c r="C20" s="195">
        <v>13.91</v>
      </c>
      <c r="D20" s="8">
        <v>43089.75</v>
      </c>
      <c r="E20" s="195">
        <v>0.22</v>
      </c>
      <c r="F20" s="195" t="s">
        <v>462</v>
      </c>
      <c r="G20" s="195">
        <v>281.51</v>
      </c>
      <c r="H20" s="195"/>
      <c r="I20" s="195">
        <v>0</v>
      </c>
      <c r="J20" s="195">
        <v>0</v>
      </c>
      <c r="K20" s="195"/>
      <c r="L20" s="195">
        <v>1001.99</v>
      </c>
      <c r="M20" s="195" t="s">
        <v>461</v>
      </c>
      <c r="N20" s="195">
        <v>51.11</v>
      </c>
      <c r="O20" s="195">
        <v>1513818000</v>
      </c>
      <c r="P20" s="195">
        <v>0</v>
      </c>
      <c r="Q20" s="195">
        <v>4.34</v>
      </c>
      <c r="R20" s="195">
        <v>54</v>
      </c>
      <c r="S20" s="195">
        <v>5.74</v>
      </c>
      <c r="T20" s="195">
        <v>0.61</v>
      </c>
    </row>
    <row r="21" spans="1:20" x14ac:dyDescent="0.25">
      <c r="A21" s="195">
        <v>48.43</v>
      </c>
      <c r="B21" s="195">
        <v>0.09</v>
      </c>
      <c r="C21" s="195">
        <v>13.92</v>
      </c>
      <c r="D21" s="8">
        <v>43089.791666666664</v>
      </c>
      <c r="E21" s="195">
        <v>0.25</v>
      </c>
      <c r="F21" s="195" t="s">
        <v>462</v>
      </c>
      <c r="G21" s="195">
        <v>281.51</v>
      </c>
      <c r="H21" s="195"/>
      <c r="I21" s="195">
        <v>0</v>
      </c>
      <c r="J21" s="195">
        <v>0</v>
      </c>
      <c r="K21" s="195"/>
      <c r="L21" s="195">
        <v>1002.48</v>
      </c>
      <c r="M21" s="195" t="s">
        <v>461</v>
      </c>
      <c r="N21" s="195">
        <v>48.43</v>
      </c>
      <c r="O21" s="195">
        <v>1513821600</v>
      </c>
      <c r="P21" s="195">
        <v>0</v>
      </c>
      <c r="Q21" s="195">
        <v>8.18</v>
      </c>
      <c r="R21" s="195">
        <v>181</v>
      </c>
      <c r="S21" s="195">
        <v>6.82</v>
      </c>
      <c r="T21" s="195">
        <v>0.95</v>
      </c>
    </row>
    <row r="22" spans="1:20" x14ac:dyDescent="0.25">
      <c r="A22" s="195">
        <v>47.42</v>
      </c>
      <c r="B22" s="195">
        <v>0.06</v>
      </c>
      <c r="C22" s="195">
        <v>14.07</v>
      </c>
      <c r="D22" s="8">
        <v>43089.833333333336</v>
      </c>
      <c r="E22" s="195">
        <v>0.26</v>
      </c>
      <c r="F22" s="195" t="s">
        <v>462</v>
      </c>
      <c r="G22" s="195">
        <v>281.98</v>
      </c>
      <c r="H22" s="195"/>
      <c r="I22" s="195">
        <v>0</v>
      </c>
      <c r="J22" s="195">
        <v>0</v>
      </c>
      <c r="K22" s="195"/>
      <c r="L22" s="195">
        <v>1002.37</v>
      </c>
      <c r="M22" s="195" t="s">
        <v>461</v>
      </c>
      <c r="N22" s="195">
        <v>47.42</v>
      </c>
      <c r="O22" s="195">
        <v>1513825200</v>
      </c>
      <c r="P22" s="195">
        <v>0</v>
      </c>
      <c r="Q22" s="195">
        <v>4.34</v>
      </c>
      <c r="R22" s="195">
        <v>154</v>
      </c>
      <c r="S22" s="195">
        <v>5.08</v>
      </c>
      <c r="T22" s="195">
        <v>1.62</v>
      </c>
    </row>
    <row r="23" spans="1:20" x14ac:dyDescent="0.25">
      <c r="A23" s="195">
        <v>44.55</v>
      </c>
      <c r="B23" s="195">
        <v>0.05</v>
      </c>
      <c r="C23" s="195">
        <v>14.61</v>
      </c>
      <c r="D23" s="8">
        <v>43089.875</v>
      </c>
      <c r="E23" s="195">
        <v>0.28999999999999998</v>
      </c>
      <c r="F23" s="195" t="s">
        <v>462</v>
      </c>
      <c r="G23" s="195">
        <v>283.26</v>
      </c>
      <c r="H23" s="195"/>
      <c r="I23" s="195">
        <v>0</v>
      </c>
      <c r="J23" s="195">
        <v>0</v>
      </c>
      <c r="K23" s="195"/>
      <c r="L23" s="195">
        <v>1002.06</v>
      </c>
      <c r="M23" s="195" t="s">
        <v>461</v>
      </c>
      <c r="N23" s="195">
        <v>44.55</v>
      </c>
      <c r="O23" s="195">
        <v>1513828800</v>
      </c>
      <c r="P23" s="195">
        <v>0</v>
      </c>
      <c r="Q23" s="195">
        <v>4.59</v>
      </c>
      <c r="R23" s="195">
        <v>200</v>
      </c>
      <c r="S23" s="195">
        <v>5.01</v>
      </c>
      <c r="T23" s="195">
        <v>1.5</v>
      </c>
    </row>
    <row r="24" spans="1:20" x14ac:dyDescent="0.25">
      <c r="A24" s="195">
        <v>42.51</v>
      </c>
      <c r="B24" s="195">
        <v>0.06</v>
      </c>
      <c r="C24" s="195">
        <v>14.84</v>
      </c>
      <c r="D24" s="8">
        <v>43089.916666666664</v>
      </c>
      <c r="E24" s="195">
        <v>0.32</v>
      </c>
      <c r="F24" s="195" t="s">
        <v>462</v>
      </c>
      <c r="G24" s="195">
        <v>284.77999999999997</v>
      </c>
      <c r="H24" s="195"/>
      <c r="I24" s="195">
        <v>0</v>
      </c>
      <c r="J24" s="195">
        <v>0</v>
      </c>
      <c r="K24" s="195"/>
      <c r="L24" s="195">
        <v>1001.98</v>
      </c>
      <c r="M24" s="195" t="s">
        <v>461</v>
      </c>
      <c r="N24" s="195">
        <v>42.51</v>
      </c>
      <c r="O24" s="195">
        <v>1513832400</v>
      </c>
      <c r="P24" s="195">
        <v>0</v>
      </c>
      <c r="Q24" s="195">
        <v>2.95</v>
      </c>
      <c r="R24" s="195">
        <v>219</v>
      </c>
      <c r="S24" s="195">
        <v>4.41</v>
      </c>
      <c r="T24" s="195">
        <v>1.05</v>
      </c>
    </row>
    <row r="25" spans="1:20" x14ac:dyDescent="0.25">
      <c r="A25" s="195">
        <v>40.5</v>
      </c>
      <c r="B25" s="195">
        <v>0</v>
      </c>
      <c r="C25" s="195">
        <v>15.01</v>
      </c>
      <c r="D25" s="8">
        <v>43089.958333333336</v>
      </c>
      <c r="E25" s="195">
        <v>0.35</v>
      </c>
      <c r="F25" s="195" t="s">
        <v>462</v>
      </c>
      <c r="G25" s="195">
        <v>286.39999999999998</v>
      </c>
      <c r="H25" s="195"/>
      <c r="I25" s="195">
        <v>1E-4</v>
      </c>
      <c r="J25" s="195">
        <v>0.01</v>
      </c>
      <c r="K25" s="195" t="s">
        <v>901</v>
      </c>
      <c r="L25" s="195">
        <v>1001.89</v>
      </c>
      <c r="M25" s="195" t="s">
        <v>461</v>
      </c>
      <c r="N25" s="195">
        <v>40.5</v>
      </c>
      <c r="O25" s="195">
        <v>1513836000</v>
      </c>
      <c r="P25" s="195">
        <v>0</v>
      </c>
      <c r="Q25" s="195">
        <v>3.48</v>
      </c>
      <c r="R25" s="195">
        <v>238</v>
      </c>
      <c r="S25" s="195">
        <v>3.77</v>
      </c>
      <c r="T25" s="195">
        <v>0.63</v>
      </c>
    </row>
    <row r="26" spans="1:20" x14ac:dyDescent="0.25">
      <c r="A26" s="195">
        <v>38.69</v>
      </c>
      <c r="B26" s="195">
        <v>0</v>
      </c>
      <c r="C26" s="195">
        <v>16.25</v>
      </c>
      <c r="D26" s="8">
        <v>43090</v>
      </c>
      <c r="E26" s="195">
        <v>0.4</v>
      </c>
      <c r="F26" s="195" t="s">
        <v>462</v>
      </c>
      <c r="G26" s="195">
        <v>287.67</v>
      </c>
      <c r="H26" s="195"/>
      <c r="I26" s="195">
        <v>0</v>
      </c>
      <c r="J26" s="195">
        <v>0</v>
      </c>
      <c r="K26" s="195"/>
      <c r="L26" s="195">
        <v>1001.8</v>
      </c>
      <c r="M26" s="195" t="s">
        <v>461</v>
      </c>
      <c r="N26" s="195">
        <v>38.69</v>
      </c>
      <c r="O26" s="195">
        <v>1513839600</v>
      </c>
      <c r="P26" s="195">
        <v>0</v>
      </c>
      <c r="Q26" s="195">
        <v>4.21</v>
      </c>
      <c r="R26" s="195">
        <v>19</v>
      </c>
      <c r="S26" s="195">
        <v>6.5</v>
      </c>
      <c r="T26" s="195">
        <v>2.14</v>
      </c>
    </row>
    <row r="27" spans="1:20" x14ac:dyDescent="0.25">
      <c r="A27" s="195">
        <v>30.84</v>
      </c>
      <c r="B27" s="195">
        <v>0.02</v>
      </c>
      <c r="C27" s="195">
        <v>20.04</v>
      </c>
      <c r="D27" s="8">
        <v>43090.041666666664</v>
      </c>
      <c r="E27" s="195">
        <v>0.53</v>
      </c>
      <c r="F27" s="195" t="s">
        <v>462</v>
      </c>
      <c r="G27" s="195">
        <v>288.7</v>
      </c>
      <c r="H27" s="195"/>
      <c r="I27" s="195">
        <v>0</v>
      </c>
      <c r="J27" s="195">
        <v>0</v>
      </c>
      <c r="K27" s="195"/>
      <c r="L27" s="195">
        <v>1004.3</v>
      </c>
      <c r="M27" s="195" t="s">
        <v>461</v>
      </c>
      <c r="N27" s="195">
        <v>35.340000000000003</v>
      </c>
      <c r="O27" s="195">
        <v>1513843200</v>
      </c>
      <c r="P27" s="195">
        <v>0</v>
      </c>
      <c r="Q27" s="195">
        <v>3.97</v>
      </c>
      <c r="R27" s="195">
        <v>2</v>
      </c>
      <c r="S27" s="195">
        <v>13.24</v>
      </c>
      <c r="T27" s="195">
        <v>5.19</v>
      </c>
    </row>
    <row r="28" spans="1:20" x14ac:dyDescent="0.25">
      <c r="A28" s="195">
        <v>26.77</v>
      </c>
      <c r="B28" s="195">
        <v>0.5</v>
      </c>
      <c r="C28" s="195">
        <v>23.94</v>
      </c>
      <c r="D28" s="8">
        <v>43090.083333333336</v>
      </c>
      <c r="E28" s="195">
        <v>0.72</v>
      </c>
      <c r="F28" s="195" t="s">
        <v>588</v>
      </c>
      <c r="G28" s="195">
        <v>289.73</v>
      </c>
      <c r="H28" s="195"/>
      <c r="I28" s="195">
        <v>0</v>
      </c>
      <c r="J28" s="195">
        <v>0</v>
      </c>
      <c r="K28" s="195"/>
      <c r="L28" s="195">
        <v>1007.11</v>
      </c>
      <c r="M28" s="195" t="s">
        <v>589</v>
      </c>
      <c r="N28" s="195">
        <v>31.92</v>
      </c>
      <c r="O28" s="195">
        <v>1513846800</v>
      </c>
      <c r="P28" s="195">
        <v>0</v>
      </c>
      <c r="Q28" s="195">
        <v>4.21</v>
      </c>
      <c r="R28" s="195">
        <v>9</v>
      </c>
      <c r="S28" s="195">
        <v>12.06</v>
      </c>
      <c r="T28" s="195">
        <v>5.23</v>
      </c>
    </row>
    <row r="29" spans="1:20" x14ac:dyDescent="0.25">
      <c r="A29" s="195">
        <v>24.91</v>
      </c>
      <c r="B29" s="195">
        <v>0.51</v>
      </c>
      <c r="C29" s="195">
        <v>24.95</v>
      </c>
      <c r="D29" s="8">
        <v>43090.125</v>
      </c>
      <c r="E29" s="195">
        <v>0.79</v>
      </c>
      <c r="F29" s="195" t="s">
        <v>588</v>
      </c>
      <c r="G29" s="195">
        <v>290.31</v>
      </c>
      <c r="H29" s="195">
        <v>1.7999999999999999E-2</v>
      </c>
      <c r="I29" s="195">
        <v>2.2000000000000001E-3</v>
      </c>
      <c r="J29" s="195">
        <v>0.03</v>
      </c>
      <c r="K29" s="195" t="s">
        <v>902</v>
      </c>
      <c r="L29" s="195">
        <v>1009.18</v>
      </c>
      <c r="M29" s="195" t="s">
        <v>589</v>
      </c>
      <c r="N29" s="195">
        <v>30.64</v>
      </c>
      <c r="O29" s="195">
        <v>1513850400</v>
      </c>
      <c r="P29" s="195">
        <v>0</v>
      </c>
      <c r="Q29" s="195">
        <v>4.8600000000000003</v>
      </c>
      <c r="R29" s="195">
        <v>8</v>
      </c>
      <c r="S29" s="195">
        <v>11.89</v>
      </c>
      <c r="T29" s="195">
        <v>5.64</v>
      </c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M21" sqref="M21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43089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336</v>
      </c>
      <c r="AE2" s="56" t="s">
        <v>339</v>
      </c>
      <c r="AF2" s="56" t="s">
        <v>340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332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348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341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1090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1091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1092</v>
      </c>
      <c r="J20" s="139" t="s">
        <v>87</v>
      </c>
      <c r="M20" s="153" t="s">
        <v>643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1093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1094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1095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1096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1097</v>
      </c>
      <c r="J25" s="139" t="s">
        <v>144</v>
      </c>
      <c r="M25" s="153" t="b">
        <v>1</v>
      </c>
    </row>
    <row r="26" spans="3:24" x14ac:dyDescent="0.25">
      <c r="C26" t="s">
        <v>1098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%USERPROFILE%\Documents\GitHub\eaglep3-reporting\EC\2017-12-20-refined-times.txt</v>
      </c>
    </row>
    <row r="27" spans="3:24" x14ac:dyDescent="0.25">
      <c r="C27" t="s">
        <v>1099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%USERPROFILE%\Documents\GitHub\eaglep3-reporting\EC\2017-12-20-Enforcements.txt</v>
      </c>
    </row>
    <row r="28" spans="3:24" x14ac:dyDescent="0.25"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%USERPROFILE%\Documents\GitHub\eaglep3-reporting\EC\2017-12-20-Runs-refined.txt</v>
      </c>
    </row>
    <row r="29" spans="3:24" x14ac:dyDescent="0.25"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%USERPROFILE%\Documents\GitHub\eaglep3-reporting\EC\2017-12-20-Trips.txt</v>
      </c>
    </row>
    <row r="30" spans="3:24" x14ac:dyDescent="0.25"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%USERPROFILE%\Documents\GitHub\eaglep3-reporting\EC\2017-12-20-Weather.txt</v>
      </c>
    </row>
    <row r="31" spans="3:24" x14ac:dyDescent="0.25"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352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2017-12-21T16:37:54Z</dcterms:modified>
</cp:coreProperties>
</file>